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0.xml" ContentType="application/vnd.openxmlformats-officedocument.spreadsheetml.pivotTable+xml"/>
  <Override PartName="/xl/tables/table5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lphaxinnovation-my.sharepoint.com/personal/cathfrine_low_alphaxtec_com/Documents/Alpha X - Finance/HQ/FYE 2026/"/>
    </mc:Choice>
  </mc:AlternateContent>
  <xr:revisionPtr revIDLastSave="11338" documentId="120_S{0093E3E1-BED8-5C5E-8F32-256E7D8D072F}" xr6:coauthVersionLast="47" xr6:coauthVersionMax="47" xr10:uidLastSave="{58912D85-46EF-4300-B6AB-B544748972D5}"/>
  <bookViews>
    <workbookView xWindow="-28920" yWindow="-4860" windowWidth="29040" windowHeight="15720" tabRatio="618" activeTab="4" xr2:uid="{C57AE49C-8D2B-4BF3-BB54-F4446DA5AFFF}"/>
  </bookViews>
  <sheets>
    <sheet name="Bank Balance" sheetId="48" r:id="rId1"/>
    <sheet name="Bank " sheetId="41" r:id="rId2"/>
    <sheet name="Actual Cash Inflow" sheetId="55" r:id="rId3"/>
    <sheet name="Forecast Cash Inflow" sheetId="57" r:id="rId4"/>
    <sheet name="Revenue" sheetId="59" r:id="rId5"/>
    <sheet name="AR" sheetId="46" r:id="rId6"/>
    <sheet name="Detail1" sheetId="66" r:id="rId7"/>
    <sheet name="Actual Cash Outflow" sheetId="52" r:id="rId8"/>
    <sheet name="Forecast Cash Outflow" sheetId="56" r:id="rId9"/>
    <sheet name="COGS" sheetId="60" r:id="rId10"/>
    <sheet name="Expenses" sheetId="63" r:id="rId11"/>
    <sheet name="Detail3" sheetId="69" r:id="rId12"/>
    <sheet name="Detail4" sheetId="70" r:id="rId13"/>
    <sheet name="Detail5" sheetId="71" r:id="rId14"/>
    <sheet name="Sheet1" sheetId="64" r:id="rId15"/>
    <sheet name="Detail2" sheetId="68" r:id="rId16"/>
    <sheet name="Sheet5" sheetId="67" r:id="rId17"/>
    <sheet name="CF" sheetId="47" r:id="rId18"/>
    <sheet name="Receivable" sheetId="29" r:id="rId19"/>
    <sheet name="PO Value" sheetId="58" r:id="rId20"/>
    <sheet name="PO" sheetId="44" r:id="rId21"/>
    <sheet name="Setting" sheetId="7" r:id="rId22"/>
    <sheet name="FOREX" sheetId="11" r:id="rId23"/>
    <sheet name="AXT - USD" sheetId="2" r:id="rId24"/>
    <sheet name="AXT- SGD" sheetId="1" r:id="rId25"/>
    <sheet name="AXT -Eastwest Bank" sheetId="8" r:id="rId26"/>
    <sheet name="AXI - MYR" sheetId="9" r:id="rId27"/>
    <sheet name="AXI - USD" sheetId="16" r:id="rId28"/>
    <sheet name="AXS-CNY" sheetId="17" r:id="rId29"/>
    <sheet name="Sheet2" sheetId="38" state="hidden" r:id="rId30"/>
    <sheet name="Payroll MY" sheetId="35" state="hidden" r:id="rId31"/>
    <sheet name="Sheet3" sheetId="42" state="hidden" r:id="rId32"/>
    <sheet name="Payroll SG" sheetId="28" state="hidden" r:id="rId33"/>
    <sheet name="Sheet4" sheetId="43" state="hidden" r:id="rId34"/>
    <sheet name="Payroll CN" sheetId="25" state="hidden" r:id="rId35"/>
    <sheet name="Payroll" sheetId="10" state="hidden" r:id="rId36"/>
    <sheet name="Project Manday" sheetId="12" state="hidden" r:id="rId37"/>
  </sheets>
  <externalReferences>
    <externalReference r:id="rId38"/>
  </externalReferences>
  <definedNames>
    <definedName name="_xlnm._FilterDatabase" localSheetId="5" hidden="1">AR!$A$2:$V$87</definedName>
    <definedName name="_xlnm._FilterDatabase" localSheetId="26" hidden="1">'AXI - MYR'!$A$1:$W$276</definedName>
    <definedName name="_xlnm._FilterDatabase" localSheetId="27" hidden="1">'AXI - USD'!$E$1:$E$89</definedName>
    <definedName name="_xlnm._FilterDatabase" localSheetId="28" hidden="1">'AXS-CNY'!$A$4:$V$151</definedName>
    <definedName name="_xlnm._FilterDatabase" localSheetId="23" hidden="1">'AXT - USD'!$A$1:$V$205</definedName>
    <definedName name="_xlnm._FilterDatabase" localSheetId="25" hidden="1">'AXT -Eastwest Bank'!$E$1:$E$112</definedName>
    <definedName name="_xlnm._FilterDatabase" localSheetId="24" hidden="1">'AXT- SGD'!$A$4:$W$449</definedName>
    <definedName name="_xlnm._FilterDatabase" localSheetId="17" hidden="1">CF!$A$1:$X$1468</definedName>
    <definedName name="_xlnm._FilterDatabase" localSheetId="18" hidden="1">Receivable!$A$2:$V$92</definedName>
  </definedNames>
  <calcPr calcId="191028"/>
  <pivotCaches>
    <pivotCache cacheId="72" r:id="rId39"/>
    <pivotCache cacheId="73" r:id="rId40"/>
    <pivotCache cacheId="74" r:id="rId41"/>
    <pivotCache cacheId="75" r:id="rId42"/>
    <pivotCache cacheId="76" r:id="rId43"/>
    <pivotCache cacheId="77" r:id="rId44"/>
    <pivotCache cacheId="156" r:id="rId4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08" i="47" l="1"/>
  <c r="Q409" i="47"/>
  <c r="Q27" i="47"/>
  <c r="Q28" i="47"/>
  <c r="Q46" i="47"/>
  <c r="Q47" i="47"/>
  <c r="Q48" i="47"/>
  <c r="Q49" i="47"/>
  <c r="Q61" i="47"/>
  <c r="Q62" i="47"/>
  <c r="Q64" i="47"/>
  <c r="Q65" i="47"/>
  <c r="Q79" i="47"/>
  <c r="Q80" i="47"/>
  <c r="Q83" i="47"/>
  <c r="Q84" i="47"/>
  <c r="Q85" i="47"/>
  <c r="Q86" i="47"/>
  <c r="Q87" i="47"/>
  <c r="Q94" i="47"/>
  <c r="Q95" i="47"/>
  <c r="I119" i="47"/>
  <c r="O119" i="47"/>
  <c r="Q119" i="47"/>
  <c r="Q120" i="47"/>
  <c r="O150" i="47"/>
  <c r="Q150" i="47"/>
  <c r="O151" i="47"/>
  <c r="Q151" i="47"/>
  <c r="O152" i="47"/>
  <c r="Q152" i="47"/>
  <c r="O153" i="47"/>
  <c r="Q153" i="47"/>
  <c r="O154" i="47"/>
  <c r="Q154" i="47"/>
  <c r="O155" i="47"/>
  <c r="Q155" i="47"/>
  <c r="O160" i="47"/>
  <c r="Q160" i="47"/>
  <c r="O161" i="47"/>
  <c r="Q161" i="47"/>
  <c r="O162" i="47"/>
  <c r="Q162" i="47"/>
  <c r="O163" i="47"/>
  <c r="Q163" i="47"/>
  <c r="O164" i="47"/>
  <c r="Q164" i="47"/>
  <c r="O165" i="47"/>
  <c r="Q165" i="47"/>
  <c r="O167" i="47"/>
  <c r="Q167" i="47"/>
  <c r="O168" i="47"/>
  <c r="Q168" i="47"/>
  <c r="O169" i="47"/>
  <c r="Q169" i="47"/>
  <c r="O170" i="47"/>
  <c r="Q170" i="47"/>
  <c r="O171" i="47"/>
  <c r="Q171" i="47"/>
  <c r="O172" i="47"/>
  <c r="Q172" i="47"/>
  <c r="O173" i="47"/>
  <c r="Q173" i="47"/>
  <c r="O174" i="47"/>
  <c r="Q174" i="47"/>
  <c r="O175" i="47"/>
  <c r="Q175" i="47"/>
  <c r="O176" i="47"/>
  <c r="Q176" i="47"/>
  <c r="O177" i="47"/>
  <c r="Q177" i="47"/>
  <c r="O178" i="47"/>
  <c r="Q178" i="47"/>
  <c r="O218" i="47"/>
  <c r="Q218" i="47"/>
  <c r="O219" i="47"/>
  <c r="Q219" i="47"/>
  <c r="O220" i="47"/>
  <c r="Q220" i="47"/>
  <c r="O221" i="47"/>
  <c r="Q221" i="47"/>
  <c r="O222" i="47"/>
  <c r="Q222" i="47"/>
  <c r="O223" i="47"/>
  <c r="Q223" i="47"/>
  <c r="O230" i="47"/>
  <c r="Q230" i="47"/>
  <c r="O231" i="47"/>
  <c r="Q231" i="47"/>
  <c r="O232" i="47"/>
  <c r="Q232" i="47"/>
  <c r="O233" i="47"/>
  <c r="Q233" i="47"/>
  <c r="O234" i="47"/>
  <c r="Q234" i="47"/>
  <c r="O235" i="47"/>
  <c r="Q235" i="47"/>
  <c r="O272" i="47"/>
  <c r="Q272" i="47"/>
  <c r="O273" i="47"/>
  <c r="Q273" i="47"/>
  <c r="O274" i="47"/>
  <c r="Q274" i="47"/>
  <c r="O275" i="47"/>
  <c r="Q275" i="47"/>
  <c r="O276" i="47"/>
  <c r="Q276" i="47"/>
  <c r="O277" i="47"/>
  <c r="Q277" i="47"/>
  <c r="O278" i="47"/>
  <c r="Q278" i="47"/>
  <c r="O279" i="47"/>
  <c r="Q279" i="47"/>
  <c r="O280" i="47"/>
  <c r="Q280" i="47"/>
  <c r="O281" i="47"/>
  <c r="Q281" i="47"/>
  <c r="O286" i="47"/>
  <c r="Q286" i="47"/>
  <c r="O287" i="47"/>
  <c r="Q287" i="47"/>
  <c r="O288" i="47"/>
  <c r="Q288" i="47"/>
  <c r="O289" i="47"/>
  <c r="Q289" i="47"/>
  <c r="O290" i="47"/>
  <c r="Q290" i="47"/>
  <c r="O291" i="47"/>
  <c r="Q291" i="47"/>
  <c r="O292" i="47"/>
  <c r="Q292" i="47"/>
  <c r="O293" i="47"/>
  <c r="Q293" i="47"/>
  <c r="O294" i="47"/>
  <c r="Q294" i="47"/>
  <c r="O295" i="47"/>
  <c r="Q295" i="47"/>
  <c r="O296" i="47"/>
  <c r="Q296" i="47"/>
  <c r="O297" i="47"/>
  <c r="Q297" i="47"/>
  <c r="O313" i="47"/>
  <c r="Q313" i="47"/>
  <c r="O314" i="47"/>
  <c r="Q314" i="47"/>
  <c r="O315" i="47"/>
  <c r="Q315" i="47"/>
  <c r="O316" i="47"/>
  <c r="Q316" i="47"/>
  <c r="O317" i="47"/>
  <c r="Q317" i="47"/>
  <c r="O318" i="47"/>
  <c r="Q318" i="47"/>
  <c r="O337" i="47"/>
  <c r="Q337" i="47"/>
  <c r="O338" i="47"/>
  <c r="Q338" i="47"/>
  <c r="O339" i="47"/>
  <c r="Q339" i="47"/>
  <c r="O340" i="47"/>
  <c r="Q340" i="47"/>
  <c r="O341" i="47"/>
  <c r="Q341" i="47"/>
  <c r="O342" i="47"/>
  <c r="Q342" i="47"/>
  <c r="O343" i="47"/>
  <c r="Q343" i="47"/>
  <c r="O344" i="47"/>
  <c r="Q344" i="47"/>
  <c r="O345" i="47"/>
  <c r="Q345" i="47"/>
  <c r="O346" i="47"/>
  <c r="Q346" i="47"/>
  <c r="O347" i="47"/>
  <c r="Q347" i="47"/>
  <c r="O348" i="47"/>
  <c r="Q348" i="47"/>
  <c r="O366" i="47"/>
  <c r="Q366" i="47"/>
  <c r="O367" i="47"/>
  <c r="Q367" i="47"/>
  <c r="O368" i="47"/>
  <c r="Q368" i="47"/>
  <c r="O369" i="47"/>
  <c r="Q369" i="47"/>
  <c r="O370" i="47"/>
  <c r="Q370" i="47"/>
  <c r="O371" i="47"/>
  <c r="Q371" i="47"/>
  <c r="I374" i="47"/>
  <c r="O374" i="47"/>
  <c r="Q374" i="47"/>
  <c r="I375" i="47"/>
  <c r="O375" i="47"/>
  <c r="Q375" i="47"/>
  <c r="I376" i="47"/>
  <c r="O376" i="47"/>
  <c r="Q376" i="47"/>
  <c r="I377" i="47"/>
  <c r="O377" i="47"/>
  <c r="Q377" i="47"/>
  <c r="I378" i="47"/>
  <c r="O378" i="47"/>
  <c r="Q378" i="47"/>
  <c r="I379" i="47"/>
  <c r="O379" i="47"/>
  <c r="Q379" i="47"/>
  <c r="I380" i="47"/>
  <c r="O380" i="47"/>
  <c r="Q380" i="47"/>
  <c r="I381" i="47"/>
  <c r="O381" i="47"/>
  <c r="Q381" i="47"/>
  <c r="I382" i="47"/>
  <c r="O382" i="47"/>
  <c r="Q382" i="47"/>
  <c r="I383" i="47"/>
  <c r="O383" i="47"/>
  <c r="Q383" i="47"/>
  <c r="I384" i="47"/>
  <c r="O384" i="47"/>
  <c r="Q384" i="47"/>
  <c r="O385" i="47"/>
  <c r="Q385" i="47"/>
  <c r="O386" i="47"/>
  <c r="Q386" i="47"/>
  <c r="O387" i="47"/>
  <c r="Q387" i="47"/>
  <c r="O388" i="47"/>
  <c r="Q388" i="47"/>
  <c r="O389" i="47"/>
  <c r="Q389" i="47"/>
  <c r="O390" i="47"/>
  <c r="Q390" i="47"/>
  <c r="O391" i="47"/>
  <c r="Q391" i="47"/>
  <c r="O392" i="47"/>
  <c r="Q392" i="47"/>
  <c r="O393" i="47"/>
  <c r="Q393" i="47"/>
  <c r="O394" i="47"/>
  <c r="Q394" i="47"/>
  <c r="O395" i="47"/>
  <c r="Q395" i="47"/>
  <c r="O396" i="47"/>
  <c r="Q396" i="47"/>
  <c r="O397" i="47"/>
  <c r="Q397" i="47"/>
  <c r="G398" i="47"/>
  <c r="O398" i="47"/>
  <c r="Q398" i="47"/>
  <c r="I399" i="47"/>
  <c r="O399" i="47"/>
  <c r="Q399" i="47"/>
  <c r="O400" i="47"/>
  <c r="Q400" i="47"/>
  <c r="O401" i="47"/>
  <c r="Q401" i="47"/>
  <c r="O402" i="47"/>
  <c r="Q402" i="47"/>
  <c r="O403" i="47"/>
  <c r="Q403" i="47"/>
  <c r="O404" i="47"/>
  <c r="Q404" i="47"/>
  <c r="O405" i="47"/>
  <c r="Q405" i="47"/>
  <c r="O406" i="47"/>
  <c r="Q406" i="47"/>
  <c r="O407" i="47"/>
  <c r="Q407" i="47"/>
  <c r="O408" i="47"/>
  <c r="O409" i="47"/>
  <c r="O410" i="47"/>
  <c r="Q410" i="47"/>
  <c r="O411" i="47"/>
  <c r="Q411" i="47"/>
  <c r="I412" i="47"/>
  <c r="O412" i="47"/>
  <c r="Q412" i="47"/>
  <c r="O413" i="47"/>
  <c r="Q413" i="47"/>
  <c r="O414" i="47"/>
  <c r="Q414" i="47"/>
  <c r="O415" i="47"/>
  <c r="Q415" i="47"/>
  <c r="O416" i="47"/>
  <c r="Q416" i="47"/>
  <c r="O417" i="47"/>
  <c r="Q417" i="47"/>
  <c r="O418" i="47"/>
  <c r="Q418" i="47"/>
  <c r="O419" i="47"/>
  <c r="Q419" i="47"/>
  <c r="O420" i="47"/>
  <c r="Q420" i="47"/>
  <c r="O421" i="47"/>
  <c r="Q421" i="47"/>
  <c r="O422" i="47"/>
  <c r="Q422" i="47"/>
  <c r="O423" i="47"/>
  <c r="Q423" i="47"/>
  <c r="O424" i="47"/>
  <c r="Q424" i="47"/>
  <c r="O425" i="47"/>
  <c r="Q425" i="47"/>
  <c r="O426" i="47"/>
  <c r="Q426" i="47"/>
  <c r="O427" i="47"/>
  <c r="Q427" i="47"/>
  <c r="O428" i="47"/>
  <c r="Q428" i="47"/>
  <c r="O429" i="47"/>
  <c r="Q429" i="47"/>
  <c r="O430" i="47"/>
  <c r="Q430" i="47"/>
  <c r="O431" i="47"/>
  <c r="Q431" i="47"/>
  <c r="O432" i="47"/>
  <c r="Q432" i="47"/>
  <c r="O433" i="47"/>
  <c r="Q433" i="47"/>
  <c r="O434" i="47"/>
  <c r="Q434" i="47"/>
  <c r="O435" i="47"/>
  <c r="Q435" i="47"/>
  <c r="I436" i="47"/>
  <c r="O436" i="47"/>
  <c r="Q436" i="47"/>
  <c r="I437" i="47"/>
  <c r="O437" i="47"/>
  <c r="Q437" i="47"/>
  <c r="I438" i="47"/>
  <c r="O438" i="47"/>
  <c r="Q438" i="47"/>
  <c r="O439" i="47"/>
  <c r="Q439" i="47"/>
  <c r="O440" i="47"/>
  <c r="Q440" i="47"/>
  <c r="O441" i="47"/>
  <c r="Q441" i="47"/>
  <c r="O442" i="47"/>
  <c r="Q442" i="47"/>
  <c r="O443" i="47"/>
  <c r="Q443" i="47"/>
  <c r="O444" i="47"/>
  <c r="Q444" i="47"/>
  <c r="O445" i="47"/>
  <c r="Q445" i="47"/>
  <c r="O446" i="47"/>
  <c r="Q446" i="47"/>
  <c r="O447" i="47"/>
  <c r="Q447" i="47"/>
  <c r="O448" i="47"/>
  <c r="Q448" i="47"/>
  <c r="O449" i="47"/>
  <c r="Q449" i="47"/>
  <c r="O450" i="47"/>
  <c r="Q450" i="47"/>
  <c r="O451" i="47"/>
  <c r="Q451" i="47"/>
  <c r="O452" i="47"/>
  <c r="Q452" i="47"/>
  <c r="O453" i="47"/>
  <c r="Q453" i="47"/>
  <c r="O454" i="47"/>
  <c r="Q454" i="47"/>
  <c r="O455" i="47"/>
  <c r="Q455" i="47"/>
  <c r="O456" i="47"/>
  <c r="Q456" i="47"/>
  <c r="O457" i="47"/>
  <c r="Q457" i="47"/>
  <c r="O458" i="47"/>
  <c r="Q458" i="47"/>
  <c r="O459" i="47"/>
  <c r="Q459" i="47"/>
  <c r="O460" i="47"/>
  <c r="Q460" i="47"/>
  <c r="O465" i="47"/>
  <c r="Q465" i="47"/>
  <c r="O466" i="47"/>
  <c r="Q466" i="47"/>
  <c r="O467" i="47"/>
  <c r="Q467" i="47"/>
  <c r="O468" i="47"/>
  <c r="Q468" i="47"/>
  <c r="O469" i="47"/>
  <c r="Q469" i="47"/>
  <c r="O470" i="47"/>
  <c r="Q470" i="47"/>
  <c r="O471" i="47"/>
  <c r="Q471" i="47"/>
  <c r="O472" i="47"/>
  <c r="Q472" i="47"/>
  <c r="O473" i="47"/>
  <c r="Q473" i="47"/>
  <c r="O474" i="47"/>
  <c r="Q474" i="47"/>
  <c r="O475" i="47"/>
  <c r="Q475" i="47"/>
  <c r="O476" i="47"/>
  <c r="Q476" i="47"/>
  <c r="O477" i="47"/>
  <c r="Q477" i="47"/>
  <c r="O478" i="47"/>
  <c r="Q478" i="47"/>
  <c r="O479" i="47"/>
  <c r="Q479" i="47"/>
  <c r="O480" i="47"/>
  <c r="Q480" i="47"/>
  <c r="O481" i="47"/>
  <c r="Q481" i="47"/>
  <c r="O482" i="47"/>
  <c r="Q482" i="47"/>
  <c r="O483" i="47"/>
  <c r="Q483" i="47"/>
  <c r="O484" i="47"/>
  <c r="Q484" i="47"/>
  <c r="O485" i="47"/>
  <c r="Q485" i="47"/>
  <c r="O486" i="47"/>
  <c r="Q486" i="47"/>
  <c r="O487" i="47"/>
  <c r="Q487" i="47"/>
  <c r="O488" i="47"/>
  <c r="Q488" i="47"/>
  <c r="O493" i="47"/>
  <c r="Q493" i="47"/>
  <c r="O494" i="47"/>
  <c r="Q494" i="47"/>
  <c r="O495" i="47"/>
  <c r="Q495" i="47"/>
  <c r="O496" i="47"/>
  <c r="Q496" i="47"/>
  <c r="O497" i="47"/>
  <c r="Q497" i="47"/>
  <c r="O498" i="47"/>
  <c r="Q498" i="47"/>
  <c r="O499" i="47"/>
  <c r="Q499" i="47"/>
  <c r="O500" i="47"/>
  <c r="Q500" i="47"/>
  <c r="O501" i="47"/>
  <c r="Q501" i="47"/>
  <c r="O502" i="47"/>
  <c r="Q502" i="47"/>
  <c r="O503" i="47"/>
  <c r="Q503" i="47"/>
  <c r="O504" i="47"/>
  <c r="Q504" i="47"/>
  <c r="O505" i="47"/>
  <c r="Q505" i="47"/>
  <c r="O506" i="47"/>
  <c r="Q506" i="47"/>
  <c r="O507" i="47"/>
  <c r="Q507" i="47"/>
  <c r="O508" i="47"/>
  <c r="Q508" i="47"/>
  <c r="O513" i="47"/>
  <c r="Q513" i="47"/>
  <c r="O514" i="47"/>
  <c r="Q514" i="47"/>
  <c r="O515" i="47"/>
  <c r="Q515" i="47"/>
  <c r="O516" i="47"/>
  <c r="Q516" i="47"/>
  <c r="O517" i="47"/>
  <c r="Q517" i="47"/>
  <c r="O518" i="47"/>
  <c r="Q518" i="47"/>
  <c r="O519" i="47"/>
  <c r="Q519" i="47"/>
  <c r="O520" i="47"/>
  <c r="Q520" i="47"/>
  <c r="O521" i="47"/>
  <c r="Q521" i="47"/>
  <c r="O522" i="47"/>
  <c r="Q522" i="47"/>
  <c r="O523" i="47"/>
  <c r="Q523" i="47"/>
  <c r="O524" i="47"/>
  <c r="Q524" i="47"/>
  <c r="O525" i="47"/>
  <c r="Q525" i="47"/>
  <c r="O526" i="47"/>
  <c r="Q526" i="47"/>
  <c r="O527" i="47"/>
  <c r="Q527" i="47"/>
  <c r="O528" i="47"/>
  <c r="Q528" i="47"/>
  <c r="O529" i="47"/>
  <c r="Q529" i="47"/>
  <c r="O530" i="47"/>
  <c r="Q530" i="47"/>
  <c r="O531" i="47"/>
  <c r="Q531" i="47"/>
  <c r="O532" i="47"/>
  <c r="Q532" i="47"/>
  <c r="O537" i="47"/>
  <c r="Q537" i="47"/>
  <c r="O538" i="47"/>
  <c r="Q538" i="47"/>
  <c r="O539" i="47"/>
  <c r="Q539" i="47"/>
  <c r="O540" i="47"/>
  <c r="Q540" i="47"/>
  <c r="O541" i="47"/>
  <c r="Q541" i="47"/>
  <c r="O542" i="47"/>
  <c r="Q542" i="47"/>
  <c r="O543" i="47"/>
  <c r="Q543" i="47"/>
  <c r="O544" i="47"/>
  <c r="Q544" i="47"/>
  <c r="O545" i="47"/>
  <c r="Q545" i="47"/>
  <c r="O546" i="47"/>
  <c r="Q546" i="47"/>
  <c r="O547" i="47"/>
  <c r="Q547" i="47"/>
  <c r="O548" i="47"/>
  <c r="Q548" i="47"/>
  <c r="O549" i="47"/>
  <c r="Q549" i="47"/>
  <c r="O550" i="47"/>
  <c r="Q550" i="47"/>
  <c r="O551" i="47"/>
  <c r="Q551" i="47"/>
  <c r="O552" i="47"/>
  <c r="Q552" i="47"/>
  <c r="O553" i="47"/>
  <c r="Q553" i="47"/>
  <c r="O554" i="47"/>
  <c r="Q554" i="47"/>
  <c r="O555" i="47"/>
  <c r="Q555" i="47"/>
  <c r="O556" i="47"/>
  <c r="Q556" i="47"/>
  <c r="O561" i="47"/>
  <c r="Q561" i="47"/>
  <c r="O562" i="47"/>
  <c r="Q562" i="47"/>
  <c r="O563" i="47"/>
  <c r="Q563" i="47"/>
  <c r="O564" i="47"/>
  <c r="Q564" i="47"/>
  <c r="O565" i="47"/>
  <c r="Q565" i="47"/>
  <c r="O566" i="47"/>
  <c r="Q566" i="47"/>
  <c r="O567" i="47"/>
  <c r="Q567" i="47"/>
  <c r="O568" i="47"/>
  <c r="Q568" i="47"/>
  <c r="O569" i="47"/>
  <c r="Q569" i="47"/>
  <c r="O570" i="47"/>
  <c r="Q570" i="47"/>
  <c r="O571" i="47"/>
  <c r="Q571" i="47"/>
  <c r="O572" i="47"/>
  <c r="Q572" i="47"/>
  <c r="O573" i="47"/>
  <c r="Q573" i="47"/>
  <c r="O574" i="47"/>
  <c r="Q574" i="47"/>
  <c r="O575" i="47"/>
  <c r="Q575" i="47"/>
  <c r="O576" i="47"/>
  <c r="Q576" i="47"/>
  <c r="O577" i="47"/>
  <c r="Q577" i="47"/>
  <c r="O578" i="47"/>
  <c r="Q578" i="47"/>
  <c r="O579" i="47"/>
  <c r="Q579" i="47"/>
  <c r="O580" i="47"/>
  <c r="Q580" i="47"/>
  <c r="H581" i="47"/>
  <c r="I581" i="47" s="1"/>
  <c r="O581" i="47"/>
  <c r="Q581" i="47"/>
  <c r="H582" i="47"/>
  <c r="I582" i="47" s="1"/>
  <c r="O582" i="47"/>
  <c r="Q582" i="47"/>
  <c r="O583" i="47"/>
  <c r="Q583" i="47"/>
  <c r="O584" i="47"/>
  <c r="Q584" i="47"/>
  <c r="I585" i="47"/>
  <c r="O585" i="47"/>
  <c r="Q585" i="47"/>
  <c r="I586" i="47"/>
  <c r="O586" i="47"/>
  <c r="Q586" i="47"/>
  <c r="I587" i="47"/>
  <c r="O587" i="47"/>
  <c r="Q587" i="47"/>
  <c r="G588" i="47"/>
  <c r="I588" i="47" s="1"/>
  <c r="O588" i="47"/>
  <c r="Q588" i="47"/>
  <c r="I589" i="47"/>
  <c r="O589" i="47"/>
  <c r="Q589" i="47"/>
  <c r="I590" i="47"/>
  <c r="O590" i="47"/>
  <c r="Q590" i="47"/>
  <c r="I591" i="47"/>
  <c r="O591" i="47"/>
  <c r="Q591" i="47"/>
  <c r="I592" i="47"/>
  <c r="O592" i="47"/>
  <c r="Q592" i="47"/>
  <c r="I593" i="47"/>
  <c r="O593" i="47"/>
  <c r="Q593" i="47"/>
  <c r="I594" i="47"/>
  <c r="O594" i="47"/>
  <c r="Q594" i="47"/>
  <c r="I595" i="47"/>
  <c r="O595" i="47"/>
  <c r="Q595" i="47"/>
  <c r="I596" i="47"/>
  <c r="O596" i="47"/>
  <c r="Q596" i="47"/>
  <c r="I597" i="47"/>
  <c r="O597" i="47"/>
  <c r="Q597" i="47"/>
  <c r="I598" i="47"/>
  <c r="O598" i="47"/>
  <c r="Q598" i="47"/>
  <c r="I599" i="47"/>
  <c r="O599" i="47"/>
  <c r="Q599" i="47"/>
  <c r="I600" i="47"/>
  <c r="O600" i="47"/>
  <c r="Q600" i="47"/>
  <c r="O601" i="47"/>
  <c r="Q601" i="47"/>
  <c r="I602" i="47"/>
  <c r="O602" i="47"/>
  <c r="Q602" i="47"/>
  <c r="O603" i="47"/>
  <c r="Q603" i="47"/>
  <c r="H604" i="47"/>
  <c r="I604" i="47" s="1"/>
  <c r="O604" i="47"/>
  <c r="Q604" i="47"/>
  <c r="O605" i="47"/>
  <c r="Q605" i="47"/>
  <c r="O606" i="47"/>
  <c r="Q606" i="47"/>
  <c r="Q607" i="47"/>
  <c r="Q608" i="47"/>
  <c r="Q609" i="47"/>
  <c r="I610" i="47"/>
  <c r="Q610" i="47"/>
  <c r="Q611" i="47"/>
  <c r="Q612" i="47"/>
  <c r="Q613" i="47"/>
  <c r="H614" i="47"/>
  <c r="I614" i="47" s="1"/>
  <c r="O614" i="47"/>
  <c r="Q614" i="47"/>
  <c r="H615" i="47"/>
  <c r="I615" i="47" s="1"/>
  <c r="O615" i="47"/>
  <c r="Q615" i="47"/>
  <c r="H616" i="47"/>
  <c r="I616" i="47" s="1"/>
  <c r="O616" i="47"/>
  <c r="Q616" i="47"/>
  <c r="H617" i="47"/>
  <c r="I617" i="47" s="1"/>
  <c r="O617" i="47"/>
  <c r="Q617" i="47"/>
  <c r="H618" i="47"/>
  <c r="I618" i="47" s="1"/>
  <c r="O618" i="47"/>
  <c r="Q618" i="47"/>
  <c r="H619" i="47"/>
  <c r="I619" i="47" s="1"/>
  <c r="O619" i="47"/>
  <c r="Q619" i="47"/>
  <c r="O620" i="47"/>
  <c r="Q620" i="47"/>
  <c r="I621" i="47"/>
  <c r="O621" i="47"/>
  <c r="Q621" i="47"/>
  <c r="I622" i="47"/>
  <c r="O622" i="47"/>
  <c r="Q622" i="47"/>
  <c r="O623" i="47"/>
  <c r="Q623" i="47"/>
  <c r="O624" i="47"/>
  <c r="Q624" i="47"/>
  <c r="I625" i="47"/>
  <c r="O625" i="47"/>
  <c r="Q625" i="47"/>
  <c r="I626" i="47"/>
  <c r="O626" i="47"/>
  <c r="Q626" i="47"/>
  <c r="O627" i="47"/>
  <c r="Q627" i="47"/>
  <c r="I628" i="47"/>
  <c r="O628" i="47"/>
  <c r="Q628" i="47"/>
  <c r="O629" i="47"/>
  <c r="Q629" i="47"/>
  <c r="O630" i="47"/>
  <c r="Q630" i="47"/>
  <c r="O631" i="47"/>
  <c r="Q631" i="47"/>
  <c r="O632" i="47"/>
  <c r="Q632" i="47"/>
  <c r="O633" i="47"/>
  <c r="Q633" i="47"/>
  <c r="O634" i="47"/>
  <c r="Q634" i="47"/>
  <c r="O635" i="47"/>
  <c r="Q635" i="47"/>
  <c r="O636" i="47"/>
  <c r="Q636" i="47"/>
  <c r="O637" i="47"/>
  <c r="Q637" i="47"/>
  <c r="O638" i="47"/>
  <c r="Q638" i="47"/>
  <c r="O639" i="47"/>
  <c r="Q639" i="47"/>
  <c r="O640" i="47"/>
  <c r="Q640" i="47"/>
  <c r="O641" i="47"/>
  <c r="Q641" i="47"/>
  <c r="O642" i="47"/>
  <c r="Q642" i="47"/>
  <c r="O643" i="47"/>
  <c r="Q643" i="47"/>
  <c r="O644" i="47"/>
  <c r="Q644" i="47"/>
  <c r="O645" i="47"/>
  <c r="Q645" i="47"/>
  <c r="O646" i="47"/>
  <c r="Q646" i="47"/>
  <c r="O647" i="47"/>
  <c r="Q647" i="47"/>
  <c r="O648" i="47"/>
  <c r="Q648" i="47"/>
  <c r="O649" i="47"/>
  <c r="Q649" i="47"/>
  <c r="O650" i="47"/>
  <c r="Q650" i="47"/>
  <c r="O651" i="47"/>
  <c r="Q651" i="47"/>
  <c r="O652" i="47"/>
  <c r="Q652" i="47"/>
  <c r="O653" i="47"/>
  <c r="Q653" i="47"/>
  <c r="O654" i="47"/>
  <c r="Q654" i="47"/>
  <c r="O655" i="47"/>
  <c r="Q655" i="47"/>
  <c r="O656" i="47"/>
  <c r="Q656" i="47"/>
  <c r="O657" i="47"/>
  <c r="Q657" i="47"/>
  <c r="O658" i="47"/>
  <c r="Q658" i="47"/>
  <c r="O659" i="47"/>
  <c r="Q659" i="47"/>
  <c r="O660" i="47"/>
  <c r="Q660" i="47"/>
  <c r="O661" i="47"/>
  <c r="Q661" i="47"/>
  <c r="O662" i="47"/>
  <c r="Q662" i="47"/>
  <c r="O663" i="47"/>
  <c r="Q663" i="47"/>
  <c r="O664" i="47"/>
  <c r="Q664" i="47"/>
  <c r="O665" i="47"/>
  <c r="Q665" i="47"/>
  <c r="O666" i="47"/>
  <c r="Q666" i="47"/>
  <c r="O667" i="47"/>
  <c r="Q667" i="47"/>
  <c r="I668" i="47"/>
  <c r="O668" i="47"/>
  <c r="Q668" i="47"/>
  <c r="O669" i="47"/>
  <c r="Q669" i="47"/>
  <c r="O670" i="47"/>
  <c r="Q670" i="47"/>
  <c r="O671" i="47"/>
  <c r="Q671" i="47"/>
  <c r="O672" i="47"/>
  <c r="Q672" i="47"/>
  <c r="O673" i="47"/>
  <c r="Q673" i="47"/>
  <c r="O674" i="47"/>
  <c r="Q674" i="47"/>
  <c r="O675" i="47"/>
  <c r="Q675" i="47"/>
  <c r="O676" i="47"/>
  <c r="Q676" i="47"/>
  <c r="O677" i="47"/>
  <c r="Q677" i="47"/>
  <c r="O678" i="47"/>
  <c r="Q678" i="47"/>
  <c r="O679" i="47"/>
  <c r="Q679" i="47"/>
  <c r="O680" i="47"/>
  <c r="Q680" i="47"/>
  <c r="O681" i="47"/>
  <c r="Q681" i="47"/>
  <c r="O682" i="47"/>
  <c r="Q682" i="47"/>
  <c r="O683" i="47"/>
  <c r="Q683" i="47"/>
  <c r="O684" i="47"/>
  <c r="Q684" i="47"/>
  <c r="O685" i="47"/>
  <c r="Q685" i="47"/>
  <c r="O686" i="47"/>
  <c r="Q686" i="47"/>
  <c r="O687" i="47"/>
  <c r="Q687" i="47"/>
  <c r="O688" i="47"/>
  <c r="Q688" i="47"/>
  <c r="O689" i="47"/>
  <c r="Q689" i="47"/>
  <c r="O690" i="47"/>
  <c r="Q690" i="47"/>
  <c r="O691" i="47"/>
  <c r="Q691" i="47"/>
  <c r="O692" i="47"/>
  <c r="Q692" i="47"/>
  <c r="I693" i="47"/>
  <c r="O693" i="47"/>
  <c r="Q693" i="47"/>
  <c r="O694" i="47"/>
  <c r="Q694" i="47"/>
  <c r="O695" i="47"/>
  <c r="Q695" i="47"/>
  <c r="O696" i="47"/>
  <c r="Q696" i="47"/>
  <c r="O697" i="47"/>
  <c r="Q697" i="47"/>
  <c r="O698" i="47"/>
  <c r="Q698" i="47"/>
  <c r="O699" i="47"/>
  <c r="Q699" i="47"/>
  <c r="O700" i="47"/>
  <c r="Q700" i="47"/>
  <c r="O701" i="47"/>
  <c r="Q701" i="47"/>
  <c r="O702" i="47"/>
  <c r="Q702" i="47"/>
  <c r="O703" i="47"/>
  <c r="Q703" i="47"/>
  <c r="O704" i="47"/>
  <c r="Q704" i="47"/>
  <c r="O705" i="47"/>
  <c r="Q705" i="47"/>
  <c r="O706" i="47"/>
  <c r="Q706" i="47"/>
  <c r="O707" i="47"/>
  <c r="Q707" i="47"/>
  <c r="O708" i="47"/>
  <c r="Q708" i="47"/>
  <c r="O709" i="47"/>
  <c r="Q709" i="47"/>
  <c r="O710" i="47"/>
  <c r="Q710" i="47"/>
  <c r="O711" i="47"/>
  <c r="Q711" i="47"/>
  <c r="O712" i="47"/>
  <c r="Q712" i="47"/>
  <c r="O713" i="47"/>
  <c r="Q713" i="47"/>
  <c r="O714" i="47"/>
  <c r="Q714" i="47"/>
  <c r="O715" i="47"/>
  <c r="Q715" i="47"/>
  <c r="O716" i="47"/>
  <c r="Q716" i="47"/>
  <c r="O717" i="47"/>
  <c r="Q717" i="47"/>
  <c r="O718" i="47"/>
  <c r="Q718" i="47"/>
  <c r="O719" i="47"/>
  <c r="Q719" i="47"/>
  <c r="O720" i="47"/>
  <c r="Q720" i="47"/>
  <c r="O721" i="47"/>
  <c r="Q721" i="47"/>
  <c r="O722" i="47"/>
  <c r="Q722" i="47"/>
  <c r="O723" i="47"/>
  <c r="Q723" i="47"/>
  <c r="O724" i="47"/>
  <c r="Q724" i="47"/>
  <c r="O725" i="47"/>
  <c r="Q725" i="47"/>
  <c r="O726" i="47"/>
  <c r="Q726" i="47"/>
  <c r="O727" i="47"/>
  <c r="Q727" i="47"/>
  <c r="O728" i="47"/>
  <c r="Q728" i="47"/>
  <c r="O729" i="47"/>
  <c r="Q729" i="47"/>
  <c r="O730" i="47"/>
  <c r="Q730" i="47"/>
  <c r="O731" i="47"/>
  <c r="Q731" i="47"/>
  <c r="O732" i="47"/>
  <c r="Q732" i="47"/>
  <c r="O733" i="47"/>
  <c r="Q733" i="47"/>
  <c r="O734" i="47"/>
  <c r="Q734" i="47"/>
  <c r="O735" i="47"/>
  <c r="Q735" i="47"/>
  <c r="O736" i="47"/>
  <c r="Q736" i="47"/>
  <c r="O737" i="47"/>
  <c r="Q737" i="47"/>
  <c r="O738" i="47"/>
  <c r="Q738" i="47"/>
  <c r="O739" i="47"/>
  <c r="Q739" i="47"/>
  <c r="O740" i="47"/>
  <c r="Q740" i="47"/>
  <c r="O741" i="47"/>
  <c r="Q741" i="47"/>
  <c r="O742" i="47"/>
  <c r="Q742" i="47"/>
  <c r="O743" i="47"/>
  <c r="Q743" i="47"/>
  <c r="O744" i="47"/>
  <c r="Q744" i="47"/>
  <c r="O745" i="47"/>
  <c r="Q745" i="47"/>
  <c r="O746" i="47"/>
  <c r="Q746" i="47"/>
  <c r="O747" i="47"/>
  <c r="Q747" i="47"/>
  <c r="O748" i="47"/>
  <c r="Q748" i="47"/>
  <c r="O749" i="47"/>
  <c r="Q749" i="47"/>
  <c r="O750" i="47"/>
  <c r="Q750" i="47"/>
  <c r="O751" i="47"/>
  <c r="Q751" i="47"/>
  <c r="O752" i="47"/>
  <c r="Q752" i="47"/>
  <c r="O753" i="47"/>
  <c r="Q753" i="47"/>
  <c r="O754" i="47"/>
  <c r="Q754" i="47"/>
  <c r="O755" i="47"/>
  <c r="Q755" i="47"/>
  <c r="O756" i="47"/>
  <c r="Q756" i="47"/>
  <c r="O757" i="47"/>
  <c r="Q757" i="47"/>
  <c r="O758" i="47"/>
  <c r="Q758" i="47"/>
  <c r="O759" i="47"/>
  <c r="Q759" i="47"/>
  <c r="O760" i="47"/>
  <c r="Q760" i="47"/>
  <c r="O761" i="47"/>
  <c r="Q761" i="47"/>
  <c r="O762" i="47"/>
  <c r="Q762" i="47"/>
  <c r="O763" i="47"/>
  <c r="Q763" i="47"/>
  <c r="O764" i="47"/>
  <c r="Q764" i="47"/>
  <c r="O765" i="47"/>
  <c r="Q765" i="47"/>
  <c r="O766" i="47"/>
  <c r="Q766" i="47"/>
  <c r="O767" i="47"/>
  <c r="Q767" i="47"/>
  <c r="O768" i="47"/>
  <c r="Q768" i="47"/>
  <c r="O769" i="47"/>
  <c r="Q769" i="47"/>
  <c r="O770" i="47"/>
  <c r="Q770" i="47"/>
  <c r="O771" i="47"/>
  <c r="Q771" i="47"/>
  <c r="O772" i="47"/>
  <c r="Q772" i="47"/>
  <c r="O773" i="47"/>
  <c r="Q773" i="47"/>
  <c r="O774" i="47"/>
  <c r="Q774" i="47"/>
  <c r="O775" i="47"/>
  <c r="Q775" i="47"/>
  <c r="O776" i="47"/>
  <c r="Q776" i="47"/>
  <c r="O777" i="47"/>
  <c r="Q777" i="47"/>
  <c r="I778" i="47"/>
  <c r="O778" i="47"/>
  <c r="Q778" i="47"/>
  <c r="O779" i="47"/>
  <c r="Q779" i="47"/>
  <c r="O780" i="47"/>
  <c r="Q780" i="47"/>
  <c r="O781" i="47"/>
  <c r="Q781" i="47"/>
  <c r="O782" i="47"/>
  <c r="Q782" i="47"/>
  <c r="O783" i="47"/>
  <c r="Q783" i="47"/>
  <c r="O784" i="47"/>
  <c r="Q784" i="47"/>
  <c r="O785" i="47"/>
  <c r="Q785" i="47"/>
  <c r="O786" i="47"/>
  <c r="Q786" i="47"/>
  <c r="O787" i="47"/>
  <c r="Q787" i="47"/>
  <c r="O788" i="47"/>
  <c r="Q788" i="47"/>
  <c r="O789" i="47"/>
  <c r="Q789" i="47"/>
  <c r="O790" i="47"/>
  <c r="Q790" i="47"/>
  <c r="O791" i="47"/>
  <c r="Q791" i="47"/>
  <c r="O792" i="47"/>
  <c r="Q792" i="47"/>
  <c r="O793" i="47"/>
  <c r="Q793" i="47"/>
  <c r="O794" i="47"/>
  <c r="Q794" i="47"/>
  <c r="O795" i="47"/>
  <c r="Q795" i="47"/>
  <c r="O796" i="47"/>
  <c r="Q796" i="47"/>
  <c r="O797" i="47"/>
  <c r="Q797" i="47"/>
  <c r="O798" i="47"/>
  <c r="Q798" i="47"/>
  <c r="O799" i="47"/>
  <c r="Q799" i="47"/>
  <c r="O800" i="47"/>
  <c r="Q800" i="47"/>
  <c r="O801" i="47"/>
  <c r="Q801" i="47"/>
  <c r="O802" i="47"/>
  <c r="Q802" i="47"/>
  <c r="O803" i="47"/>
  <c r="Q803" i="47"/>
  <c r="O804" i="47"/>
  <c r="Q804" i="47"/>
  <c r="O805" i="47"/>
  <c r="Q805" i="47"/>
  <c r="O806" i="47"/>
  <c r="Q806" i="47"/>
  <c r="O807" i="47"/>
  <c r="Q807" i="47"/>
  <c r="O808" i="47"/>
  <c r="Q808" i="47"/>
  <c r="O809" i="47"/>
  <c r="Q809" i="47"/>
  <c r="O810" i="47"/>
  <c r="Q810" i="47"/>
  <c r="O811" i="47"/>
  <c r="Q811" i="47"/>
  <c r="O812" i="47"/>
  <c r="Q812" i="47"/>
  <c r="O813" i="47"/>
  <c r="Q813" i="47"/>
  <c r="O814" i="47"/>
  <c r="Q814" i="47"/>
  <c r="O815" i="47"/>
  <c r="Q815" i="47"/>
  <c r="O816" i="47"/>
  <c r="Q816" i="47"/>
  <c r="O817" i="47"/>
  <c r="Q817" i="47"/>
  <c r="O818" i="47"/>
  <c r="Q818" i="47"/>
  <c r="O819" i="47"/>
  <c r="Q819" i="47"/>
  <c r="O820" i="47"/>
  <c r="Q820" i="47"/>
  <c r="O821" i="47"/>
  <c r="Q821" i="47"/>
  <c r="O822" i="47"/>
  <c r="Q822" i="47"/>
  <c r="O823" i="47"/>
  <c r="Q823" i="47"/>
  <c r="O824" i="47"/>
  <c r="Q824" i="47"/>
  <c r="O825" i="47"/>
  <c r="Q825" i="47"/>
  <c r="O826" i="47"/>
  <c r="Q826" i="47"/>
  <c r="O827" i="47"/>
  <c r="Q827" i="47"/>
  <c r="O828" i="47"/>
  <c r="Q828" i="47"/>
  <c r="O829" i="47"/>
  <c r="Q829" i="47"/>
  <c r="O830" i="47"/>
  <c r="Q830" i="47"/>
  <c r="O831" i="47"/>
  <c r="Q831" i="47"/>
  <c r="O832" i="47"/>
  <c r="Q832" i="47"/>
  <c r="O833" i="47"/>
  <c r="Q833" i="47"/>
  <c r="O834" i="47"/>
  <c r="Q834" i="47"/>
  <c r="O835" i="47"/>
  <c r="Q835" i="47"/>
  <c r="O836" i="47"/>
  <c r="Q836" i="47"/>
  <c r="O837" i="47"/>
  <c r="Q837" i="47"/>
  <c r="O838" i="47"/>
  <c r="Q838" i="47"/>
  <c r="O839" i="47"/>
  <c r="Q839" i="47"/>
  <c r="O840" i="47"/>
  <c r="Q840" i="47"/>
  <c r="O841" i="47"/>
  <c r="Q841" i="47"/>
  <c r="O842" i="47"/>
  <c r="Q842" i="47"/>
  <c r="O843" i="47"/>
  <c r="Q843" i="47"/>
  <c r="O844" i="47"/>
  <c r="Q844" i="47"/>
  <c r="O845" i="47"/>
  <c r="Q845" i="47"/>
  <c r="O846" i="47"/>
  <c r="Q846" i="47"/>
  <c r="O847" i="47"/>
  <c r="Q847" i="47"/>
  <c r="O848" i="47"/>
  <c r="Q848" i="47"/>
  <c r="O849" i="47"/>
  <c r="Q849" i="47"/>
  <c r="O850" i="47"/>
  <c r="Q850" i="47"/>
  <c r="O851" i="47"/>
  <c r="Q851" i="47"/>
  <c r="O852" i="47"/>
  <c r="Q852" i="47"/>
  <c r="O853" i="47"/>
  <c r="Q853" i="47"/>
  <c r="O854" i="47"/>
  <c r="Q854" i="47"/>
  <c r="O855" i="47"/>
  <c r="Q855" i="47"/>
  <c r="O856" i="47"/>
  <c r="Q856" i="47"/>
  <c r="O857" i="47"/>
  <c r="Q857" i="47"/>
  <c r="O858" i="47"/>
  <c r="Q858" i="47"/>
  <c r="O859" i="47"/>
  <c r="Q859" i="47"/>
  <c r="O860" i="47"/>
  <c r="Q860" i="47"/>
  <c r="O861" i="47"/>
  <c r="Q861" i="47"/>
  <c r="O862" i="47"/>
  <c r="Q862" i="47"/>
  <c r="O863" i="47"/>
  <c r="Q863" i="47"/>
  <c r="O864" i="47"/>
  <c r="Q864" i="47"/>
  <c r="O865" i="47"/>
  <c r="Q865" i="47"/>
  <c r="O866" i="47"/>
  <c r="Q866" i="47"/>
  <c r="O867" i="47"/>
  <c r="Q867" i="47"/>
  <c r="O868" i="47"/>
  <c r="Q868" i="47"/>
  <c r="O869" i="47"/>
  <c r="Q869" i="47"/>
  <c r="O870" i="47"/>
  <c r="Q870" i="47"/>
  <c r="O871" i="47"/>
  <c r="Q871" i="47"/>
  <c r="O872" i="47"/>
  <c r="Q872" i="47"/>
  <c r="O873" i="47"/>
  <c r="Q873" i="47"/>
  <c r="O874" i="47"/>
  <c r="Q874" i="47"/>
  <c r="O875" i="47"/>
  <c r="Q875" i="47"/>
  <c r="O876" i="47"/>
  <c r="Q876" i="47"/>
  <c r="I877" i="47"/>
  <c r="O877" i="47"/>
  <c r="Q877" i="47"/>
  <c r="O878" i="47"/>
  <c r="Q878" i="47"/>
  <c r="O879" i="47"/>
  <c r="Q879" i="47"/>
  <c r="O880" i="47"/>
  <c r="Q880" i="47"/>
  <c r="O881" i="47"/>
  <c r="Q881" i="47"/>
  <c r="O882" i="47"/>
  <c r="Q882" i="47"/>
  <c r="O883" i="47"/>
  <c r="Q883" i="47"/>
  <c r="O884" i="47"/>
  <c r="Q884" i="47"/>
  <c r="O885" i="47"/>
  <c r="Q885" i="47"/>
  <c r="O886" i="47"/>
  <c r="Q886" i="47"/>
  <c r="O887" i="47"/>
  <c r="Q887" i="47"/>
  <c r="O888" i="47"/>
  <c r="Q888" i="47"/>
  <c r="O889" i="47"/>
  <c r="Q889" i="47"/>
  <c r="O890" i="47"/>
  <c r="Q890" i="47"/>
  <c r="O891" i="47"/>
  <c r="Q891" i="47"/>
  <c r="O892" i="47"/>
  <c r="Q892" i="47"/>
  <c r="O893" i="47"/>
  <c r="Q893" i="47"/>
  <c r="O894" i="47"/>
  <c r="Q894" i="47"/>
  <c r="O895" i="47"/>
  <c r="Q895" i="47"/>
  <c r="O896" i="47"/>
  <c r="Q896" i="47"/>
  <c r="O897" i="47"/>
  <c r="Q897" i="47"/>
  <c r="O898" i="47"/>
  <c r="Q898" i="47"/>
  <c r="O899" i="47"/>
  <c r="Q899" i="47"/>
  <c r="O900" i="47"/>
  <c r="Q900" i="47"/>
  <c r="O901" i="47"/>
  <c r="Q901" i="47"/>
  <c r="O902" i="47"/>
  <c r="Q902" i="47"/>
  <c r="O903" i="47"/>
  <c r="Q903" i="47"/>
  <c r="O904" i="47"/>
  <c r="Q904" i="47"/>
  <c r="O905" i="47"/>
  <c r="Q905" i="47"/>
  <c r="O906" i="47"/>
  <c r="Q906" i="47"/>
  <c r="O907" i="47"/>
  <c r="Q907" i="47"/>
  <c r="O908" i="47"/>
  <c r="Q908" i="47"/>
  <c r="O909" i="47"/>
  <c r="Q909" i="47"/>
  <c r="O910" i="47"/>
  <c r="Q910" i="47"/>
  <c r="O911" i="47"/>
  <c r="Q911" i="47"/>
  <c r="O912" i="47"/>
  <c r="Q912" i="47"/>
  <c r="O913" i="47"/>
  <c r="Q913" i="47"/>
  <c r="O914" i="47"/>
  <c r="Q914" i="47"/>
  <c r="O915" i="47"/>
  <c r="Q915" i="47"/>
  <c r="O916" i="47"/>
  <c r="Q916" i="47"/>
  <c r="O917" i="47"/>
  <c r="Q917" i="47"/>
  <c r="O918" i="47"/>
  <c r="Q918" i="47"/>
  <c r="O919" i="47"/>
  <c r="Q919" i="47"/>
  <c r="O920" i="47"/>
  <c r="Q920" i="47"/>
  <c r="O921" i="47"/>
  <c r="Q921" i="47"/>
  <c r="O922" i="47"/>
  <c r="Q922" i="47"/>
  <c r="O923" i="47"/>
  <c r="Q923" i="47"/>
  <c r="O924" i="47"/>
  <c r="Q924" i="47"/>
  <c r="O925" i="47"/>
  <c r="Q925" i="47"/>
  <c r="O926" i="47"/>
  <c r="Q926" i="47"/>
  <c r="O927" i="47"/>
  <c r="Q927" i="47"/>
  <c r="O928" i="47"/>
  <c r="Q928" i="47"/>
  <c r="O929" i="47"/>
  <c r="Q929" i="47"/>
  <c r="O930" i="47"/>
  <c r="Q930" i="47"/>
  <c r="O931" i="47"/>
  <c r="Q931" i="47"/>
  <c r="O932" i="47"/>
  <c r="Q932" i="47"/>
  <c r="O933" i="47"/>
  <c r="Q933" i="47"/>
  <c r="O934" i="47"/>
  <c r="Q934" i="47"/>
  <c r="O935" i="47"/>
  <c r="Q935" i="47"/>
  <c r="O936" i="47"/>
  <c r="Q936" i="47"/>
  <c r="O937" i="47"/>
  <c r="Q937" i="47"/>
  <c r="O938" i="47"/>
  <c r="Q938" i="47"/>
  <c r="O939" i="47"/>
  <c r="Q939" i="47"/>
  <c r="O940" i="47"/>
  <c r="Q940" i="47"/>
  <c r="O941" i="47"/>
  <c r="Q941" i="47"/>
  <c r="O942" i="47"/>
  <c r="Q942" i="47"/>
  <c r="O943" i="47"/>
  <c r="Q943" i="47"/>
  <c r="O944" i="47"/>
  <c r="Q944" i="47"/>
  <c r="O945" i="47"/>
  <c r="Q945" i="47"/>
  <c r="O946" i="47"/>
  <c r="Q946" i="47"/>
  <c r="O947" i="47"/>
  <c r="Q947" i="47"/>
  <c r="O948" i="47"/>
  <c r="Q948" i="47"/>
  <c r="O949" i="47"/>
  <c r="Q949" i="47"/>
  <c r="O950" i="47"/>
  <c r="Q950" i="47"/>
  <c r="O951" i="47"/>
  <c r="Q951" i="47"/>
  <c r="O952" i="47"/>
  <c r="Q952" i="47"/>
  <c r="O953" i="47"/>
  <c r="Q953" i="47"/>
  <c r="O954" i="47"/>
  <c r="Q954" i="47"/>
  <c r="O955" i="47"/>
  <c r="Q955" i="47"/>
  <c r="O956" i="47"/>
  <c r="Q956" i="47"/>
  <c r="I957" i="47"/>
  <c r="O957" i="47"/>
  <c r="Q957" i="47"/>
  <c r="O958" i="47"/>
  <c r="Q958" i="47"/>
  <c r="O959" i="47"/>
  <c r="Q959" i="47"/>
  <c r="O960" i="47"/>
  <c r="Q960" i="47"/>
  <c r="O961" i="47"/>
  <c r="Q961" i="47"/>
  <c r="O962" i="47"/>
  <c r="Q962" i="47"/>
  <c r="O963" i="47"/>
  <c r="Q963" i="47"/>
  <c r="O964" i="47"/>
  <c r="Q964" i="47"/>
  <c r="O965" i="47"/>
  <c r="Q965" i="47"/>
  <c r="O966" i="47"/>
  <c r="Q966" i="47"/>
  <c r="O967" i="47"/>
  <c r="Q967" i="47"/>
  <c r="O968" i="47"/>
  <c r="Q968" i="47"/>
  <c r="O969" i="47"/>
  <c r="Q969" i="47"/>
  <c r="O970" i="47"/>
  <c r="Q970" i="47"/>
  <c r="O971" i="47"/>
  <c r="Q971" i="47"/>
  <c r="O972" i="47"/>
  <c r="Q972" i="47"/>
  <c r="O973" i="47"/>
  <c r="Q973" i="47"/>
  <c r="O974" i="47"/>
  <c r="Q974" i="47"/>
  <c r="O975" i="47"/>
  <c r="Q975" i="47"/>
  <c r="O976" i="47"/>
  <c r="Q976" i="47"/>
  <c r="O977" i="47"/>
  <c r="Q977" i="47"/>
  <c r="O978" i="47"/>
  <c r="Q978" i="47"/>
  <c r="O979" i="47"/>
  <c r="Q979" i="47"/>
  <c r="O980" i="47"/>
  <c r="Q980" i="47"/>
  <c r="O981" i="47"/>
  <c r="Q981" i="47"/>
  <c r="O982" i="47"/>
  <c r="Q982" i="47"/>
  <c r="Q983" i="47"/>
  <c r="Q984" i="47"/>
  <c r="O985" i="47"/>
  <c r="Q985" i="47"/>
  <c r="O986" i="47"/>
  <c r="Q986" i="47"/>
  <c r="O987" i="47"/>
  <c r="Q987" i="47"/>
  <c r="O988" i="47"/>
  <c r="Q988" i="47"/>
  <c r="O989" i="47"/>
  <c r="Q989" i="47"/>
  <c r="O990" i="47"/>
  <c r="Q990" i="47"/>
  <c r="O991" i="47"/>
  <c r="Q991" i="47"/>
  <c r="O992" i="47"/>
  <c r="Q992" i="47"/>
  <c r="O993" i="47"/>
  <c r="Q993" i="47"/>
  <c r="O994" i="47"/>
  <c r="Q994" i="47"/>
  <c r="O995" i="47"/>
  <c r="Q995" i="47"/>
  <c r="O996" i="47"/>
  <c r="Q996" i="47"/>
  <c r="O997" i="47"/>
  <c r="Q997" i="47"/>
  <c r="O998" i="47"/>
  <c r="Q998" i="47"/>
  <c r="O999" i="47"/>
  <c r="Q999" i="47"/>
  <c r="O1000" i="47"/>
  <c r="Q1000" i="47"/>
  <c r="O1001" i="47"/>
  <c r="Q1001" i="47"/>
  <c r="O1002" i="47"/>
  <c r="Q1002" i="47"/>
  <c r="O1003" i="47"/>
  <c r="Q1003" i="47"/>
  <c r="O1004" i="47"/>
  <c r="Q1004" i="47"/>
  <c r="O1005" i="47"/>
  <c r="Q1005" i="47"/>
  <c r="O1006" i="47"/>
  <c r="Q1006" i="47"/>
  <c r="O1007" i="47"/>
  <c r="Q1007" i="47"/>
  <c r="O1008" i="47"/>
  <c r="Q1008" i="47"/>
  <c r="O1009" i="47"/>
  <c r="Q1009" i="47"/>
  <c r="O1010" i="47"/>
  <c r="Q1010" i="47"/>
  <c r="O1011" i="47"/>
  <c r="Q1011" i="47"/>
  <c r="O1012" i="47"/>
  <c r="Q1012" i="47"/>
  <c r="O1013" i="47"/>
  <c r="Q1013" i="47"/>
  <c r="O1014" i="47"/>
  <c r="Q1014" i="47"/>
  <c r="O1015" i="47"/>
  <c r="Q1015" i="47"/>
  <c r="O1016" i="47"/>
  <c r="Q1016" i="47"/>
  <c r="O1017" i="47"/>
  <c r="Q1017" i="47"/>
  <c r="O1018" i="47"/>
  <c r="Q1018" i="47"/>
  <c r="O1019" i="47"/>
  <c r="Q1019" i="47"/>
  <c r="O1020" i="47"/>
  <c r="Q1020" i="47"/>
  <c r="O1021" i="47"/>
  <c r="Q1021" i="47"/>
  <c r="O1022" i="47"/>
  <c r="Q1022" i="47"/>
  <c r="O1023" i="47"/>
  <c r="Q1023" i="47"/>
  <c r="O1024" i="47"/>
  <c r="Q1024" i="47"/>
  <c r="O1025" i="47"/>
  <c r="Q1025" i="47"/>
  <c r="O1026" i="47"/>
  <c r="Q1026" i="47"/>
  <c r="O1027" i="47"/>
  <c r="Q1027" i="47"/>
  <c r="O1028" i="47"/>
  <c r="Q1028" i="47"/>
  <c r="O1029" i="47"/>
  <c r="Q1029" i="47"/>
  <c r="O1030" i="47"/>
  <c r="Q1030" i="47"/>
  <c r="O1031" i="47"/>
  <c r="Q1031" i="47"/>
  <c r="O1032" i="47"/>
  <c r="Q1032" i="47"/>
  <c r="O1033" i="47"/>
  <c r="Q1033" i="47"/>
  <c r="O1034" i="47"/>
  <c r="Q1034" i="47"/>
  <c r="O1035" i="47"/>
  <c r="Q1035" i="47"/>
  <c r="O1036" i="47"/>
  <c r="Q1036" i="47"/>
  <c r="O1037" i="47"/>
  <c r="Q1037" i="47"/>
  <c r="O1038" i="47"/>
  <c r="Q1038" i="47"/>
  <c r="O1039" i="47"/>
  <c r="Q1039" i="47"/>
  <c r="O1040" i="47"/>
  <c r="Q1040" i="47"/>
  <c r="O1041" i="47"/>
  <c r="Q1041" i="47"/>
  <c r="O1042" i="47"/>
  <c r="Q1042" i="47"/>
  <c r="O1043" i="47"/>
  <c r="Q1043" i="47"/>
  <c r="O1044" i="47"/>
  <c r="Q1044" i="47"/>
  <c r="O1045" i="47"/>
  <c r="Q1045" i="47"/>
  <c r="O1046" i="47"/>
  <c r="Q1046" i="47"/>
  <c r="O1047" i="47"/>
  <c r="Q1047" i="47"/>
  <c r="O1048" i="47"/>
  <c r="Q1048" i="47"/>
  <c r="O1049" i="47"/>
  <c r="Q1049" i="47"/>
  <c r="O1050" i="47"/>
  <c r="Q1050" i="47"/>
  <c r="O1051" i="47"/>
  <c r="Q1051" i="47"/>
  <c r="O1052" i="47"/>
  <c r="Q1052" i="47"/>
  <c r="O1053" i="47"/>
  <c r="Q1053" i="47"/>
  <c r="O1054" i="47"/>
  <c r="Q1054" i="47"/>
  <c r="O1055" i="47"/>
  <c r="Q1055" i="47"/>
  <c r="I1057" i="47"/>
  <c r="O1057" i="47"/>
  <c r="Q1057" i="47"/>
  <c r="I1058" i="47"/>
  <c r="O1058" i="47"/>
  <c r="Q1058" i="47"/>
  <c r="I1060" i="47"/>
  <c r="O1060" i="47"/>
  <c r="Q1060" i="47"/>
  <c r="I1061" i="47"/>
  <c r="O1061" i="47"/>
  <c r="Q1061" i="47"/>
  <c r="I1062" i="47"/>
  <c r="O1062" i="47"/>
  <c r="Q1062" i="47"/>
  <c r="I1063" i="47"/>
  <c r="O1063" i="47"/>
  <c r="Q1063" i="47"/>
  <c r="I1064" i="47"/>
  <c r="O1064" i="47"/>
  <c r="Q1064" i="47"/>
  <c r="I1065" i="47"/>
  <c r="O1065" i="47"/>
  <c r="Q1065" i="47"/>
  <c r="I1066" i="47"/>
  <c r="O1066" i="47"/>
  <c r="Q1066" i="47"/>
  <c r="I1067" i="47"/>
  <c r="O1067" i="47"/>
  <c r="Q1067" i="47"/>
  <c r="I1068" i="47"/>
  <c r="O1068" i="47"/>
  <c r="Q1068" i="47"/>
  <c r="I1069" i="47"/>
  <c r="O1069" i="47"/>
  <c r="Q1069" i="47"/>
  <c r="I1070" i="47"/>
  <c r="O1070" i="47"/>
  <c r="Q1070" i="47"/>
  <c r="I1071" i="47"/>
  <c r="O1071" i="47"/>
  <c r="Q1071" i="47"/>
  <c r="I1072" i="47"/>
  <c r="O1072" i="47"/>
  <c r="Q1072" i="47"/>
  <c r="I1073" i="47"/>
  <c r="O1073" i="47"/>
  <c r="Q1073" i="47"/>
  <c r="I1074" i="47"/>
  <c r="O1074" i="47"/>
  <c r="Q1074" i="47"/>
  <c r="I1075" i="47"/>
  <c r="O1075" i="47"/>
  <c r="Q1075" i="47"/>
  <c r="I1076" i="47"/>
  <c r="O1076" i="47"/>
  <c r="Q1076" i="47"/>
  <c r="I1077" i="47"/>
  <c r="O1077" i="47"/>
  <c r="Q1077" i="47"/>
  <c r="I1078" i="47"/>
  <c r="O1078" i="47"/>
  <c r="Q1078" i="47"/>
  <c r="I1079" i="47"/>
  <c r="O1079" i="47"/>
  <c r="Q1079" i="47"/>
  <c r="I1080" i="47"/>
  <c r="O1080" i="47"/>
  <c r="Q1080" i="47"/>
  <c r="I1081" i="47"/>
  <c r="O1081" i="47"/>
  <c r="Q1081" i="47"/>
  <c r="I1082" i="47"/>
  <c r="O1082" i="47"/>
  <c r="Q1082" i="47"/>
  <c r="I1083" i="47"/>
  <c r="O1083" i="47"/>
  <c r="Q1083" i="47"/>
  <c r="I1084" i="47"/>
  <c r="O1084" i="47"/>
  <c r="Q1084" i="47"/>
  <c r="I1085" i="47"/>
  <c r="O1085" i="47"/>
  <c r="Q1085" i="47"/>
  <c r="I1086" i="47"/>
  <c r="O1086" i="47"/>
  <c r="Q1086" i="47"/>
  <c r="I1087" i="47"/>
  <c r="O1087" i="47"/>
  <c r="Q1087" i="47"/>
  <c r="I1088" i="47"/>
  <c r="O1088" i="47"/>
  <c r="Q1088" i="47"/>
  <c r="I1089" i="47"/>
  <c r="O1089" i="47"/>
  <c r="Q1089" i="47"/>
  <c r="I1090" i="47"/>
  <c r="O1090" i="47"/>
  <c r="Q1090" i="47"/>
  <c r="G1091" i="47"/>
  <c r="I1091" i="47" s="1"/>
  <c r="O1091" i="47"/>
  <c r="Q1091" i="47"/>
  <c r="I1092" i="47"/>
  <c r="O1092" i="47"/>
  <c r="Q1092" i="47"/>
  <c r="I1093" i="47"/>
  <c r="O1093" i="47"/>
  <c r="Q1093" i="47"/>
  <c r="I1094" i="47"/>
  <c r="O1094" i="47"/>
  <c r="Q1094" i="47"/>
  <c r="I1095" i="47"/>
  <c r="O1095" i="47"/>
  <c r="Q1095" i="47"/>
  <c r="I1096" i="47"/>
  <c r="O1096" i="47"/>
  <c r="Q1096" i="47"/>
  <c r="I1097" i="47"/>
  <c r="O1097" i="47"/>
  <c r="Q1097" i="47"/>
  <c r="I1098" i="47"/>
  <c r="O1098" i="47"/>
  <c r="Q1098" i="47"/>
  <c r="I1099" i="47"/>
  <c r="O1099" i="47"/>
  <c r="Q1099" i="47"/>
  <c r="I1100" i="47"/>
  <c r="O1100" i="47"/>
  <c r="Q1100" i="47"/>
  <c r="I1101" i="47"/>
  <c r="O1101" i="47"/>
  <c r="Q1101" i="47"/>
  <c r="I1102" i="47"/>
  <c r="O1102" i="47"/>
  <c r="Q1102" i="47"/>
  <c r="I1103" i="47"/>
  <c r="O1103" i="47"/>
  <c r="Q1103" i="47"/>
  <c r="I1104" i="47"/>
  <c r="O1104" i="47"/>
  <c r="Q1104" i="47"/>
  <c r="I1105" i="47"/>
  <c r="O1105" i="47"/>
  <c r="Q1105" i="47"/>
  <c r="I1106" i="47"/>
  <c r="O1106" i="47"/>
  <c r="Q1106" i="47"/>
  <c r="I1107" i="47"/>
  <c r="O1107" i="47"/>
  <c r="Q1107" i="47"/>
  <c r="I1108" i="47"/>
  <c r="O1108" i="47"/>
  <c r="Q1108" i="47"/>
  <c r="I1109" i="47"/>
  <c r="O1109" i="47"/>
  <c r="Q1109" i="47"/>
  <c r="I1110" i="47"/>
  <c r="O1110" i="47"/>
  <c r="Q1110" i="47"/>
  <c r="I1111" i="47"/>
  <c r="O1111" i="47"/>
  <c r="Q1111" i="47"/>
  <c r="I1112" i="47"/>
  <c r="O1112" i="47"/>
  <c r="Q1112" i="47"/>
  <c r="I1113" i="47"/>
  <c r="O1113" i="47"/>
  <c r="Q1113" i="47"/>
  <c r="I1114" i="47"/>
  <c r="O1114" i="47"/>
  <c r="Q1114" i="47"/>
  <c r="I1144" i="47"/>
  <c r="H1145" i="47"/>
  <c r="I1145" i="47" s="1"/>
  <c r="I1184" i="47"/>
  <c r="I1224" i="47"/>
  <c r="I1264" i="47"/>
  <c r="O1265" i="47"/>
  <c r="Q1265" i="47"/>
  <c r="I1305" i="47"/>
  <c r="O1309" i="47"/>
  <c r="Q1309" i="47"/>
  <c r="O1310" i="47"/>
  <c r="Q1310" i="47"/>
  <c r="O1311" i="47"/>
  <c r="Q1311" i="47"/>
  <c r="I1348" i="47"/>
  <c r="O1354" i="47"/>
  <c r="Q1354" i="47"/>
  <c r="O1355" i="47"/>
  <c r="Q1355" i="47"/>
  <c r="O1356" i="47"/>
  <c r="Q1356" i="47"/>
  <c r="I1363" i="47"/>
  <c r="O1397" i="47"/>
  <c r="Q1397" i="47"/>
  <c r="O1398" i="47"/>
  <c r="Q1398" i="47"/>
  <c r="O1399" i="47"/>
  <c r="Q1399" i="47"/>
  <c r="I1400" i="47"/>
  <c r="O1400" i="47"/>
  <c r="Q1400" i="47"/>
  <c r="I1401" i="47"/>
  <c r="O1401" i="47"/>
  <c r="Q1401" i="47"/>
  <c r="I1402" i="47"/>
  <c r="O1402" i="47"/>
  <c r="Q1402" i="47"/>
  <c r="I1403" i="47"/>
  <c r="O1403" i="47"/>
  <c r="Q1403" i="47"/>
  <c r="I1404" i="47"/>
  <c r="O1404" i="47"/>
  <c r="Q1404" i="47"/>
  <c r="I1405" i="47"/>
  <c r="O1405" i="47"/>
  <c r="Q1405" i="47"/>
  <c r="I1406" i="47"/>
  <c r="O1406" i="47"/>
  <c r="Q1406" i="47"/>
  <c r="I1407" i="47"/>
  <c r="O1407" i="47"/>
  <c r="Q1407" i="47"/>
  <c r="I1408" i="47"/>
  <c r="O1408" i="47"/>
  <c r="Q1408" i="47"/>
  <c r="I1409" i="47"/>
  <c r="O1409" i="47"/>
  <c r="Q1409" i="47"/>
  <c r="I1410" i="47"/>
  <c r="O1410" i="47"/>
  <c r="Q1410" i="47"/>
  <c r="I1411" i="47"/>
  <c r="O1411" i="47"/>
  <c r="Q1411" i="47"/>
  <c r="I1412" i="47"/>
  <c r="O1412" i="47"/>
  <c r="Q1412" i="47"/>
  <c r="I1413" i="47"/>
  <c r="O1413" i="47"/>
  <c r="Q1413" i="47"/>
  <c r="I1414" i="47"/>
  <c r="O1414" i="47"/>
  <c r="Q1414" i="47"/>
  <c r="I1415" i="47"/>
  <c r="O1415" i="47"/>
  <c r="Q1415" i="47"/>
  <c r="I1416" i="47"/>
  <c r="O1416" i="47"/>
  <c r="Q1416" i="47"/>
  <c r="I1417" i="47"/>
  <c r="O1417" i="47"/>
  <c r="Q1417" i="47"/>
  <c r="I1418" i="47"/>
  <c r="O1418" i="47"/>
  <c r="Q1418" i="47"/>
  <c r="I1419" i="47"/>
  <c r="O1419" i="47"/>
  <c r="Q1419" i="47"/>
  <c r="I1420" i="47"/>
  <c r="O1420" i="47"/>
  <c r="Q1420" i="47"/>
  <c r="I1421" i="47"/>
  <c r="O1421" i="47"/>
  <c r="Q1421" i="47"/>
  <c r="I1422" i="47"/>
  <c r="O1422" i="47"/>
  <c r="Q1422" i="47"/>
  <c r="I1423" i="47"/>
  <c r="O1423" i="47"/>
  <c r="Q1423" i="47"/>
  <c r="I1424" i="47"/>
  <c r="O1424" i="47"/>
  <c r="Q1424" i="47"/>
  <c r="I1425" i="47"/>
  <c r="O1425" i="47"/>
  <c r="Q1425" i="47"/>
  <c r="I1426" i="47"/>
  <c r="O1426" i="47"/>
  <c r="Q1426" i="47"/>
  <c r="I1427" i="47"/>
  <c r="O1427" i="47"/>
  <c r="Q1427" i="47"/>
  <c r="I1428" i="47"/>
  <c r="O1428" i="47"/>
  <c r="Q1428" i="47"/>
  <c r="I1429" i="47"/>
  <c r="O1429" i="47"/>
  <c r="Q1429" i="47"/>
  <c r="I1430" i="47"/>
  <c r="O1430" i="47"/>
  <c r="Q1430" i="47"/>
  <c r="I1431" i="47"/>
  <c r="O1431" i="47"/>
  <c r="Q1431" i="47"/>
  <c r="I1432" i="47"/>
  <c r="O1432" i="47"/>
  <c r="Q1432" i="47"/>
  <c r="I1433" i="47"/>
  <c r="O1433" i="47"/>
  <c r="Q1433" i="47"/>
  <c r="I1434" i="47"/>
  <c r="O1434" i="47"/>
  <c r="Q1434" i="47"/>
  <c r="I1435" i="47"/>
  <c r="O1435" i="47"/>
  <c r="Q1435" i="47"/>
  <c r="I1436" i="47"/>
  <c r="O1436" i="47"/>
  <c r="Q1436" i="47"/>
  <c r="I1437" i="47"/>
  <c r="O1437" i="47"/>
  <c r="Q1437" i="47"/>
  <c r="I1438" i="47"/>
  <c r="O1438" i="47"/>
  <c r="Q1438" i="47"/>
  <c r="I1439" i="47"/>
  <c r="O1439" i="47"/>
  <c r="Q1439" i="47"/>
  <c r="I1440" i="47"/>
  <c r="O1440" i="47"/>
  <c r="Q1440" i="47"/>
  <c r="I1441" i="47"/>
  <c r="O1441" i="47"/>
  <c r="Q1441" i="47"/>
  <c r="I1442" i="47"/>
  <c r="I1443" i="47"/>
  <c r="O1443" i="47"/>
  <c r="Q1443" i="47"/>
  <c r="I1444" i="47"/>
  <c r="O1444" i="47"/>
  <c r="Q1444" i="47"/>
  <c r="I1445" i="47"/>
  <c r="O1445" i="47"/>
  <c r="Q1445" i="47"/>
  <c r="I1446" i="47"/>
  <c r="O1446" i="47"/>
  <c r="Q1446" i="47"/>
  <c r="I1447" i="47"/>
  <c r="O1447" i="47"/>
  <c r="Q1447" i="47"/>
  <c r="I1448" i="47"/>
  <c r="O1448" i="47"/>
  <c r="Q1448" i="47"/>
  <c r="I1449" i="47"/>
  <c r="I1450" i="47"/>
  <c r="O1450" i="47"/>
  <c r="Q1450" i="47"/>
  <c r="I1451" i="47"/>
  <c r="O1451" i="47"/>
  <c r="Q1451" i="47"/>
  <c r="I1452" i="47"/>
  <c r="O1452" i="47"/>
  <c r="Q1452" i="47"/>
  <c r="I1453" i="47"/>
  <c r="O1453" i="47"/>
  <c r="Q1453" i="47"/>
  <c r="I1454" i="47"/>
  <c r="O1454" i="47"/>
  <c r="Q1454" i="47"/>
  <c r="I1455" i="47"/>
  <c r="O1455" i="47"/>
  <c r="Q1455" i="47"/>
  <c r="I1456" i="47"/>
  <c r="O1456" i="47"/>
  <c r="Q1456" i="47"/>
  <c r="I1457" i="47"/>
  <c r="O1457" i="47"/>
  <c r="Q1457" i="47"/>
  <c r="I1458" i="47"/>
  <c r="O1458" i="47"/>
  <c r="Q1458" i="47"/>
  <c r="I1459" i="47"/>
  <c r="O1459" i="47"/>
  <c r="Q1459" i="47"/>
  <c r="I1460" i="47"/>
  <c r="O1460" i="47"/>
  <c r="Q1460" i="47"/>
  <c r="I1461" i="47"/>
  <c r="O1461" i="47"/>
  <c r="Q1461" i="47"/>
  <c r="I1462" i="47"/>
  <c r="O1462" i="47"/>
  <c r="Q1462" i="47"/>
  <c r="I1463" i="47"/>
  <c r="O1463" i="47"/>
  <c r="Q1463" i="47"/>
  <c r="I1464" i="47"/>
  <c r="O1464" i="47"/>
  <c r="Q1464" i="47"/>
  <c r="I1465" i="47"/>
  <c r="O1465" i="47"/>
  <c r="Q1465" i="47"/>
  <c r="I1466" i="47"/>
  <c r="O1466" i="47"/>
  <c r="Q1466" i="47"/>
  <c r="I1467" i="47"/>
  <c r="O1467" i="47"/>
  <c r="Q1467" i="47"/>
  <c r="I1468" i="47"/>
  <c r="O1468" i="47"/>
  <c r="Q1468" i="47"/>
  <c r="J101" i="46" l="1"/>
  <c r="J100" i="46"/>
  <c r="J99" i="46"/>
  <c r="J98" i="46"/>
  <c r="J97" i="46"/>
  <c r="J96" i="46"/>
  <c r="J95" i="46"/>
  <c r="J94" i="46"/>
  <c r="J93" i="46"/>
  <c r="J92" i="46"/>
  <c r="J91" i="46"/>
  <c r="J90" i="46"/>
  <c r="J89" i="46"/>
  <c r="J88" i="46"/>
  <c r="J87" i="46"/>
  <c r="K87" i="46" s="1"/>
  <c r="J86" i="46"/>
  <c r="K86" i="46" s="1"/>
  <c r="J85" i="46"/>
  <c r="K85" i="46" s="1"/>
  <c r="J84" i="46"/>
  <c r="K84" i="46" s="1"/>
  <c r="J83" i="46"/>
  <c r="K83" i="46" s="1"/>
  <c r="J82" i="46"/>
  <c r="K82" i="46" s="1"/>
  <c r="J81" i="46"/>
  <c r="K81" i="46" s="1"/>
  <c r="J80" i="46"/>
  <c r="K80" i="46" s="1"/>
  <c r="J79" i="46"/>
  <c r="K79" i="46" s="1"/>
  <c r="J78" i="46"/>
  <c r="K78" i="46" s="1"/>
  <c r="J77" i="46"/>
  <c r="K77" i="46" s="1"/>
  <c r="J76" i="46"/>
  <c r="K76" i="46" s="1"/>
  <c r="J75" i="46"/>
  <c r="K75" i="46" s="1"/>
  <c r="J74" i="46"/>
  <c r="K74" i="46" s="1"/>
  <c r="J73" i="46"/>
  <c r="K73" i="46" s="1"/>
  <c r="J72" i="46"/>
  <c r="K72" i="46" s="1"/>
  <c r="J71" i="46"/>
  <c r="K71" i="46" s="1"/>
  <c r="J70" i="46"/>
  <c r="K70" i="46" s="1"/>
  <c r="J69" i="46"/>
  <c r="K69" i="46" s="1"/>
  <c r="J68" i="46"/>
  <c r="K68" i="46" s="1"/>
  <c r="J67" i="46"/>
  <c r="K67" i="46" s="1"/>
  <c r="J66" i="46"/>
  <c r="K66" i="46" s="1"/>
  <c r="J65" i="46"/>
  <c r="K65" i="46" s="1"/>
  <c r="J64" i="46"/>
  <c r="K64" i="46" s="1"/>
  <c r="J63" i="46"/>
  <c r="K63" i="46" s="1"/>
  <c r="J62" i="46"/>
  <c r="K62" i="46" s="1"/>
  <c r="J61" i="46"/>
  <c r="K61" i="46" s="1"/>
  <c r="J60" i="46"/>
  <c r="K60" i="46" s="1"/>
  <c r="J59" i="46"/>
  <c r="K59" i="46" s="1"/>
  <c r="J58" i="46"/>
  <c r="K58" i="46" s="1"/>
  <c r="J57" i="46"/>
  <c r="K57" i="46" s="1"/>
  <c r="J56" i="46"/>
  <c r="K56" i="46" s="1"/>
  <c r="J55" i="46"/>
  <c r="K55" i="46" s="1"/>
  <c r="J54" i="46"/>
  <c r="K54" i="46" s="1"/>
  <c r="J53" i="46"/>
  <c r="K53" i="46" s="1"/>
  <c r="J51" i="46"/>
  <c r="K51" i="46" s="1"/>
  <c r="J50" i="46"/>
  <c r="J49" i="46"/>
  <c r="K49" i="46" s="1"/>
  <c r="J48" i="46"/>
  <c r="K48" i="46" s="1"/>
  <c r="J46" i="46"/>
  <c r="K46" i="46" s="1"/>
  <c r="J45" i="46"/>
  <c r="K45" i="46" s="1"/>
  <c r="J44" i="46"/>
  <c r="K44" i="46" s="1"/>
  <c r="J43" i="46"/>
  <c r="K43" i="46" s="1"/>
  <c r="J42" i="46"/>
  <c r="K42" i="46" s="1"/>
  <c r="J41" i="46"/>
  <c r="K41" i="46" s="1"/>
  <c r="J40" i="46"/>
  <c r="K40" i="46" s="1"/>
  <c r="J39" i="46"/>
  <c r="K39" i="46" s="1"/>
  <c r="J38" i="46"/>
  <c r="K38" i="46" s="1"/>
  <c r="J37" i="46"/>
  <c r="K37" i="46" s="1"/>
  <c r="J36" i="46"/>
  <c r="K36" i="46" s="1"/>
  <c r="J35" i="46"/>
  <c r="K35" i="46" s="1"/>
  <c r="J34" i="46"/>
  <c r="J33" i="46"/>
  <c r="K33" i="46" s="1"/>
  <c r="J32" i="46"/>
  <c r="K32" i="46" s="1"/>
  <c r="J31" i="46"/>
  <c r="K31" i="46" s="1"/>
  <c r="J30" i="46"/>
  <c r="K30" i="46" s="1"/>
  <c r="J29" i="46"/>
  <c r="K29" i="46" s="1"/>
  <c r="J28" i="46"/>
  <c r="K28" i="46" s="1"/>
  <c r="J27" i="46"/>
  <c r="K27" i="46" s="1"/>
  <c r="J26" i="46"/>
  <c r="K26" i="46" s="1"/>
  <c r="J25" i="46"/>
  <c r="K25" i="46" s="1"/>
  <c r="J24" i="46"/>
  <c r="K24" i="46" s="1"/>
  <c r="J23" i="46"/>
  <c r="K23" i="46" s="1"/>
  <c r="J22" i="46"/>
  <c r="K22" i="46" s="1"/>
  <c r="J21" i="46"/>
  <c r="K21" i="46" s="1"/>
  <c r="J20" i="46"/>
  <c r="K20" i="46" s="1"/>
  <c r="J19" i="46"/>
  <c r="K19" i="46" s="1"/>
  <c r="J18" i="46"/>
  <c r="K18" i="46" s="1"/>
  <c r="J17" i="46"/>
  <c r="K17" i="46" s="1"/>
  <c r="J16" i="46"/>
  <c r="K16" i="46" s="1"/>
  <c r="J15" i="46"/>
  <c r="K15" i="46" s="1"/>
  <c r="J14" i="46"/>
  <c r="K14" i="46" s="1"/>
  <c r="J13" i="46"/>
  <c r="K13" i="46" s="1"/>
  <c r="J12" i="46"/>
  <c r="K12" i="46" s="1"/>
  <c r="J11" i="46"/>
  <c r="K11" i="46" s="1"/>
  <c r="J10" i="46"/>
  <c r="K10" i="46" s="1"/>
  <c r="J9" i="46"/>
  <c r="K9" i="46" s="1"/>
  <c r="J8" i="46"/>
  <c r="K8" i="46" s="1"/>
  <c r="J7" i="46"/>
  <c r="K7" i="46" s="1"/>
  <c r="J6" i="46"/>
  <c r="K6" i="46" s="1"/>
  <c r="J5" i="46"/>
  <c r="K5" i="46" s="1"/>
  <c r="J4" i="46"/>
  <c r="K4" i="46" s="1"/>
  <c r="J3" i="46"/>
  <c r="K51" i="29"/>
  <c r="J51" i="29"/>
  <c r="J50" i="29"/>
  <c r="J49" i="29"/>
  <c r="K49" i="29" s="1"/>
  <c r="J48" i="29"/>
  <c r="K48" i="29" s="1"/>
  <c r="K3" i="46" l="1"/>
  <c r="E47" i="41" l="1"/>
  <c r="Q439" i="1"/>
  <c r="O439" i="1"/>
  <c r="I439" i="1"/>
  <c r="J439" i="1" s="1"/>
  <c r="Q438" i="1"/>
  <c r="O438" i="1"/>
  <c r="I438" i="1"/>
  <c r="J438" i="1" s="1"/>
  <c r="Q437" i="1"/>
  <c r="O437" i="1"/>
  <c r="I437" i="1"/>
  <c r="J437" i="1" s="1"/>
  <c r="O436" i="1"/>
  <c r="Q434" i="1"/>
  <c r="O434" i="1"/>
  <c r="Q433" i="1"/>
  <c r="O433" i="1"/>
  <c r="I433" i="1"/>
  <c r="J433" i="1" s="1"/>
  <c r="Q431" i="1"/>
  <c r="O431" i="1"/>
  <c r="I434" i="1"/>
  <c r="I432" i="1"/>
  <c r="I431" i="1"/>
  <c r="Q432" i="1"/>
  <c r="O432" i="1"/>
  <c r="I29" i="16"/>
  <c r="J70" i="2"/>
  <c r="Q70" i="2"/>
  <c r="O70" i="2"/>
  <c r="J69" i="2"/>
  <c r="I430" i="1"/>
  <c r="I429" i="1"/>
  <c r="I428" i="1"/>
  <c r="Q440" i="1"/>
  <c r="O440" i="1"/>
  <c r="I440" i="1"/>
  <c r="Q436" i="1"/>
  <c r="I436" i="1"/>
  <c r="Q435" i="1"/>
  <c r="O435" i="1"/>
  <c r="I435" i="1"/>
  <c r="Q430" i="1"/>
  <c r="Q429" i="1"/>
  <c r="Q428" i="1"/>
  <c r="O441" i="1"/>
  <c r="O430" i="1"/>
  <c r="O429" i="1"/>
  <c r="O428" i="1"/>
  <c r="I42" i="8"/>
  <c r="Q38" i="8"/>
  <c r="O38" i="8"/>
  <c r="I38" i="8"/>
  <c r="J38" i="8" s="1"/>
  <c r="O427" i="1"/>
  <c r="O426" i="1"/>
  <c r="Q425" i="1"/>
  <c r="O425" i="1"/>
  <c r="Q427" i="1"/>
  <c r="I427" i="1"/>
  <c r="Q426" i="1"/>
  <c r="I426" i="1"/>
  <c r="I425" i="1"/>
  <c r="O68" i="2"/>
  <c r="O67" i="2"/>
  <c r="J68" i="2"/>
  <c r="J67" i="2"/>
  <c r="Q424" i="1"/>
  <c r="O424" i="1"/>
  <c r="O66" i="2"/>
  <c r="J66" i="2"/>
  <c r="Q123" i="17"/>
  <c r="O123" i="17"/>
  <c r="Q73" i="17"/>
  <c r="O73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Q422" i="1"/>
  <c r="O422" i="1"/>
  <c r="I423" i="1"/>
  <c r="O64" i="2"/>
  <c r="Q64" i="2"/>
  <c r="O65" i="2"/>
  <c r="Q65" i="2"/>
  <c r="Q423" i="1"/>
  <c r="O423" i="1"/>
  <c r="O421" i="1"/>
  <c r="O392" i="1"/>
  <c r="J74" i="2" l="1"/>
  <c r="Q266" i="9"/>
  <c r="O266" i="9"/>
  <c r="I266" i="9"/>
  <c r="J266" i="9" s="1"/>
  <c r="I394" i="1"/>
  <c r="I393" i="1"/>
  <c r="I395" i="1"/>
  <c r="J395" i="1"/>
  <c r="O395" i="1"/>
  <c r="Q395" i="1"/>
  <c r="I396" i="1"/>
  <c r="J396" i="1"/>
  <c r="O396" i="1"/>
  <c r="Q396" i="1"/>
  <c r="I397" i="1"/>
  <c r="J397" i="1"/>
  <c r="O397" i="1"/>
  <c r="Q397" i="1"/>
  <c r="I398" i="1"/>
  <c r="J398" i="1"/>
  <c r="O398" i="1"/>
  <c r="Q398" i="1"/>
  <c r="I399" i="1"/>
  <c r="J399" i="1"/>
  <c r="O399" i="1"/>
  <c r="Q399" i="1"/>
  <c r="I400" i="1"/>
  <c r="J400" i="1"/>
  <c r="O400" i="1"/>
  <c r="Q400" i="1"/>
  <c r="I401" i="1"/>
  <c r="J401" i="1"/>
  <c r="O401" i="1"/>
  <c r="Q401" i="1"/>
  <c r="I402" i="1"/>
  <c r="J402" i="1"/>
  <c r="O402" i="1"/>
  <c r="Q402" i="1"/>
  <c r="I403" i="1"/>
  <c r="J403" i="1"/>
  <c r="O403" i="1"/>
  <c r="Q403" i="1"/>
  <c r="I404" i="1"/>
  <c r="J404" i="1"/>
  <c r="O404" i="1"/>
  <c r="Q404" i="1"/>
  <c r="I405" i="1"/>
  <c r="J405" i="1"/>
  <c r="O405" i="1"/>
  <c r="Q405" i="1"/>
  <c r="I406" i="1"/>
  <c r="J406" i="1"/>
  <c r="O406" i="1"/>
  <c r="Q406" i="1"/>
  <c r="I407" i="1"/>
  <c r="J407" i="1"/>
  <c r="O407" i="1"/>
  <c r="Q407" i="1"/>
  <c r="I408" i="1"/>
  <c r="J408" i="1"/>
  <c r="O408" i="1"/>
  <c r="Q408" i="1"/>
  <c r="I409" i="1"/>
  <c r="J409" i="1"/>
  <c r="O409" i="1"/>
  <c r="Q409" i="1"/>
  <c r="I410" i="1"/>
  <c r="J410" i="1"/>
  <c r="O410" i="1"/>
  <c r="Q410" i="1"/>
  <c r="I411" i="1"/>
  <c r="J411" i="1"/>
  <c r="O411" i="1"/>
  <c r="Q411" i="1"/>
  <c r="I412" i="1"/>
  <c r="J412" i="1"/>
  <c r="O412" i="1"/>
  <c r="Q412" i="1"/>
  <c r="G413" i="1"/>
  <c r="I413" i="1"/>
  <c r="J413" i="1"/>
  <c r="O413" i="1"/>
  <c r="Q413" i="1"/>
  <c r="I414" i="1"/>
  <c r="J414" i="1"/>
  <c r="O414" i="1"/>
  <c r="Q414" i="1"/>
  <c r="I415" i="1"/>
  <c r="J415" i="1"/>
  <c r="O415" i="1"/>
  <c r="Q415" i="1"/>
  <c r="I416" i="1"/>
  <c r="J416" i="1"/>
  <c r="O416" i="1"/>
  <c r="Q416" i="1"/>
  <c r="I417" i="1"/>
  <c r="J417" i="1"/>
  <c r="O417" i="1"/>
  <c r="Q417" i="1"/>
  <c r="O394" i="1"/>
  <c r="O393" i="1"/>
  <c r="Q393" i="1"/>
  <c r="O265" i="9"/>
  <c r="J251" i="9"/>
  <c r="O251" i="9"/>
  <c r="Q251" i="9"/>
  <c r="J252" i="9"/>
  <c r="O252" i="9"/>
  <c r="Q252" i="9"/>
  <c r="J253" i="9"/>
  <c r="O253" i="9"/>
  <c r="Q253" i="9"/>
  <c r="J254" i="9"/>
  <c r="O254" i="9"/>
  <c r="Q254" i="9"/>
  <c r="J255" i="9"/>
  <c r="O255" i="9"/>
  <c r="Q255" i="9"/>
  <c r="J256" i="9"/>
  <c r="O256" i="9"/>
  <c r="Q256" i="9"/>
  <c r="J257" i="9"/>
  <c r="O257" i="9"/>
  <c r="Q257" i="9"/>
  <c r="J258" i="9"/>
  <c r="O258" i="9"/>
  <c r="Q258" i="9"/>
  <c r="J259" i="9"/>
  <c r="O259" i="9"/>
  <c r="Q259" i="9"/>
  <c r="J260" i="9"/>
  <c r="O260" i="9"/>
  <c r="Q260" i="9"/>
  <c r="J261" i="9"/>
  <c r="O261" i="9"/>
  <c r="Q261" i="9"/>
  <c r="J262" i="9"/>
  <c r="O262" i="9"/>
  <c r="Q262" i="9"/>
  <c r="J263" i="9"/>
  <c r="O263" i="9"/>
  <c r="Q263" i="9"/>
  <c r="G264" i="9"/>
  <c r="J264" i="9"/>
  <c r="O264" i="9"/>
  <c r="Q264" i="9"/>
  <c r="Q274" i="9"/>
  <c r="O274" i="9"/>
  <c r="I274" i="9"/>
  <c r="Q273" i="9"/>
  <c r="O273" i="9"/>
  <c r="I273" i="9"/>
  <c r="Q272" i="9"/>
  <c r="O272" i="9"/>
  <c r="I272" i="9"/>
  <c r="Q271" i="9"/>
  <c r="O271" i="9"/>
  <c r="I271" i="9"/>
  <c r="Q270" i="9"/>
  <c r="O270" i="9"/>
  <c r="I270" i="9"/>
  <c r="Q269" i="9"/>
  <c r="O269" i="9"/>
  <c r="I269" i="9"/>
  <c r="Q268" i="9"/>
  <c r="O268" i="9"/>
  <c r="I268" i="9"/>
  <c r="Q267" i="9"/>
  <c r="O267" i="9"/>
  <c r="I267" i="9"/>
  <c r="O250" i="9"/>
  <c r="O249" i="9"/>
  <c r="Q250" i="9"/>
  <c r="I250" i="9"/>
  <c r="O247" i="9"/>
  <c r="Q248" i="9"/>
  <c r="O248" i="9"/>
  <c r="O391" i="1"/>
  <c r="O390" i="1"/>
  <c r="O389" i="1"/>
  <c r="Q388" i="1"/>
  <c r="O388" i="1"/>
  <c r="O246" i="9"/>
  <c r="I388" i="1"/>
  <c r="I389" i="1"/>
  <c r="Q389" i="1"/>
  <c r="I390" i="1"/>
  <c r="Q390" i="1"/>
  <c r="I391" i="1"/>
  <c r="Q391" i="1"/>
  <c r="I392" i="1"/>
  <c r="Q392" i="1"/>
  <c r="Q394" i="1"/>
  <c r="I418" i="1"/>
  <c r="O418" i="1"/>
  <c r="Q418" i="1"/>
  <c r="I419" i="1"/>
  <c r="O419" i="1"/>
  <c r="Q419" i="1"/>
  <c r="I420" i="1"/>
  <c r="O420" i="1"/>
  <c r="Q420" i="1"/>
  <c r="I421" i="1"/>
  <c r="Q421" i="1"/>
  <c r="I422" i="1"/>
  <c r="I424" i="1"/>
  <c r="I441" i="1"/>
  <c r="Q441" i="1"/>
  <c r="O387" i="1"/>
  <c r="O385" i="1" l="1"/>
  <c r="G521" i="35" a="1"/>
  <c r="G521" i="35"/>
  <c r="G520" i="35" a="1"/>
  <c r="G520" i="35"/>
  <c r="G519" i="35" a="1"/>
  <c r="G519" i="35"/>
  <c r="G518" i="35" a="1"/>
  <c r="G518" i="35"/>
  <c r="G517" i="35" a="1"/>
  <c r="G517" i="35"/>
  <c r="G516" i="35" a="1"/>
  <c r="G516" i="35"/>
  <c r="G515" i="35" a="1"/>
  <c r="G515" i="35"/>
  <c r="G514" i="35" a="1"/>
  <c r="G514" i="35"/>
  <c r="G513" i="35" a="1"/>
  <c r="G513" i="35"/>
  <c r="G512" i="35" a="1"/>
  <c r="G512" i="35"/>
  <c r="G511" i="35" a="1"/>
  <c r="G511" i="35"/>
  <c r="G510" i="35" a="1"/>
  <c r="G510" i="35"/>
  <c r="G509" i="35" a="1"/>
  <c r="G509" i="35"/>
  <c r="G508" i="35" a="1"/>
  <c r="G508" i="35"/>
  <c r="G507" i="35" a="1"/>
  <c r="G507" i="35"/>
  <c r="G506" i="35" a="1"/>
  <c r="G506" i="35"/>
  <c r="G505" i="35" a="1"/>
  <c r="G505" i="35"/>
  <c r="G504" i="35" a="1"/>
  <c r="G504" i="35"/>
  <c r="G503" i="35" a="1"/>
  <c r="G503" i="35"/>
  <c r="G502" i="35" a="1"/>
  <c r="G502" i="35"/>
  <c r="G501" i="35" a="1"/>
  <c r="G501" i="35"/>
  <c r="G500" i="35" a="1"/>
  <c r="G500" i="35"/>
  <c r="G499" i="35" a="1"/>
  <c r="G499" i="35"/>
  <c r="G498" i="35" a="1"/>
  <c r="G498" i="35"/>
  <c r="G497" i="35" a="1"/>
  <c r="G497" i="35"/>
  <c r="G496" i="35" a="1"/>
  <c r="G496" i="35"/>
  <c r="G495" i="35" a="1"/>
  <c r="G495" i="35"/>
  <c r="G494" i="35" a="1"/>
  <c r="G494" i="35"/>
  <c r="G493" i="35" a="1"/>
  <c r="G493" i="35"/>
  <c r="G492" i="35" a="1"/>
  <c r="G492" i="35"/>
  <c r="G491" i="35" a="1"/>
  <c r="G491" i="35"/>
  <c r="G490" i="35" a="1"/>
  <c r="G490" i="35"/>
  <c r="G489" i="35" a="1"/>
  <c r="G489" i="35"/>
  <c r="G488" i="35" a="1"/>
  <c r="G488" i="35"/>
  <c r="G487" i="35" a="1"/>
  <c r="G487" i="35"/>
  <c r="G486" i="35" a="1"/>
  <c r="G486" i="35"/>
  <c r="K486" i="35"/>
  <c r="L486" i="35" s="1"/>
  <c r="K487" i="35"/>
  <c r="L487" i="35" s="1"/>
  <c r="K488" i="35"/>
  <c r="L488" i="35" s="1"/>
  <c r="K489" i="35"/>
  <c r="L489" i="35" s="1"/>
  <c r="K490" i="35"/>
  <c r="L490" i="35" s="1"/>
  <c r="K491" i="35"/>
  <c r="L491" i="35" s="1"/>
  <c r="K492" i="35"/>
  <c r="L492" i="35" s="1"/>
  <c r="K493" i="35"/>
  <c r="L493" i="35" s="1"/>
  <c r="K494" i="35"/>
  <c r="L494" i="35" s="1"/>
  <c r="K495" i="35"/>
  <c r="L495" i="35" s="1"/>
  <c r="K496" i="35"/>
  <c r="L496" i="35" s="1"/>
  <c r="K497" i="35"/>
  <c r="L497" i="35" s="1"/>
  <c r="K498" i="35"/>
  <c r="L498" i="35" s="1"/>
  <c r="K499" i="35"/>
  <c r="L499" i="35" s="1"/>
  <c r="K500" i="35"/>
  <c r="L500" i="35" s="1"/>
  <c r="K501" i="35"/>
  <c r="L501" i="35" s="1"/>
  <c r="K502" i="35"/>
  <c r="L502" i="35" s="1"/>
  <c r="K503" i="35"/>
  <c r="L503" i="35" s="1"/>
  <c r="K504" i="35"/>
  <c r="L504" i="35" s="1"/>
  <c r="K505" i="35"/>
  <c r="L505" i="35" s="1"/>
  <c r="K506" i="35"/>
  <c r="L506" i="35" s="1"/>
  <c r="K507" i="35"/>
  <c r="L507" i="35" s="1"/>
  <c r="K508" i="35"/>
  <c r="L508" i="35" s="1"/>
  <c r="K509" i="35"/>
  <c r="L509" i="35" s="1"/>
  <c r="K510" i="35"/>
  <c r="L510" i="35" s="1"/>
  <c r="K511" i="35"/>
  <c r="L511" i="35" s="1"/>
  <c r="K512" i="35"/>
  <c r="L512" i="35" s="1"/>
  <c r="K513" i="35"/>
  <c r="L513" i="35" s="1"/>
  <c r="K514" i="35"/>
  <c r="L514" i="35" s="1"/>
  <c r="K515" i="35"/>
  <c r="L515" i="35" s="1"/>
  <c r="K516" i="35"/>
  <c r="L516" i="35" s="1"/>
  <c r="K517" i="35"/>
  <c r="L517" i="35" s="1"/>
  <c r="K518" i="35"/>
  <c r="L518" i="35" s="1"/>
  <c r="K519" i="35"/>
  <c r="L519" i="35" s="1"/>
  <c r="K520" i="35"/>
  <c r="L520" i="35" s="1"/>
  <c r="K521" i="35"/>
  <c r="L521" i="35" s="1"/>
  <c r="J486" i="35"/>
  <c r="J487" i="35"/>
  <c r="J488" i="35"/>
  <c r="J489" i="35"/>
  <c r="J490" i="35"/>
  <c r="J491" i="35"/>
  <c r="J492" i="35"/>
  <c r="J493" i="35"/>
  <c r="J494" i="35"/>
  <c r="J495" i="35"/>
  <c r="J496" i="35"/>
  <c r="J497" i="35"/>
  <c r="J498" i="35"/>
  <c r="J499" i="35"/>
  <c r="J500" i="35"/>
  <c r="J501" i="35"/>
  <c r="J502" i="35"/>
  <c r="J503" i="35"/>
  <c r="J504" i="35"/>
  <c r="J505" i="35"/>
  <c r="J506" i="35"/>
  <c r="J507" i="35"/>
  <c r="J508" i="35"/>
  <c r="J509" i="35"/>
  <c r="J510" i="35"/>
  <c r="J511" i="35"/>
  <c r="J512" i="35"/>
  <c r="J513" i="35"/>
  <c r="J514" i="35"/>
  <c r="J515" i="35"/>
  <c r="J516" i="35"/>
  <c r="J517" i="35"/>
  <c r="J518" i="35"/>
  <c r="J519" i="35"/>
  <c r="J520" i="35"/>
  <c r="J521" i="35"/>
  <c r="L474" i="35"/>
  <c r="L475" i="35"/>
  <c r="L476" i="35"/>
  <c r="L477" i="35"/>
  <c r="L478" i="35"/>
  <c r="L479" i="35"/>
  <c r="L480" i="35"/>
  <c r="L481" i="35"/>
  <c r="L482" i="35"/>
  <c r="L483" i="35"/>
  <c r="L484" i="35"/>
  <c r="L485" i="35"/>
  <c r="K480" i="35"/>
  <c r="K481" i="35"/>
  <c r="K482" i="35"/>
  <c r="K483" i="35"/>
  <c r="K484" i="35"/>
  <c r="K485" i="35"/>
  <c r="K24" i="35"/>
  <c r="K25" i="35"/>
  <c r="K26" i="35"/>
  <c r="K27" i="35"/>
  <c r="K28" i="35"/>
  <c r="K29" i="35"/>
  <c r="K30" i="35"/>
  <c r="K31" i="35"/>
  <c r="K32" i="35"/>
  <c r="K33" i="35"/>
  <c r="K34" i="35"/>
  <c r="K35" i="35"/>
  <c r="K36" i="35"/>
  <c r="K37" i="35"/>
  <c r="K38" i="35"/>
  <c r="K39" i="35"/>
  <c r="K40" i="35"/>
  <c r="K41" i="35"/>
  <c r="K42" i="35"/>
  <c r="K43" i="35"/>
  <c r="K44" i="35"/>
  <c r="K45" i="35"/>
  <c r="K46" i="35"/>
  <c r="K47" i="35"/>
  <c r="K48" i="35"/>
  <c r="K49" i="35"/>
  <c r="K50" i="35"/>
  <c r="K51" i="35"/>
  <c r="K52" i="35"/>
  <c r="K53" i="35"/>
  <c r="K54" i="35"/>
  <c r="K55" i="35"/>
  <c r="K56" i="35"/>
  <c r="K57" i="35"/>
  <c r="K58" i="35"/>
  <c r="K59" i="35"/>
  <c r="K60" i="35"/>
  <c r="K61" i="35"/>
  <c r="K62" i="35"/>
  <c r="K63" i="35"/>
  <c r="K64" i="35"/>
  <c r="K65" i="35"/>
  <c r="K66" i="35"/>
  <c r="K67" i="35"/>
  <c r="K68" i="35"/>
  <c r="K69" i="35"/>
  <c r="K70" i="35"/>
  <c r="K71" i="35"/>
  <c r="K72" i="35"/>
  <c r="K73" i="35"/>
  <c r="K74" i="35"/>
  <c r="K75" i="35"/>
  <c r="K76" i="35"/>
  <c r="K77" i="35"/>
  <c r="K78" i="35"/>
  <c r="K79" i="35"/>
  <c r="K80" i="35"/>
  <c r="K81" i="35"/>
  <c r="K82" i="35"/>
  <c r="K83" i="35"/>
  <c r="K84" i="35"/>
  <c r="K85" i="35"/>
  <c r="K86" i="35"/>
  <c r="K87" i="35"/>
  <c r="K88" i="35"/>
  <c r="K89" i="35"/>
  <c r="K90" i="35"/>
  <c r="K91" i="35"/>
  <c r="K92" i="35"/>
  <c r="K93" i="35"/>
  <c r="K94" i="35"/>
  <c r="K95" i="35"/>
  <c r="K96" i="35"/>
  <c r="K97" i="35"/>
  <c r="K98" i="35"/>
  <c r="K99" i="35"/>
  <c r="K100" i="35"/>
  <c r="K101" i="35"/>
  <c r="K102" i="35"/>
  <c r="K103" i="35"/>
  <c r="K104" i="35"/>
  <c r="K105" i="35"/>
  <c r="K106" i="35"/>
  <c r="K107" i="35"/>
  <c r="K108" i="35"/>
  <c r="K109" i="35"/>
  <c r="K110" i="35"/>
  <c r="K111" i="35"/>
  <c r="K112" i="35"/>
  <c r="K113" i="35"/>
  <c r="K114" i="35"/>
  <c r="K115" i="35"/>
  <c r="K116" i="35"/>
  <c r="K117" i="35"/>
  <c r="K118" i="35"/>
  <c r="K119" i="35"/>
  <c r="K120" i="35"/>
  <c r="K121" i="35"/>
  <c r="K122" i="35"/>
  <c r="K123" i="35"/>
  <c r="K124" i="35"/>
  <c r="K125" i="35"/>
  <c r="K126" i="35"/>
  <c r="K127" i="35"/>
  <c r="K128" i="35"/>
  <c r="K129" i="35"/>
  <c r="K130" i="35"/>
  <c r="K131" i="35"/>
  <c r="K132" i="35"/>
  <c r="K133" i="35"/>
  <c r="K134" i="35"/>
  <c r="K135" i="35"/>
  <c r="K136" i="35"/>
  <c r="K137" i="35"/>
  <c r="K138" i="35"/>
  <c r="K139" i="35"/>
  <c r="K140" i="35"/>
  <c r="K141" i="35"/>
  <c r="K142" i="35"/>
  <c r="K143" i="35"/>
  <c r="K144" i="35"/>
  <c r="K145" i="35"/>
  <c r="K146" i="35"/>
  <c r="K147" i="35"/>
  <c r="K148" i="35"/>
  <c r="K149" i="35"/>
  <c r="K150" i="35"/>
  <c r="K151" i="35"/>
  <c r="K152" i="35"/>
  <c r="K153" i="35"/>
  <c r="K154" i="35"/>
  <c r="K155" i="35"/>
  <c r="K156" i="35"/>
  <c r="K157" i="35"/>
  <c r="K158" i="35"/>
  <c r="K159" i="35"/>
  <c r="K160" i="35"/>
  <c r="K161" i="35"/>
  <c r="K162" i="35"/>
  <c r="K163" i="35"/>
  <c r="K164" i="35"/>
  <c r="K165" i="35"/>
  <c r="K166" i="35"/>
  <c r="K167" i="35"/>
  <c r="K168" i="35"/>
  <c r="K169" i="35"/>
  <c r="K170" i="35"/>
  <c r="K171" i="35"/>
  <c r="K172" i="35"/>
  <c r="K173" i="35"/>
  <c r="K174" i="35"/>
  <c r="K175" i="35"/>
  <c r="K176" i="35"/>
  <c r="K177" i="35"/>
  <c r="K178" i="35"/>
  <c r="K179" i="35"/>
  <c r="K180" i="35"/>
  <c r="K181" i="35"/>
  <c r="K182" i="35"/>
  <c r="K183" i="35"/>
  <c r="K184" i="35"/>
  <c r="K185" i="35"/>
  <c r="K186" i="35"/>
  <c r="K187" i="35"/>
  <c r="K188" i="35"/>
  <c r="K189" i="35"/>
  <c r="K190" i="35"/>
  <c r="K191" i="35"/>
  <c r="K192" i="35"/>
  <c r="K193" i="35"/>
  <c r="K194" i="35"/>
  <c r="K195" i="35"/>
  <c r="K196" i="35"/>
  <c r="K197" i="35"/>
  <c r="K198" i="35"/>
  <c r="K199" i="35"/>
  <c r="K200" i="35"/>
  <c r="K201" i="35"/>
  <c r="K202" i="35"/>
  <c r="K203" i="35"/>
  <c r="K204" i="35"/>
  <c r="K205" i="35"/>
  <c r="K206" i="35"/>
  <c r="K207" i="35"/>
  <c r="K208" i="35"/>
  <c r="K209" i="35"/>
  <c r="K210" i="35"/>
  <c r="K211" i="35"/>
  <c r="K212" i="35"/>
  <c r="K213" i="35"/>
  <c r="K214" i="35"/>
  <c r="K215" i="35"/>
  <c r="K216" i="35"/>
  <c r="K217" i="35"/>
  <c r="K218" i="35"/>
  <c r="K219" i="35"/>
  <c r="K220" i="35"/>
  <c r="K221" i="35"/>
  <c r="K222" i="35"/>
  <c r="K223" i="35"/>
  <c r="K224" i="35"/>
  <c r="K225" i="35"/>
  <c r="K226" i="35"/>
  <c r="K227" i="35"/>
  <c r="K228" i="35"/>
  <c r="K229" i="35"/>
  <c r="K230" i="35"/>
  <c r="K231" i="35"/>
  <c r="K232" i="35"/>
  <c r="K233" i="35"/>
  <c r="K234" i="35"/>
  <c r="K235" i="35"/>
  <c r="K236" i="35"/>
  <c r="K237" i="35"/>
  <c r="K238" i="35"/>
  <c r="K239" i="35"/>
  <c r="K240" i="35"/>
  <c r="K241" i="35"/>
  <c r="K242" i="35"/>
  <c r="K243" i="35"/>
  <c r="K244" i="35"/>
  <c r="K245" i="35"/>
  <c r="K246" i="35"/>
  <c r="K247" i="35"/>
  <c r="K248" i="35"/>
  <c r="K249" i="35"/>
  <c r="K250" i="35"/>
  <c r="K251" i="35"/>
  <c r="K252" i="35"/>
  <c r="K253" i="35"/>
  <c r="K254" i="35"/>
  <c r="K255" i="35"/>
  <c r="K256" i="35"/>
  <c r="K257" i="35"/>
  <c r="K258" i="35"/>
  <c r="K259" i="35"/>
  <c r="K260" i="35"/>
  <c r="K261" i="35"/>
  <c r="K262" i="35"/>
  <c r="K263" i="35"/>
  <c r="K264" i="35"/>
  <c r="K265" i="35"/>
  <c r="K266" i="35"/>
  <c r="K267" i="35"/>
  <c r="K268" i="35"/>
  <c r="K269" i="35"/>
  <c r="K270" i="35"/>
  <c r="K271" i="35"/>
  <c r="K272" i="35"/>
  <c r="K273" i="35"/>
  <c r="K274" i="35"/>
  <c r="K275" i="35"/>
  <c r="K276" i="35"/>
  <c r="K277" i="35"/>
  <c r="K278" i="35"/>
  <c r="K279" i="35"/>
  <c r="K280" i="35"/>
  <c r="K281" i="35"/>
  <c r="K282" i="35"/>
  <c r="K283" i="35"/>
  <c r="K284" i="35"/>
  <c r="K285" i="35"/>
  <c r="K286" i="35"/>
  <c r="K287" i="35"/>
  <c r="K288" i="35"/>
  <c r="K289" i="35"/>
  <c r="K290" i="35"/>
  <c r="K291" i="35"/>
  <c r="K292" i="35"/>
  <c r="K293" i="35"/>
  <c r="K294" i="35"/>
  <c r="K295" i="35"/>
  <c r="K296" i="35"/>
  <c r="K297" i="35"/>
  <c r="K298" i="35"/>
  <c r="K299" i="35"/>
  <c r="K300" i="35"/>
  <c r="K301" i="35"/>
  <c r="K302" i="35"/>
  <c r="K303" i="35"/>
  <c r="K304" i="35"/>
  <c r="K305" i="35"/>
  <c r="K306" i="35"/>
  <c r="K307" i="35"/>
  <c r="K308" i="35"/>
  <c r="K309" i="35"/>
  <c r="K310" i="35"/>
  <c r="K311" i="35"/>
  <c r="K312" i="35"/>
  <c r="K313" i="35"/>
  <c r="K314" i="35"/>
  <c r="K315" i="35"/>
  <c r="K316" i="35"/>
  <c r="K317" i="35"/>
  <c r="K318" i="35"/>
  <c r="K319" i="35"/>
  <c r="K320" i="35"/>
  <c r="K321" i="35"/>
  <c r="K322" i="35"/>
  <c r="K323" i="35"/>
  <c r="K324" i="35"/>
  <c r="K325" i="35"/>
  <c r="K326" i="35"/>
  <c r="K327" i="35"/>
  <c r="K328" i="35"/>
  <c r="K329" i="35"/>
  <c r="K330" i="35"/>
  <c r="K331" i="35"/>
  <c r="K332" i="35"/>
  <c r="K333" i="35"/>
  <c r="K334" i="35"/>
  <c r="K335" i="35"/>
  <c r="K336" i="35"/>
  <c r="K337" i="35"/>
  <c r="K338" i="35"/>
  <c r="K339" i="35"/>
  <c r="K340" i="35"/>
  <c r="K341" i="35"/>
  <c r="K342" i="35"/>
  <c r="K343" i="35"/>
  <c r="K344" i="35"/>
  <c r="K345" i="35"/>
  <c r="K346" i="35"/>
  <c r="K347" i="35"/>
  <c r="K348" i="35"/>
  <c r="K349" i="35"/>
  <c r="K350" i="35"/>
  <c r="K351" i="35"/>
  <c r="K352" i="35"/>
  <c r="K353" i="35"/>
  <c r="K354" i="35"/>
  <c r="K355" i="35"/>
  <c r="K356" i="35"/>
  <c r="K357" i="35"/>
  <c r="K358" i="35"/>
  <c r="K359" i="35"/>
  <c r="K360" i="35"/>
  <c r="K361" i="35"/>
  <c r="K362" i="35"/>
  <c r="K363" i="35"/>
  <c r="K364" i="35"/>
  <c r="K365" i="35"/>
  <c r="K366" i="35"/>
  <c r="K367" i="35"/>
  <c r="K368" i="35"/>
  <c r="K369" i="35"/>
  <c r="K370" i="35"/>
  <c r="K371" i="35"/>
  <c r="K372" i="35"/>
  <c r="K373" i="35"/>
  <c r="K374" i="35"/>
  <c r="K375" i="35"/>
  <c r="K376" i="35"/>
  <c r="K377" i="35"/>
  <c r="K378" i="35"/>
  <c r="K379" i="35"/>
  <c r="K380" i="35"/>
  <c r="K381" i="35"/>
  <c r="K382" i="35"/>
  <c r="K383" i="35"/>
  <c r="K384" i="35"/>
  <c r="K385" i="35"/>
  <c r="K386" i="35"/>
  <c r="K387" i="35"/>
  <c r="K388" i="35"/>
  <c r="K389" i="35"/>
  <c r="K390" i="35"/>
  <c r="K391" i="35"/>
  <c r="K392" i="35"/>
  <c r="K393" i="35"/>
  <c r="K394" i="35"/>
  <c r="K395" i="35"/>
  <c r="K396" i="35"/>
  <c r="K397" i="35"/>
  <c r="K398" i="35"/>
  <c r="K399" i="35"/>
  <c r="K400" i="35"/>
  <c r="K401" i="35"/>
  <c r="K402" i="35"/>
  <c r="K403" i="35"/>
  <c r="K404" i="35"/>
  <c r="K405" i="35"/>
  <c r="K406" i="35"/>
  <c r="K407" i="35"/>
  <c r="K408" i="35"/>
  <c r="K409" i="35"/>
  <c r="K410" i="35"/>
  <c r="K411" i="35"/>
  <c r="K412" i="35"/>
  <c r="K413" i="35"/>
  <c r="K414" i="35"/>
  <c r="K415" i="35"/>
  <c r="K416" i="35"/>
  <c r="K417" i="35"/>
  <c r="K418" i="35"/>
  <c r="K419" i="35"/>
  <c r="K420" i="35"/>
  <c r="K421" i="35"/>
  <c r="K422" i="35"/>
  <c r="K423" i="35"/>
  <c r="K424" i="35"/>
  <c r="K425" i="35"/>
  <c r="K426" i="35"/>
  <c r="K427" i="35"/>
  <c r="K428" i="35"/>
  <c r="K429" i="35"/>
  <c r="K430" i="35"/>
  <c r="K431" i="35"/>
  <c r="K432" i="35"/>
  <c r="K433" i="35"/>
  <c r="K434" i="35"/>
  <c r="K435" i="35"/>
  <c r="K436" i="35"/>
  <c r="K437" i="35"/>
  <c r="K438" i="35"/>
  <c r="K439" i="35"/>
  <c r="K440" i="35"/>
  <c r="K441" i="35"/>
  <c r="K442" i="35"/>
  <c r="K443" i="35"/>
  <c r="K444" i="35"/>
  <c r="K445" i="35"/>
  <c r="K446" i="35"/>
  <c r="K447" i="35"/>
  <c r="K448" i="35"/>
  <c r="K449" i="35"/>
  <c r="K450" i="35"/>
  <c r="K451" i="35"/>
  <c r="K452" i="35"/>
  <c r="K453" i="35"/>
  <c r="K454" i="35"/>
  <c r="K455" i="35"/>
  <c r="K456" i="35"/>
  <c r="K457" i="35"/>
  <c r="K458" i="35"/>
  <c r="K459" i="35"/>
  <c r="K460" i="35"/>
  <c r="K461" i="35"/>
  <c r="K462" i="35"/>
  <c r="K463" i="35"/>
  <c r="K464" i="35"/>
  <c r="K465" i="35"/>
  <c r="K466" i="35"/>
  <c r="K467" i="35"/>
  <c r="L467" i="35" s="1"/>
  <c r="K468" i="35"/>
  <c r="L468" i="35" s="1"/>
  <c r="K469" i="35"/>
  <c r="L469" i="35" s="1"/>
  <c r="K470" i="35"/>
  <c r="L470" i="35" s="1"/>
  <c r="K471" i="35"/>
  <c r="L471" i="35" s="1"/>
  <c r="K472" i="35"/>
  <c r="K473" i="35"/>
  <c r="K474" i="35"/>
  <c r="K475" i="35"/>
  <c r="K476" i="35"/>
  <c r="K477" i="35"/>
  <c r="K478" i="35"/>
  <c r="K479" i="35"/>
  <c r="K23" i="35"/>
  <c r="J474" i="35"/>
  <c r="J475" i="35"/>
  <c r="J476" i="35"/>
  <c r="J477" i="35"/>
  <c r="J478" i="35"/>
  <c r="J479" i="35"/>
  <c r="J480" i="35"/>
  <c r="J481" i="35"/>
  <c r="J482" i="35"/>
  <c r="J483" i="35"/>
  <c r="J484" i="35"/>
  <c r="J485" i="35"/>
  <c r="G474" i="35" a="1"/>
  <c r="G474" i="35" s="1"/>
  <c r="G475" i="35" a="1"/>
  <c r="G475" i="35" s="1"/>
  <c r="G476" i="35" a="1"/>
  <c r="G476" i="35" s="1"/>
  <c r="G477" i="35" a="1"/>
  <c r="G477" i="35" s="1"/>
  <c r="G478" i="35" a="1"/>
  <c r="G478" i="35"/>
  <c r="G479" i="35" a="1"/>
  <c r="G479" i="35"/>
  <c r="G480" i="35" a="1"/>
  <c r="G480" i="35"/>
  <c r="G481" i="35" a="1"/>
  <c r="G481" i="35" s="1"/>
  <c r="G482" i="35" a="1"/>
  <c r="G482" i="35" s="1"/>
  <c r="G483" i="35" a="1"/>
  <c r="G483" i="35" s="1"/>
  <c r="G484" i="35" a="1"/>
  <c r="G484" i="35" s="1"/>
  <c r="G485" i="35" a="1"/>
  <c r="G485" i="35"/>
  <c r="L462" i="35"/>
  <c r="L463" i="35"/>
  <c r="L464" i="35"/>
  <c r="L465" i="35"/>
  <c r="L466" i="35"/>
  <c r="L472" i="35"/>
  <c r="L473" i="35"/>
  <c r="J462" i="35"/>
  <c r="J463" i="35"/>
  <c r="J464" i="35"/>
  <c r="J465" i="35"/>
  <c r="J466" i="35"/>
  <c r="J467" i="35"/>
  <c r="J468" i="35"/>
  <c r="J469" i="35"/>
  <c r="J470" i="35"/>
  <c r="J471" i="35"/>
  <c r="J472" i="35"/>
  <c r="J473" i="35"/>
  <c r="G462" i="35" a="1"/>
  <c r="G462" i="35" s="1"/>
  <c r="G463" i="35" a="1"/>
  <c r="G463" i="35"/>
  <c r="G464" i="35" a="1"/>
  <c r="G464" i="35"/>
  <c r="G465" i="35" a="1"/>
  <c r="G465" i="35"/>
  <c r="G466" i="35" a="1"/>
  <c r="G466" i="35" s="1"/>
  <c r="G467" i="35" a="1"/>
  <c r="G467" i="35"/>
  <c r="G468" i="35" a="1"/>
  <c r="G468" i="35" s="1"/>
  <c r="G469" i="35" a="1"/>
  <c r="G469" i="35" s="1"/>
  <c r="G470" i="35" a="1"/>
  <c r="G470" i="35" s="1"/>
  <c r="G471" i="35" a="1"/>
  <c r="G471" i="35"/>
  <c r="G472" i="35" a="1"/>
  <c r="G472" i="35" s="1"/>
  <c r="G473" i="35" a="1"/>
  <c r="G473" i="35" s="1"/>
  <c r="O383" i="1"/>
  <c r="Q382" i="1"/>
  <c r="O382" i="1"/>
  <c r="I382" i="1"/>
  <c r="O381" i="1"/>
  <c r="J46" i="29"/>
  <c r="K46" i="29" s="1"/>
  <c r="J45" i="29"/>
  <c r="K45" i="29" s="1"/>
  <c r="Q379" i="1"/>
  <c r="O379" i="1"/>
  <c r="I379" i="1"/>
  <c r="O378" i="1"/>
  <c r="I442" i="1"/>
  <c r="I387" i="1"/>
  <c r="I386" i="1"/>
  <c r="I385" i="1"/>
  <c r="I384" i="1"/>
  <c r="I383" i="1"/>
  <c r="I381" i="1"/>
  <c r="I380" i="1"/>
  <c r="I378" i="1"/>
  <c r="I377" i="1"/>
  <c r="I376" i="1"/>
  <c r="I375" i="1"/>
  <c r="I374" i="1"/>
  <c r="I373" i="1"/>
  <c r="I372" i="1"/>
  <c r="I371" i="1"/>
  <c r="I443" i="1" s="1"/>
  <c r="I14" i="16"/>
  <c r="I15" i="16"/>
  <c r="I17" i="16"/>
  <c r="I21" i="16"/>
  <c r="I22" i="16"/>
  <c r="I24" i="16"/>
  <c r="Q39" i="9"/>
  <c r="O39" i="9"/>
  <c r="Q53" i="9"/>
  <c r="Q52" i="9"/>
  <c r="Q51" i="9"/>
  <c r="Q50" i="9"/>
  <c r="Q49" i="9"/>
  <c r="O49" i="9"/>
  <c r="O53" i="9"/>
  <c r="O52" i="9"/>
  <c r="O51" i="9"/>
  <c r="O50" i="9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12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Q71" i="1"/>
  <c r="O71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Q380" i="1"/>
  <c r="Q378" i="1"/>
  <c r="Q377" i="1"/>
  <c r="Q376" i="1"/>
  <c r="Q375" i="1"/>
  <c r="Q374" i="1"/>
  <c r="Q373" i="1"/>
  <c r="Q372" i="1"/>
  <c r="O377" i="1"/>
  <c r="O376" i="1"/>
  <c r="O375" i="1"/>
  <c r="O374" i="1"/>
  <c r="O373" i="1"/>
  <c r="O372" i="1"/>
  <c r="Q385" i="1"/>
  <c r="Q384" i="1"/>
  <c r="O384" i="1"/>
  <c r="Q383" i="1"/>
  <c r="Q381" i="1"/>
  <c r="O371" i="1"/>
  <c r="Q371" i="1"/>
  <c r="Q249" i="9"/>
  <c r="Q247" i="9"/>
  <c r="Q246" i="9"/>
  <c r="Q245" i="9"/>
  <c r="Q244" i="9"/>
  <c r="Q243" i="9"/>
  <c r="Q242" i="9"/>
  <c r="Q241" i="9"/>
  <c r="Q239" i="9"/>
  <c r="O245" i="9"/>
  <c r="O244" i="9"/>
  <c r="O243" i="9"/>
  <c r="O242" i="9"/>
  <c r="O241" i="9"/>
  <c r="O239" i="9"/>
  <c r="Q240" i="9"/>
  <c r="O240" i="9"/>
  <c r="I240" i="9"/>
  <c r="I265" i="9"/>
  <c r="I249" i="9"/>
  <c r="I248" i="9"/>
  <c r="I247" i="9"/>
  <c r="I246" i="9"/>
  <c r="I245" i="9"/>
  <c r="I244" i="9"/>
  <c r="I243" i="9"/>
  <c r="I242" i="9"/>
  <c r="I241" i="9"/>
  <c r="I239" i="9"/>
  <c r="I275" i="9" s="1"/>
  <c r="J106" i="29"/>
  <c r="K106" i="29" s="1"/>
  <c r="J128" i="29"/>
  <c r="K128" i="29" s="1"/>
  <c r="J127" i="29"/>
  <c r="K127" i="29" s="1"/>
  <c r="J126" i="29"/>
  <c r="K126" i="29" s="1"/>
  <c r="J125" i="29"/>
  <c r="K125" i="29" s="1"/>
  <c r="I130" i="29"/>
  <c r="H130" i="29"/>
  <c r="H94" i="29"/>
  <c r="I94" i="29"/>
  <c r="J91" i="29"/>
  <c r="K91" i="29" s="1"/>
  <c r="J92" i="29"/>
  <c r="K92" i="29"/>
  <c r="J107" i="29"/>
  <c r="J108" i="29"/>
  <c r="J109" i="29"/>
  <c r="J110" i="29"/>
  <c r="J111" i="29"/>
  <c r="J112" i="29"/>
  <c r="K112" i="29" s="1"/>
  <c r="J3" i="29"/>
  <c r="K3" i="29" s="1"/>
  <c r="J86" i="29"/>
  <c r="K86" i="29" s="1"/>
  <c r="J85" i="29"/>
  <c r="K85" i="29" s="1"/>
  <c r="J84" i="29"/>
  <c r="K84" i="29" s="1"/>
  <c r="J83" i="29"/>
  <c r="K83" i="29" s="1"/>
  <c r="J82" i="29"/>
  <c r="K82" i="29" s="1"/>
  <c r="J81" i="29"/>
  <c r="K81" i="29" s="1"/>
  <c r="J80" i="29"/>
  <c r="K80" i="29" s="1"/>
  <c r="J79" i="29"/>
  <c r="K79" i="29" s="1"/>
  <c r="J78" i="29"/>
  <c r="K78" i="29" s="1"/>
  <c r="J77" i="29"/>
  <c r="K77" i="29" s="1"/>
  <c r="J76" i="29"/>
  <c r="K76" i="29" s="1"/>
  <c r="J75" i="29"/>
  <c r="K75" i="29" s="1"/>
  <c r="J74" i="29"/>
  <c r="K74" i="29" s="1"/>
  <c r="J73" i="29"/>
  <c r="K73" i="29" s="1"/>
  <c r="J72" i="29"/>
  <c r="K72" i="29" s="1"/>
  <c r="J71" i="29"/>
  <c r="K71" i="29" s="1"/>
  <c r="J70" i="29"/>
  <c r="K70" i="29" s="1"/>
  <c r="J69" i="29"/>
  <c r="K69" i="29" s="1"/>
  <c r="J68" i="29"/>
  <c r="K68" i="29" s="1"/>
  <c r="J67" i="29"/>
  <c r="K67" i="29" s="1"/>
  <c r="J66" i="29"/>
  <c r="K66" i="29" s="1"/>
  <c r="J65" i="29"/>
  <c r="K65" i="29" s="1"/>
  <c r="J64" i="29"/>
  <c r="K64" i="29" s="1"/>
  <c r="J63" i="29"/>
  <c r="K63" i="29" s="1"/>
  <c r="J62" i="29"/>
  <c r="J61" i="29"/>
  <c r="K61" i="29" s="1"/>
  <c r="J60" i="29"/>
  <c r="K60" i="29" s="1"/>
  <c r="J59" i="29"/>
  <c r="K59" i="29" s="1"/>
  <c r="J58" i="29"/>
  <c r="K58" i="29" s="1"/>
  <c r="J57" i="29"/>
  <c r="K57" i="29" s="1"/>
  <c r="J56" i="29"/>
  <c r="K56" i="29" s="1"/>
  <c r="J55" i="29"/>
  <c r="K55" i="29" s="1"/>
  <c r="J54" i="29"/>
  <c r="K54" i="29" s="1"/>
  <c r="J53" i="29"/>
  <c r="K53" i="29" s="1"/>
  <c r="J39" i="29"/>
  <c r="K39" i="29" s="1"/>
  <c r="J38" i="29"/>
  <c r="K38" i="29" s="1"/>
  <c r="J44" i="29"/>
  <c r="K44" i="29" s="1"/>
  <c r="J43" i="29"/>
  <c r="K43" i="29" s="1"/>
  <c r="J42" i="29"/>
  <c r="K42" i="29" s="1"/>
  <c r="J41" i="29"/>
  <c r="K41" i="29" s="1"/>
  <c r="J40" i="29"/>
  <c r="K40" i="29" s="1"/>
  <c r="J37" i="29"/>
  <c r="K37" i="29" s="1"/>
  <c r="J36" i="29"/>
  <c r="K36" i="29" s="1"/>
  <c r="J35" i="29"/>
  <c r="K35" i="29" s="1"/>
  <c r="J34" i="29"/>
  <c r="J33" i="29"/>
  <c r="K33" i="29" s="1"/>
  <c r="J32" i="29"/>
  <c r="K32" i="29" s="1"/>
  <c r="J31" i="29"/>
  <c r="K31" i="29" s="1"/>
  <c r="J30" i="29"/>
  <c r="K30" i="29" s="1"/>
  <c r="J29" i="29"/>
  <c r="K29" i="29" s="1"/>
  <c r="J28" i="29"/>
  <c r="K28" i="29" s="1"/>
  <c r="J27" i="29"/>
  <c r="K27" i="29" s="1"/>
  <c r="J26" i="29"/>
  <c r="K26" i="29" s="1"/>
  <c r="J25" i="29"/>
  <c r="K25" i="29" s="1"/>
  <c r="J24" i="29"/>
  <c r="K24" i="29" s="1"/>
  <c r="J23" i="29"/>
  <c r="K23" i="29" s="1"/>
  <c r="J22" i="29"/>
  <c r="K22" i="29" s="1"/>
  <c r="J21" i="29"/>
  <c r="K21" i="29" s="1"/>
  <c r="J20" i="29"/>
  <c r="K20" i="29" s="1"/>
  <c r="J19" i="29"/>
  <c r="K19" i="29" s="1"/>
  <c r="J18" i="29"/>
  <c r="K18" i="29" s="1"/>
  <c r="J17" i="29"/>
  <c r="K17" i="29" s="1"/>
  <c r="J16" i="29"/>
  <c r="K16" i="29" s="1"/>
  <c r="J15" i="29"/>
  <c r="K15" i="29" s="1"/>
  <c r="J14" i="29"/>
  <c r="K14" i="29" s="1"/>
  <c r="J13" i="29"/>
  <c r="K13" i="29" s="1"/>
  <c r="J12" i="29"/>
  <c r="K12" i="29" s="1"/>
  <c r="J11" i="29"/>
  <c r="K11" i="29" s="1"/>
  <c r="J10" i="29"/>
  <c r="K10" i="29" s="1"/>
  <c r="J9" i="29"/>
  <c r="K9" i="29" s="1"/>
  <c r="J8" i="29"/>
  <c r="K8" i="29" s="1"/>
  <c r="J7" i="29"/>
  <c r="K7" i="29" s="1"/>
  <c r="J6" i="29"/>
  <c r="K6" i="29" s="1"/>
  <c r="J5" i="29"/>
  <c r="K5" i="29" s="1"/>
  <c r="J4" i="29"/>
  <c r="K4" i="29" s="1"/>
  <c r="J87" i="29"/>
  <c r="K87" i="29" s="1"/>
  <c r="J90" i="29"/>
  <c r="K90" i="29" s="1"/>
  <c r="J89" i="29"/>
  <c r="K89" i="29" s="1"/>
  <c r="J88" i="29"/>
  <c r="K88" i="29" s="1"/>
  <c r="K62" i="29"/>
  <c r="I114" i="29"/>
  <c r="J105" i="29"/>
  <c r="K105" i="29" s="1"/>
  <c r="J104" i="29"/>
  <c r="K104" i="29" s="1"/>
  <c r="J103" i="29"/>
  <c r="K103" i="29" s="1"/>
  <c r="J102" i="29"/>
  <c r="K102" i="29" s="1"/>
  <c r="J101" i="29"/>
  <c r="K101" i="29" s="1"/>
  <c r="J99" i="29"/>
  <c r="J100" i="29"/>
  <c r="K100" i="29" s="1"/>
  <c r="J124" i="29"/>
  <c r="K124" i="29" s="1"/>
  <c r="Q205" i="17"/>
  <c r="O205" i="17"/>
  <c r="Q204" i="17"/>
  <c r="O204" i="17"/>
  <c r="Q198" i="17"/>
  <c r="O198" i="17"/>
  <c r="Q197" i="17"/>
  <c r="O197" i="17"/>
  <c r="Q191" i="17"/>
  <c r="O191" i="17"/>
  <c r="Q190" i="17"/>
  <c r="O190" i="17"/>
  <c r="Q184" i="17"/>
  <c r="O184" i="17"/>
  <c r="Q183" i="17"/>
  <c r="O183" i="17"/>
  <c r="Q177" i="17"/>
  <c r="O177" i="17"/>
  <c r="Q176" i="17"/>
  <c r="O176" i="17"/>
  <c r="Q171" i="17"/>
  <c r="O171" i="17"/>
  <c r="Q170" i="17"/>
  <c r="O170" i="17"/>
  <c r="Q164" i="17"/>
  <c r="O164" i="17"/>
  <c r="Q163" i="17"/>
  <c r="O163" i="17"/>
  <c r="Q162" i="17"/>
  <c r="O162" i="17"/>
  <c r="Q161" i="17"/>
  <c r="O161" i="17"/>
  <c r="Q160" i="17"/>
  <c r="O160" i="17"/>
  <c r="Q159" i="17"/>
  <c r="O159" i="17"/>
  <c r="Q158" i="17"/>
  <c r="O158" i="17"/>
  <c r="Q157" i="17"/>
  <c r="O157" i="17"/>
  <c r="Q156" i="17"/>
  <c r="O156" i="17"/>
  <c r="Q155" i="17"/>
  <c r="O155" i="17"/>
  <c r="Q148" i="17"/>
  <c r="Q147" i="17"/>
  <c r="Q146" i="17"/>
  <c r="Q145" i="17"/>
  <c r="Q144" i="17"/>
  <c r="Q143" i="17"/>
  <c r="Q142" i="17"/>
  <c r="Q141" i="17"/>
  <c r="Q140" i="17"/>
  <c r="Q139" i="17"/>
  <c r="Q138" i="17"/>
  <c r="Q137" i="17"/>
  <c r="Q136" i="17"/>
  <c r="Q135" i="17"/>
  <c r="Q134" i="17"/>
  <c r="Q133" i="17"/>
  <c r="Q132" i="17"/>
  <c r="Q131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Q115" i="17"/>
  <c r="Q116" i="17"/>
  <c r="Q117" i="17"/>
  <c r="Q118" i="17"/>
  <c r="Q119" i="17"/>
  <c r="Q120" i="17"/>
  <c r="Q121" i="17"/>
  <c r="Q122" i="17"/>
  <c r="Q124" i="17"/>
  <c r="Q106" i="17"/>
  <c r="Q107" i="17"/>
  <c r="Q108" i="17"/>
  <c r="Q109" i="17"/>
  <c r="Q110" i="17"/>
  <c r="Q111" i="17"/>
  <c r="Q112" i="17"/>
  <c r="Q113" i="17"/>
  <c r="Q114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4" i="17"/>
  <c r="Q105" i="17"/>
  <c r="Q7" i="17"/>
  <c r="Q8" i="17"/>
  <c r="Q9" i="17"/>
  <c r="O7" i="17"/>
  <c r="O8" i="17"/>
  <c r="P75" i="16"/>
  <c r="N75" i="16"/>
  <c r="P74" i="16"/>
  <c r="N74" i="16"/>
  <c r="P68" i="16"/>
  <c r="N68" i="16"/>
  <c r="P67" i="16"/>
  <c r="N67" i="16"/>
  <c r="P61" i="16"/>
  <c r="N61" i="16"/>
  <c r="P60" i="16"/>
  <c r="N60" i="16"/>
  <c r="P54" i="16"/>
  <c r="N54" i="16"/>
  <c r="P53" i="16"/>
  <c r="N53" i="16"/>
  <c r="P45" i="16"/>
  <c r="N45" i="16"/>
  <c r="P44" i="16"/>
  <c r="N44" i="16"/>
  <c r="P38" i="16"/>
  <c r="N38" i="16"/>
  <c r="P37" i="16"/>
  <c r="N37" i="16"/>
  <c r="P31" i="16"/>
  <c r="N31" i="16"/>
  <c r="P30" i="16"/>
  <c r="N30" i="16"/>
  <c r="N25" i="16"/>
  <c r="Q322" i="9"/>
  <c r="O322" i="9"/>
  <c r="Q321" i="9"/>
  <c r="O321" i="9"/>
  <c r="Q314" i="9"/>
  <c r="O314" i="9"/>
  <c r="Q313" i="9"/>
  <c r="O313" i="9"/>
  <c r="Q306" i="9"/>
  <c r="O306" i="9"/>
  <c r="Q305" i="9"/>
  <c r="O305" i="9"/>
  <c r="Q298" i="9"/>
  <c r="O298" i="9"/>
  <c r="Q297" i="9"/>
  <c r="O297" i="9"/>
  <c r="Q290" i="9"/>
  <c r="O290" i="9"/>
  <c r="Q289" i="9"/>
  <c r="O289" i="9"/>
  <c r="Q282" i="9"/>
  <c r="O282" i="9"/>
  <c r="Q281" i="9"/>
  <c r="O281" i="9"/>
  <c r="Q265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Q103" i="8"/>
  <c r="O103" i="8"/>
  <c r="Q102" i="8"/>
  <c r="O102" i="8"/>
  <c r="Q101" i="8"/>
  <c r="O101" i="8"/>
  <c r="Q100" i="8"/>
  <c r="O100" i="8"/>
  <c r="Q93" i="8"/>
  <c r="O93" i="8"/>
  <c r="Q92" i="8"/>
  <c r="O92" i="8"/>
  <c r="Q91" i="8"/>
  <c r="O91" i="8"/>
  <c r="Q90" i="8"/>
  <c r="O90" i="8"/>
  <c r="Q82" i="8"/>
  <c r="O82" i="8"/>
  <c r="Q81" i="8"/>
  <c r="O81" i="8"/>
  <c r="Q80" i="8"/>
  <c r="O80" i="8"/>
  <c r="Q79" i="8"/>
  <c r="O79" i="8"/>
  <c r="Q72" i="8"/>
  <c r="O72" i="8"/>
  <c r="Q71" i="8"/>
  <c r="O71" i="8"/>
  <c r="Q70" i="8"/>
  <c r="O70" i="8"/>
  <c r="Q69" i="8"/>
  <c r="O69" i="8"/>
  <c r="Q62" i="8"/>
  <c r="O62" i="8"/>
  <c r="Q61" i="8"/>
  <c r="O61" i="8"/>
  <c r="Q60" i="8"/>
  <c r="O60" i="8"/>
  <c r="Q59" i="8"/>
  <c r="O59" i="8"/>
  <c r="Q51" i="8"/>
  <c r="O51" i="8"/>
  <c r="Q50" i="8"/>
  <c r="O50" i="8"/>
  <c r="Q49" i="8"/>
  <c r="O49" i="8"/>
  <c r="Q48" i="8"/>
  <c r="O48" i="8"/>
  <c r="Q41" i="8"/>
  <c r="O41" i="8"/>
  <c r="Q40" i="8"/>
  <c r="O40" i="8"/>
  <c r="Q39" i="8"/>
  <c r="O39" i="8"/>
  <c r="Q490" i="1"/>
  <c r="O490" i="1"/>
  <c r="Q489" i="1"/>
  <c r="O489" i="1"/>
  <c r="Q482" i="1"/>
  <c r="O482" i="1"/>
  <c r="Q481" i="1"/>
  <c r="O481" i="1"/>
  <c r="Q474" i="1"/>
  <c r="O474" i="1"/>
  <c r="Q473" i="1"/>
  <c r="O473" i="1"/>
  <c r="Q466" i="1"/>
  <c r="O466" i="1"/>
  <c r="Q465" i="1"/>
  <c r="O465" i="1"/>
  <c r="Q458" i="1"/>
  <c r="O458" i="1"/>
  <c r="Q457" i="1"/>
  <c r="O457" i="1"/>
  <c r="Q450" i="1"/>
  <c r="O450" i="1"/>
  <c r="Q449" i="1"/>
  <c r="O449" i="1"/>
  <c r="Q442" i="1"/>
  <c r="O442" i="1"/>
  <c r="Q387" i="1"/>
  <c r="Q386" i="1"/>
  <c r="O386" i="1"/>
  <c r="O380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I165" i="17"/>
  <c r="I125" i="17"/>
  <c r="I74" i="17"/>
  <c r="I43" i="17"/>
  <c r="I44" i="17" s="1"/>
  <c r="I26" i="16"/>
  <c r="J46" i="17"/>
  <c r="J49" i="17" s="1"/>
  <c r="J77" i="17"/>
  <c r="J102" i="17"/>
  <c r="J128" i="17"/>
  <c r="J152" i="17"/>
  <c r="J155" i="17" s="1"/>
  <c r="I39" i="16"/>
  <c r="I32" i="16"/>
  <c r="I27" i="16"/>
  <c r="I33" i="16" s="1"/>
  <c r="I36" i="16" s="1"/>
  <c r="I40" i="16" s="1"/>
  <c r="J164" i="17"/>
  <c r="J163" i="17"/>
  <c r="J162" i="17"/>
  <c r="J161" i="17"/>
  <c r="J160" i="17"/>
  <c r="J159" i="17"/>
  <c r="J158" i="17"/>
  <c r="J157" i="17"/>
  <c r="J156" i="17"/>
  <c r="I75" i="17"/>
  <c r="J80" i="17"/>
  <c r="J3" i="17"/>
  <c r="Q68" i="2"/>
  <c r="Q67" i="2"/>
  <c r="Q66" i="2"/>
  <c r="Q63" i="2"/>
  <c r="O63" i="2"/>
  <c r="Q117" i="2"/>
  <c r="O117" i="2"/>
  <c r="Q116" i="2"/>
  <c r="O116" i="2"/>
  <c r="Q110" i="2"/>
  <c r="O110" i="2"/>
  <c r="Q109" i="2"/>
  <c r="O109" i="2"/>
  <c r="Q103" i="2"/>
  <c r="O103" i="2"/>
  <c r="Q102" i="2"/>
  <c r="O102" i="2"/>
  <c r="Q96" i="2"/>
  <c r="O96" i="2"/>
  <c r="Q95" i="2"/>
  <c r="O95" i="2"/>
  <c r="Q87" i="2"/>
  <c r="O87" i="2"/>
  <c r="Q86" i="2"/>
  <c r="O86" i="2"/>
  <c r="Q80" i="2"/>
  <c r="O80" i="2"/>
  <c r="Q79" i="2"/>
  <c r="O79" i="2"/>
  <c r="Q73" i="2"/>
  <c r="Q72" i="2"/>
  <c r="Q71" i="2"/>
  <c r="Q69" i="2"/>
  <c r="O73" i="2"/>
  <c r="O72" i="2"/>
  <c r="O71" i="2"/>
  <c r="O69" i="2"/>
  <c r="Q57" i="2"/>
  <c r="Q56" i="2"/>
  <c r="Q55" i="2"/>
  <c r="Q54" i="2"/>
  <c r="Q53" i="2"/>
  <c r="O53" i="2"/>
  <c r="O54" i="2"/>
  <c r="O55" i="2"/>
  <c r="O56" i="2"/>
  <c r="O57" i="2"/>
  <c r="O52" i="2"/>
  <c r="O8" i="2"/>
  <c r="O9" i="2"/>
  <c r="O10" i="2"/>
  <c r="O11" i="2"/>
  <c r="O12" i="2"/>
  <c r="O13" i="2"/>
  <c r="O14" i="2"/>
  <c r="O15" i="2"/>
  <c r="O16" i="2"/>
  <c r="O7" i="2"/>
  <c r="J282" i="1"/>
  <c r="J278" i="9"/>
  <c r="I229" i="9"/>
  <c r="I228" i="9"/>
  <c r="I227" i="9"/>
  <c r="I226" i="9"/>
  <c r="I225" i="9"/>
  <c r="I360" i="1"/>
  <c r="I348" i="1"/>
  <c r="I349" i="1"/>
  <c r="I350" i="1"/>
  <c r="I351" i="1"/>
  <c r="I352" i="1"/>
  <c r="I353" i="1"/>
  <c r="I354" i="1"/>
  <c r="J354" i="1" s="1"/>
  <c r="I355" i="1"/>
  <c r="J355" i="1" s="1"/>
  <c r="I356" i="1"/>
  <c r="J356" i="1" s="1"/>
  <c r="I357" i="1"/>
  <c r="J357" i="1" s="1"/>
  <c r="I358" i="1"/>
  <c r="I359" i="1"/>
  <c r="I222" i="9"/>
  <c r="I223" i="9"/>
  <c r="I224" i="9"/>
  <c r="I211" i="9"/>
  <c r="I212" i="9"/>
  <c r="I213" i="9"/>
  <c r="I345" i="1"/>
  <c r="I346" i="1"/>
  <c r="I347" i="1"/>
  <c r="J347" i="1" s="1"/>
  <c r="J345" i="1" l="1"/>
  <c r="J352" i="1"/>
  <c r="J349" i="1"/>
  <c r="J348" i="1"/>
  <c r="J382" i="1"/>
  <c r="J346" i="1"/>
  <c r="J353" i="1"/>
  <c r="J351" i="1"/>
  <c r="J360" i="1"/>
  <c r="J350" i="1"/>
  <c r="J359" i="1"/>
  <c r="J358" i="1"/>
  <c r="J114" i="29"/>
  <c r="K94" i="29"/>
  <c r="J94" i="29"/>
  <c r="K99" i="29"/>
  <c r="J361" i="1"/>
  <c r="J362" i="1"/>
  <c r="J363" i="1"/>
  <c r="J364" i="1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6" i="17"/>
  <c r="E39" i="41"/>
  <c r="J105" i="17"/>
  <c r="E31" i="41"/>
  <c r="E23" i="41"/>
  <c r="F23" i="41"/>
  <c r="Q52" i="2"/>
  <c r="Q46" i="2"/>
  <c r="Q45" i="2"/>
  <c r="Q44" i="2"/>
  <c r="Q43" i="2"/>
  <c r="Q42" i="2"/>
  <c r="Q41" i="2"/>
  <c r="Q40" i="2"/>
  <c r="Q39" i="2"/>
  <c r="Q33" i="2"/>
  <c r="Q32" i="2"/>
  <c r="Q31" i="2"/>
  <c r="Q30" i="2"/>
  <c r="Q29" i="2"/>
  <c r="Q28" i="2"/>
  <c r="Q27" i="2"/>
  <c r="Q26" i="2"/>
  <c r="Q25" i="2"/>
  <c r="Q24" i="2"/>
  <c r="Q23" i="2"/>
  <c r="O40" i="2"/>
  <c r="O41" i="2"/>
  <c r="O42" i="2"/>
  <c r="O43" i="2"/>
  <c r="O44" i="2"/>
  <c r="O45" i="2"/>
  <c r="O46" i="2"/>
  <c r="O39" i="2"/>
  <c r="O23" i="2"/>
  <c r="O24" i="2"/>
  <c r="O25" i="2"/>
  <c r="O26" i="2"/>
  <c r="O27" i="2"/>
  <c r="O28" i="2"/>
  <c r="O29" i="2"/>
  <c r="O30" i="2"/>
  <c r="O31" i="2"/>
  <c r="O32" i="2"/>
  <c r="O33" i="2"/>
  <c r="O22" i="2"/>
  <c r="J55" i="2"/>
  <c r="J58" i="2" s="1"/>
  <c r="Q293" i="1"/>
  <c r="O293" i="1"/>
  <c r="I76" i="16"/>
  <c r="I69" i="16"/>
  <c r="I62" i="16"/>
  <c r="I55" i="16"/>
  <c r="I46" i="16"/>
  <c r="N11" i="16"/>
  <c r="N8" i="16"/>
  <c r="P13" i="16"/>
  <c r="P12" i="16"/>
  <c r="P11" i="16"/>
  <c r="P10" i="16"/>
  <c r="P9" i="16"/>
  <c r="P8" i="16"/>
  <c r="P7" i="16"/>
  <c r="P20" i="16"/>
  <c r="P19" i="16"/>
  <c r="P18" i="16"/>
  <c r="N13" i="16"/>
  <c r="N12" i="16"/>
  <c r="N10" i="16"/>
  <c r="N9" i="16"/>
  <c r="N7" i="16"/>
  <c r="N20" i="16"/>
  <c r="N19" i="16"/>
  <c r="N18" i="16"/>
  <c r="P25" i="16"/>
  <c r="J236" i="9"/>
  <c r="J190" i="9"/>
  <c r="J157" i="9"/>
  <c r="J101" i="9"/>
  <c r="J46" i="9"/>
  <c r="J368" i="1"/>
  <c r="J218" i="1"/>
  <c r="J118" i="1"/>
  <c r="J68" i="1"/>
  <c r="I49" i="9"/>
  <c r="J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Q193" i="9"/>
  <c r="O193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I6" i="9"/>
  <c r="J3" i="1"/>
  <c r="J21" i="1" s="1"/>
  <c r="J121" i="1"/>
  <c r="J231" i="1"/>
  <c r="I6" i="1"/>
  <c r="J6" i="1" s="1"/>
  <c r="I7" i="1"/>
  <c r="I8" i="1"/>
  <c r="I9" i="1"/>
  <c r="I10" i="1"/>
  <c r="I11" i="1"/>
  <c r="G12" i="1"/>
  <c r="I12" i="1" s="1"/>
  <c r="I13" i="1"/>
  <c r="G14" i="1"/>
  <c r="I14" i="1" s="1"/>
  <c r="I15" i="1"/>
  <c r="I16" i="1"/>
  <c r="I17" i="1"/>
  <c r="I18" i="1"/>
  <c r="G19" i="1"/>
  <c r="I19" i="1" s="1"/>
  <c r="I20" i="1"/>
  <c r="J20" i="1" s="1"/>
  <c r="I22" i="1"/>
  <c r="G23" i="1"/>
  <c r="I23" i="1" s="1"/>
  <c r="I24" i="1"/>
  <c r="I25" i="1"/>
  <c r="I26" i="1"/>
  <c r="I27" i="1"/>
  <c r="G28" i="1"/>
  <c r="I28" i="1" s="1"/>
  <c r="I29" i="1"/>
  <c r="I30" i="1"/>
  <c r="G31" i="1"/>
  <c r="I31" i="1" s="1"/>
  <c r="I32" i="1"/>
  <c r="I33" i="1"/>
  <c r="J33" i="1" s="1"/>
  <c r="I34" i="1"/>
  <c r="I35" i="1"/>
  <c r="J35" i="1" s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J49" i="1" s="1"/>
  <c r="I50" i="1"/>
  <c r="I51" i="1"/>
  <c r="I52" i="1"/>
  <c r="I53" i="1"/>
  <c r="I54" i="1"/>
  <c r="I58" i="1"/>
  <c r="I59" i="1"/>
  <c r="I60" i="1"/>
  <c r="I61" i="1"/>
  <c r="I62" i="1"/>
  <c r="I63" i="1"/>
  <c r="I64" i="1"/>
  <c r="O6" i="1"/>
  <c r="K7" i="11"/>
  <c r="K8" i="11"/>
  <c r="K9" i="11" s="1"/>
  <c r="K10" i="11" s="1"/>
  <c r="K11" i="11" s="1"/>
  <c r="K12" i="11" s="1"/>
  <c r="K13" i="11" s="1"/>
  <c r="G7" i="11"/>
  <c r="C7" i="1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Q286" i="1"/>
  <c r="Q287" i="1"/>
  <c r="Q288" i="1"/>
  <c r="Q289" i="1"/>
  <c r="Q290" i="1"/>
  <c r="Q291" i="1"/>
  <c r="Q292" i="1"/>
  <c r="Q294" i="1"/>
  <c r="Q295" i="1"/>
  <c r="Q296" i="1"/>
  <c r="Q297" i="1"/>
  <c r="Q298" i="1"/>
  <c r="Q299" i="1"/>
  <c r="Q300" i="1"/>
  <c r="Q301" i="1"/>
  <c r="Q302" i="1"/>
  <c r="Q303" i="1"/>
  <c r="O286" i="1"/>
  <c r="O287" i="1"/>
  <c r="O288" i="1"/>
  <c r="O289" i="1"/>
  <c r="O290" i="1"/>
  <c r="O291" i="1"/>
  <c r="O292" i="1"/>
  <c r="O294" i="1"/>
  <c r="O295" i="1"/>
  <c r="O296" i="1"/>
  <c r="O297" i="1"/>
  <c r="O298" i="1"/>
  <c r="O299" i="1"/>
  <c r="O300" i="1"/>
  <c r="O301" i="1"/>
  <c r="O302" i="1"/>
  <c r="O303" i="1"/>
  <c r="Q285" i="1"/>
  <c r="O285" i="1"/>
  <c r="I285" i="1"/>
  <c r="I141" i="17"/>
  <c r="I140" i="17"/>
  <c r="G139" i="17"/>
  <c r="I139" i="17" s="1"/>
  <c r="I138" i="17"/>
  <c r="I137" i="17"/>
  <c r="J428" i="1" l="1"/>
  <c r="J435" i="1"/>
  <c r="J436" i="1"/>
  <c r="J440" i="1"/>
  <c r="J431" i="1"/>
  <c r="J432" i="1"/>
  <c r="J434" i="1"/>
  <c r="J430" i="1"/>
  <c r="J429" i="1"/>
  <c r="J393" i="1"/>
  <c r="J423" i="1"/>
  <c r="J425" i="1"/>
  <c r="J426" i="1"/>
  <c r="J427" i="1"/>
  <c r="J424" i="1"/>
  <c r="J250" i="9"/>
  <c r="J267" i="9"/>
  <c r="J268" i="9"/>
  <c r="J269" i="9"/>
  <c r="J270" i="9"/>
  <c r="J271" i="9"/>
  <c r="J272" i="9"/>
  <c r="J273" i="9"/>
  <c r="J274" i="9"/>
  <c r="J391" i="1"/>
  <c r="J392" i="1"/>
  <c r="J394" i="1"/>
  <c r="J420" i="1"/>
  <c r="J421" i="1"/>
  <c r="J441" i="1"/>
  <c r="J422" i="1"/>
  <c r="J419" i="1"/>
  <c r="J418" i="1"/>
  <c r="J390" i="1"/>
  <c r="J389" i="1"/>
  <c r="J388" i="1"/>
  <c r="J32" i="1"/>
  <c r="J29" i="1"/>
  <c r="J43" i="1"/>
  <c r="J60" i="1"/>
  <c r="J14" i="1"/>
  <c r="J381" i="1"/>
  <c r="J379" i="1"/>
  <c r="J371" i="1"/>
  <c r="J372" i="1"/>
  <c r="J373" i="1"/>
  <c r="J374" i="1"/>
  <c r="J375" i="1"/>
  <c r="J376" i="1"/>
  <c r="J377" i="1"/>
  <c r="J378" i="1"/>
  <c r="J380" i="1"/>
  <c r="J383" i="1"/>
  <c r="J384" i="1"/>
  <c r="J385" i="1"/>
  <c r="J386" i="1"/>
  <c r="J387" i="1"/>
  <c r="J442" i="1"/>
  <c r="J6" i="9"/>
  <c r="J249" i="9"/>
  <c r="J248" i="9"/>
  <c r="J247" i="9"/>
  <c r="J246" i="9"/>
  <c r="J230" i="9"/>
  <c r="J231" i="9"/>
  <c r="J232" i="9"/>
  <c r="J213" i="9"/>
  <c r="J212" i="9"/>
  <c r="J211" i="9"/>
  <c r="J224" i="9"/>
  <c r="J223" i="9"/>
  <c r="J222" i="9"/>
  <c r="J225" i="9"/>
  <c r="J226" i="9"/>
  <c r="J227" i="9"/>
  <c r="J228" i="9"/>
  <c r="J229" i="9"/>
  <c r="J244" i="9"/>
  <c r="J242" i="9"/>
  <c r="J240" i="9"/>
  <c r="J265" i="9"/>
  <c r="I65" i="1"/>
  <c r="I66" i="1" s="1"/>
  <c r="E79" i="41"/>
  <c r="G8" i="11"/>
  <c r="C8" i="11"/>
  <c r="J446" i="1"/>
  <c r="J39" i="9"/>
  <c r="J49" i="9"/>
  <c r="J48" i="1"/>
  <c r="J34" i="1"/>
  <c r="J19" i="1"/>
  <c r="J64" i="1"/>
  <c r="J47" i="1"/>
  <c r="J18" i="1"/>
  <c r="J63" i="1"/>
  <c r="J46" i="1"/>
  <c r="J17" i="1"/>
  <c r="J45" i="1"/>
  <c r="J16" i="1"/>
  <c r="J44" i="1"/>
  <c r="J15" i="1"/>
  <c r="J57" i="1"/>
  <c r="J31" i="1"/>
  <c r="J61" i="1"/>
  <c r="J56" i="1"/>
  <c r="J58" i="1"/>
  <c r="J41" i="1"/>
  <c r="J12" i="1"/>
  <c r="J53" i="1"/>
  <c r="J39" i="1"/>
  <c r="J10" i="1"/>
  <c r="J52" i="1"/>
  <c r="J38" i="1"/>
  <c r="J24" i="1"/>
  <c r="J9" i="1"/>
  <c r="J233" i="1"/>
  <c r="J62" i="1"/>
  <c r="J30" i="1"/>
  <c r="J59" i="1"/>
  <c r="J42" i="1"/>
  <c r="J28" i="1"/>
  <c r="J13" i="1"/>
  <c r="J54" i="1"/>
  <c r="J40" i="1"/>
  <c r="J26" i="1"/>
  <c r="J11" i="1"/>
  <c r="J25" i="1"/>
  <c r="J51" i="1"/>
  <c r="J37" i="1"/>
  <c r="J23" i="1"/>
  <c r="J8" i="1"/>
  <c r="J232" i="1"/>
  <c r="J27" i="1"/>
  <c r="J55" i="1"/>
  <c r="J50" i="1"/>
  <c r="J36" i="1"/>
  <c r="J22" i="1"/>
  <c r="J7" i="1"/>
  <c r="J203" i="1"/>
  <c r="J122" i="1"/>
  <c r="J201" i="1"/>
  <c r="J202" i="1"/>
  <c r="J264" i="1"/>
  <c r="J263" i="1"/>
  <c r="J262" i="1"/>
  <c r="I221" i="9"/>
  <c r="J221" i="9" s="1"/>
  <c r="I220" i="9"/>
  <c r="J220" i="9" s="1"/>
  <c r="I219" i="9"/>
  <c r="J219" i="9" s="1"/>
  <c r="I218" i="9"/>
  <c r="J218" i="9" s="1"/>
  <c r="I217" i="9"/>
  <c r="J217" i="9" s="1"/>
  <c r="I216" i="9"/>
  <c r="J216" i="9" s="1"/>
  <c r="I215" i="9"/>
  <c r="J215" i="9" s="1"/>
  <c r="I214" i="9"/>
  <c r="J214" i="9" s="1"/>
  <c r="I210" i="9"/>
  <c r="J210" i="9" s="1"/>
  <c r="I209" i="9"/>
  <c r="J209" i="9" s="1"/>
  <c r="I208" i="9"/>
  <c r="J208" i="9" s="1"/>
  <c r="I207" i="9"/>
  <c r="J207" i="9" s="1"/>
  <c r="I206" i="9"/>
  <c r="J206" i="9" s="1"/>
  <c r="I205" i="9"/>
  <c r="J205" i="9" s="1"/>
  <c r="I204" i="9"/>
  <c r="J204" i="9" s="1"/>
  <c r="I203" i="9"/>
  <c r="J203" i="9" s="1"/>
  <c r="I202" i="9"/>
  <c r="J202" i="9" s="1"/>
  <c r="I201" i="9"/>
  <c r="J201" i="9" s="1"/>
  <c r="I200" i="9"/>
  <c r="J200" i="9" s="1"/>
  <c r="I199" i="9"/>
  <c r="J199" i="9" s="1"/>
  <c r="I198" i="9"/>
  <c r="J198" i="9" s="1"/>
  <c r="I197" i="9"/>
  <c r="J197" i="9" s="1"/>
  <c r="I196" i="9"/>
  <c r="J196" i="9" s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299" i="1"/>
  <c r="I43" i="16" l="1"/>
  <c r="I47" i="16" s="1"/>
  <c r="E80" i="41"/>
  <c r="G9" i="11"/>
  <c r="J286" i="9"/>
  <c r="C9" i="11"/>
  <c r="J454" i="1"/>
  <c r="I52" i="16" l="1"/>
  <c r="I56" i="16" s="1"/>
  <c r="E81" i="41"/>
  <c r="G10" i="11"/>
  <c r="J294" i="9"/>
  <c r="C10" i="11"/>
  <c r="J462" i="1"/>
  <c r="I59" i="16" l="1"/>
  <c r="I63" i="16" s="1"/>
  <c r="E82" i="41"/>
  <c r="G11" i="11"/>
  <c r="J302" i="9"/>
  <c r="C11" i="11"/>
  <c r="J470" i="1"/>
  <c r="H87" i="41"/>
  <c r="H88" i="41"/>
  <c r="H89" i="41"/>
  <c r="H90" i="41"/>
  <c r="H91" i="41"/>
  <c r="H92" i="41"/>
  <c r="H86" i="41"/>
  <c r="H73" i="41"/>
  <c r="H74" i="41"/>
  <c r="H75" i="41"/>
  <c r="H76" i="41"/>
  <c r="H72" i="41"/>
  <c r="H67" i="41"/>
  <c r="H66" i="41"/>
  <c r="H68" i="41"/>
  <c r="H69" i="41"/>
  <c r="H65" i="41"/>
  <c r="I104" i="8"/>
  <c r="I94" i="8"/>
  <c r="I83" i="8"/>
  <c r="I73" i="8"/>
  <c r="I63" i="8"/>
  <c r="I52" i="8"/>
  <c r="J118" i="2"/>
  <c r="J111" i="2"/>
  <c r="J104" i="2"/>
  <c r="J97" i="2"/>
  <c r="J88" i="2"/>
  <c r="J81" i="2"/>
  <c r="H50" i="41"/>
  <c r="H49" i="41"/>
  <c r="H48" i="41"/>
  <c r="H46" i="41"/>
  <c r="H45" i="41"/>
  <c r="E49" i="41"/>
  <c r="F49" i="41" s="1"/>
  <c r="E46" i="41"/>
  <c r="F46" i="41" s="1"/>
  <c r="J285" i="1"/>
  <c r="J108" i="17"/>
  <c r="I136" i="17"/>
  <c r="J136" i="17" s="1"/>
  <c r="I135" i="17"/>
  <c r="J135" i="17" s="1"/>
  <c r="I134" i="17"/>
  <c r="J134" i="17" s="1"/>
  <c r="I133" i="17"/>
  <c r="J133" i="17" s="1"/>
  <c r="I132" i="17"/>
  <c r="J132" i="17" s="1"/>
  <c r="I131" i="17"/>
  <c r="I34" i="8"/>
  <c r="J131" i="17" l="1"/>
  <c r="I149" i="17"/>
  <c r="I150" i="17" s="1"/>
  <c r="J146" i="17"/>
  <c r="J147" i="17"/>
  <c r="J148" i="17"/>
  <c r="J142" i="17"/>
  <c r="J143" i="17"/>
  <c r="J144" i="17"/>
  <c r="J145" i="17"/>
  <c r="J137" i="17"/>
  <c r="J138" i="17"/>
  <c r="J139" i="17"/>
  <c r="J140" i="17"/>
  <c r="J141" i="17"/>
  <c r="I66" i="16"/>
  <c r="I70" i="16" s="1"/>
  <c r="E83" i="41"/>
  <c r="G12" i="11"/>
  <c r="J310" i="9"/>
  <c r="C12" i="11"/>
  <c r="J478" i="1"/>
  <c r="J299" i="1"/>
  <c r="J313" i="1"/>
  <c r="J304" i="1"/>
  <c r="J318" i="1"/>
  <c r="J303" i="1"/>
  <c r="J317" i="1"/>
  <c r="J312" i="1"/>
  <c r="J311" i="1"/>
  <c r="J306" i="1"/>
  <c r="J310" i="1"/>
  <c r="J323" i="1"/>
  <c r="J315" i="1"/>
  <c r="J300" i="1"/>
  <c r="J321" i="1"/>
  <c r="J316" i="1"/>
  <c r="J322" i="1"/>
  <c r="J320" i="1"/>
  <c r="J309" i="1"/>
  <c r="J308" i="1"/>
  <c r="J307" i="1"/>
  <c r="J319" i="1"/>
  <c r="J301" i="1"/>
  <c r="J314" i="1"/>
  <c r="J302" i="1"/>
  <c r="J305" i="1"/>
  <c r="J298" i="1"/>
  <c r="J297" i="1"/>
  <c r="J295" i="1"/>
  <c r="J296" i="1"/>
  <c r="J294" i="1"/>
  <c r="I73" i="16" l="1"/>
  <c r="I77" i="16" s="1"/>
  <c r="E85" i="41" s="1"/>
  <c r="E84" i="41"/>
  <c r="G13" i="11"/>
  <c r="H78" i="41" s="1"/>
  <c r="J318" i="9"/>
  <c r="H77" i="41"/>
  <c r="C13" i="11"/>
  <c r="H71" i="41" s="1"/>
  <c r="J486" i="1"/>
  <c r="H70" i="41"/>
  <c r="H42" i="41"/>
  <c r="H41" i="41"/>
  <c r="F41" i="41" s="1"/>
  <c r="H40" i="41"/>
  <c r="H38" i="41"/>
  <c r="H37" i="41"/>
  <c r="H34" i="41"/>
  <c r="H33" i="41"/>
  <c r="F33" i="41" s="1"/>
  <c r="H32" i="41"/>
  <c r="H30" i="41"/>
  <c r="F30" i="41" s="1"/>
  <c r="H29" i="41"/>
  <c r="H26" i="41"/>
  <c r="H25" i="41"/>
  <c r="H24" i="41"/>
  <c r="H22" i="41"/>
  <c r="H21" i="41"/>
  <c r="H18" i="41"/>
  <c r="H17" i="41"/>
  <c r="H16" i="41"/>
  <c r="H14" i="41"/>
  <c r="H13" i="41"/>
  <c r="E38" i="41"/>
  <c r="E22" i="41"/>
  <c r="E17" i="41"/>
  <c r="E14" i="41"/>
  <c r="F14" i="41" l="1"/>
  <c r="F22" i="41"/>
  <c r="F38" i="41"/>
  <c r="E25" i="41"/>
  <c r="F25" i="41" s="1"/>
  <c r="F17" i="41"/>
  <c r="H8" i="41"/>
  <c r="H10" i="41"/>
  <c r="F10" i="41" s="1"/>
  <c r="H9" i="41"/>
  <c r="F9" i="41" s="1"/>
  <c r="E8" i="41"/>
  <c r="E7" i="41"/>
  <c r="F7" i="41" s="1"/>
  <c r="H6" i="41"/>
  <c r="F6" i="41" s="1"/>
  <c r="E5" i="41"/>
  <c r="F5" i="41" s="1"/>
  <c r="E3" i="41"/>
  <c r="F3" i="41" s="1"/>
  <c r="E4" i="41"/>
  <c r="F4" i="41" s="1"/>
  <c r="J366" i="35"/>
  <c r="L366" i="35"/>
  <c r="J367" i="35"/>
  <c r="L367" i="35"/>
  <c r="J368" i="35"/>
  <c r="L368" i="35"/>
  <c r="J369" i="35"/>
  <c r="L369" i="35"/>
  <c r="J370" i="35"/>
  <c r="L370" i="35"/>
  <c r="J371" i="35"/>
  <c r="L371" i="35"/>
  <c r="J372" i="35"/>
  <c r="L372" i="35"/>
  <c r="J373" i="35"/>
  <c r="L373" i="35"/>
  <c r="J374" i="35"/>
  <c r="L374" i="35"/>
  <c r="J375" i="35"/>
  <c r="L375" i="35"/>
  <c r="J376" i="35"/>
  <c r="L376" i="35"/>
  <c r="J377" i="35"/>
  <c r="L377" i="35"/>
  <c r="J378" i="35"/>
  <c r="L378" i="35"/>
  <c r="J379" i="35"/>
  <c r="L379" i="35"/>
  <c r="J380" i="35"/>
  <c r="L380" i="35"/>
  <c r="J381" i="35"/>
  <c r="L381" i="35"/>
  <c r="J382" i="35"/>
  <c r="L382" i="35"/>
  <c r="J383" i="35"/>
  <c r="L383" i="35"/>
  <c r="J384" i="35"/>
  <c r="L384" i="35"/>
  <c r="J385" i="35"/>
  <c r="L385" i="35"/>
  <c r="J386" i="35"/>
  <c r="L386" i="35"/>
  <c r="J387" i="35"/>
  <c r="L387" i="35"/>
  <c r="J388" i="35"/>
  <c r="L388" i="35"/>
  <c r="J389" i="35"/>
  <c r="L389" i="35"/>
  <c r="J390" i="35"/>
  <c r="L390" i="35"/>
  <c r="J391" i="35"/>
  <c r="L391" i="35"/>
  <c r="J392" i="35"/>
  <c r="L392" i="35"/>
  <c r="J393" i="35"/>
  <c r="L393" i="35"/>
  <c r="J394" i="35"/>
  <c r="L394" i="35"/>
  <c r="J395" i="35"/>
  <c r="L395" i="35"/>
  <c r="J396" i="35"/>
  <c r="L396" i="35"/>
  <c r="J397" i="35"/>
  <c r="L397" i="35"/>
  <c r="J398" i="35"/>
  <c r="L398" i="35"/>
  <c r="J399" i="35"/>
  <c r="L399" i="35"/>
  <c r="J400" i="35"/>
  <c r="L400" i="35"/>
  <c r="J401" i="35"/>
  <c r="L401" i="35"/>
  <c r="J402" i="35"/>
  <c r="L402" i="35"/>
  <c r="J403" i="35"/>
  <c r="L403" i="35"/>
  <c r="J404" i="35"/>
  <c r="L404" i="35"/>
  <c r="J405" i="35"/>
  <c r="L405" i="35"/>
  <c r="J406" i="35"/>
  <c r="L406" i="35"/>
  <c r="J407" i="35"/>
  <c r="L407" i="35"/>
  <c r="J408" i="35"/>
  <c r="L408" i="35"/>
  <c r="J409" i="35"/>
  <c r="L409" i="35"/>
  <c r="J410" i="35"/>
  <c r="L410" i="35"/>
  <c r="J411" i="35"/>
  <c r="L411" i="35"/>
  <c r="J412" i="35"/>
  <c r="L412" i="35"/>
  <c r="J413" i="35"/>
  <c r="L413" i="35"/>
  <c r="J414" i="35"/>
  <c r="L414" i="35"/>
  <c r="J415" i="35"/>
  <c r="L415" i="35"/>
  <c r="J416" i="35"/>
  <c r="L416" i="35"/>
  <c r="J417" i="35"/>
  <c r="L417" i="35"/>
  <c r="J418" i="35"/>
  <c r="L418" i="35"/>
  <c r="J419" i="35"/>
  <c r="L419" i="35"/>
  <c r="J420" i="35"/>
  <c r="L420" i="35"/>
  <c r="J421" i="35"/>
  <c r="L421" i="35"/>
  <c r="J422" i="35"/>
  <c r="L422" i="35"/>
  <c r="J423" i="35"/>
  <c r="L423" i="35"/>
  <c r="J424" i="35"/>
  <c r="L424" i="35"/>
  <c r="J425" i="35"/>
  <c r="L425" i="35"/>
  <c r="J426" i="35"/>
  <c r="L426" i="35"/>
  <c r="J427" i="35"/>
  <c r="L427" i="35"/>
  <c r="J428" i="35"/>
  <c r="L428" i="35"/>
  <c r="J429" i="35"/>
  <c r="L429" i="35"/>
  <c r="J430" i="35"/>
  <c r="L430" i="35"/>
  <c r="J431" i="35"/>
  <c r="L431" i="35"/>
  <c r="J432" i="35"/>
  <c r="L432" i="35"/>
  <c r="J433" i="35"/>
  <c r="L433" i="35"/>
  <c r="J434" i="35"/>
  <c r="L434" i="35"/>
  <c r="J435" i="35"/>
  <c r="L435" i="35"/>
  <c r="J436" i="35"/>
  <c r="L436" i="35"/>
  <c r="J437" i="35"/>
  <c r="L437" i="35"/>
  <c r="J438" i="35"/>
  <c r="L438" i="35"/>
  <c r="J439" i="35"/>
  <c r="L439" i="35"/>
  <c r="J440" i="35"/>
  <c r="L440" i="35"/>
  <c r="J441" i="35"/>
  <c r="L441" i="35"/>
  <c r="J442" i="35"/>
  <c r="L442" i="35"/>
  <c r="J443" i="35"/>
  <c r="L443" i="35"/>
  <c r="J444" i="35"/>
  <c r="L444" i="35"/>
  <c r="J445" i="35"/>
  <c r="L445" i="35"/>
  <c r="J446" i="35"/>
  <c r="L446" i="35"/>
  <c r="J447" i="35"/>
  <c r="L447" i="35"/>
  <c r="J448" i="35"/>
  <c r="L448" i="35"/>
  <c r="J449" i="35"/>
  <c r="L449" i="35"/>
  <c r="J450" i="35"/>
  <c r="L450" i="35"/>
  <c r="J451" i="35"/>
  <c r="L451" i="35"/>
  <c r="J452" i="35"/>
  <c r="L452" i="35"/>
  <c r="J453" i="35"/>
  <c r="L453" i="35"/>
  <c r="J454" i="35"/>
  <c r="L454" i="35"/>
  <c r="J455" i="35"/>
  <c r="L455" i="35"/>
  <c r="J456" i="35"/>
  <c r="L456" i="35"/>
  <c r="J457" i="35"/>
  <c r="L457" i="35"/>
  <c r="J458" i="35"/>
  <c r="L458" i="35"/>
  <c r="J459" i="35"/>
  <c r="L459" i="35"/>
  <c r="J460" i="35"/>
  <c r="L460" i="35"/>
  <c r="J461" i="35"/>
  <c r="L461" i="35"/>
  <c r="G366" i="35" a="1"/>
  <c r="G366" i="35" s="1"/>
  <c r="G367" i="35" a="1"/>
  <c r="G367" i="35" s="1"/>
  <c r="G368" i="35" a="1"/>
  <c r="G368" i="35" s="1"/>
  <c r="G369" i="35" a="1"/>
  <c r="G369" i="35" s="1"/>
  <c r="G370" i="35" a="1"/>
  <c r="G370" i="35" s="1"/>
  <c r="G371" i="35" a="1"/>
  <c r="G371" i="35" s="1"/>
  <c r="G372" i="35" a="1"/>
  <c r="G372" i="35" s="1"/>
  <c r="G373" i="35" a="1"/>
  <c r="G373" i="35" s="1"/>
  <c r="G374" i="35" a="1"/>
  <c r="G374" i="35" s="1"/>
  <c r="G375" i="35" a="1"/>
  <c r="G375" i="35" s="1"/>
  <c r="G376" i="35" a="1"/>
  <c r="G376" i="35" s="1"/>
  <c r="G377" i="35" a="1"/>
  <c r="G377" i="35" s="1"/>
  <c r="G378" i="35" a="1"/>
  <c r="G378" i="35" s="1"/>
  <c r="G379" i="35" a="1"/>
  <c r="G379" i="35" s="1"/>
  <c r="G380" i="35" a="1"/>
  <c r="G380" i="35" s="1"/>
  <c r="G381" i="35" a="1"/>
  <c r="G381" i="35" s="1"/>
  <c r="G382" i="35" a="1"/>
  <c r="G382" i="35" s="1"/>
  <c r="G383" i="35" a="1"/>
  <c r="G383" i="35" s="1"/>
  <c r="G384" i="35" a="1"/>
  <c r="G384" i="35" s="1"/>
  <c r="G385" i="35" a="1"/>
  <c r="G385" i="35" s="1"/>
  <c r="G386" i="35" a="1"/>
  <c r="G386" i="35" s="1"/>
  <c r="G387" i="35" a="1"/>
  <c r="G387" i="35" s="1"/>
  <c r="G388" i="35" a="1"/>
  <c r="G388" i="35" s="1"/>
  <c r="G389" i="35" a="1"/>
  <c r="G389" i="35" s="1"/>
  <c r="G390" i="35" a="1"/>
  <c r="G390" i="35" s="1"/>
  <c r="G391" i="35" a="1"/>
  <c r="G391" i="35" s="1"/>
  <c r="G392" i="35" a="1"/>
  <c r="G392" i="35" s="1"/>
  <c r="G393" i="35" a="1"/>
  <c r="G393" i="35" s="1"/>
  <c r="G394" i="35" a="1"/>
  <c r="G394" i="35" s="1"/>
  <c r="G395" i="35" a="1"/>
  <c r="G395" i="35" s="1"/>
  <c r="G396" i="35" a="1"/>
  <c r="G396" i="35" s="1"/>
  <c r="G397" i="35" a="1"/>
  <c r="G397" i="35" s="1"/>
  <c r="G398" i="35" a="1"/>
  <c r="G398" i="35" s="1"/>
  <c r="G399" i="35" a="1"/>
  <c r="G399" i="35" s="1"/>
  <c r="G400" i="35" a="1"/>
  <c r="G400" i="35" s="1"/>
  <c r="G401" i="35" a="1"/>
  <c r="G401" i="35" s="1"/>
  <c r="G402" i="35" a="1"/>
  <c r="G402" i="35" s="1"/>
  <c r="G403" i="35" a="1"/>
  <c r="G403" i="35" s="1"/>
  <c r="G404" i="35" a="1"/>
  <c r="G404" i="35" s="1"/>
  <c r="G405" i="35" a="1"/>
  <c r="G405" i="35" s="1"/>
  <c r="G406" i="35" a="1"/>
  <c r="G406" i="35" s="1"/>
  <c r="G407" i="35" a="1"/>
  <c r="G407" i="35" s="1"/>
  <c r="G408" i="35" a="1"/>
  <c r="G408" i="35" s="1"/>
  <c r="G409" i="35" a="1"/>
  <c r="G409" i="35" s="1"/>
  <c r="G410" i="35" a="1"/>
  <c r="G410" i="35" s="1"/>
  <c r="G411" i="35" a="1"/>
  <c r="G411" i="35" s="1"/>
  <c r="G412" i="35" a="1"/>
  <c r="G412" i="35" s="1"/>
  <c r="G413" i="35" a="1"/>
  <c r="G413" i="35" s="1"/>
  <c r="G414" i="35" a="1"/>
  <c r="G414" i="35" s="1"/>
  <c r="G415" i="35" a="1"/>
  <c r="G415" i="35" s="1"/>
  <c r="G416" i="35" a="1"/>
  <c r="G416" i="35" s="1"/>
  <c r="G417" i="35" a="1"/>
  <c r="G417" i="35" s="1"/>
  <c r="G418" i="35" a="1"/>
  <c r="G418" i="35" s="1"/>
  <c r="G419" i="35" a="1"/>
  <c r="G419" i="35" s="1"/>
  <c r="G420" i="35" a="1"/>
  <c r="G420" i="35" s="1"/>
  <c r="G421" i="35" a="1"/>
  <c r="G421" i="35" s="1"/>
  <c r="G422" i="35" a="1"/>
  <c r="G422" i="35" s="1"/>
  <c r="G423" i="35" a="1"/>
  <c r="G423" i="35" s="1"/>
  <c r="G424" i="35" a="1"/>
  <c r="G424" i="35" s="1"/>
  <c r="G425" i="35" a="1"/>
  <c r="G425" i="35" s="1"/>
  <c r="G426" i="35" a="1"/>
  <c r="G426" i="35" s="1"/>
  <c r="G427" i="35" a="1"/>
  <c r="G427" i="35" s="1"/>
  <c r="G428" i="35" a="1"/>
  <c r="G428" i="35" s="1"/>
  <c r="G429" i="35" a="1"/>
  <c r="G429" i="35" s="1"/>
  <c r="G430" i="35" a="1"/>
  <c r="G430" i="35" s="1"/>
  <c r="G431" i="35" a="1"/>
  <c r="G431" i="35" s="1"/>
  <c r="G432" i="35" a="1"/>
  <c r="G432" i="35" s="1"/>
  <c r="G433" i="35" a="1"/>
  <c r="G433" i="35" s="1"/>
  <c r="G434" i="35" a="1"/>
  <c r="G434" i="35" s="1"/>
  <c r="G435" i="35" a="1"/>
  <c r="G435" i="35" s="1"/>
  <c r="G436" i="35" a="1"/>
  <c r="G436" i="35" s="1"/>
  <c r="G437" i="35" a="1"/>
  <c r="G437" i="35" s="1"/>
  <c r="G438" i="35" a="1"/>
  <c r="G438" i="35" s="1"/>
  <c r="G439" i="35" a="1"/>
  <c r="G439" i="35" s="1"/>
  <c r="G440" i="35" a="1"/>
  <c r="G440" i="35" s="1"/>
  <c r="G441" i="35" a="1"/>
  <c r="G441" i="35" s="1"/>
  <c r="G442" i="35" a="1"/>
  <c r="G442" i="35" s="1"/>
  <c r="G443" i="35" a="1"/>
  <c r="G443" i="35" s="1"/>
  <c r="G444" i="35" a="1"/>
  <c r="G444" i="35" s="1"/>
  <c r="G445" i="35" a="1"/>
  <c r="G445" i="35" s="1"/>
  <c r="G446" i="35" a="1"/>
  <c r="G446" i="35" s="1"/>
  <c r="G447" i="35" a="1"/>
  <c r="G447" i="35" s="1"/>
  <c r="G448" i="35" a="1"/>
  <c r="G448" i="35" s="1"/>
  <c r="G449" i="35" a="1"/>
  <c r="G449" i="35" s="1"/>
  <c r="G450" i="35" a="1"/>
  <c r="G450" i="35" s="1"/>
  <c r="G451" i="35" a="1"/>
  <c r="G451" i="35" s="1"/>
  <c r="G452" i="35" a="1"/>
  <c r="G452" i="35" s="1"/>
  <c r="G453" i="35" a="1"/>
  <c r="G453" i="35" s="1"/>
  <c r="G454" i="35" a="1"/>
  <c r="G454" i="35" s="1"/>
  <c r="G455" i="35" a="1"/>
  <c r="G455" i="35" s="1"/>
  <c r="G456" i="35" a="1"/>
  <c r="G456" i="35" s="1"/>
  <c r="G457" i="35" a="1"/>
  <c r="G457" i="35" s="1"/>
  <c r="G458" i="35" a="1"/>
  <c r="G458" i="35" s="1"/>
  <c r="G459" i="35" a="1"/>
  <c r="G459" i="35" s="1"/>
  <c r="G460" i="35" a="1"/>
  <c r="G460" i="35" s="1"/>
  <c r="G461" i="35" a="1"/>
  <c r="G461" i="35" s="1"/>
  <c r="J314" i="35"/>
  <c r="L314" i="35"/>
  <c r="J315" i="35"/>
  <c r="L315" i="35"/>
  <c r="J316" i="35"/>
  <c r="L316" i="35"/>
  <c r="J317" i="35"/>
  <c r="L317" i="35"/>
  <c r="J318" i="35"/>
  <c r="L318" i="35"/>
  <c r="J319" i="35"/>
  <c r="L319" i="35"/>
  <c r="J320" i="35"/>
  <c r="L320" i="35"/>
  <c r="J321" i="35"/>
  <c r="L321" i="35"/>
  <c r="J322" i="35"/>
  <c r="L322" i="35"/>
  <c r="J323" i="35"/>
  <c r="L323" i="35"/>
  <c r="J324" i="35"/>
  <c r="L324" i="35"/>
  <c r="J325" i="35"/>
  <c r="L325" i="35"/>
  <c r="J326" i="35"/>
  <c r="L326" i="35"/>
  <c r="J327" i="35"/>
  <c r="L327" i="35"/>
  <c r="J328" i="35"/>
  <c r="L328" i="35"/>
  <c r="J329" i="35"/>
  <c r="L329" i="35"/>
  <c r="J330" i="35"/>
  <c r="L330" i="35"/>
  <c r="J331" i="35"/>
  <c r="L331" i="35"/>
  <c r="J332" i="35"/>
  <c r="L332" i="35"/>
  <c r="J333" i="35"/>
  <c r="L333" i="35"/>
  <c r="J334" i="35"/>
  <c r="L334" i="35"/>
  <c r="J335" i="35"/>
  <c r="L335" i="35"/>
  <c r="J336" i="35"/>
  <c r="L336" i="35"/>
  <c r="J337" i="35"/>
  <c r="L337" i="35"/>
  <c r="J338" i="35"/>
  <c r="L338" i="35"/>
  <c r="J339" i="35"/>
  <c r="L339" i="35"/>
  <c r="J340" i="35"/>
  <c r="L340" i="35"/>
  <c r="J341" i="35"/>
  <c r="L341" i="35"/>
  <c r="J342" i="35"/>
  <c r="L342" i="35"/>
  <c r="J343" i="35"/>
  <c r="L343" i="35"/>
  <c r="J344" i="35"/>
  <c r="L344" i="35"/>
  <c r="J345" i="35"/>
  <c r="L345" i="35"/>
  <c r="J346" i="35"/>
  <c r="L346" i="35"/>
  <c r="J347" i="35"/>
  <c r="L347" i="35"/>
  <c r="J348" i="35"/>
  <c r="L348" i="35"/>
  <c r="J349" i="35"/>
  <c r="L349" i="35"/>
  <c r="J350" i="35"/>
  <c r="L350" i="35"/>
  <c r="J351" i="35"/>
  <c r="L351" i="35"/>
  <c r="J352" i="35"/>
  <c r="L352" i="35"/>
  <c r="J353" i="35"/>
  <c r="L353" i="35"/>
  <c r="J354" i="35"/>
  <c r="L354" i="35"/>
  <c r="J355" i="35"/>
  <c r="L355" i="35"/>
  <c r="J356" i="35"/>
  <c r="L356" i="35"/>
  <c r="J357" i="35"/>
  <c r="L357" i="35"/>
  <c r="J358" i="35"/>
  <c r="L358" i="35"/>
  <c r="J359" i="35"/>
  <c r="L359" i="35"/>
  <c r="J360" i="35"/>
  <c r="L360" i="35"/>
  <c r="J361" i="35"/>
  <c r="L361" i="35"/>
  <c r="J362" i="35"/>
  <c r="L362" i="35"/>
  <c r="J363" i="35"/>
  <c r="L363" i="35"/>
  <c r="J364" i="35"/>
  <c r="L364" i="35"/>
  <c r="J365" i="35"/>
  <c r="L365" i="35"/>
  <c r="G314" i="35" a="1"/>
  <c r="G314" i="35" s="1"/>
  <c r="G315" i="35" a="1"/>
  <c r="G315" i="35" s="1"/>
  <c r="G316" i="35" a="1"/>
  <c r="G316" i="35" s="1"/>
  <c r="G317" i="35" a="1"/>
  <c r="G317" i="35" s="1"/>
  <c r="G318" i="35" a="1"/>
  <c r="G318" i="35" s="1"/>
  <c r="G319" i="35" a="1"/>
  <c r="G319" i="35" s="1"/>
  <c r="G320" i="35" a="1"/>
  <c r="G320" i="35" s="1"/>
  <c r="G321" i="35" a="1"/>
  <c r="G321" i="35" s="1"/>
  <c r="G322" i="35" a="1"/>
  <c r="G322" i="35" s="1"/>
  <c r="G323" i="35" a="1"/>
  <c r="G323" i="35" s="1"/>
  <c r="G324" i="35" a="1"/>
  <c r="G324" i="35" s="1"/>
  <c r="G325" i="35" a="1"/>
  <c r="G325" i="35" s="1"/>
  <c r="G326" i="35" a="1"/>
  <c r="G326" i="35"/>
  <c r="G327" i="35" a="1"/>
  <c r="G327" i="35" s="1"/>
  <c r="G328" i="35" a="1"/>
  <c r="G328" i="35" s="1"/>
  <c r="G329" i="35" a="1"/>
  <c r="G329" i="35" s="1"/>
  <c r="G330" i="35" a="1"/>
  <c r="G330" i="35" s="1"/>
  <c r="G331" i="35" a="1"/>
  <c r="G331" i="35" s="1"/>
  <c r="G332" i="35" a="1"/>
  <c r="G332" i="35" s="1"/>
  <c r="G333" i="35" a="1"/>
  <c r="G333" i="35" s="1"/>
  <c r="G334" i="35" a="1"/>
  <c r="G334" i="35" s="1"/>
  <c r="G335" i="35" a="1"/>
  <c r="G335" i="35" s="1"/>
  <c r="G336" i="35" a="1"/>
  <c r="G336" i="35" s="1"/>
  <c r="G337" i="35" a="1"/>
  <c r="G337" i="35" s="1"/>
  <c r="G338" i="35" a="1"/>
  <c r="G338" i="35" s="1"/>
  <c r="G339" i="35" a="1"/>
  <c r="G339" i="35" s="1"/>
  <c r="G340" i="35" a="1"/>
  <c r="G340" i="35" s="1"/>
  <c r="G341" i="35" a="1"/>
  <c r="G341" i="35" s="1"/>
  <c r="G342" i="35" a="1"/>
  <c r="G342" i="35" s="1"/>
  <c r="G343" i="35" a="1"/>
  <c r="G343" i="35" s="1"/>
  <c r="G344" i="35" a="1"/>
  <c r="G344" i="35" s="1"/>
  <c r="G345" i="35" a="1"/>
  <c r="G345" i="35" s="1"/>
  <c r="G346" i="35" a="1"/>
  <c r="G346" i="35" s="1"/>
  <c r="G347" i="35" a="1"/>
  <c r="G347" i="35" s="1"/>
  <c r="G348" i="35" a="1"/>
  <c r="G348" i="35" s="1"/>
  <c r="G349" i="35" a="1"/>
  <c r="G349" i="35" s="1"/>
  <c r="G350" i="35" a="1"/>
  <c r="G350" i="35" s="1"/>
  <c r="G351" i="35" a="1"/>
  <c r="G351" i="35" s="1"/>
  <c r="G352" i="35" a="1"/>
  <c r="G352" i="35"/>
  <c r="G353" i="35" a="1"/>
  <c r="G353" i="35" s="1"/>
  <c r="G354" i="35" a="1"/>
  <c r="G354" i="35" s="1"/>
  <c r="G355" i="35" a="1"/>
  <c r="G355" i="35" s="1"/>
  <c r="G356" i="35" a="1"/>
  <c r="G356" i="35" s="1"/>
  <c r="G357" i="35" a="1"/>
  <c r="G357" i="35" s="1"/>
  <c r="G358" i="35" a="1"/>
  <c r="G358" i="35" s="1"/>
  <c r="G359" i="35" a="1"/>
  <c r="G359" i="35" s="1"/>
  <c r="G360" i="35" a="1"/>
  <c r="G360" i="35" s="1"/>
  <c r="G361" i="35" a="1"/>
  <c r="G361" i="35" s="1"/>
  <c r="G362" i="35" a="1"/>
  <c r="G362" i="35" s="1"/>
  <c r="G363" i="35" a="1"/>
  <c r="G363" i="35" s="1"/>
  <c r="G364" i="35" a="1"/>
  <c r="G364" i="35" s="1"/>
  <c r="G365" i="35" a="1"/>
  <c r="G365" i="35" s="1"/>
  <c r="J262" i="35"/>
  <c r="L262" i="35"/>
  <c r="J263" i="35"/>
  <c r="L263" i="35"/>
  <c r="J264" i="35"/>
  <c r="L264" i="35"/>
  <c r="J265" i="35"/>
  <c r="L265" i="35"/>
  <c r="J266" i="35"/>
  <c r="L266" i="35"/>
  <c r="J267" i="35"/>
  <c r="L267" i="35"/>
  <c r="J268" i="35"/>
  <c r="L268" i="35"/>
  <c r="J269" i="35"/>
  <c r="L269" i="35"/>
  <c r="J270" i="35"/>
  <c r="L270" i="35"/>
  <c r="J271" i="35"/>
  <c r="L271" i="35"/>
  <c r="J272" i="35"/>
  <c r="L272" i="35"/>
  <c r="J273" i="35"/>
  <c r="L273" i="35"/>
  <c r="J274" i="35"/>
  <c r="L274" i="35"/>
  <c r="J275" i="35"/>
  <c r="L275" i="35"/>
  <c r="J276" i="35"/>
  <c r="L276" i="35"/>
  <c r="J277" i="35"/>
  <c r="L277" i="35"/>
  <c r="J278" i="35"/>
  <c r="L278" i="35"/>
  <c r="J279" i="35"/>
  <c r="L279" i="35"/>
  <c r="J280" i="35"/>
  <c r="L280" i="35"/>
  <c r="J281" i="35"/>
  <c r="L281" i="35"/>
  <c r="J282" i="35"/>
  <c r="L282" i="35"/>
  <c r="J283" i="35"/>
  <c r="L283" i="35"/>
  <c r="J284" i="35"/>
  <c r="L284" i="35"/>
  <c r="J285" i="35"/>
  <c r="L285" i="35"/>
  <c r="J286" i="35"/>
  <c r="L286" i="35"/>
  <c r="J287" i="35"/>
  <c r="L287" i="35"/>
  <c r="J288" i="35"/>
  <c r="L288" i="35"/>
  <c r="J289" i="35"/>
  <c r="L289" i="35"/>
  <c r="J290" i="35"/>
  <c r="L290" i="35"/>
  <c r="J291" i="35"/>
  <c r="L291" i="35"/>
  <c r="J292" i="35"/>
  <c r="L292" i="35"/>
  <c r="J293" i="35"/>
  <c r="L293" i="35"/>
  <c r="J294" i="35"/>
  <c r="L294" i="35"/>
  <c r="J295" i="35"/>
  <c r="L295" i="35"/>
  <c r="J296" i="35"/>
  <c r="L296" i="35"/>
  <c r="J297" i="35"/>
  <c r="L297" i="35"/>
  <c r="J298" i="35"/>
  <c r="L298" i="35"/>
  <c r="J299" i="35"/>
  <c r="L299" i="35"/>
  <c r="J300" i="35"/>
  <c r="L300" i="35"/>
  <c r="J301" i="35"/>
  <c r="L301" i="35"/>
  <c r="J302" i="35"/>
  <c r="L302" i="35"/>
  <c r="J303" i="35"/>
  <c r="L303" i="35"/>
  <c r="J304" i="35"/>
  <c r="L304" i="35"/>
  <c r="J305" i="35"/>
  <c r="L305" i="35"/>
  <c r="J306" i="35"/>
  <c r="L306" i="35"/>
  <c r="J307" i="35"/>
  <c r="L307" i="35"/>
  <c r="J308" i="35"/>
  <c r="L308" i="35"/>
  <c r="J309" i="35"/>
  <c r="L309" i="35"/>
  <c r="J310" i="35"/>
  <c r="L310" i="35"/>
  <c r="J311" i="35"/>
  <c r="L311" i="35"/>
  <c r="J312" i="35"/>
  <c r="L312" i="35"/>
  <c r="J313" i="35"/>
  <c r="L313" i="35"/>
  <c r="G262" i="35" a="1"/>
  <c r="G262" i="35" s="1"/>
  <c r="G263" i="35" a="1"/>
  <c r="G263" i="35" s="1"/>
  <c r="G264" i="35" a="1"/>
  <c r="G264" i="35" s="1"/>
  <c r="G265" i="35" a="1"/>
  <c r="G265" i="35" s="1"/>
  <c r="G266" i="35" a="1"/>
  <c r="G266" i="35" s="1"/>
  <c r="G267" i="35" a="1"/>
  <c r="G267" i="35" s="1"/>
  <c r="G268" i="35" a="1"/>
  <c r="G268" i="35" s="1"/>
  <c r="G269" i="35" a="1"/>
  <c r="G269" i="35" s="1"/>
  <c r="G270" i="35" a="1"/>
  <c r="G270" i="35" s="1"/>
  <c r="G271" i="35" a="1"/>
  <c r="G271" i="35" s="1"/>
  <c r="G272" i="35" a="1"/>
  <c r="G272" i="35" s="1"/>
  <c r="G273" i="35" a="1"/>
  <c r="G273" i="35" s="1"/>
  <c r="G274" i="35" a="1"/>
  <c r="G274" i="35" s="1"/>
  <c r="G275" i="35" a="1"/>
  <c r="G275" i="35" s="1"/>
  <c r="G276" i="35" a="1"/>
  <c r="G276" i="35" s="1"/>
  <c r="G277" i="35" a="1"/>
  <c r="G277" i="35" s="1"/>
  <c r="G278" i="35" a="1"/>
  <c r="G278" i="35" s="1"/>
  <c r="G279" i="35" a="1"/>
  <c r="G279" i="35" s="1"/>
  <c r="G280" i="35" a="1"/>
  <c r="G280" i="35" s="1"/>
  <c r="G281" i="35" a="1"/>
  <c r="G281" i="35"/>
  <c r="G282" i="35" a="1"/>
  <c r="G282" i="35" s="1"/>
  <c r="G283" i="35" a="1"/>
  <c r="G283" i="35" s="1"/>
  <c r="G284" i="35" a="1"/>
  <c r="G284" i="35" s="1"/>
  <c r="G285" i="35" a="1"/>
  <c r="G285" i="35" s="1"/>
  <c r="G286" i="35" a="1"/>
  <c r="G286" i="35" s="1"/>
  <c r="G287" i="35" a="1"/>
  <c r="G287" i="35" s="1"/>
  <c r="G288" i="35" a="1"/>
  <c r="G288" i="35" s="1"/>
  <c r="G289" i="35" a="1"/>
  <c r="G289" i="35" s="1"/>
  <c r="G290" i="35" a="1"/>
  <c r="G290" i="35" s="1"/>
  <c r="G291" i="35" a="1"/>
  <c r="G291" i="35" s="1"/>
  <c r="G292" i="35" a="1"/>
  <c r="G292" i="35" s="1"/>
  <c r="G293" i="35" a="1"/>
  <c r="G293" i="35" s="1"/>
  <c r="G294" i="35" a="1"/>
  <c r="G294" i="35" s="1"/>
  <c r="G295" i="35" a="1"/>
  <c r="G295" i="35" s="1"/>
  <c r="G296" i="35" a="1"/>
  <c r="G296" i="35" s="1"/>
  <c r="G297" i="35" a="1"/>
  <c r="G297" i="35" s="1"/>
  <c r="G298" i="35" a="1"/>
  <c r="G298" i="35" s="1"/>
  <c r="G299" i="35" a="1"/>
  <c r="G299" i="35" s="1"/>
  <c r="G300" i="35" a="1"/>
  <c r="G300" i="35" s="1"/>
  <c r="G301" i="35" a="1"/>
  <c r="G301" i="35" s="1"/>
  <c r="G302" i="35" a="1"/>
  <c r="G302" i="35" s="1"/>
  <c r="G303" i="35" a="1"/>
  <c r="G303" i="35" s="1"/>
  <c r="G304" i="35" a="1"/>
  <c r="G304" i="35" s="1"/>
  <c r="G305" i="35" a="1"/>
  <c r="G305" i="35" s="1"/>
  <c r="G306" i="35" a="1"/>
  <c r="G306" i="35" s="1"/>
  <c r="G307" i="35" a="1"/>
  <c r="G307" i="35" s="1"/>
  <c r="G308" i="35" a="1"/>
  <c r="G308" i="35" s="1"/>
  <c r="G309" i="35" a="1"/>
  <c r="G309" i="35" s="1"/>
  <c r="G310" i="35" a="1"/>
  <c r="G310" i="35" s="1"/>
  <c r="G311" i="35" a="1"/>
  <c r="G311" i="35" s="1"/>
  <c r="G312" i="35" a="1"/>
  <c r="G312" i="35" s="1"/>
  <c r="G313" i="35" a="1"/>
  <c r="G313" i="35" s="1"/>
  <c r="F256" i="35"/>
  <c r="G256" i="35" s="1" a="1"/>
  <c r="G256" i="35" s="1"/>
  <c r="F254" i="35"/>
  <c r="G254" i="35" s="1" a="1"/>
  <c r="G254" i="35" s="1"/>
  <c r="F252" i="35"/>
  <c r="G252" i="35" s="1" a="1"/>
  <c r="G252" i="35" s="1"/>
  <c r="J253" i="35"/>
  <c r="L253" i="35"/>
  <c r="J254" i="35"/>
  <c r="L254" i="35"/>
  <c r="J255" i="35"/>
  <c r="L255" i="35"/>
  <c r="J256" i="35"/>
  <c r="L256" i="35"/>
  <c r="J257" i="35"/>
  <c r="L257" i="35"/>
  <c r="J258" i="35"/>
  <c r="L258" i="35"/>
  <c r="G253" i="35" a="1"/>
  <c r="G253" i="35" s="1"/>
  <c r="G255" i="35" a="1"/>
  <c r="G255" i="35" s="1"/>
  <c r="G257" i="35" a="1"/>
  <c r="G257" i="35" s="1"/>
  <c r="G258" i="35" a="1"/>
  <c r="G258" i="35" s="1"/>
  <c r="G242" i="35" a="1"/>
  <c r="G242" i="35" s="1"/>
  <c r="G243" i="35" a="1"/>
  <c r="G243" i="35" s="1"/>
  <c r="G244" i="35" a="1"/>
  <c r="G244" i="35" s="1"/>
  <c r="G245" i="35" a="1"/>
  <c r="G245" i="35" s="1"/>
  <c r="G247" i="35" a="1"/>
  <c r="G247" i="35" s="1"/>
  <c r="G248" i="35" a="1"/>
  <c r="G248" i="35" s="1"/>
  <c r="G250" i="35" a="1"/>
  <c r="G250" i="35" s="1"/>
  <c r="G251" i="35" a="1"/>
  <c r="G251" i="35" s="1"/>
  <c r="J242" i="35"/>
  <c r="L242" i="35"/>
  <c r="J243" i="35"/>
  <c r="L243" i="35"/>
  <c r="J244" i="35"/>
  <c r="L244" i="35"/>
  <c r="J245" i="35"/>
  <c r="L245" i="35"/>
  <c r="J246" i="35"/>
  <c r="L246" i="35"/>
  <c r="J247" i="35"/>
  <c r="L247" i="35"/>
  <c r="J248" i="35"/>
  <c r="L248" i="35"/>
  <c r="J249" i="35"/>
  <c r="L249" i="35"/>
  <c r="J250" i="35"/>
  <c r="L250" i="35"/>
  <c r="J251" i="35"/>
  <c r="L251" i="35"/>
  <c r="F246" i="35"/>
  <c r="G246" i="35" s="1" a="1"/>
  <c r="G246" i="35" s="1"/>
  <c r="F249" i="35"/>
  <c r="G249" i="35" s="1" a="1"/>
  <c r="G249" i="35" s="1"/>
  <c r="F241" i="35"/>
  <c r="G241" i="35" s="1" a="1"/>
  <c r="G241" i="35" s="1"/>
  <c r="F206" i="28"/>
  <c r="F203" i="28"/>
  <c r="F199" i="28"/>
  <c r="F191" i="28"/>
  <c r="G259" i="35" a="1"/>
  <c r="G259" i="35" s="1"/>
  <c r="G260" i="35" a="1"/>
  <c r="G260" i="35" s="1"/>
  <c r="G261" i="35" a="1"/>
  <c r="G261" i="35" s="1"/>
  <c r="G240" i="35" a="1"/>
  <c r="G240" i="35" s="1"/>
  <c r="J252" i="35"/>
  <c r="J259" i="35"/>
  <c r="J260" i="35"/>
  <c r="J261" i="35"/>
  <c r="L240" i="35"/>
  <c r="L241" i="35"/>
  <c r="L252" i="35"/>
  <c r="L259" i="35"/>
  <c r="L260" i="35"/>
  <c r="L261" i="35"/>
  <c r="J241" i="35"/>
  <c r="J240" i="35"/>
  <c r="J145" i="35"/>
  <c r="L145" i="35"/>
  <c r="J146" i="35"/>
  <c r="L146" i="35"/>
  <c r="J147" i="35"/>
  <c r="L147" i="35"/>
  <c r="J148" i="35"/>
  <c r="L148" i="35"/>
  <c r="J149" i="35"/>
  <c r="L149" i="35"/>
  <c r="J150" i="35"/>
  <c r="L150" i="35"/>
  <c r="J151" i="35"/>
  <c r="L151" i="35"/>
  <c r="J152" i="35"/>
  <c r="L152" i="35"/>
  <c r="J153" i="35"/>
  <c r="L153" i="35"/>
  <c r="J154" i="35"/>
  <c r="L154" i="35"/>
  <c r="J155" i="35"/>
  <c r="L155" i="35"/>
  <c r="J156" i="35"/>
  <c r="L156" i="35"/>
  <c r="J157" i="35"/>
  <c r="L157" i="35"/>
  <c r="J158" i="35"/>
  <c r="L158" i="35"/>
  <c r="J159" i="35"/>
  <c r="L159" i="35"/>
  <c r="J160" i="35"/>
  <c r="L160" i="35"/>
  <c r="J161" i="35"/>
  <c r="L161" i="35"/>
  <c r="J162" i="35"/>
  <c r="L162" i="35"/>
  <c r="J163" i="35"/>
  <c r="L163" i="35"/>
  <c r="J164" i="35"/>
  <c r="L164" i="35"/>
  <c r="J165" i="35"/>
  <c r="L165" i="35"/>
  <c r="J166" i="35"/>
  <c r="L166" i="35"/>
  <c r="J167" i="35"/>
  <c r="L167" i="35"/>
  <c r="J168" i="35"/>
  <c r="L168" i="35"/>
  <c r="J169" i="35"/>
  <c r="L169" i="35"/>
  <c r="J170" i="35"/>
  <c r="L170" i="35"/>
  <c r="J171" i="35"/>
  <c r="L171" i="35"/>
  <c r="J172" i="35"/>
  <c r="L172" i="35"/>
  <c r="J173" i="35"/>
  <c r="L173" i="35"/>
  <c r="J174" i="35"/>
  <c r="L174" i="35"/>
  <c r="J175" i="35"/>
  <c r="L175" i="35"/>
  <c r="J176" i="35"/>
  <c r="L176" i="35"/>
  <c r="J177" i="35"/>
  <c r="L177" i="35"/>
  <c r="J178" i="35"/>
  <c r="L178" i="35"/>
  <c r="J179" i="35"/>
  <c r="L179" i="35"/>
  <c r="J180" i="35"/>
  <c r="L180" i="35"/>
  <c r="J181" i="35"/>
  <c r="L181" i="35"/>
  <c r="J182" i="35"/>
  <c r="L182" i="35"/>
  <c r="J183" i="35"/>
  <c r="L183" i="35"/>
  <c r="J184" i="35"/>
  <c r="L184" i="35"/>
  <c r="J185" i="35"/>
  <c r="L185" i="35"/>
  <c r="J186" i="35"/>
  <c r="L186" i="35"/>
  <c r="J187" i="35"/>
  <c r="L187" i="35"/>
  <c r="J188" i="35"/>
  <c r="L188" i="35"/>
  <c r="J189" i="35"/>
  <c r="L189" i="35"/>
  <c r="J190" i="35"/>
  <c r="L190" i="35"/>
  <c r="J191" i="35"/>
  <c r="L191" i="35"/>
  <c r="J192" i="35"/>
  <c r="L192" i="35"/>
  <c r="J193" i="35"/>
  <c r="L193" i="35"/>
  <c r="J194" i="35"/>
  <c r="L194" i="35"/>
  <c r="J195" i="35"/>
  <c r="L195" i="35"/>
  <c r="J196" i="35"/>
  <c r="L196" i="35"/>
  <c r="J197" i="35"/>
  <c r="L197" i="35"/>
  <c r="J198" i="35"/>
  <c r="L198" i="35"/>
  <c r="J199" i="35"/>
  <c r="L199" i="35"/>
  <c r="J200" i="35"/>
  <c r="L200" i="35"/>
  <c r="J201" i="35"/>
  <c r="L201" i="35"/>
  <c r="J202" i="35"/>
  <c r="L202" i="35"/>
  <c r="J203" i="35"/>
  <c r="L203" i="35"/>
  <c r="J204" i="35"/>
  <c r="L204" i="35"/>
  <c r="J205" i="35"/>
  <c r="L205" i="35"/>
  <c r="J206" i="35"/>
  <c r="L206" i="35"/>
  <c r="J207" i="35"/>
  <c r="L207" i="35"/>
  <c r="J208" i="35"/>
  <c r="L208" i="35"/>
  <c r="J209" i="35"/>
  <c r="L209" i="35"/>
  <c r="J210" i="35"/>
  <c r="L210" i="35"/>
  <c r="J211" i="35"/>
  <c r="L211" i="35"/>
  <c r="J212" i="35"/>
  <c r="L212" i="35"/>
  <c r="J213" i="35"/>
  <c r="L213" i="35"/>
  <c r="J214" i="35"/>
  <c r="L214" i="35"/>
  <c r="J215" i="35"/>
  <c r="L215" i="35"/>
  <c r="J216" i="35"/>
  <c r="L216" i="35"/>
  <c r="J217" i="35"/>
  <c r="L217" i="35"/>
  <c r="J218" i="35"/>
  <c r="L218" i="35"/>
  <c r="J219" i="35"/>
  <c r="L219" i="35"/>
  <c r="J220" i="35"/>
  <c r="L220" i="35"/>
  <c r="J221" i="35"/>
  <c r="L221" i="35"/>
  <c r="J222" i="35"/>
  <c r="L222" i="35"/>
  <c r="J223" i="35"/>
  <c r="L223" i="35"/>
  <c r="J224" i="35"/>
  <c r="L224" i="35"/>
  <c r="J225" i="35"/>
  <c r="L225" i="35"/>
  <c r="J226" i="35"/>
  <c r="L226" i="35"/>
  <c r="J227" i="35"/>
  <c r="L227" i="35"/>
  <c r="J228" i="35"/>
  <c r="L228" i="35"/>
  <c r="J229" i="35"/>
  <c r="L229" i="35"/>
  <c r="J230" i="35"/>
  <c r="L230" i="35"/>
  <c r="J231" i="35"/>
  <c r="L231" i="35"/>
  <c r="J232" i="35"/>
  <c r="L232" i="35"/>
  <c r="J233" i="35"/>
  <c r="L233" i="35"/>
  <c r="J234" i="35"/>
  <c r="L234" i="35"/>
  <c r="J235" i="35"/>
  <c r="L235" i="35"/>
  <c r="J236" i="35"/>
  <c r="L236" i="35"/>
  <c r="J237" i="35"/>
  <c r="L237" i="35"/>
  <c r="J238" i="35"/>
  <c r="L238" i="35"/>
  <c r="J239" i="35"/>
  <c r="L239" i="35"/>
  <c r="L144" i="35"/>
  <c r="J144" i="35"/>
  <c r="L143" i="35"/>
  <c r="J143" i="35"/>
  <c r="L142" i="35"/>
  <c r="J142" i="35"/>
  <c r="G142" i="35" a="1"/>
  <c r="G142" i="35" s="1"/>
  <c r="G143" i="35" a="1"/>
  <c r="G143" i="35" s="1"/>
  <c r="G144" i="35" a="1"/>
  <c r="G144" i="35" s="1"/>
  <c r="G145" i="35" a="1"/>
  <c r="G145" i="35" s="1"/>
  <c r="G146" i="35" a="1"/>
  <c r="G146" i="35" s="1"/>
  <c r="G147" i="35" a="1"/>
  <c r="G147" i="35" s="1"/>
  <c r="G148" i="35" a="1"/>
  <c r="G148" i="35" s="1"/>
  <c r="G149" i="35" a="1"/>
  <c r="G149" i="35" s="1"/>
  <c r="G150" i="35" a="1"/>
  <c r="G150" i="35" s="1"/>
  <c r="G151" i="35" a="1"/>
  <c r="G151" i="35" s="1"/>
  <c r="G152" i="35" a="1"/>
  <c r="G152" i="35" s="1"/>
  <c r="G153" i="35" a="1"/>
  <c r="G153" i="35" s="1"/>
  <c r="G154" i="35" a="1"/>
  <c r="G154" i="35" s="1"/>
  <c r="G155" i="35" a="1"/>
  <c r="G155" i="35" s="1"/>
  <c r="G156" i="35" a="1"/>
  <c r="G156" i="35" s="1"/>
  <c r="G157" i="35" a="1"/>
  <c r="G157" i="35" s="1"/>
  <c r="G158" i="35" a="1"/>
  <c r="G158" i="35" s="1"/>
  <c r="G159" i="35" a="1"/>
  <c r="G159" i="35" s="1"/>
  <c r="G160" i="35" a="1"/>
  <c r="G160" i="35" s="1"/>
  <c r="G161" i="35" a="1"/>
  <c r="G161" i="35" s="1"/>
  <c r="G162" i="35" a="1"/>
  <c r="G162" i="35" s="1"/>
  <c r="G163" i="35" a="1"/>
  <c r="G163" i="35" s="1"/>
  <c r="G164" i="35" a="1"/>
  <c r="G164" i="35" s="1"/>
  <c r="G165" i="35" a="1"/>
  <c r="G165" i="35" s="1"/>
  <c r="G166" i="35" a="1"/>
  <c r="G166" i="35" s="1"/>
  <c r="G167" i="35" a="1"/>
  <c r="G167" i="35" s="1"/>
  <c r="G168" i="35" a="1"/>
  <c r="G168" i="35" s="1"/>
  <c r="G169" i="35" a="1"/>
  <c r="G169" i="35" s="1"/>
  <c r="G170" i="35" a="1"/>
  <c r="G170" i="35" s="1"/>
  <c r="G171" i="35" a="1"/>
  <c r="G171" i="35" s="1"/>
  <c r="G172" i="35" a="1"/>
  <c r="G172" i="35" s="1"/>
  <c r="G173" i="35" a="1"/>
  <c r="G173" i="35" s="1"/>
  <c r="G174" i="35" a="1"/>
  <c r="G174" i="35" s="1"/>
  <c r="G175" i="35" a="1"/>
  <c r="G175" i="35" s="1"/>
  <c r="G176" i="35" a="1"/>
  <c r="G176" i="35" s="1"/>
  <c r="G177" i="35" a="1"/>
  <c r="G177" i="35" s="1"/>
  <c r="G178" i="35" a="1"/>
  <c r="G178" i="35" s="1"/>
  <c r="G179" i="35" a="1"/>
  <c r="G179" i="35" s="1"/>
  <c r="G180" i="35" a="1"/>
  <c r="G180" i="35" s="1"/>
  <c r="G181" i="35" a="1"/>
  <c r="G181" i="35" s="1"/>
  <c r="G182" i="35" a="1"/>
  <c r="G182" i="35" s="1"/>
  <c r="G183" i="35" a="1"/>
  <c r="G183" i="35" s="1"/>
  <c r="G184" i="35" a="1"/>
  <c r="G184" i="35" s="1"/>
  <c r="G185" i="35" a="1"/>
  <c r="G185" i="35" s="1"/>
  <c r="G186" i="35" a="1"/>
  <c r="G186" i="35" s="1"/>
  <c r="G187" i="35" a="1"/>
  <c r="G187" i="35" s="1"/>
  <c r="G188" i="35" a="1"/>
  <c r="G188" i="35" s="1"/>
  <c r="G189" i="35" a="1"/>
  <c r="G189" i="35" s="1"/>
  <c r="G190" i="35" a="1"/>
  <c r="G190" i="35" s="1"/>
  <c r="G191" i="35" a="1"/>
  <c r="G191" i="35" s="1"/>
  <c r="G192" i="35" a="1"/>
  <c r="G192" i="35" s="1"/>
  <c r="G193" i="35" a="1"/>
  <c r="G193" i="35" s="1"/>
  <c r="G194" i="35" a="1"/>
  <c r="G194" i="35" s="1"/>
  <c r="G195" i="35" a="1"/>
  <c r="G195" i="35" s="1"/>
  <c r="G196" i="35" a="1"/>
  <c r="G196" i="35" s="1"/>
  <c r="G197" i="35" a="1"/>
  <c r="G197" i="35" s="1"/>
  <c r="G198" i="35" a="1"/>
  <c r="G198" i="35" s="1"/>
  <c r="G199" i="35" a="1"/>
  <c r="G199" i="35" s="1"/>
  <c r="G200" i="35" a="1"/>
  <c r="G200" i="35" s="1"/>
  <c r="G201" i="35" a="1"/>
  <c r="G201" i="35" s="1"/>
  <c r="G202" i="35" a="1"/>
  <c r="G202" i="35" s="1"/>
  <c r="G203" i="35" a="1"/>
  <c r="G203" i="35" s="1"/>
  <c r="G204" i="35" a="1"/>
  <c r="G204" i="35" s="1"/>
  <c r="G205" i="35" a="1"/>
  <c r="G205" i="35" s="1"/>
  <c r="G206" i="35" a="1"/>
  <c r="G206" i="35" s="1"/>
  <c r="G207" i="35" a="1"/>
  <c r="G207" i="35" s="1"/>
  <c r="G208" i="35" a="1"/>
  <c r="G208" i="35" s="1"/>
  <c r="G209" i="35" a="1"/>
  <c r="G209" i="35" s="1"/>
  <c r="G210" i="35" a="1"/>
  <c r="G210" i="35" s="1"/>
  <c r="G211" i="35" a="1"/>
  <c r="G211" i="35" s="1"/>
  <c r="G212" i="35" a="1"/>
  <c r="G212" i="35" s="1"/>
  <c r="G213" i="35" a="1"/>
  <c r="G213" i="35" s="1"/>
  <c r="G214" i="35" a="1"/>
  <c r="G214" i="35" s="1"/>
  <c r="G215" i="35" a="1"/>
  <c r="G215" i="35" s="1"/>
  <c r="G216" i="35" a="1"/>
  <c r="G216" i="35" s="1"/>
  <c r="G217" i="35" a="1"/>
  <c r="G217" i="35" s="1"/>
  <c r="G218" i="35" a="1"/>
  <c r="G218" i="35" s="1"/>
  <c r="G219" i="35" a="1"/>
  <c r="G219" i="35" s="1"/>
  <c r="G220" i="35" a="1"/>
  <c r="G220" i="35" s="1"/>
  <c r="G221" i="35" a="1"/>
  <c r="G221" i="35" s="1"/>
  <c r="G222" i="35" a="1"/>
  <c r="G222" i="35" s="1"/>
  <c r="G223" i="35" a="1"/>
  <c r="G223" i="35" s="1"/>
  <c r="G224" i="35" a="1"/>
  <c r="G224" i="35" s="1"/>
  <c r="G225" i="35" a="1"/>
  <c r="G225" i="35" s="1"/>
  <c r="G226" i="35" a="1"/>
  <c r="G226" i="35" s="1"/>
  <c r="G227" i="35" a="1"/>
  <c r="G227" i="35" s="1"/>
  <c r="G228" i="35" a="1"/>
  <c r="G228" i="35" s="1"/>
  <c r="G229" i="35" a="1"/>
  <c r="G229" i="35" s="1"/>
  <c r="G230" i="35" a="1"/>
  <c r="G230" i="35" s="1"/>
  <c r="G231" i="35" a="1"/>
  <c r="G231" i="35" s="1"/>
  <c r="G232" i="35" a="1"/>
  <c r="G232" i="35" s="1"/>
  <c r="G233" i="35" a="1"/>
  <c r="G233" i="35" s="1"/>
  <c r="G234" i="35" a="1"/>
  <c r="G234" i="35" s="1"/>
  <c r="G235" i="35" a="1"/>
  <c r="G235" i="35" s="1"/>
  <c r="G236" i="35" a="1"/>
  <c r="G236" i="35" s="1"/>
  <c r="G237" i="35" a="1"/>
  <c r="G237" i="35" s="1"/>
  <c r="G238" i="35" a="1"/>
  <c r="G238" i="35" s="1"/>
  <c r="G239" i="35" a="1"/>
  <c r="G239" i="35" s="1"/>
  <c r="J128" i="35"/>
  <c r="L128" i="35"/>
  <c r="J129" i="35"/>
  <c r="L129" i="35"/>
  <c r="J130" i="35"/>
  <c r="L130" i="35"/>
  <c r="J131" i="35"/>
  <c r="L131" i="35"/>
  <c r="J132" i="35"/>
  <c r="L132" i="35"/>
  <c r="J133" i="35"/>
  <c r="L133" i="35"/>
  <c r="J134" i="35"/>
  <c r="L134" i="35"/>
  <c r="J135" i="35"/>
  <c r="L135" i="35"/>
  <c r="J136" i="35"/>
  <c r="L136" i="35"/>
  <c r="J137" i="35"/>
  <c r="L137" i="35"/>
  <c r="J138" i="35"/>
  <c r="L138" i="35"/>
  <c r="J139" i="35"/>
  <c r="L139" i="35"/>
  <c r="J140" i="35"/>
  <c r="L140" i="35"/>
  <c r="J141" i="35"/>
  <c r="L141" i="35"/>
  <c r="G128" i="35" a="1"/>
  <c r="G128" i="35" s="1"/>
  <c r="G129" i="35" a="1"/>
  <c r="G129" i="35" s="1"/>
  <c r="G130" i="35" a="1"/>
  <c r="G130" i="35" s="1"/>
  <c r="G131" i="35" a="1"/>
  <c r="G131" i="35" s="1"/>
  <c r="G132" i="35" a="1"/>
  <c r="G132" i="35" s="1"/>
  <c r="G133" i="35" a="1"/>
  <c r="G133" i="35" s="1"/>
  <c r="G134" i="35" a="1"/>
  <c r="G134" i="35" s="1"/>
  <c r="G135" i="35" a="1"/>
  <c r="G135" i="35" s="1"/>
  <c r="G136" i="35" a="1"/>
  <c r="G136" i="35" s="1"/>
  <c r="G137" i="35" a="1"/>
  <c r="G137" i="35" s="1"/>
  <c r="G138" i="35" a="1"/>
  <c r="G138" i="35" s="1"/>
  <c r="G139" i="35" a="1"/>
  <c r="G139" i="35" s="1"/>
  <c r="G140" i="35" a="1"/>
  <c r="G140" i="35" s="1"/>
  <c r="G141" i="35" a="1"/>
  <c r="G141" i="35" s="1"/>
  <c r="G3" i="35" a="1"/>
  <c r="G3" i="35" s="1"/>
  <c r="G4" i="35" a="1"/>
  <c r="G4" i="35" s="1"/>
  <c r="G5" i="35" a="1"/>
  <c r="G5" i="35" s="1"/>
  <c r="G6" i="35" a="1"/>
  <c r="G6" i="35" s="1"/>
  <c r="G7" i="35" a="1"/>
  <c r="G7" i="35" s="1"/>
  <c r="G8" i="35" a="1"/>
  <c r="G8" i="35" s="1"/>
  <c r="G9" i="35" a="1"/>
  <c r="G9" i="35" s="1"/>
  <c r="G10" i="35" a="1"/>
  <c r="G10" i="35" s="1"/>
  <c r="G11" i="35" a="1"/>
  <c r="G11" i="35" s="1"/>
  <c r="G12" i="35" a="1"/>
  <c r="G12" i="35" s="1"/>
  <c r="G13" i="35" a="1"/>
  <c r="G13" i="35" s="1"/>
  <c r="G14" i="35" a="1"/>
  <c r="G14" i="35" s="1"/>
  <c r="G15" i="35" a="1"/>
  <c r="G15" i="35" s="1"/>
  <c r="G16" i="35" a="1"/>
  <c r="G16" i="35" s="1"/>
  <c r="G17" i="35" a="1"/>
  <c r="G17" i="35" s="1"/>
  <c r="G18" i="35" a="1"/>
  <c r="G18" i="35" s="1"/>
  <c r="G19" i="35" a="1"/>
  <c r="G19" i="35" s="1"/>
  <c r="G20" i="35" a="1"/>
  <c r="G20" i="35" s="1"/>
  <c r="G21" i="35" a="1"/>
  <c r="G21" i="35" s="1"/>
  <c r="G22" i="35" a="1"/>
  <c r="G22" i="35" s="1"/>
  <c r="G23" i="35" a="1"/>
  <c r="G23" i="35" s="1"/>
  <c r="G24" i="35" a="1"/>
  <c r="G24" i="35" s="1"/>
  <c r="G25" i="35" a="1"/>
  <c r="G25" i="35" s="1"/>
  <c r="G26" i="35" a="1"/>
  <c r="G26" i="35" s="1"/>
  <c r="G27" i="35" a="1"/>
  <c r="G27" i="35" s="1"/>
  <c r="G28" i="35" a="1"/>
  <c r="G28" i="35" s="1"/>
  <c r="G29" i="35" a="1"/>
  <c r="G29" i="35" s="1"/>
  <c r="G30" i="35" a="1"/>
  <c r="G30" i="35" s="1"/>
  <c r="G31" i="35" a="1"/>
  <c r="G31" i="35" s="1"/>
  <c r="G32" i="35" a="1"/>
  <c r="G32" i="35" s="1"/>
  <c r="G33" i="35" a="1"/>
  <c r="G33" i="35" s="1"/>
  <c r="G34" i="35" a="1"/>
  <c r="G34" i="35" s="1"/>
  <c r="G35" i="35" a="1"/>
  <c r="G35" i="35" s="1"/>
  <c r="G36" i="35" a="1"/>
  <c r="G36" i="35" s="1"/>
  <c r="G37" i="35" a="1"/>
  <c r="G37" i="35" s="1"/>
  <c r="G38" i="35" a="1"/>
  <c r="G38" i="35" s="1"/>
  <c r="G39" i="35" a="1"/>
  <c r="G39" i="35" s="1"/>
  <c r="G40" i="35" a="1"/>
  <c r="G40" i="35" s="1"/>
  <c r="G41" i="35" a="1"/>
  <c r="G41" i="35" s="1"/>
  <c r="G42" i="35" a="1"/>
  <c r="G42" i="35" s="1"/>
  <c r="G43" i="35" a="1"/>
  <c r="G43" i="35" s="1"/>
  <c r="G44" i="35" a="1"/>
  <c r="G44" i="35" s="1"/>
  <c r="G45" i="35" a="1"/>
  <c r="G45" i="35" s="1"/>
  <c r="G46" i="35" a="1"/>
  <c r="G46" i="35" s="1"/>
  <c r="G47" i="35" a="1"/>
  <c r="G47" i="35" s="1"/>
  <c r="G48" i="35" a="1"/>
  <c r="G48" i="35" s="1"/>
  <c r="G49" i="35" a="1"/>
  <c r="G49" i="35" s="1"/>
  <c r="G50" i="35" a="1"/>
  <c r="G50" i="35" s="1"/>
  <c r="G51" i="35" a="1"/>
  <c r="G51" i="35" s="1"/>
  <c r="G52" i="35" a="1"/>
  <c r="G52" i="35" s="1"/>
  <c r="G53" i="35" a="1"/>
  <c r="G53" i="35" s="1"/>
  <c r="G54" i="35" a="1"/>
  <c r="G54" i="35" s="1"/>
  <c r="G55" i="35" a="1"/>
  <c r="G55" i="35" s="1"/>
  <c r="G56" i="35" a="1"/>
  <c r="G56" i="35" s="1"/>
  <c r="G57" i="35" a="1"/>
  <c r="G57" i="35" s="1"/>
  <c r="G58" i="35" a="1"/>
  <c r="G58" i="35" s="1"/>
  <c r="G59" i="35" a="1"/>
  <c r="G59" i="35" s="1"/>
  <c r="G60" i="35" a="1"/>
  <c r="G60" i="35" s="1"/>
  <c r="G61" i="35" a="1"/>
  <c r="G61" i="35" s="1"/>
  <c r="G62" i="35" a="1"/>
  <c r="G62" i="35" s="1"/>
  <c r="G63" i="35" a="1"/>
  <c r="G63" i="35" s="1"/>
  <c r="G64" i="35" a="1"/>
  <c r="G64" i="35" s="1"/>
  <c r="G65" i="35" a="1"/>
  <c r="G65" i="35" s="1"/>
  <c r="G66" i="35" a="1"/>
  <c r="G66" i="35" s="1"/>
  <c r="G67" i="35" a="1"/>
  <c r="G67" i="35" s="1"/>
  <c r="G68" i="35" a="1"/>
  <c r="G68" i="35" s="1"/>
  <c r="G69" i="35" a="1"/>
  <c r="G69" i="35" s="1"/>
  <c r="G70" i="35" a="1"/>
  <c r="G70" i="35" s="1"/>
  <c r="G71" i="35" a="1"/>
  <c r="G71" i="35" s="1"/>
  <c r="G72" i="35" a="1"/>
  <c r="G72" i="35" s="1"/>
  <c r="G73" i="35" a="1"/>
  <c r="G73" i="35" s="1"/>
  <c r="G74" i="35" a="1"/>
  <c r="G74" i="35" s="1"/>
  <c r="G75" i="35" a="1"/>
  <c r="G75" i="35" s="1"/>
  <c r="G76" i="35" a="1"/>
  <c r="G76" i="35" s="1"/>
  <c r="G77" i="35" a="1"/>
  <c r="G77" i="35" s="1"/>
  <c r="G78" i="35" a="1"/>
  <c r="G78" i="35" s="1"/>
  <c r="G79" i="35" a="1"/>
  <c r="G79" i="35" s="1"/>
  <c r="G80" i="35" a="1"/>
  <c r="G80" i="35" s="1"/>
  <c r="G81" i="35" a="1"/>
  <c r="G81" i="35" s="1"/>
  <c r="G82" i="35" a="1"/>
  <c r="G82" i="35" s="1"/>
  <c r="G83" i="35" a="1"/>
  <c r="G83" i="35" s="1"/>
  <c r="G84" i="35" a="1"/>
  <c r="G84" i="35" s="1"/>
  <c r="G85" i="35" a="1"/>
  <c r="G85" i="35" s="1"/>
  <c r="G86" i="35" a="1"/>
  <c r="G86" i="35" s="1"/>
  <c r="G87" i="35" a="1"/>
  <c r="G87" i="35" s="1"/>
  <c r="G88" i="35" a="1"/>
  <c r="G88" i="35" s="1"/>
  <c r="G89" i="35" a="1"/>
  <c r="G89" i="35" s="1"/>
  <c r="G90" i="35" a="1"/>
  <c r="G90" i="35" s="1"/>
  <c r="G91" i="35" a="1"/>
  <c r="G91" i="35" s="1"/>
  <c r="G92" i="35" a="1"/>
  <c r="G92" i="35" s="1"/>
  <c r="G93" i="35" a="1"/>
  <c r="G93" i="35" s="1"/>
  <c r="G94" i="35" a="1"/>
  <c r="G94" i="35" s="1"/>
  <c r="G95" i="35" a="1"/>
  <c r="G95" i="35" s="1"/>
  <c r="G96" i="35" a="1"/>
  <c r="G96" i="35" s="1"/>
  <c r="G97" i="35" a="1"/>
  <c r="G97" i="35" s="1"/>
  <c r="G98" i="35" a="1"/>
  <c r="G98" i="35" s="1"/>
  <c r="G99" i="35" a="1"/>
  <c r="G99" i="35" s="1"/>
  <c r="G100" i="35" a="1"/>
  <c r="G100" i="35" s="1"/>
  <c r="G101" i="35" a="1"/>
  <c r="G101" i="35" s="1"/>
  <c r="G102" i="35" a="1"/>
  <c r="G102" i="35" s="1"/>
  <c r="G103" i="35" a="1"/>
  <c r="G103" i="35" s="1"/>
  <c r="G104" i="35" a="1"/>
  <c r="G104" i="35" s="1"/>
  <c r="G105" i="35" a="1"/>
  <c r="G105" i="35" s="1"/>
  <c r="G106" i="35" a="1"/>
  <c r="G106" i="35" s="1"/>
  <c r="G107" i="35" a="1"/>
  <c r="G107" i="35" s="1"/>
  <c r="G108" i="35" a="1"/>
  <c r="G108" i="35" s="1"/>
  <c r="G109" i="35" a="1"/>
  <c r="G109" i="35" s="1"/>
  <c r="G110" i="35" a="1"/>
  <c r="G110" i="35" s="1"/>
  <c r="G111" i="35" a="1"/>
  <c r="G111" i="35" s="1"/>
  <c r="G112" i="35" a="1"/>
  <c r="G112" i="35" s="1"/>
  <c r="G113" i="35" a="1"/>
  <c r="G113" i="35" s="1"/>
  <c r="G114" i="35" a="1"/>
  <c r="G114" i="35" s="1"/>
  <c r="G115" i="35" a="1"/>
  <c r="G115" i="35" s="1"/>
  <c r="G116" i="35" a="1"/>
  <c r="G116" i="35" s="1"/>
  <c r="G117" i="35" a="1"/>
  <c r="G117" i="35" s="1"/>
  <c r="G118" i="35" a="1"/>
  <c r="G118" i="35" s="1"/>
  <c r="G119" i="35" a="1"/>
  <c r="G119" i="35" s="1"/>
  <c r="G120" i="35" a="1"/>
  <c r="G120" i="35" s="1"/>
  <c r="G121" i="35" a="1"/>
  <c r="G121" i="35" s="1"/>
  <c r="G122" i="35" a="1"/>
  <c r="G122" i="35" s="1"/>
  <c r="G123" i="35" a="1"/>
  <c r="G123" i="35" s="1"/>
  <c r="G124" i="35" a="1"/>
  <c r="G124" i="35" s="1"/>
  <c r="G125" i="35" a="1"/>
  <c r="G125" i="35" s="1"/>
  <c r="G126" i="35" a="1"/>
  <c r="G126" i="35" s="1"/>
  <c r="G127" i="35" a="1"/>
  <c r="G127" i="35" s="1"/>
  <c r="G2" i="35" a="1"/>
  <c r="G2" i="35" s="1"/>
  <c r="J114" i="35"/>
  <c r="L114" i="35"/>
  <c r="J115" i="35"/>
  <c r="L115" i="35"/>
  <c r="J116" i="35"/>
  <c r="L116" i="35"/>
  <c r="J117" i="35"/>
  <c r="L117" i="35"/>
  <c r="J118" i="35"/>
  <c r="L118" i="35"/>
  <c r="J119" i="35"/>
  <c r="L119" i="35"/>
  <c r="J120" i="35"/>
  <c r="L120" i="35"/>
  <c r="J121" i="35"/>
  <c r="L121" i="35"/>
  <c r="J122" i="35"/>
  <c r="L122" i="35"/>
  <c r="J123" i="35"/>
  <c r="L123" i="35"/>
  <c r="J124" i="35"/>
  <c r="L124" i="35"/>
  <c r="J125" i="35"/>
  <c r="L125" i="35"/>
  <c r="J126" i="35"/>
  <c r="L126" i="35"/>
  <c r="J127" i="35"/>
  <c r="L127" i="35"/>
  <c r="J100" i="35"/>
  <c r="L100" i="35"/>
  <c r="J101" i="35"/>
  <c r="L101" i="35"/>
  <c r="J102" i="35"/>
  <c r="L102" i="35"/>
  <c r="J103" i="35"/>
  <c r="L103" i="35"/>
  <c r="J104" i="35"/>
  <c r="L104" i="35"/>
  <c r="J105" i="35"/>
  <c r="L105" i="35"/>
  <c r="J106" i="35"/>
  <c r="L106" i="35"/>
  <c r="J107" i="35"/>
  <c r="L107" i="35"/>
  <c r="J108" i="35"/>
  <c r="L108" i="35"/>
  <c r="J109" i="35"/>
  <c r="L109" i="35"/>
  <c r="J110" i="35"/>
  <c r="L110" i="35"/>
  <c r="J111" i="35"/>
  <c r="L111" i="35"/>
  <c r="J112" i="35"/>
  <c r="L112" i="35"/>
  <c r="J113" i="35"/>
  <c r="L113" i="35"/>
  <c r="J86" i="35"/>
  <c r="L86" i="35"/>
  <c r="J87" i="35"/>
  <c r="L87" i="35"/>
  <c r="J88" i="35"/>
  <c r="L88" i="35"/>
  <c r="J89" i="35"/>
  <c r="L89" i="35"/>
  <c r="J90" i="35"/>
  <c r="L90" i="35"/>
  <c r="J91" i="35"/>
  <c r="L91" i="35"/>
  <c r="J92" i="35"/>
  <c r="L92" i="35"/>
  <c r="J93" i="35"/>
  <c r="L93" i="35"/>
  <c r="J94" i="35"/>
  <c r="L94" i="35"/>
  <c r="J95" i="35"/>
  <c r="L95" i="35"/>
  <c r="J96" i="35"/>
  <c r="L96" i="35"/>
  <c r="J97" i="35"/>
  <c r="L97" i="35"/>
  <c r="J98" i="35"/>
  <c r="L98" i="35"/>
  <c r="J99" i="35"/>
  <c r="L99" i="35"/>
  <c r="J72" i="35"/>
  <c r="L72" i="35"/>
  <c r="J73" i="35"/>
  <c r="L73" i="35"/>
  <c r="J74" i="35"/>
  <c r="L74" i="35"/>
  <c r="J75" i="35"/>
  <c r="L75" i="35"/>
  <c r="J76" i="35"/>
  <c r="L76" i="35"/>
  <c r="J77" i="35"/>
  <c r="L77" i="35"/>
  <c r="J78" i="35"/>
  <c r="L78" i="35"/>
  <c r="J79" i="35"/>
  <c r="L79" i="35"/>
  <c r="J80" i="35"/>
  <c r="L80" i="35"/>
  <c r="J81" i="35"/>
  <c r="L81" i="35"/>
  <c r="J82" i="35"/>
  <c r="L82" i="35"/>
  <c r="J83" i="35"/>
  <c r="L83" i="35"/>
  <c r="J84" i="35"/>
  <c r="L84" i="35"/>
  <c r="J85" i="35"/>
  <c r="L85" i="35"/>
  <c r="J30" i="35"/>
  <c r="L30" i="35"/>
  <c r="J31" i="35"/>
  <c r="L31" i="35"/>
  <c r="J32" i="35"/>
  <c r="L32" i="35"/>
  <c r="J33" i="35"/>
  <c r="L33" i="35"/>
  <c r="J34" i="35"/>
  <c r="L34" i="35"/>
  <c r="J35" i="35"/>
  <c r="L35" i="35"/>
  <c r="J36" i="35"/>
  <c r="L36" i="35"/>
  <c r="J37" i="35"/>
  <c r="L37" i="35"/>
  <c r="J38" i="35"/>
  <c r="L38" i="35"/>
  <c r="J39" i="35"/>
  <c r="L39" i="35"/>
  <c r="J40" i="35"/>
  <c r="L40" i="35"/>
  <c r="J41" i="35"/>
  <c r="L41" i="35"/>
  <c r="J42" i="35"/>
  <c r="L42" i="35"/>
  <c r="J43" i="35"/>
  <c r="L43" i="35"/>
  <c r="J44" i="35"/>
  <c r="L44" i="35"/>
  <c r="J45" i="35"/>
  <c r="L45" i="35"/>
  <c r="J46" i="35"/>
  <c r="L46" i="35"/>
  <c r="J47" i="35"/>
  <c r="L47" i="35"/>
  <c r="J48" i="35"/>
  <c r="L48" i="35"/>
  <c r="J49" i="35"/>
  <c r="L49" i="35"/>
  <c r="J50" i="35"/>
  <c r="L50" i="35"/>
  <c r="J51" i="35"/>
  <c r="L51" i="35"/>
  <c r="J52" i="35"/>
  <c r="L52" i="35"/>
  <c r="J53" i="35"/>
  <c r="L53" i="35"/>
  <c r="J54" i="35"/>
  <c r="L54" i="35"/>
  <c r="J55" i="35"/>
  <c r="L55" i="35"/>
  <c r="J56" i="35"/>
  <c r="L56" i="35"/>
  <c r="J57" i="35"/>
  <c r="L57" i="35"/>
  <c r="J58" i="35"/>
  <c r="L58" i="35"/>
  <c r="J59" i="35"/>
  <c r="L59" i="35"/>
  <c r="J60" i="35"/>
  <c r="L60" i="35"/>
  <c r="J61" i="35"/>
  <c r="L61" i="35"/>
  <c r="J62" i="35"/>
  <c r="L62" i="35"/>
  <c r="J63" i="35"/>
  <c r="L63" i="35"/>
  <c r="J64" i="35"/>
  <c r="L64" i="35"/>
  <c r="J65" i="35"/>
  <c r="L65" i="35"/>
  <c r="J66" i="35"/>
  <c r="L66" i="35"/>
  <c r="J67" i="35"/>
  <c r="L67" i="35"/>
  <c r="J68" i="35"/>
  <c r="L68" i="35"/>
  <c r="J69" i="35"/>
  <c r="L69" i="35"/>
  <c r="J70" i="35"/>
  <c r="L70" i="35"/>
  <c r="J71" i="35"/>
  <c r="L71" i="35"/>
  <c r="K3" i="35"/>
  <c r="L3" i="35" s="1"/>
  <c r="K4" i="35"/>
  <c r="L4" i="35" s="1"/>
  <c r="K5" i="35"/>
  <c r="L5" i="35" s="1"/>
  <c r="K6" i="35"/>
  <c r="L6" i="35" s="1"/>
  <c r="K7" i="35"/>
  <c r="L7" i="35" s="1"/>
  <c r="K8" i="35"/>
  <c r="L8" i="35" s="1"/>
  <c r="K9" i="35"/>
  <c r="L9" i="35" s="1"/>
  <c r="K10" i="35"/>
  <c r="L10" i="35" s="1"/>
  <c r="K11" i="35"/>
  <c r="L11" i="35" s="1"/>
  <c r="K12" i="35"/>
  <c r="L12" i="35" s="1"/>
  <c r="K13" i="35"/>
  <c r="L13" i="35" s="1"/>
  <c r="K14" i="35"/>
  <c r="L14" i="35" s="1"/>
  <c r="K15" i="35"/>
  <c r="L15" i="35" s="1"/>
  <c r="K16" i="35"/>
  <c r="L16" i="35" s="1"/>
  <c r="K17" i="35"/>
  <c r="L17" i="35" s="1"/>
  <c r="K18" i="35"/>
  <c r="L18" i="35" s="1"/>
  <c r="K19" i="35"/>
  <c r="L19" i="35" s="1"/>
  <c r="K20" i="35"/>
  <c r="L20" i="35" s="1"/>
  <c r="K21" i="35"/>
  <c r="L21" i="35" s="1"/>
  <c r="K22" i="35"/>
  <c r="L22" i="35" s="1"/>
  <c r="L23" i="35"/>
  <c r="L24" i="35"/>
  <c r="L25" i="35"/>
  <c r="L26" i="35"/>
  <c r="L27" i="35"/>
  <c r="L28" i="35"/>
  <c r="L29" i="35"/>
  <c r="K2" i="35"/>
  <c r="L2" i="35" s="1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" i="35"/>
  <c r="J4" i="35"/>
  <c r="J5" i="35"/>
  <c r="J6" i="35"/>
  <c r="J7" i="35"/>
  <c r="J8" i="35"/>
  <c r="J9" i="35"/>
  <c r="J10" i="35"/>
  <c r="J11" i="35"/>
  <c r="J12" i="35"/>
  <c r="J13" i="35"/>
  <c r="J14" i="35"/>
  <c r="J15" i="35"/>
  <c r="J2" i="35"/>
  <c r="G68" i="25" a="1"/>
  <c r="G68" i="25" s="1"/>
  <c r="G69" i="25" a="1"/>
  <c r="G69" i="25" s="1"/>
  <c r="L67" i="25"/>
  <c r="L65" i="25"/>
  <c r="L66" i="25"/>
  <c r="J65" i="25"/>
  <c r="J66" i="25"/>
  <c r="J67" i="25"/>
  <c r="J68" i="25"/>
  <c r="J69" i="25"/>
  <c r="G65" i="25" a="1"/>
  <c r="G65" i="25" s="1"/>
  <c r="G66" i="25" a="1"/>
  <c r="G66" i="25" s="1"/>
  <c r="G67" i="25" a="1"/>
  <c r="G67" i="25" s="1"/>
  <c r="L69" i="25"/>
  <c r="L62" i="25"/>
  <c r="L63" i="25"/>
  <c r="L64" i="25"/>
  <c r="L68" i="25"/>
  <c r="J62" i="25"/>
  <c r="J63" i="25"/>
  <c r="J64" i="25"/>
  <c r="G62" i="25" a="1"/>
  <c r="G62" i="25" s="1"/>
  <c r="G63" i="25" a="1"/>
  <c r="G63" i="25" s="1"/>
  <c r="G64" i="25" a="1"/>
  <c r="G64" i="25" s="1"/>
  <c r="F8" i="41" l="1"/>
  <c r="L58" i="25"/>
  <c r="L59" i="25"/>
  <c r="L60" i="25"/>
  <c r="L61" i="25"/>
  <c r="J58" i="25"/>
  <c r="J59" i="25"/>
  <c r="J60" i="25"/>
  <c r="J61" i="25"/>
  <c r="G61" i="25" a="1"/>
  <c r="G61" i="25" s="1"/>
  <c r="G60" i="25" a="1"/>
  <c r="G60" i="25" s="1"/>
  <c r="G59" i="25" a="1"/>
  <c r="G59" i="25" s="1"/>
  <c r="G58" i="25" a="1"/>
  <c r="G58" i="25" s="1"/>
  <c r="G54" i="25" a="1"/>
  <c r="G54" i="25" s="1"/>
  <c r="G55" i="25" a="1"/>
  <c r="G55" i="25" s="1"/>
  <c r="G56" i="25" a="1"/>
  <c r="G56" i="25" s="1"/>
  <c r="G57" i="25" a="1"/>
  <c r="G57" i="25" s="1"/>
  <c r="J54" i="25"/>
  <c r="J55" i="25"/>
  <c r="J56" i="25"/>
  <c r="J57" i="25"/>
  <c r="L54" i="25"/>
  <c r="L55" i="25"/>
  <c r="L56" i="25"/>
  <c r="L57" i="25"/>
  <c r="J207" i="28" l="1"/>
  <c r="K207" i="28"/>
  <c r="L207" i="28" s="1"/>
  <c r="G207" i="28" a="1"/>
  <c r="G207" i="28" s="1"/>
  <c r="J204" i="28"/>
  <c r="K204" i="28"/>
  <c r="L204" i="28" s="1"/>
  <c r="G204" i="28" a="1"/>
  <c r="G204" i="28" s="1"/>
  <c r="J200" i="28"/>
  <c r="K200" i="28"/>
  <c r="L200" i="28" s="1"/>
  <c r="G200" i="28" a="1"/>
  <c r="G200" i="28" s="1"/>
  <c r="J192" i="28"/>
  <c r="K192" i="28"/>
  <c r="L192" i="28" s="1"/>
  <c r="G192" i="28" a="1"/>
  <c r="G192" i="28" s="1"/>
  <c r="K247" i="28"/>
  <c r="L247" i="28" s="1"/>
  <c r="K246" i="28"/>
  <c r="L246" i="28" s="1"/>
  <c r="J381" i="28"/>
  <c r="K381" i="28"/>
  <c r="L381" i="28" s="1"/>
  <c r="J382" i="28"/>
  <c r="K382" i="28"/>
  <c r="L382" i="28" s="1"/>
  <c r="G382" i="28" a="1"/>
  <c r="G382" i="28" s="1"/>
  <c r="G381" i="28" a="1"/>
  <c r="G381" i="28" s="1"/>
  <c r="J379" i="28"/>
  <c r="K379" i="28"/>
  <c r="L379" i="28" s="1"/>
  <c r="J380" i="28"/>
  <c r="K380" i="28"/>
  <c r="L380" i="28" s="1"/>
  <c r="G379" i="28" a="1"/>
  <c r="G379" i="28" s="1"/>
  <c r="G380" i="28" a="1"/>
  <c r="G380" i="28" s="1"/>
  <c r="J341" i="28"/>
  <c r="K341" i="28"/>
  <c r="L341" i="28" s="1"/>
  <c r="J342" i="28"/>
  <c r="K342" i="28"/>
  <c r="L342" i="28" s="1"/>
  <c r="J343" i="28"/>
  <c r="K343" i="28"/>
  <c r="L343" i="28" s="1"/>
  <c r="J344" i="28"/>
  <c r="K344" i="28"/>
  <c r="L344" i="28" s="1"/>
  <c r="J345" i="28"/>
  <c r="K345" i="28"/>
  <c r="L345" i="28" s="1"/>
  <c r="J346" i="28"/>
  <c r="K346" i="28"/>
  <c r="L346" i="28" s="1"/>
  <c r="J347" i="28"/>
  <c r="K347" i="28"/>
  <c r="L347" i="28" s="1"/>
  <c r="J348" i="28"/>
  <c r="K348" i="28"/>
  <c r="L348" i="28" s="1"/>
  <c r="J349" i="28"/>
  <c r="K349" i="28"/>
  <c r="L349" i="28" s="1"/>
  <c r="J350" i="28"/>
  <c r="K350" i="28"/>
  <c r="L350" i="28" s="1"/>
  <c r="J351" i="28"/>
  <c r="K351" i="28"/>
  <c r="L351" i="28" s="1"/>
  <c r="J352" i="28"/>
  <c r="K352" i="28"/>
  <c r="L352" i="28" s="1"/>
  <c r="J353" i="28"/>
  <c r="K353" i="28"/>
  <c r="L353" i="28" s="1"/>
  <c r="J354" i="28"/>
  <c r="K354" i="28"/>
  <c r="L354" i="28" s="1"/>
  <c r="J355" i="28"/>
  <c r="K355" i="28"/>
  <c r="L355" i="28" s="1"/>
  <c r="J356" i="28"/>
  <c r="K356" i="28"/>
  <c r="L356" i="28" s="1"/>
  <c r="J357" i="28"/>
  <c r="K357" i="28"/>
  <c r="L357" i="28" s="1"/>
  <c r="J358" i="28"/>
  <c r="K358" i="28"/>
  <c r="L358" i="28" s="1"/>
  <c r="J359" i="28"/>
  <c r="K359" i="28"/>
  <c r="L359" i="28" s="1"/>
  <c r="J360" i="28"/>
  <c r="K360" i="28"/>
  <c r="L360" i="28" s="1"/>
  <c r="J361" i="28"/>
  <c r="K361" i="28"/>
  <c r="L361" i="28" s="1"/>
  <c r="J362" i="28"/>
  <c r="K362" i="28"/>
  <c r="L362" i="28" s="1"/>
  <c r="J363" i="28"/>
  <c r="K363" i="28"/>
  <c r="L363" i="28" s="1"/>
  <c r="J364" i="28"/>
  <c r="K364" i="28"/>
  <c r="L364" i="28" s="1"/>
  <c r="J365" i="28"/>
  <c r="K365" i="28"/>
  <c r="L365" i="28" s="1"/>
  <c r="J366" i="28"/>
  <c r="K366" i="28"/>
  <c r="L366" i="28" s="1"/>
  <c r="J367" i="28"/>
  <c r="K367" i="28"/>
  <c r="L367" i="28" s="1"/>
  <c r="J368" i="28"/>
  <c r="K368" i="28"/>
  <c r="L368" i="28" s="1"/>
  <c r="J369" i="28"/>
  <c r="K369" i="28"/>
  <c r="L369" i="28" s="1"/>
  <c r="J370" i="28"/>
  <c r="K370" i="28"/>
  <c r="L370" i="28" s="1"/>
  <c r="J371" i="28"/>
  <c r="K371" i="28"/>
  <c r="L371" i="28" s="1"/>
  <c r="J372" i="28"/>
  <c r="K372" i="28"/>
  <c r="L372" i="28" s="1"/>
  <c r="J373" i="28"/>
  <c r="K373" i="28"/>
  <c r="L373" i="28" s="1"/>
  <c r="J374" i="28"/>
  <c r="K374" i="28"/>
  <c r="L374" i="28" s="1"/>
  <c r="J375" i="28"/>
  <c r="K375" i="28"/>
  <c r="L375" i="28" s="1"/>
  <c r="J376" i="28"/>
  <c r="K376" i="28"/>
  <c r="L376" i="28" s="1"/>
  <c r="J377" i="28"/>
  <c r="K377" i="28"/>
  <c r="L377" i="28" s="1"/>
  <c r="J378" i="28"/>
  <c r="K378" i="28"/>
  <c r="L378" i="28" s="1"/>
  <c r="G303" i="28" a="1"/>
  <c r="G303" i="28" s="1"/>
  <c r="G304" i="28" a="1"/>
  <c r="G304" i="28" s="1"/>
  <c r="G305" i="28" a="1"/>
  <c r="G305" i="28" s="1"/>
  <c r="G306" i="28" a="1"/>
  <c r="G306" i="28" s="1"/>
  <c r="G307" i="28" a="1"/>
  <c r="G307" i="28" s="1"/>
  <c r="G308" i="28" a="1"/>
  <c r="G308" i="28" s="1"/>
  <c r="G309" i="28" a="1"/>
  <c r="G309" i="28" s="1"/>
  <c r="G310" i="28" a="1"/>
  <c r="G310" i="28" s="1"/>
  <c r="G311" i="28" a="1"/>
  <c r="G311" i="28" s="1"/>
  <c r="G312" i="28" a="1"/>
  <c r="G312" i="28" s="1"/>
  <c r="G313" i="28" a="1"/>
  <c r="G313" i="28" s="1"/>
  <c r="G314" i="28" a="1"/>
  <c r="G314" i="28" s="1"/>
  <c r="G315" i="28" a="1"/>
  <c r="G315" i="28" s="1"/>
  <c r="G316" i="28" a="1"/>
  <c r="G316" i="28" s="1"/>
  <c r="G317" i="28" a="1"/>
  <c r="G317" i="28" s="1"/>
  <c r="G318" i="28" a="1"/>
  <c r="G318" i="28" s="1"/>
  <c r="G319" i="28" a="1"/>
  <c r="G319" i="28" s="1"/>
  <c r="G320" i="28" a="1"/>
  <c r="G320" i="28" s="1"/>
  <c r="G321" i="28" a="1"/>
  <c r="G321" i="28" s="1"/>
  <c r="G322" i="28" a="1"/>
  <c r="G322" i="28" s="1"/>
  <c r="G323" i="28" a="1"/>
  <c r="G323" i="28" s="1"/>
  <c r="G324" i="28" a="1"/>
  <c r="G324" i="28" s="1"/>
  <c r="G325" i="28" a="1"/>
  <c r="G325" i="28" s="1"/>
  <c r="G326" i="28" a="1"/>
  <c r="G326" i="28" s="1"/>
  <c r="G327" i="28" a="1"/>
  <c r="G327" i="28" s="1"/>
  <c r="G328" i="28" a="1"/>
  <c r="G328" i="28" s="1"/>
  <c r="G329" i="28" a="1"/>
  <c r="G329" i="28" s="1"/>
  <c r="G330" i="28" a="1"/>
  <c r="G330" i="28" s="1"/>
  <c r="G331" i="28" a="1"/>
  <c r="G331" i="28" s="1"/>
  <c r="G332" i="28" a="1"/>
  <c r="G332" i="28" s="1"/>
  <c r="G333" i="28" a="1"/>
  <c r="G333" i="28" s="1"/>
  <c r="G334" i="28" a="1"/>
  <c r="G334" i="28" s="1"/>
  <c r="G335" i="28" a="1"/>
  <c r="G335" i="28" s="1"/>
  <c r="G336" i="28" a="1"/>
  <c r="G336" i="28" s="1"/>
  <c r="G337" i="28" a="1"/>
  <c r="G337" i="28" s="1"/>
  <c r="G338" i="28" a="1"/>
  <c r="G338" i="28" s="1"/>
  <c r="G339" i="28" a="1"/>
  <c r="G339" i="28" s="1"/>
  <c r="G340" i="28" a="1"/>
  <c r="G340" i="28" s="1"/>
  <c r="G341" i="28" a="1"/>
  <c r="G341" i="28" s="1"/>
  <c r="G342" i="28" a="1"/>
  <c r="G342" i="28" s="1"/>
  <c r="G343" i="28" a="1"/>
  <c r="G343" i="28" s="1"/>
  <c r="G344" i="28" a="1"/>
  <c r="G344" i="28" s="1"/>
  <c r="G345" i="28" a="1"/>
  <c r="G345" i="28" s="1"/>
  <c r="G346" i="28" a="1"/>
  <c r="G346" i="28" s="1"/>
  <c r="G347" i="28" a="1"/>
  <c r="G347" i="28" s="1"/>
  <c r="G348" i="28" a="1"/>
  <c r="G348" i="28" s="1"/>
  <c r="G349" i="28" a="1"/>
  <c r="G349" i="28" s="1"/>
  <c r="G350" i="28" a="1"/>
  <c r="G350" i="28" s="1"/>
  <c r="G351" i="28" a="1"/>
  <c r="G351" i="28" s="1"/>
  <c r="G352" i="28" a="1"/>
  <c r="G352" i="28" s="1"/>
  <c r="G353" i="28" a="1"/>
  <c r="G353" i="28" s="1"/>
  <c r="G354" i="28" a="1"/>
  <c r="G354" i="28" s="1"/>
  <c r="G355" i="28" a="1"/>
  <c r="G355" i="28" s="1"/>
  <c r="G356" i="28" a="1"/>
  <c r="G356" i="28" s="1"/>
  <c r="G357" i="28" a="1"/>
  <c r="G357" i="28" s="1"/>
  <c r="G358" i="28" a="1"/>
  <c r="G358" i="28" s="1"/>
  <c r="G359" i="28" a="1"/>
  <c r="G359" i="28" s="1"/>
  <c r="G360" i="28" a="1"/>
  <c r="G360" i="28" s="1"/>
  <c r="G361" i="28" a="1"/>
  <c r="G361" i="28" s="1"/>
  <c r="G362" i="28" a="1"/>
  <c r="G362" i="28" s="1"/>
  <c r="G363" i="28" a="1"/>
  <c r="G363" i="28" s="1"/>
  <c r="G364" i="28" a="1"/>
  <c r="G364" i="28" s="1"/>
  <c r="G365" i="28" a="1"/>
  <c r="G365" i="28" s="1"/>
  <c r="G366" i="28" a="1"/>
  <c r="G366" i="28" s="1"/>
  <c r="G367" i="28" a="1"/>
  <c r="G367" i="28" s="1"/>
  <c r="G368" i="28" a="1"/>
  <c r="G368" i="28" s="1"/>
  <c r="G369" i="28" a="1"/>
  <c r="G369" i="28" s="1"/>
  <c r="G370" i="28" a="1"/>
  <c r="G370" i="28" s="1"/>
  <c r="G371" i="28" a="1"/>
  <c r="G371" i="28" s="1"/>
  <c r="G372" i="28" a="1"/>
  <c r="G372" i="28" s="1"/>
  <c r="G373" i="28" a="1"/>
  <c r="G373" i="28" s="1"/>
  <c r="G374" i="28" a="1"/>
  <c r="G374" i="28" s="1"/>
  <c r="G375" i="28" a="1"/>
  <c r="G375" i="28" s="1"/>
  <c r="G376" i="28" a="1"/>
  <c r="G376" i="28" s="1"/>
  <c r="G377" i="28" a="1"/>
  <c r="G377" i="28" s="1"/>
  <c r="G378" i="28" a="1"/>
  <c r="G378" i="28" s="1"/>
  <c r="J322" i="28"/>
  <c r="K322" i="28"/>
  <c r="L322" i="28" s="1"/>
  <c r="J323" i="28"/>
  <c r="K323" i="28"/>
  <c r="L323" i="28" s="1"/>
  <c r="J324" i="28"/>
  <c r="K324" i="28"/>
  <c r="L324" i="28" s="1"/>
  <c r="J325" i="28"/>
  <c r="K325" i="28"/>
  <c r="L325" i="28" s="1"/>
  <c r="J326" i="28"/>
  <c r="K326" i="28"/>
  <c r="L326" i="28" s="1"/>
  <c r="J327" i="28"/>
  <c r="K327" i="28"/>
  <c r="L327" i="28" s="1"/>
  <c r="J328" i="28"/>
  <c r="K328" i="28"/>
  <c r="L328" i="28" s="1"/>
  <c r="J329" i="28"/>
  <c r="K329" i="28"/>
  <c r="L329" i="28" s="1"/>
  <c r="J330" i="28"/>
  <c r="K330" i="28"/>
  <c r="L330" i="28" s="1"/>
  <c r="J331" i="28"/>
  <c r="K331" i="28"/>
  <c r="L331" i="28" s="1"/>
  <c r="J332" i="28"/>
  <c r="K332" i="28"/>
  <c r="L332" i="28" s="1"/>
  <c r="J333" i="28"/>
  <c r="K333" i="28"/>
  <c r="L333" i="28" s="1"/>
  <c r="J334" i="28"/>
  <c r="K334" i="28"/>
  <c r="L334" i="28" s="1"/>
  <c r="J335" i="28"/>
  <c r="K335" i="28"/>
  <c r="L335" i="28" s="1"/>
  <c r="J336" i="28"/>
  <c r="K336" i="28"/>
  <c r="L336" i="28" s="1"/>
  <c r="J337" i="28"/>
  <c r="K337" i="28"/>
  <c r="L337" i="28" s="1"/>
  <c r="J338" i="28"/>
  <c r="K338" i="28"/>
  <c r="L338" i="28" s="1"/>
  <c r="J339" i="28"/>
  <c r="K339" i="28"/>
  <c r="L339" i="28" s="1"/>
  <c r="J340" i="28"/>
  <c r="K340" i="28"/>
  <c r="L340" i="28" s="1"/>
  <c r="J303" i="28"/>
  <c r="K303" i="28"/>
  <c r="L303" i="28" s="1"/>
  <c r="J304" i="28"/>
  <c r="K304" i="28"/>
  <c r="L304" i="28" s="1"/>
  <c r="J305" i="28"/>
  <c r="K305" i="28"/>
  <c r="L305" i="28" s="1"/>
  <c r="J306" i="28"/>
  <c r="K306" i="28"/>
  <c r="L306" i="28" s="1"/>
  <c r="J307" i="28"/>
  <c r="K307" i="28"/>
  <c r="L307" i="28" s="1"/>
  <c r="J308" i="28"/>
  <c r="K308" i="28"/>
  <c r="L308" i="28" s="1"/>
  <c r="J309" i="28"/>
  <c r="K309" i="28"/>
  <c r="L309" i="28" s="1"/>
  <c r="J310" i="28"/>
  <c r="K310" i="28"/>
  <c r="L310" i="28" s="1"/>
  <c r="J311" i="28"/>
  <c r="K311" i="28"/>
  <c r="L311" i="28" s="1"/>
  <c r="J312" i="28"/>
  <c r="K312" i="28"/>
  <c r="L312" i="28" s="1"/>
  <c r="J313" i="28"/>
  <c r="K313" i="28"/>
  <c r="L313" i="28" s="1"/>
  <c r="J314" i="28"/>
  <c r="K314" i="28"/>
  <c r="L314" i="28" s="1"/>
  <c r="J315" i="28"/>
  <c r="K315" i="28"/>
  <c r="L315" i="28" s="1"/>
  <c r="J316" i="28"/>
  <c r="K316" i="28"/>
  <c r="L316" i="28" s="1"/>
  <c r="J317" i="28"/>
  <c r="K317" i="28"/>
  <c r="L317" i="28" s="1"/>
  <c r="J318" i="28"/>
  <c r="K318" i="28"/>
  <c r="L318" i="28" s="1"/>
  <c r="J319" i="28"/>
  <c r="K319" i="28"/>
  <c r="L319" i="28" s="1"/>
  <c r="J320" i="28"/>
  <c r="K320" i="28"/>
  <c r="L320" i="28" s="1"/>
  <c r="J321" i="28"/>
  <c r="K321" i="28"/>
  <c r="L321" i="28" s="1"/>
  <c r="G284" i="28" a="1"/>
  <c r="G284" i="28" s="1"/>
  <c r="G285" i="28" a="1"/>
  <c r="G285" i="28" s="1"/>
  <c r="G286" i="28" a="1"/>
  <c r="G286" i="28" s="1"/>
  <c r="G287" i="28" a="1"/>
  <c r="G287" i="28" s="1"/>
  <c r="G288" i="28" a="1"/>
  <c r="G288" i="28" s="1"/>
  <c r="G289" i="28" a="1"/>
  <c r="G289" i="28" s="1"/>
  <c r="G290" i="28" a="1"/>
  <c r="G290" i="28" s="1"/>
  <c r="G291" i="28" a="1"/>
  <c r="G291" i="28" s="1"/>
  <c r="G292" i="28" a="1"/>
  <c r="G292" i="28" s="1"/>
  <c r="G293" i="28" a="1"/>
  <c r="G293" i="28" s="1"/>
  <c r="G294" i="28" a="1"/>
  <c r="G294" i="28" s="1"/>
  <c r="G295" i="28" a="1"/>
  <c r="G295" i="28" s="1"/>
  <c r="G296" i="28" a="1"/>
  <c r="G296" i="28" s="1"/>
  <c r="G297" i="28" a="1"/>
  <c r="G297" i="28" s="1"/>
  <c r="G298" i="28" a="1"/>
  <c r="G298" i="28" s="1"/>
  <c r="G299" i="28" a="1"/>
  <c r="G299" i="28" s="1"/>
  <c r="G300" i="28" a="1"/>
  <c r="G300" i="28" s="1"/>
  <c r="G301" i="28" a="1"/>
  <c r="G301" i="28" s="1"/>
  <c r="G302" i="28" a="1"/>
  <c r="G302" i="28" s="1"/>
  <c r="K302" i="28"/>
  <c r="L302" i="28" s="1"/>
  <c r="K301" i="28"/>
  <c r="L301" i="28" s="1"/>
  <c r="J284" i="28"/>
  <c r="K284" i="28"/>
  <c r="L284" i="28" s="1"/>
  <c r="J285" i="28"/>
  <c r="K285" i="28"/>
  <c r="L285" i="28" s="1"/>
  <c r="J286" i="28"/>
  <c r="K286" i="28"/>
  <c r="L286" i="28" s="1"/>
  <c r="J287" i="28"/>
  <c r="K287" i="28"/>
  <c r="L287" i="28" s="1"/>
  <c r="J288" i="28"/>
  <c r="K288" i="28"/>
  <c r="L288" i="28" s="1"/>
  <c r="J289" i="28"/>
  <c r="K289" i="28"/>
  <c r="L289" i="28" s="1"/>
  <c r="J290" i="28"/>
  <c r="K290" i="28"/>
  <c r="L290" i="28" s="1"/>
  <c r="J291" i="28"/>
  <c r="K291" i="28"/>
  <c r="L291" i="28" s="1"/>
  <c r="J292" i="28"/>
  <c r="K292" i="28"/>
  <c r="L292" i="28" s="1"/>
  <c r="J293" i="28"/>
  <c r="K293" i="28"/>
  <c r="L293" i="28" s="1"/>
  <c r="J294" i="28"/>
  <c r="K294" i="28"/>
  <c r="L294" i="28" s="1"/>
  <c r="J295" i="28"/>
  <c r="K295" i="28"/>
  <c r="L295" i="28" s="1"/>
  <c r="J296" i="28"/>
  <c r="K296" i="28"/>
  <c r="L296" i="28" s="1"/>
  <c r="J297" i="28"/>
  <c r="K297" i="28"/>
  <c r="L297" i="28" s="1"/>
  <c r="J298" i="28"/>
  <c r="K298" i="28"/>
  <c r="L298" i="28" s="1"/>
  <c r="J299" i="28"/>
  <c r="K299" i="28"/>
  <c r="L299" i="28" s="1"/>
  <c r="J300" i="28"/>
  <c r="K300" i="28"/>
  <c r="L300" i="28" s="1"/>
  <c r="J301" i="28"/>
  <c r="J302" i="28"/>
  <c r="K282" i="28"/>
  <c r="L282" i="28" s="1"/>
  <c r="K283" i="28"/>
  <c r="L283" i="28" s="1"/>
  <c r="K281" i="28"/>
  <c r="L281" i="28" s="1"/>
  <c r="K280" i="28"/>
  <c r="L280" i="28" s="1"/>
  <c r="G212" i="28" a="1"/>
  <c r="G212" i="28" s="1"/>
  <c r="G213" i="28" a="1"/>
  <c r="G213" i="28" s="1"/>
  <c r="G214" i="28" a="1"/>
  <c r="G214" i="28" s="1"/>
  <c r="G215" i="28" a="1"/>
  <c r="G215" i="28" s="1"/>
  <c r="G216" i="28" a="1"/>
  <c r="G216" i="28" s="1"/>
  <c r="G217" i="28" a="1"/>
  <c r="G217" i="28" s="1"/>
  <c r="G218" i="28" a="1"/>
  <c r="G218" i="28" s="1"/>
  <c r="G219" i="28" a="1"/>
  <c r="G219" i="28" s="1"/>
  <c r="G220" i="28" a="1"/>
  <c r="G220" i="28" s="1"/>
  <c r="G221" i="28" a="1"/>
  <c r="G221" i="28" s="1"/>
  <c r="G222" i="28" a="1"/>
  <c r="G222" i="28" s="1"/>
  <c r="G223" i="28" a="1"/>
  <c r="G223" i="28" s="1"/>
  <c r="G224" i="28" a="1"/>
  <c r="G224" i="28" s="1"/>
  <c r="G225" i="28" a="1"/>
  <c r="G225" i="28" s="1"/>
  <c r="G226" i="28" a="1"/>
  <c r="G226" i="28" s="1"/>
  <c r="G227" i="28" a="1"/>
  <c r="G227" i="28" s="1"/>
  <c r="G228" i="28" a="1"/>
  <c r="G228" i="28" s="1"/>
  <c r="G229" i="28" a="1"/>
  <c r="G229" i="28" s="1"/>
  <c r="G230" i="28" a="1"/>
  <c r="G230" i="28" s="1"/>
  <c r="G231" i="28" a="1"/>
  <c r="G231" i="28" s="1"/>
  <c r="G232" i="28" a="1"/>
  <c r="G232" i="28" s="1"/>
  <c r="G233" i="28" a="1"/>
  <c r="G233" i="28" s="1"/>
  <c r="G234" i="28" a="1"/>
  <c r="G234" i="28" s="1"/>
  <c r="G235" i="28" a="1"/>
  <c r="G235" i="28" s="1"/>
  <c r="G236" i="28" a="1"/>
  <c r="G236" i="28" s="1"/>
  <c r="G237" i="28" a="1"/>
  <c r="G237" i="28" s="1"/>
  <c r="G238" i="28" a="1"/>
  <c r="G238" i="28" s="1"/>
  <c r="G239" i="28" a="1"/>
  <c r="G239" i="28" s="1"/>
  <c r="G240" i="28" a="1"/>
  <c r="G240" i="28" s="1"/>
  <c r="G241" i="28" a="1"/>
  <c r="G241" i="28" s="1"/>
  <c r="G242" i="28" a="1"/>
  <c r="G242" i="28" s="1"/>
  <c r="G243" i="28" a="1"/>
  <c r="G243" i="28" s="1"/>
  <c r="G244" i="28" a="1"/>
  <c r="G244" i="28" s="1"/>
  <c r="G245" i="28" a="1"/>
  <c r="G245" i="28" s="1"/>
  <c r="G246" i="28" a="1"/>
  <c r="G246" i="28" s="1"/>
  <c r="G247" i="28" a="1"/>
  <c r="G247" i="28" s="1"/>
  <c r="G248" i="28" a="1"/>
  <c r="G248" i="28" s="1"/>
  <c r="G249" i="28" a="1"/>
  <c r="G249" i="28" s="1"/>
  <c r="G250" i="28" a="1"/>
  <c r="G250" i="28" s="1"/>
  <c r="G251" i="28" a="1"/>
  <c r="G251" i="28" s="1"/>
  <c r="G252" i="28" a="1"/>
  <c r="G252" i="28" s="1"/>
  <c r="G253" i="28" a="1"/>
  <c r="G253" i="28" s="1"/>
  <c r="G254" i="28" a="1"/>
  <c r="G254" i="28" s="1"/>
  <c r="G255" i="28" a="1"/>
  <c r="G255" i="28" s="1"/>
  <c r="G256" i="28" a="1"/>
  <c r="G256" i="28" s="1"/>
  <c r="G257" i="28" a="1"/>
  <c r="G257" i="28" s="1"/>
  <c r="G258" i="28" a="1"/>
  <c r="G258" i="28" s="1"/>
  <c r="G259" i="28" a="1"/>
  <c r="G259" i="28" s="1"/>
  <c r="G260" i="28" a="1"/>
  <c r="G260" i="28" s="1"/>
  <c r="G261" i="28" a="1"/>
  <c r="G261" i="28" s="1"/>
  <c r="G262" i="28" a="1"/>
  <c r="G262" i="28" s="1"/>
  <c r="G263" i="28" a="1"/>
  <c r="G263" i="28" s="1"/>
  <c r="G264" i="28" a="1"/>
  <c r="G264" i="28" s="1"/>
  <c r="G265" i="28" a="1"/>
  <c r="G265" i="28" s="1"/>
  <c r="G266" i="28" a="1"/>
  <c r="G266" i="28" s="1"/>
  <c r="G267" i="28" a="1"/>
  <c r="G267" i="28" s="1"/>
  <c r="G268" i="28" a="1"/>
  <c r="G268" i="28" s="1"/>
  <c r="G269" i="28" a="1"/>
  <c r="G269" i="28" s="1"/>
  <c r="G270" i="28" a="1"/>
  <c r="G270" i="28" s="1"/>
  <c r="G271" i="28" a="1"/>
  <c r="G271" i="28" s="1"/>
  <c r="G272" i="28" a="1"/>
  <c r="G272" i="28" s="1"/>
  <c r="G273" i="28" a="1"/>
  <c r="G273" i="28" s="1"/>
  <c r="G274" i="28" a="1"/>
  <c r="G274" i="28" s="1"/>
  <c r="G275" i="28" a="1"/>
  <c r="G275" i="28" s="1"/>
  <c r="G276" i="28" a="1"/>
  <c r="G276" i="28" s="1"/>
  <c r="G277" i="28" a="1"/>
  <c r="G277" i="28" s="1"/>
  <c r="G278" i="28" a="1"/>
  <c r="G278" i="28" s="1"/>
  <c r="G279" i="28" a="1"/>
  <c r="G279" i="28" s="1"/>
  <c r="G280" i="28" a="1"/>
  <c r="G280" i="28" s="1"/>
  <c r="G281" i="28" a="1"/>
  <c r="G281" i="28" s="1"/>
  <c r="G282" i="28" a="1"/>
  <c r="G282" i="28" s="1"/>
  <c r="G283" i="28" a="1"/>
  <c r="G283" i="28" s="1"/>
  <c r="J230" i="28"/>
  <c r="K230" i="28"/>
  <c r="L230" i="28" s="1"/>
  <c r="J231" i="28"/>
  <c r="K231" i="28"/>
  <c r="L231" i="28" s="1"/>
  <c r="J232" i="28"/>
  <c r="K232" i="28"/>
  <c r="L232" i="28" s="1"/>
  <c r="J233" i="28"/>
  <c r="K233" i="28"/>
  <c r="L233" i="28" s="1"/>
  <c r="J234" i="28"/>
  <c r="K234" i="28"/>
  <c r="L234" i="28" s="1"/>
  <c r="J235" i="28"/>
  <c r="K235" i="28"/>
  <c r="L235" i="28" s="1"/>
  <c r="J236" i="28"/>
  <c r="K236" i="28"/>
  <c r="L236" i="28" s="1"/>
  <c r="J237" i="28"/>
  <c r="K237" i="28"/>
  <c r="L237" i="28" s="1"/>
  <c r="J238" i="28"/>
  <c r="K238" i="28"/>
  <c r="L238" i="28" s="1"/>
  <c r="J239" i="28"/>
  <c r="K239" i="28"/>
  <c r="L239" i="28" s="1"/>
  <c r="J240" i="28"/>
  <c r="K240" i="28"/>
  <c r="L240" i="28" s="1"/>
  <c r="J241" i="28"/>
  <c r="K241" i="28"/>
  <c r="L241" i="28" s="1"/>
  <c r="J242" i="28"/>
  <c r="K242" i="28"/>
  <c r="L242" i="28" s="1"/>
  <c r="J243" i="28"/>
  <c r="K243" i="28"/>
  <c r="L243" i="28" s="1"/>
  <c r="J244" i="28"/>
  <c r="K244" i="28"/>
  <c r="L244" i="28" s="1"/>
  <c r="J245" i="28"/>
  <c r="K245" i="28"/>
  <c r="L245" i="28" s="1"/>
  <c r="J246" i="28"/>
  <c r="J247" i="28"/>
  <c r="J248" i="28"/>
  <c r="K248" i="28"/>
  <c r="L248" i="28" s="1"/>
  <c r="J249" i="28"/>
  <c r="K249" i="28"/>
  <c r="L249" i="28" s="1"/>
  <c r="J250" i="28"/>
  <c r="K250" i="28"/>
  <c r="L250" i="28" s="1"/>
  <c r="J251" i="28"/>
  <c r="K251" i="28"/>
  <c r="L251" i="28" s="1"/>
  <c r="J252" i="28"/>
  <c r="K252" i="28"/>
  <c r="L252" i="28" s="1"/>
  <c r="J253" i="28"/>
  <c r="K253" i="28"/>
  <c r="L253" i="28" s="1"/>
  <c r="J254" i="28"/>
  <c r="K254" i="28"/>
  <c r="L254" i="28" s="1"/>
  <c r="J255" i="28"/>
  <c r="K255" i="28"/>
  <c r="L255" i="28" s="1"/>
  <c r="J256" i="28"/>
  <c r="K256" i="28"/>
  <c r="L256" i="28" s="1"/>
  <c r="J257" i="28"/>
  <c r="K257" i="28"/>
  <c r="L257" i="28" s="1"/>
  <c r="J258" i="28"/>
  <c r="K258" i="28"/>
  <c r="L258" i="28" s="1"/>
  <c r="J259" i="28"/>
  <c r="K259" i="28"/>
  <c r="L259" i="28" s="1"/>
  <c r="J260" i="28"/>
  <c r="K260" i="28"/>
  <c r="L260" i="28" s="1"/>
  <c r="J261" i="28"/>
  <c r="K261" i="28"/>
  <c r="L261" i="28" s="1"/>
  <c r="J262" i="28"/>
  <c r="K262" i="28"/>
  <c r="L262" i="28" s="1"/>
  <c r="J263" i="28"/>
  <c r="K263" i="28"/>
  <c r="L263" i="28" s="1"/>
  <c r="J264" i="28"/>
  <c r="K264" i="28"/>
  <c r="L264" i="28" s="1"/>
  <c r="J265" i="28"/>
  <c r="K265" i="28"/>
  <c r="L265" i="28" s="1"/>
  <c r="J266" i="28"/>
  <c r="K266" i="28"/>
  <c r="L266" i="28" s="1"/>
  <c r="J267" i="28"/>
  <c r="K267" i="28"/>
  <c r="L267" i="28" s="1"/>
  <c r="J268" i="28"/>
  <c r="K268" i="28"/>
  <c r="L268" i="28" s="1"/>
  <c r="J269" i="28"/>
  <c r="K269" i="28"/>
  <c r="L269" i="28" s="1"/>
  <c r="J270" i="28"/>
  <c r="K270" i="28"/>
  <c r="L270" i="28" s="1"/>
  <c r="J271" i="28"/>
  <c r="K271" i="28"/>
  <c r="L271" i="28" s="1"/>
  <c r="J272" i="28"/>
  <c r="K272" i="28"/>
  <c r="L272" i="28" s="1"/>
  <c r="J273" i="28"/>
  <c r="K273" i="28"/>
  <c r="L273" i="28" s="1"/>
  <c r="J274" i="28"/>
  <c r="K274" i="28"/>
  <c r="L274" i="28" s="1"/>
  <c r="J275" i="28"/>
  <c r="K275" i="28"/>
  <c r="L275" i="28" s="1"/>
  <c r="J276" i="28"/>
  <c r="K276" i="28"/>
  <c r="L276" i="28" s="1"/>
  <c r="J277" i="28"/>
  <c r="K277" i="28"/>
  <c r="L277" i="28" s="1"/>
  <c r="J278" i="28"/>
  <c r="K278" i="28"/>
  <c r="L278" i="28" s="1"/>
  <c r="J279" i="28"/>
  <c r="K279" i="28"/>
  <c r="L279" i="28" s="1"/>
  <c r="J280" i="28"/>
  <c r="J281" i="28"/>
  <c r="J282" i="28"/>
  <c r="J283" i="28"/>
  <c r="J212" i="28"/>
  <c r="K212" i="28"/>
  <c r="L212" i="28" s="1"/>
  <c r="J213" i="28"/>
  <c r="K213" i="28"/>
  <c r="L213" i="28" s="1"/>
  <c r="J214" i="28"/>
  <c r="K214" i="28"/>
  <c r="L214" i="28" s="1"/>
  <c r="J215" i="28"/>
  <c r="K215" i="28"/>
  <c r="L215" i="28" s="1"/>
  <c r="J216" i="28"/>
  <c r="K216" i="28"/>
  <c r="L216" i="28" s="1"/>
  <c r="J217" i="28"/>
  <c r="K217" i="28"/>
  <c r="L217" i="28" s="1"/>
  <c r="J218" i="28"/>
  <c r="K218" i="28"/>
  <c r="L218" i="28" s="1"/>
  <c r="J219" i="28"/>
  <c r="K219" i="28"/>
  <c r="L219" i="28" s="1"/>
  <c r="J220" i="28"/>
  <c r="K220" i="28"/>
  <c r="L220" i="28" s="1"/>
  <c r="J221" i="28"/>
  <c r="K221" i="28"/>
  <c r="L221" i="28" s="1"/>
  <c r="J222" i="28"/>
  <c r="K222" i="28"/>
  <c r="L222" i="28" s="1"/>
  <c r="J223" i="28"/>
  <c r="K223" i="28"/>
  <c r="L223" i="28" s="1"/>
  <c r="J224" i="28"/>
  <c r="K224" i="28"/>
  <c r="L224" i="28" s="1"/>
  <c r="J225" i="28"/>
  <c r="K225" i="28"/>
  <c r="L225" i="28" s="1"/>
  <c r="J226" i="28"/>
  <c r="K226" i="28"/>
  <c r="L226" i="28" s="1"/>
  <c r="J227" i="28"/>
  <c r="K227" i="28"/>
  <c r="L227" i="28" s="1"/>
  <c r="J228" i="28"/>
  <c r="K228" i="28"/>
  <c r="L228" i="28" s="1"/>
  <c r="J229" i="28"/>
  <c r="K229" i="28"/>
  <c r="L229" i="28" s="1"/>
  <c r="G187" i="28" a="1"/>
  <c r="G187" i="28" s="1"/>
  <c r="G188" i="28" a="1"/>
  <c r="G188" i="28" s="1"/>
  <c r="G189" i="28" a="1"/>
  <c r="G189" i="28" s="1"/>
  <c r="G190" i="28" a="1"/>
  <c r="G190" i="28" s="1"/>
  <c r="G191" i="28" a="1"/>
  <c r="G191" i="28" s="1"/>
  <c r="G193" i="28" a="1"/>
  <c r="G193" i="28" s="1"/>
  <c r="G194" i="28" a="1"/>
  <c r="G194" i="28" s="1"/>
  <c r="G195" i="28" a="1"/>
  <c r="G195" i="28" s="1"/>
  <c r="G196" i="28" a="1"/>
  <c r="G196" i="28" s="1"/>
  <c r="G197" i="28" a="1"/>
  <c r="G197" i="28" s="1"/>
  <c r="G198" i="28" a="1"/>
  <c r="G198" i="28" s="1"/>
  <c r="G199" i="28" a="1"/>
  <c r="G199" i="28" s="1"/>
  <c r="G201" i="28" a="1"/>
  <c r="G201" i="28" s="1"/>
  <c r="G202" i="28" a="1"/>
  <c r="G202" i="28" s="1"/>
  <c r="G203" i="28" a="1"/>
  <c r="G203" i="28" s="1"/>
  <c r="G205" i="28" a="1"/>
  <c r="G205" i="28" s="1"/>
  <c r="G206" i="28" a="1"/>
  <c r="G206" i="28" s="1"/>
  <c r="G208" i="28" a="1"/>
  <c r="G208" i="28" s="1"/>
  <c r="G209" i="28" a="1"/>
  <c r="G209" i="28" s="1"/>
  <c r="G210" i="28" a="1"/>
  <c r="G210" i="28" s="1"/>
  <c r="G211" i="28" a="1"/>
  <c r="G211" i="28" s="1"/>
  <c r="K210" i="28"/>
  <c r="L210" i="28" s="1"/>
  <c r="K211" i="28"/>
  <c r="L211" i="28" s="1"/>
  <c r="K209" i="28"/>
  <c r="L209" i="28" s="1"/>
  <c r="J190" i="28"/>
  <c r="K190" i="28"/>
  <c r="L190" i="28" s="1"/>
  <c r="J191" i="28"/>
  <c r="K191" i="28"/>
  <c r="L191" i="28" s="1"/>
  <c r="J193" i="28"/>
  <c r="K193" i="28"/>
  <c r="L193" i="28" s="1"/>
  <c r="J194" i="28"/>
  <c r="K194" i="28"/>
  <c r="L194" i="28" s="1"/>
  <c r="J195" i="28"/>
  <c r="K195" i="28"/>
  <c r="L195" i="28" s="1"/>
  <c r="J196" i="28"/>
  <c r="K196" i="28"/>
  <c r="L196" i="28" s="1"/>
  <c r="J197" i="28"/>
  <c r="K197" i="28"/>
  <c r="L197" i="28" s="1"/>
  <c r="J198" i="28"/>
  <c r="K198" i="28"/>
  <c r="L198" i="28" s="1"/>
  <c r="J199" i="28"/>
  <c r="K199" i="28"/>
  <c r="L199" i="28" s="1"/>
  <c r="J201" i="28"/>
  <c r="K201" i="28"/>
  <c r="L201" i="28" s="1"/>
  <c r="J202" i="28"/>
  <c r="K202" i="28"/>
  <c r="L202" i="28" s="1"/>
  <c r="J203" i="28"/>
  <c r="K203" i="28"/>
  <c r="L203" i="28" s="1"/>
  <c r="J205" i="28"/>
  <c r="K205" i="28"/>
  <c r="L205" i="28" s="1"/>
  <c r="J206" i="28"/>
  <c r="K206" i="28"/>
  <c r="L206" i="28" s="1"/>
  <c r="J208" i="28"/>
  <c r="K208" i="28"/>
  <c r="L208" i="28" s="1"/>
  <c r="J209" i="28"/>
  <c r="J210" i="28"/>
  <c r="J211" i="28"/>
  <c r="K188" i="28"/>
  <c r="L188" i="28" s="1"/>
  <c r="J189" i="28"/>
  <c r="K189" i="28"/>
  <c r="L189" i="28" s="1"/>
  <c r="J187" i="28"/>
  <c r="K187" i="28"/>
  <c r="L187" i="28" s="1"/>
  <c r="J188" i="28"/>
  <c r="G182" i="28" a="1"/>
  <c r="G182" i="28" s="1"/>
  <c r="G183" i="28" a="1"/>
  <c r="G183" i="28" s="1"/>
  <c r="G184" i="28" a="1"/>
  <c r="G184" i="28" s="1"/>
  <c r="G185" i="28" a="1"/>
  <c r="G185" i="28" s="1"/>
  <c r="G186" i="28" a="1"/>
  <c r="G186" i="28" s="1"/>
  <c r="J182" i="28"/>
  <c r="K182" i="28"/>
  <c r="L182" i="28" s="1"/>
  <c r="J183" i="28"/>
  <c r="K183" i="28"/>
  <c r="L183" i="28" s="1"/>
  <c r="J184" i="28"/>
  <c r="K184" i="28"/>
  <c r="L184" i="28" s="1"/>
  <c r="J185" i="28"/>
  <c r="K185" i="28"/>
  <c r="L185" i="28" s="1"/>
  <c r="J186" i="28"/>
  <c r="K186" i="28"/>
  <c r="L186" i="28" s="1"/>
  <c r="G114" i="28" a="1"/>
  <c r="G114" i="28" s="1"/>
  <c r="G115" i="28" a="1"/>
  <c r="G115" i="28" s="1"/>
  <c r="G116" i="28" a="1"/>
  <c r="G116" i="28" s="1"/>
  <c r="G117" i="28" a="1"/>
  <c r="G117" i="28" s="1"/>
  <c r="G118" i="28" a="1"/>
  <c r="G118" i="28" s="1"/>
  <c r="G119" i="28" a="1"/>
  <c r="G119" i="28" s="1"/>
  <c r="G120" i="28" a="1"/>
  <c r="G120" i="28" s="1"/>
  <c r="G121" i="28" a="1"/>
  <c r="G121" i="28" s="1"/>
  <c r="G122" i="28" a="1"/>
  <c r="G122" i="28" s="1"/>
  <c r="G123" i="28" a="1"/>
  <c r="G123" i="28" s="1"/>
  <c r="G124" i="28" a="1"/>
  <c r="G124" i="28" s="1"/>
  <c r="G125" i="28" a="1"/>
  <c r="G125" i="28" s="1"/>
  <c r="G126" i="28" a="1"/>
  <c r="G126" i="28" s="1"/>
  <c r="G127" i="28" a="1"/>
  <c r="G127" i="28" s="1"/>
  <c r="G128" i="28" a="1"/>
  <c r="G128" i="28" s="1"/>
  <c r="G129" i="28" a="1"/>
  <c r="G129" i="28" s="1"/>
  <c r="G130" i="28" a="1"/>
  <c r="G130" i="28" s="1"/>
  <c r="G131" i="28" a="1"/>
  <c r="G131" i="28" s="1"/>
  <c r="G132" i="28" a="1"/>
  <c r="G132" i="28" s="1"/>
  <c r="G133" i="28" a="1"/>
  <c r="G133" i="28" s="1"/>
  <c r="G134" i="28" a="1"/>
  <c r="G134" i="28" s="1"/>
  <c r="G135" i="28" a="1"/>
  <c r="G135" i="28" s="1"/>
  <c r="G136" i="28" a="1"/>
  <c r="G136" i="28" s="1"/>
  <c r="G137" i="28" a="1"/>
  <c r="G137" i="28" s="1"/>
  <c r="G138" i="28" a="1"/>
  <c r="G138" i="28" s="1"/>
  <c r="G139" i="28" a="1"/>
  <c r="G139" i="28" s="1"/>
  <c r="G140" i="28" a="1"/>
  <c r="G140" i="28" s="1"/>
  <c r="G141" i="28" a="1"/>
  <c r="G141" i="28" s="1"/>
  <c r="G142" i="28" a="1"/>
  <c r="G142" i="28" s="1"/>
  <c r="G143" i="28" a="1"/>
  <c r="G143" i="28" s="1"/>
  <c r="G144" i="28" a="1"/>
  <c r="G144" i="28" s="1"/>
  <c r="G145" i="28" a="1"/>
  <c r="G145" i="28" s="1"/>
  <c r="G146" i="28" a="1"/>
  <c r="G146" i="28" s="1"/>
  <c r="G147" i="28" a="1"/>
  <c r="G147" i="28" s="1"/>
  <c r="G148" i="28" a="1"/>
  <c r="G148" i="28" s="1"/>
  <c r="G149" i="28" a="1"/>
  <c r="G149" i="28" s="1"/>
  <c r="G150" i="28" a="1"/>
  <c r="G150" i="28" s="1"/>
  <c r="G151" i="28" a="1"/>
  <c r="G151" i="28" s="1"/>
  <c r="G152" i="28" a="1"/>
  <c r="G152" i="28" s="1"/>
  <c r="G153" i="28" a="1"/>
  <c r="G153" i="28" s="1"/>
  <c r="G154" i="28" a="1"/>
  <c r="G154" i="28" s="1"/>
  <c r="G155" i="28" a="1"/>
  <c r="G155" i="28" s="1"/>
  <c r="G156" i="28" a="1"/>
  <c r="G156" i="28" s="1"/>
  <c r="G157" i="28" a="1"/>
  <c r="G157" i="28" s="1"/>
  <c r="G158" i="28" a="1"/>
  <c r="G158" i="28" s="1"/>
  <c r="G159" i="28" a="1"/>
  <c r="G159" i="28" s="1"/>
  <c r="G160" i="28" a="1"/>
  <c r="G160" i="28" s="1"/>
  <c r="G161" i="28" a="1"/>
  <c r="G161" i="28" s="1"/>
  <c r="G162" i="28" a="1"/>
  <c r="G162" i="28" s="1"/>
  <c r="G163" i="28" a="1"/>
  <c r="G163" i="28" s="1"/>
  <c r="G164" i="28" a="1"/>
  <c r="G164" i="28" s="1"/>
  <c r="G165" i="28" a="1"/>
  <c r="G165" i="28" s="1"/>
  <c r="G166" i="28" a="1"/>
  <c r="G166" i="28" s="1"/>
  <c r="G167" i="28" a="1"/>
  <c r="G167" i="28" s="1"/>
  <c r="G168" i="28" a="1"/>
  <c r="G168" i="28" s="1"/>
  <c r="G169" i="28" a="1"/>
  <c r="G169" i="28" s="1"/>
  <c r="G170" i="28" a="1"/>
  <c r="G170" i="28" s="1"/>
  <c r="G171" i="28" a="1"/>
  <c r="G171" i="28" s="1"/>
  <c r="G172" i="28" a="1"/>
  <c r="G172" i="28" s="1"/>
  <c r="G173" i="28" a="1"/>
  <c r="G173" i="28" s="1"/>
  <c r="G174" i="28" a="1"/>
  <c r="G174" i="28" s="1"/>
  <c r="G175" i="28" a="1"/>
  <c r="G175" i="28" s="1"/>
  <c r="G176" i="28" a="1"/>
  <c r="G176" i="28" s="1"/>
  <c r="G177" i="28" a="1"/>
  <c r="G177" i="28" s="1"/>
  <c r="G178" i="28" a="1"/>
  <c r="G178" i="28" s="1"/>
  <c r="G179" i="28" a="1"/>
  <c r="G179" i="28" s="1"/>
  <c r="G180" i="28" a="1"/>
  <c r="G180" i="28" s="1"/>
  <c r="G181" i="28" a="1"/>
  <c r="G181" i="28" s="1"/>
  <c r="J114" i="28"/>
  <c r="K114" i="28"/>
  <c r="L114" i="28" s="1"/>
  <c r="J115" i="28"/>
  <c r="K115" i="28"/>
  <c r="L115" i="28" s="1"/>
  <c r="J116" i="28"/>
  <c r="K116" i="28"/>
  <c r="L116" i="28" s="1"/>
  <c r="J117" i="28"/>
  <c r="K117" i="28"/>
  <c r="L117" i="28" s="1"/>
  <c r="J118" i="28"/>
  <c r="K118" i="28"/>
  <c r="L118" i="28" s="1"/>
  <c r="J119" i="28"/>
  <c r="K119" i="28"/>
  <c r="L119" i="28" s="1"/>
  <c r="J120" i="28"/>
  <c r="K120" i="28"/>
  <c r="L120" i="28" s="1"/>
  <c r="J121" i="28"/>
  <c r="K121" i="28"/>
  <c r="L121" i="28" s="1"/>
  <c r="J122" i="28"/>
  <c r="K122" i="28"/>
  <c r="L122" i="28" s="1"/>
  <c r="J123" i="28"/>
  <c r="K123" i="28"/>
  <c r="L123" i="28" s="1"/>
  <c r="J124" i="28"/>
  <c r="K124" i="28"/>
  <c r="L124" i="28" s="1"/>
  <c r="J125" i="28"/>
  <c r="K125" i="28"/>
  <c r="L125" i="28" s="1"/>
  <c r="J126" i="28"/>
  <c r="K126" i="28"/>
  <c r="L126" i="28" s="1"/>
  <c r="J127" i="28"/>
  <c r="K127" i="28"/>
  <c r="L127" i="28" s="1"/>
  <c r="J128" i="28"/>
  <c r="K128" i="28"/>
  <c r="L128" i="28" s="1"/>
  <c r="J129" i="28"/>
  <c r="K129" i="28"/>
  <c r="L129" i="28" s="1"/>
  <c r="J130" i="28"/>
  <c r="K130" i="28"/>
  <c r="L130" i="28" s="1"/>
  <c r="J131" i="28"/>
  <c r="K131" i="28"/>
  <c r="L131" i="28" s="1"/>
  <c r="J132" i="28"/>
  <c r="K132" i="28"/>
  <c r="L132" i="28" s="1"/>
  <c r="J133" i="28"/>
  <c r="K133" i="28"/>
  <c r="L133" i="28" s="1"/>
  <c r="J134" i="28"/>
  <c r="K134" i="28"/>
  <c r="L134" i="28" s="1"/>
  <c r="J135" i="28"/>
  <c r="K135" i="28"/>
  <c r="L135" i="28" s="1"/>
  <c r="J136" i="28"/>
  <c r="K136" i="28"/>
  <c r="L136" i="28" s="1"/>
  <c r="J137" i="28"/>
  <c r="K137" i="28"/>
  <c r="L137" i="28" s="1"/>
  <c r="J138" i="28"/>
  <c r="K138" i="28"/>
  <c r="L138" i="28" s="1"/>
  <c r="J139" i="28"/>
  <c r="K139" i="28"/>
  <c r="L139" i="28" s="1"/>
  <c r="J140" i="28"/>
  <c r="K140" i="28"/>
  <c r="L140" i="28" s="1"/>
  <c r="J141" i="28"/>
  <c r="K141" i="28"/>
  <c r="L141" i="28" s="1"/>
  <c r="J142" i="28"/>
  <c r="K142" i="28"/>
  <c r="L142" i="28" s="1"/>
  <c r="J143" i="28"/>
  <c r="K143" i="28"/>
  <c r="L143" i="28" s="1"/>
  <c r="J144" i="28"/>
  <c r="K144" i="28"/>
  <c r="L144" i="28" s="1"/>
  <c r="J145" i="28"/>
  <c r="K145" i="28"/>
  <c r="L145" i="28" s="1"/>
  <c r="J146" i="28"/>
  <c r="K146" i="28"/>
  <c r="L146" i="28" s="1"/>
  <c r="J147" i="28"/>
  <c r="K147" i="28"/>
  <c r="L147" i="28" s="1"/>
  <c r="J148" i="28"/>
  <c r="K148" i="28"/>
  <c r="L148" i="28" s="1"/>
  <c r="J149" i="28"/>
  <c r="K149" i="28"/>
  <c r="L149" i="28" s="1"/>
  <c r="J150" i="28"/>
  <c r="K150" i="28"/>
  <c r="L150" i="28" s="1"/>
  <c r="J151" i="28"/>
  <c r="K151" i="28"/>
  <c r="L151" i="28" s="1"/>
  <c r="J152" i="28"/>
  <c r="K152" i="28"/>
  <c r="L152" i="28" s="1"/>
  <c r="J153" i="28"/>
  <c r="K153" i="28"/>
  <c r="L153" i="28" s="1"/>
  <c r="J154" i="28"/>
  <c r="K154" i="28"/>
  <c r="L154" i="28" s="1"/>
  <c r="J155" i="28"/>
  <c r="K155" i="28"/>
  <c r="L155" i="28" s="1"/>
  <c r="J156" i="28"/>
  <c r="K156" i="28"/>
  <c r="L156" i="28" s="1"/>
  <c r="J157" i="28"/>
  <c r="K157" i="28"/>
  <c r="L157" i="28" s="1"/>
  <c r="J158" i="28"/>
  <c r="K158" i="28"/>
  <c r="L158" i="28" s="1"/>
  <c r="J159" i="28"/>
  <c r="K159" i="28"/>
  <c r="L159" i="28" s="1"/>
  <c r="J160" i="28"/>
  <c r="K160" i="28"/>
  <c r="L160" i="28" s="1"/>
  <c r="J161" i="28"/>
  <c r="K161" i="28"/>
  <c r="L161" i="28" s="1"/>
  <c r="J162" i="28"/>
  <c r="K162" i="28"/>
  <c r="L162" i="28" s="1"/>
  <c r="J163" i="28"/>
  <c r="K163" i="28"/>
  <c r="L163" i="28" s="1"/>
  <c r="J164" i="28"/>
  <c r="K164" i="28"/>
  <c r="L164" i="28" s="1"/>
  <c r="J165" i="28"/>
  <c r="K165" i="28"/>
  <c r="L165" i="28" s="1"/>
  <c r="J166" i="28"/>
  <c r="K166" i="28"/>
  <c r="L166" i="28" s="1"/>
  <c r="J167" i="28"/>
  <c r="K167" i="28"/>
  <c r="L167" i="28" s="1"/>
  <c r="J168" i="28"/>
  <c r="K168" i="28"/>
  <c r="L168" i="28" s="1"/>
  <c r="J169" i="28"/>
  <c r="K169" i="28"/>
  <c r="L169" i="28" s="1"/>
  <c r="J170" i="28"/>
  <c r="K170" i="28"/>
  <c r="L170" i="28" s="1"/>
  <c r="J171" i="28"/>
  <c r="K171" i="28"/>
  <c r="L171" i="28" s="1"/>
  <c r="J172" i="28"/>
  <c r="K172" i="28"/>
  <c r="L172" i="28" s="1"/>
  <c r="J173" i="28"/>
  <c r="K173" i="28"/>
  <c r="L173" i="28" s="1"/>
  <c r="J174" i="28"/>
  <c r="K174" i="28"/>
  <c r="L174" i="28" s="1"/>
  <c r="J175" i="28"/>
  <c r="K175" i="28"/>
  <c r="L175" i="28" s="1"/>
  <c r="J176" i="28"/>
  <c r="K176" i="28"/>
  <c r="L176" i="28" s="1"/>
  <c r="J177" i="28"/>
  <c r="K177" i="28"/>
  <c r="L177" i="28" s="1"/>
  <c r="J178" i="28"/>
  <c r="K178" i="28"/>
  <c r="L178" i="28" s="1"/>
  <c r="J179" i="28"/>
  <c r="K179" i="28"/>
  <c r="L179" i="28" s="1"/>
  <c r="J180" i="28"/>
  <c r="K180" i="28"/>
  <c r="L180" i="28" s="1"/>
  <c r="J181" i="28"/>
  <c r="K181" i="28"/>
  <c r="L181" i="28" s="1"/>
  <c r="G97" i="28" a="1"/>
  <c r="G97" i="28" s="1"/>
  <c r="G98" i="28" a="1"/>
  <c r="G98" i="28" s="1"/>
  <c r="G99" i="28" a="1"/>
  <c r="G99" i="28" s="1"/>
  <c r="G100" i="28" a="1"/>
  <c r="G100" i="28" s="1"/>
  <c r="G101" i="28" a="1"/>
  <c r="G101" i="28" s="1"/>
  <c r="G102" i="28" a="1"/>
  <c r="G102" i="28" s="1"/>
  <c r="G103" i="28" a="1"/>
  <c r="G103" i="28" s="1"/>
  <c r="G104" i="28" a="1"/>
  <c r="G104" i="28" s="1"/>
  <c r="G105" i="28" a="1"/>
  <c r="G105" i="28" s="1"/>
  <c r="G106" i="28" a="1"/>
  <c r="G106" i="28" s="1"/>
  <c r="G107" i="28" a="1"/>
  <c r="G107" i="28" s="1"/>
  <c r="G108" i="28" a="1"/>
  <c r="G108" i="28" s="1"/>
  <c r="G109" i="28" a="1"/>
  <c r="G109" i="28" s="1"/>
  <c r="G110" i="28" a="1"/>
  <c r="G110" i="28" s="1"/>
  <c r="G111" i="28" a="1"/>
  <c r="G111" i="28" s="1"/>
  <c r="G112" i="28" a="1"/>
  <c r="G112" i="28" s="1"/>
  <c r="G113" i="28" a="1"/>
  <c r="G113" i="28" s="1"/>
  <c r="J97" i="28"/>
  <c r="K97" i="28"/>
  <c r="L97" i="28" s="1"/>
  <c r="J98" i="28"/>
  <c r="K98" i="28"/>
  <c r="L98" i="28" s="1"/>
  <c r="J99" i="28"/>
  <c r="K99" i="28"/>
  <c r="L99" i="28" s="1"/>
  <c r="J100" i="28"/>
  <c r="K100" i="28"/>
  <c r="L100" i="28" s="1"/>
  <c r="J101" i="28"/>
  <c r="K101" i="28"/>
  <c r="L101" i="28" s="1"/>
  <c r="J102" i="28"/>
  <c r="K102" i="28"/>
  <c r="L102" i="28" s="1"/>
  <c r="J103" i="28"/>
  <c r="K103" i="28"/>
  <c r="L103" i="28" s="1"/>
  <c r="J104" i="28"/>
  <c r="K104" i="28"/>
  <c r="L104" i="28" s="1"/>
  <c r="J105" i="28"/>
  <c r="K105" i="28"/>
  <c r="L105" i="28" s="1"/>
  <c r="J106" i="28"/>
  <c r="K106" i="28"/>
  <c r="L106" i="28" s="1"/>
  <c r="J107" i="28"/>
  <c r="K107" i="28"/>
  <c r="L107" i="28" s="1"/>
  <c r="J108" i="28"/>
  <c r="K108" i="28"/>
  <c r="L108" i="28" s="1"/>
  <c r="J109" i="28"/>
  <c r="K109" i="28"/>
  <c r="L109" i="28" s="1"/>
  <c r="J110" i="28"/>
  <c r="K110" i="28"/>
  <c r="L110" i="28" s="1"/>
  <c r="J111" i="28"/>
  <c r="K111" i="28"/>
  <c r="L111" i="28" s="1"/>
  <c r="J112" i="28"/>
  <c r="K112" i="28"/>
  <c r="L112" i="28" s="1"/>
  <c r="J113" i="28"/>
  <c r="K113" i="28"/>
  <c r="L113" i="28" s="1"/>
  <c r="I195" i="9" l="1"/>
  <c r="J195" i="9" s="1"/>
  <c r="I194" i="9"/>
  <c r="J194" i="9" s="1"/>
  <c r="I193" i="9"/>
  <c r="J193" i="9" l="1"/>
  <c r="I233" i="9"/>
  <c r="I292" i="1"/>
  <c r="J292" i="1" s="1"/>
  <c r="I291" i="1"/>
  <c r="J291" i="1" s="1"/>
  <c r="I290" i="1"/>
  <c r="J290" i="1" s="1"/>
  <c r="I289" i="1"/>
  <c r="J289" i="1" s="1"/>
  <c r="I288" i="1"/>
  <c r="J288" i="1" s="1"/>
  <c r="I287" i="1"/>
  <c r="J287" i="1" s="1"/>
  <c r="I286" i="1"/>
  <c r="J46" i="2"/>
  <c r="J45" i="2"/>
  <c r="J286" i="1" l="1"/>
  <c r="I365" i="1"/>
  <c r="I278" i="1"/>
  <c r="J278" i="1" s="1"/>
  <c r="I277" i="1"/>
  <c r="J277" i="1" s="1"/>
  <c r="I276" i="1"/>
  <c r="J276" i="1" s="1"/>
  <c r="I275" i="1"/>
  <c r="J275" i="1" s="1"/>
  <c r="I274" i="1"/>
  <c r="J274" i="1" s="1"/>
  <c r="I273" i="1"/>
  <c r="J273" i="1" s="1"/>
  <c r="I272" i="1"/>
  <c r="J272" i="1" s="1"/>
  <c r="I271" i="1"/>
  <c r="J271" i="1" s="1"/>
  <c r="I270" i="1"/>
  <c r="J270" i="1" s="1"/>
  <c r="G269" i="1"/>
  <c r="I269" i="1" s="1"/>
  <c r="J269" i="1" s="1"/>
  <c r="I267" i="1"/>
  <c r="J267" i="1" s="1"/>
  <c r="I266" i="1"/>
  <c r="J266" i="1" s="1"/>
  <c r="I265" i="1"/>
  <c r="J265" i="1" s="1"/>
  <c r="I186" i="9"/>
  <c r="J186" i="9" s="1"/>
  <c r="I185" i="9"/>
  <c r="J185" i="9" s="1"/>
  <c r="I184" i="9"/>
  <c r="J184" i="9" s="1"/>
  <c r="I183" i="9"/>
  <c r="J183" i="9" s="1"/>
  <c r="I182" i="9"/>
  <c r="J182" i="9" s="1"/>
  <c r="I181" i="9"/>
  <c r="J181" i="9" s="1"/>
  <c r="I180" i="9"/>
  <c r="J180" i="9" s="1"/>
  <c r="I179" i="9"/>
  <c r="J179" i="9" s="1"/>
  <c r="I178" i="9"/>
  <c r="J178" i="9" s="1"/>
  <c r="I177" i="9"/>
  <c r="J177" i="9" s="1"/>
  <c r="J106" i="17"/>
  <c r="J107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4" i="17"/>
  <c r="J123" i="29"/>
  <c r="J122" i="29"/>
  <c r="K122" i="29" s="1"/>
  <c r="J121" i="29"/>
  <c r="K121" i="29" s="1"/>
  <c r="J120" i="29"/>
  <c r="K120" i="29" s="1"/>
  <c r="J119" i="29"/>
  <c r="K111" i="29"/>
  <c r="K110" i="29"/>
  <c r="K109" i="29"/>
  <c r="K108" i="29"/>
  <c r="K107" i="29"/>
  <c r="K114" i="29" l="1"/>
  <c r="K119" i="29"/>
  <c r="J130" i="29"/>
  <c r="K123" i="29"/>
  <c r="J123" i="17"/>
  <c r="G268" i="1"/>
  <c r="I268" i="1" s="1"/>
  <c r="J268" i="1" s="1"/>
  <c r="K130" i="29" l="1"/>
  <c r="G3" i="28" l="1" a="1"/>
  <c r="G3" i="28" s="1"/>
  <c r="G4" i="28" a="1"/>
  <c r="G4" i="28" s="1"/>
  <c r="G5" i="28" a="1"/>
  <c r="G5" i="28" s="1"/>
  <c r="G6" i="28" a="1"/>
  <c r="G6" i="28" s="1"/>
  <c r="G7" i="28" a="1"/>
  <c r="G7" i="28" s="1"/>
  <c r="G8" i="28" a="1"/>
  <c r="G8" i="28" s="1"/>
  <c r="G9" i="28" a="1"/>
  <c r="G9" i="28" s="1"/>
  <c r="G10" i="28" a="1"/>
  <c r="G10" i="28" s="1"/>
  <c r="G11" i="28" a="1"/>
  <c r="G11" i="28" s="1"/>
  <c r="G12" i="28" a="1"/>
  <c r="G12" i="28" s="1"/>
  <c r="G13" i="28" a="1"/>
  <c r="G13" i="28" s="1"/>
  <c r="G14" i="28" a="1"/>
  <c r="G14" i="28" s="1"/>
  <c r="G15" i="28" a="1"/>
  <c r="G15" i="28" s="1"/>
  <c r="G16" i="28" a="1"/>
  <c r="G16" i="28" s="1"/>
  <c r="G17" i="28" a="1"/>
  <c r="G17" i="28" s="1"/>
  <c r="G18" i="28" a="1"/>
  <c r="G18" i="28" s="1"/>
  <c r="G19" i="28" a="1"/>
  <c r="G19" i="28" s="1"/>
  <c r="G20" i="28" a="1"/>
  <c r="G20" i="28" s="1"/>
  <c r="G21" i="28" a="1"/>
  <c r="G21" i="28" s="1"/>
  <c r="G22" i="28" a="1"/>
  <c r="G22" i="28" s="1"/>
  <c r="G23" i="28" a="1"/>
  <c r="G23" i="28" s="1"/>
  <c r="G24" i="28" a="1"/>
  <c r="G24" i="28" s="1"/>
  <c r="G25" i="28" a="1"/>
  <c r="G25" i="28" s="1"/>
  <c r="G26" i="28" a="1"/>
  <c r="G26" i="28" s="1"/>
  <c r="G27" i="28" a="1"/>
  <c r="G27" i="28" s="1"/>
  <c r="G28" i="28" a="1"/>
  <c r="G28" i="28" s="1"/>
  <c r="G29" i="28" a="1"/>
  <c r="G29" i="28" s="1"/>
  <c r="G30" i="28" a="1"/>
  <c r="G30" i="28" s="1"/>
  <c r="G31" i="28" a="1"/>
  <c r="G31" i="28" s="1"/>
  <c r="G32" i="28" a="1"/>
  <c r="G32" i="28" s="1"/>
  <c r="G33" i="28" a="1"/>
  <c r="G33" i="28" s="1"/>
  <c r="G34" i="28" a="1"/>
  <c r="G34" i="28" s="1"/>
  <c r="G35" i="28" a="1"/>
  <c r="G35" i="28" s="1"/>
  <c r="G36" i="28" a="1"/>
  <c r="G36" i="28" s="1"/>
  <c r="G37" i="28" a="1"/>
  <c r="G37" i="28" s="1"/>
  <c r="G38" i="28" a="1"/>
  <c r="G38" i="28" s="1"/>
  <c r="G39" i="28" a="1"/>
  <c r="G39" i="28" s="1"/>
  <c r="G40" i="28" a="1"/>
  <c r="G40" i="28" s="1"/>
  <c r="G41" i="28" a="1"/>
  <c r="G41" i="28" s="1"/>
  <c r="G42" i="28" a="1"/>
  <c r="G42" i="28" s="1"/>
  <c r="G43" i="28" a="1"/>
  <c r="G43" i="28" s="1"/>
  <c r="G44" i="28" a="1"/>
  <c r="G44" i="28" s="1"/>
  <c r="G45" i="28" a="1"/>
  <c r="G45" i="28" s="1"/>
  <c r="G46" i="28" a="1"/>
  <c r="G46" i="28" s="1"/>
  <c r="G47" i="28" a="1"/>
  <c r="G47" i="28" s="1"/>
  <c r="G48" i="28" a="1"/>
  <c r="G48" i="28" s="1"/>
  <c r="G49" i="28" a="1"/>
  <c r="G49" i="28" s="1"/>
  <c r="G50" i="28" a="1"/>
  <c r="G50" i="28" s="1"/>
  <c r="G51" i="28" a="1"/>
  <c r="G51" i="28" s="1"/>
  <c r="G52" i="28" a="1"/>
  <c r="G52" i="28" s="1"/>
  <c r="G53" i="28" a="1"/>
  <c r="G53" i="28" s="1"/>
  <c r="G54" i="28" a="1"/>
  <c r="G54" i="28" s="1"/>
  <c r="G55" i="28" a="1"/>
  <c r="G55" i="28" s="1"/>
  <c r="G56" i="28" a="1"/>
  <c r="G56" i="28" s="1"/>
  <c r="G57" i="28" a="1"/>
  <c r="G57" i="28" s="1"/>
  <c r="G58" i="28" a="1"/>
  <c r="G58" i="28" s="1"/>
  <c r="G59" i="28" a="1"/>
  <c r="G59" i="28" s="1"/>
  <c r="G60" i="28" a="1"/>
  <c r="G60" i="28" s="1"/>
  <c r="G61" i="28" a="1"/>
  <c r="G61" i="28" s="1"/>
  <c r="G62" i="28" a="1"/>
  <c r="G62" i="28" s="1"/>
  <c r="G63" i="28" a="1"/>
  <c r="G63" i="28" s="1"/>
  <c r="G64" i="28" a="1"/>
  <c r="G64" i="28" s="1"/>
  <c r="G65" i="28" a="1"/>
  <c r="G65" i="28" s="1"/>
  <c r="G66" i="28" a="1"/>
  <c r="G66" i="28" s="1"/>
  <c r="G67" i="28" a="1"/>
  <c r="G67" i="28" s="1"/>
  <c r="G68" i="28" a="1"/>
  <c r="G68" i="28" s="1"/>
  <c r="G69" i="28" a="1"/>
  <c r="G69" i="28" s="1"/>
  <c r="G70" i="28" a="1"/>
  <c r="G70" i="28" s="1"/>
  <c r="G71" i="28" a="1"/>
  <c r="G71" i="28" s="1"/>
  <c r="G72" i="28" a="1"/>
  <c r="G72" i="28" s="1"/>
  <c r="G73" i="28" a="1"/>
  <c r="G73" i="28" s="1"/>
  <c r="G74" i="28" a="1"/>
  <c r="G74" i="28" s="1"/>
  <c r="G75" i="28" a="1"/>
  <c r="G75" i="28" s="1"/>
  <c r="G76" i="28" a="1"/>
  <c r="G76" i="28" s="1"/>
  <c r="G77" i="28" a="1"/>
  <c r="G77" i="28" s="1"/>
  <c r="G78" i="28" a="1"/>
  <c r="G78" i="28" s="1"/>
  <c r="G79" i="28" a="1"/>
  <c r="G79" i="28" s="1"/>
  <c r="G80" i="28" a="1"/>
  <c r="G80" i="28" s="1"/>
  <c r="G81" i="28" a="1"/>
  <c r="G81" i="28" s="1"/>
  <c r="G82" i="28" a="1"/>
  <c r="G82" i="28" s="1"/>
  <c r="G83" i="28" a="1"/>
  <c r="G83" i="28" s="1"/>
  <c r="G84" i="28" a="1"/>
  <c r="G84" i="28" s="1"/>
  <c r="G85" i="28" a="1"/>
  <c r="G85" i="28" s="1"/>
  <c r="G86" i="28" a="1"/>
  <c r="G86" i="28" s="1"/>
  <c r="G87" i="28" a="1"/>
  <c r="G87" i="28" s="1"/>
  <c r="G88" i="28" a="1"/>
  <c r="G88" i="28" s="1"/>
  <c r="G89" i="28" a="1"/>
  <c r="G89" i="28" s="1"/>
  <c r="G90" i="28" a="1"/>
  <c r="G90" i="28" s="1"/>
  <c r="G91" i="28" a="1"/>
  <c r="G91" i="28" s="1"/>
  <c r="G92" i="28" a="1"/>
  <c r="G92" i="28" s="1"/>
  <c r="G93" i="28" a="1"/>
  <c r="G93" i="28" s="1"/>
  <c r="G94" i="28" a="1"/>
  <c r="G94" i="28" s="1"/>
  <c r="G95" i="28" a="1"/>
  <c r="G95" i="28" s="1"/>
  <c r="G96" i="28" a="1"/>
  <c r="G96" i="28" s="1"/>
  <c r="G2" i="28" a="1"/>
  <c r="G2" i="28" s="1"/>
  <c r="J59" i="28"/>
  <c r="K59" i="28"/>
  <c r="L59" i="28" s="1"/>
  <c r="J60" i="28"/>
  <c r="K60" i="28"/>
  <c r="L60" i="28" s="1"/>
  <c r="J61" i="28"/>
  <c r="K61" i="28"/>
  <c r="L61" i="28" s="1"/>
  <c r="J62" i="28"/>
  <c r="K62" i="28"/>
  <c r="L62" i="28" s="1"/>
  <c r="J63" i="28"/>
  <c r="K63" i="28"/>
  <c r="L63" i="28" s="1"/>
  <c r="J64" i="28"/>
  <c r="K64" i="28"/>
  <c r="L64" i="28" s="1"/>
  <c r="J65" i="28"/>
  <c r="K65" i="28"/>
  <c r="L65" i="28" s="1"/>
  <c r="J66" i="28"/>
  <c r="K66" i="28"/>
  <c r="L66" i="28" s="1"/>
  <c r="J67" i="28"/>
  <c r="K67" i="28"/>
  <c r="L67" i="28" s="1"/>
  <c r="J68" i="28"/>
  <c r="K68" i="28"/>
  <c r="L68" i="28" s="1"/>
  <c r="J69" i="28"/>
  <c r="K69" i="28"/>
  <c r="L69" i="28" s="1"/>
  <c r="J70" i="28"/>
  <c r="K70" i="28"/>
  <c r="L70" i="28" s="1"/>
  <c r="J71" i="28"/>
  <c r="K71" i="28"/>
  <c r="L71" i="28" s="1"/>
  <c r="J72" i="28"/>
  <c r="K72" i="28"/>
  <c r="L72" i="28" s="1"/>
  <c r="J73" i="28"/>
  <c r="K73" i="28"/>
  <c r="L73" i="28" s="1"/>
  <c r="J74" i="28"/>
  <c r="K74" i="28"/>
  <c r="L74" i="28" s="1"/>
  <c r="J75" i="28"/>
  <c r="K75" i="28"/>
  <c r="L75" i="28" s="1"/>
  <c r="J76" i="28"/>
  <c r="K76" i="28"/>
  <c r="L76" i="28" s="1"/>
  <c r="J77" i="28"/>
  <c r="K77" i="28"/>
  <c r="L77" i="28" s="1"/>
  <c r="J78" i="28"/>
  <c r="K78" i="28"/>
  <c r="L78" i="28" s="1"/>
  <c r="J79" i="28"/>
  <c r="K79" i="28"/>
  <c r="L79" i="28" s="1"/>
  <c r="J80" i="28"/>
  <c r="K80" i="28"/>
  <c r="L80" i="28" s="1"/>
  <c r="J81" i="28"/>
  <c r="K81" i="28"/>
  <c r="L81" i="28" s="1"/>
  <c r="J82" i="28"/>
  <c r="K82" i="28"/>
  <c r="L82" i="28" s="1"/>
  <c r="J83" i="28"/>
  <c r="K83" i="28"/>
  <c r="L83" i="28" s="1"/>
  <c r="J84" i="28"/>
  <c r="K84" i="28"/>
  <c r="L84" i="28" s="1"/>
  <c r="J85" i="28"/>
  <c r="K85" i="28"/>
  <c r="L85" i="28" s="1"/>
  <c r="J86" i="28"/>
  <c r="K86" i="28"/>
  <c r="L86" i="28" s="1"/>
  <c r="J87" i="28"/>
  <c r="K87" i="28"/>
  <c r="L87" i="28" s="1"/>
  <c r="J88" i="28"/>
  <c r="K88" i="28"/>
  <c r="L88" i="28" s="1"/>
  <c r="J89" i="28"/>
  <c r="K89" i="28"/>
  <c r="L89" i="28" s="1"/>
  <c r="J90" i="28"/>
  <c r="K90" i="28"/>
  <c r="L90" i="28" s="1"/>
  <c r="J91" i="28"/>
  <c r="K91" i="28"/>
  <c r="L91" i="28" s="1"/>
  <c r="J92" i="28"/>
  <c r="K92" i="28"/>
  <c r="L92" i="28" s="1"/>
  <c r="J93" i="28"/>
  <c r="K93" i="28"/>
  <c r="L93" i="28" s="1"/>
  <c r="J94" i="28"/>
  <c r="K94" i="28"/>
  <c r="L94" i="28" s="1"/>
  <c r="J95" i="28"/>
  <c r="K95" i="28"/>
  <c r="L95" i="28" s="1"/>
  <c r="J96" i="28"/>
  <c r="K96" i="28"/>
  <c r="L96" i="28" s="1"/>
  <c r="J54" i="28"/>
  <c r="K54" i="28"/>
  <c r="L54" i="28" s="1"/>
  <c r="J55" i="28"/>
  <c r="K55" i="28"/>
  <c r="L55" i="28" s="1"/>
  <c r="J56" i="28"/>
  <c r="K56" i="28"/>
  <c r="L56" i="28" s="1"/>
  <c r="J57" i="28"/>
  <c r="K57" i="28"/>
  <c r="L57" i="28" s="1"/>
  <c r="J58" i="28"/>
  <c r="K58" i="28"/>
  <c r="L58" i="28" s="1"/>
  <c r="K3" i="28"/>
  <c r="L3" i="28" s="1"/>
  <c r="K4" i="28"/>
  <c r="L4" i="28" s="1"/>
  <c r="K5" i="28"/>
  <c r="L5" i="28" s="1"/>
  <c r="K6" i="28"/>
  <c r="L6" i="28" s="1"/>
  <c r="K7" i="28"/>
  <c r="L7" i="28" s="1"/>
  <c r="K8" i="28"/>
  <c r="L8" i="28" s="1"/>
  <c r="K9" i="28"/>
  <c r="L9" i="28" s="1"/>
  <c r="K10" i="28"/>
  <c r="L10" i="28" s="1"/>
  <c r="K11" i="28"/>
  <c r="L11" i="28" s="1"/>
  <c r="K12" i="28"/>
  <c r="L12" i="28" s="1"/>
  <c r="K13" i="28"/>
  <c r="L13" i="28" s="1"/>
  <c r="K14" i="28"/>
  <c r="L14" i="28" s="1"/>
  <c r="K15" i="28"/>
  <c r="L15" i="28" s="1"/>
  <c r="K16" i="28"/>
  <c r="L16" i="28" s="1"/>
  <c r="K17" i="28"/>
  <c r="L17" i="28" s="1"/>
  <c r="K18" i="28"/>
  <c r="L18" i="28" s="1"/>
  <c r="K19" i="28"/>
  <c r="L19" i="28" s="1"/>
  <c r="K20" i="28"/>
  <c r="L20" i="28" s="1"/>
  <c r="K21" i="28"/>
  <c r="L21" i="28" s="1"/>
  <c r="K22" i="28"/>
  <c r="L22" i="28" s="1"/>
  <c r="K23" i="28"/>
  <c r="L23" i="28" s="1"/>
  <c r="K24" i="28"/>
  <c r="L24" i="28" s="1"/>
  <c r="K25" i="28"/>
  <c r="L25" i="28" s="1"/>
  <c r="K26" i="28"/>
  <c r="L26" i="28" s="1"/>
  <c r="K27" i="28"/>
  <c r="L27" i="28" s="1"/>
  <c r="K28" i="28"/>
  <c r="L28" i="28" s="1"/>
  <c r="K29" i="28"/>
  <c r="L29" i="28" s="1"/>
  <c r="K30" i="28"/>
  <c r="L30" i="28" s="1"/>
  <c r="K31" i="28"/>
  <c r="L31" i="28" s="1"/>
  <c r="K32" i="28"/>
  <c r="L32" i="28" s="1"/>
  <c r="K33" i="28"/>
  <c r="L33" i="28" s="1"/>
  <c r="K34" i="28"/>
  <c r="L34" i="28" s="1"/>
  <c r="K35" i="28"/>
  <c r="L35" i="28" s="1"/>
  <c r="K36" i="28"/>
  <c r="L36" i="28" s="1"/>
  <c r="K37" i="28"/>
  <c r="L37" i="28" s="1"/>
  <c r="K38" i="28"/>
  <c r="L38" i="28" s="1"/>
  <c r="K39" i="28"/>
  <c r="L39" i="28" s="1"/>
  <c r="K40" i="28"/>
  <c r="L40" i="28" s="1"/>
  <c r="K41" i="28"/>
  <c r="L41" i="28" s="1"/>
  <c r="K42" i="28"/>
  <c r="L42" i="28" s="1"/>
  <c r="K43" i="28"/>
  <c r="L43" i="28" s="1"/>
  <c r="K44" i="28"/>
  <c r="L44" i="28" s="1"/>
  <c r="K45" i="28"/>
  <c r="L45" i="28" s="1"/>
  <c r="K46" i="28"/>
  <c r="L46" i="28" s="1"/>
  <c r="K47" i="28"/>
  <c r="L47" i="28" s="1"/>
  <c r="K48" i="28"/>
  <c r="L48" i="28" s="1"/>
  <c r="K49" i="28"/>
  <c r="L49" i="28" s="1"/>
  <c r="K50" i="28"/>
  <c r="L50" i="28" s="1"/>
  <c r="K51" i="28"/>
  <c r="L51" i="28" s="1"/>
  <c r="K52" i="28"/>
  <c r="L52" i="28" s="1"/>
  <c r="K53" i="28"/>
  <c r="L53" i="28" s="1"/>
  <c r="K2" i="28"/>
  <c r="L2" i="28" s="1"/>
  <c r="J53" i="28"/>
  <c r="J52" i="28"/>
  <c r="J51" i="28"/>
  <c r="J50" i="28"/>
  <c r="J49" i="28"/>
  <c r="J48" i="28"/>
  <c r="J47" i="28"/>
  <c r="J46" i="28"/>
  <c r="J45" i="28"/>
  <c r="J44" i="28"/>
  <c r="J43" i="28"/>
  <c r="J42" i="28"/>
  <c r="J41" i="28"/>
  <c r="J40" i="28"/>
  <c r="J39" i="28"/>
  <c r="J38" i="28"/>
  <c r="J37" i="28"/>
  <c r="J36" i="28"/>
  <c r="J35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J8" i="28"/>
  <c r="J7" i="28"/>
  <c r="J6" i="28"/>
  <c r="J5" i="28"/>
  <c r="J4" i="28"/>
  <c r="J3" i="28"/>
  <c r="J2" i="28"/>
  <c r="G11" i="25" a="1"/>
  <c r="G11" i="25" s="1"/>
  <c r="G12" i="25" a="1"/>
  <c r="G12" i="25" s="1"/>
  <c r="G13" i="25" a="1"/>
  <c r="G13" i="25" s="1"/>
  <c r="G10" i="25" a="1"/>
  <c r="G10" i="25" s="1"/>
  <c r="G3" i="25" a="1"/>
  <c r="G3" i="25" s="1"/>
  <c r="G4" i="25" a="1"/>
  <c r="G4" i="25" s="1"/>
  <c r="G5" i="25" a="1"/>
  <c r="G5" i="25" s="1"/>
  <c r="G6" i="25" a="1"/>
  <c r="G6" i="25" s="1"/>
  <c r="G7" i="25" a="1"/>
  <c r="G7" i="25" s="1"/>
  <c r="G8" i="25" a="1"/>
  <c r="G8" i="25" s="1"/>
  <c r="G9" i="25" a="1"/>
  <c r="G9" i="25" s="1"/>
  <c r="G14" i="25" a="1"/>
  <c r="G14" i="25" s="1"/>
  <c r="G15" i="25" a="1"/>
  <c r="G15" i="25" s="1"/>
  <c r="G16" i="25" a="1"/>
  <c r="G16" i="25" s="1"/>
  <c r="G17" i="25" a="1"/>
  <c r="G17" i="25" s="1"/>
  <c r="G18" i="25" a="1"/>
  <c r="G18" i="25" s="1"/>
  <c r="G19" i="25" a="1"/>
  <c r="G19" i="25" s="1"/>
  <c r="G20" i="25" a="1"/>
  <c r="G20" i="25" s="1"/>
  <c r="G21" i="25" a="1"/>
  <c r="G21" i="25" s="1"/>
  <c r="G22" i="25" a="1"/>
  <c r="G22" i="25" s="1"/>
  <c r="G23" i="25" a="1"/>
  <c r="G23" i="25" s="1"/>
  <c r="G24" i="25" a="1"/>
  <c r="G24" i="25" s="1"/>
  <c r="G25" i="25" a="1"/>
  <c r="G25" i="25" s="1"/>
  <c r="G26" i="25" a="1"/>
  <c r="G26" i="25" s="1"/>
  <c r="G27" i="25" a="1"/>
  <c r="G27" i="25" s="1"/>
  <c r="G28" i="25" a="1"/>
  <c r="G28" i="25" s="1"/>
  <c r="G29" i="25" a="1"/>
  <c r="G29" i="25" s="1"/>
  <c r="G30" i="25" a="1"/>
  <c r="G30" i="25" s="1"/>
  <c r="G31" i="25" a="1"/>
  <c r="G31" i="25" s="1"/>
  <c r="G32" i="25" a="1"/>
  <c r="G32" i="25" s="1"/>
  <c r="G33" i="25" a="1"/>
  <c r="G33" i="25" s="1"/>
  <c r="G34" i="25" a="1"/>
  <c r="G34" i="25" s="1"/>
  <c r="G35" i="25" a="1"/>
  <c r="G35" i="25" s="1"/>
  <c r="G36" i="25" a="1"/>
  <c r="G36" i="25" s="1"/>
  <c r="G37" i="25" a="1"/>
  <c r="G37" i="25" s="1"/>
  <c r="G38" i="25" a="1"/>
  <c r="G38" i="25" s="1"/>
  <c r="G39" i="25" a="1"/>
  <c r="G39" i="25" s="1"/>
  <c r="G40" i="25" a="1"/>
  <c r="G40" i="25" s="1"/>
  <c r="G41" i="25" a="1"/>
  <c r="G41" i="25" s="1"/>
  <c r="G42" i="25" a="1"/>
  <c r="G42" i="25" s="1"/>
  <c r="G43" i="25" a="1"/>
  <c r="G43" i="25" s="1"/>
  <c r="G44" i="25" a="1"/>
  <c r="G44" i="25" s="1"/>
  <c r="G45" i="25" a="1"/>
  <c r="G45" i="25" s="1"/>
  <c r="G46" i="25" a="1"/>
  <c r="G46" i="25" s="1"/>
  <c r="G47" i="25" a="1"/>
  <c r="G47" i="25" s="1"/>
  <c r="G48" i="25" a="1"/>
  <c r="G48" i="25" s="1"/>
  <c r="G49" i="25" a="1"/>
  <c r="G49" i="25" s="1"/>
  <c r="G50" i="25" a="1"/>
  <c r="G50" i="25" s="1"/>
  <c r="G51" i="25" a="1"/>
  <c r="G51" i="25" s="1"/>
  <c r="G52" i="25" a="1"/>
  <c r="G52" i="25" s="1"/>
  <c r="G53" i="25" a="1"/>
  <c r="G53" i="25" s="1"/>
  <c r="G2" i="25" a="1"/>
  <c r="G2" i="25" s="1"/>
  <c r="L42" i="25" l="1"/>
  <c r="L43" i="25"/>
  <c r="L44" i="25"/>
  <c r="L45" i="25"/>
  <c r="L46" i="25"/>
  <c r="L47" i="25"/>
  <c r="L48" i="25"/>
  <c r="L49" i="25"/>
  <c r="J42" i="25"/>
  <c r="J43" i="25"/>
  <c r="J44" i="25"/>
  <c r="J45" i="25"/>
  <c r="J46" i="25"/>
  <c r="J47" i="25"/>
  <c r="J48" i="25"/>
  <c r="J49" i="25"/>
  <c r="J50" i="25"/>
  <c r="L50" i="25"/>
  <c r="L51" i="25"/>
  <c r="L52" i="25"/>
  <c r="L53" i="25"/>
  <c r="J51" i="25"/>
  <c r="J52" i="25"/>
  <c r="J53" i="25"/>
  <c r="L38" i="25"/>
  <c r="L39" i="25"/>
  <c r="L40" i="25"/>
  <c r="L41" i="25"/>
  <c r="J38" i="25"/>
  <c r="J39" i="25"/>
  <c r="J40" i="25"/>
  <c r="J41" i="25"/>
  <c r="L30" i="25" l="1"/>
  <c r="L31" i="25"/>
  <c r="L32" i="25"/>
  <c r="L33" i="25"/>
  <c r="L34" i="25"/>
  <c r="L35" i="25"/>
  <c r="L36" i="25"/>
  <c r="L37" i="25"/>
  <c r="J30" i="25"/>
  <c r="J31" i="25"/>
  <c r="J32" i="25"/>
  <c r="J33" i="25"/>
  <c r="J34" i="25"/>
  <c r="J35" i="25"/>
  <c r="J36" i="25"/>
  <c r="J37" i="25"/>
  <c r="I89" i="17"/>
  <c r="I99" i="17" s="1"/>
  <c r="I100" i="17" s="1"/>
  <c r="J89" i="17"/>
  <c r="O83" i="17"/>
  <c r="L26" i="25" l="1"/>
  <c r="L27" i="25"/>
  <c r="L28" i="25"/>
  <c r="L29" i="25"/>
  <c r="J26" i="25"/>
  <c r="J27" i="25"/>
  <c r="J28" i="25"/>
  <c r="J29" i="25"/>
  <c r="L22" i="25"/>
  <c r="L23" i="25"/>
  <c r="L24" i="25"/>
  <c r="L25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F5" i="10" l="1" a="1"/>
  <c r="F5" i="10" s="1"/>
  <c r="F6" i="10" a="1"/>
  <c r="F6" i="10" s="1"/>
  <c r="F7" i="10" a="1"/>
  <c r="F7" i="10" s="1"/>
  <c r="F8" i="10" a="1"/>
  <c r="F8" i="10" s="1"/>
  <c r="F9" i="10" a="1"/>
  <c r="F9" i="10" s="1"/>
  <c r="F10" i="10" a="1"/>
  <c r="F10" i="10" s="1"/>
  <c r="F11" i="10" a="1"/>
  <c r="F11" i="10" s="1"/>
  <c r="F12" i="10" a="1"/>
  <c r="F12" i="10" s="1"/>
  <c r="F13" i="10" a="1"/>
  <c r="F13" i="10" s="1"/>
  <c r="F14" i="10" a="1"/>
  <c r="F14" i="10" s="1"/>
  <c r="F15" i="10" a="1"/>
  <c r="F15" i="10" s="1"/>
  <c r="F16" i="10" a="1"/>
  <c r="F16" i="10" s="1"/>
  <c r="F17" i="10" a="1"/>
  <c r="F17" i="10" s="1"/>
  <c r="F18" i="10" a="1"/>
  <c r="F18" i="10" s="1"/>
  <c r="F19" i="10" a="1"/>
  <c r="F19" i="10" s="1"/>
  <c r="F20" i="10" a="1"/>
  <c r="F20" i="10" s="1"/>
  <c r="F21" i="10" a="1"/>
  <c r="F21" i="10" s="1"/>
  <c r="F22" i="10" a="1"/>
  <c r="F22" i="10" s="1"/>
  <c r="F23" i="10" a="1"/>
  <c r="F23" i="10" s="1"/>
  <c r="F24" i="10" a="1"/>
  <c r="F24" i="10" s="1"/>
  <c r="F25" i="10" a="1"/>
  <c r="F25" i="10" s="1"/>
  <c r="F26" i="10" a="1"/>
  <c r="F26" i="10" s="1"/>
  <c r="F27" i="10" a="1"/>
  <c r="F27" i="10" s="1"/>
  <c r="F28" i="10" a="1"/>
  <c r="F28" i="10" s="1"/>
  <c r="F29" i="10" a="1"/>
  <c r="F29" i="10" s="1"/>
  <c r="F30" i="10" a="1"/>
  <c r="F30" i="10" s="1"/>
  <c r="F31" i="10" a="1"/>
  <c r="F31" i="10" s="1"/>
  <c r="F32" i="10" a="1"/>
  <c r="F32" i="10" s="1"/>
  <c r="F33" i="10" a="1"/>
  <c r="F33" i="10" s="1"/>
  <c r="F34" i="10" a="1"/>
  <c r="F34" i="10" s="1"/>
  <c r="F35" i="10" a="1"/>
  <c r="F35" i="10" s="1"/>
  <c r="F36" i="10" a="1"/>
  <c r="F36" i="10" s="1"/>
  <c r="F37" i="10" a="1"/>
  <c r="F37" i="10" s="1"/>
  <c r="F38" i="10" a="1"/>
  <c r="F38" i="10" s="1"/>
  <c r="F39" i="10" a="1"/>
  <c r="F39" i="10" s="1"/>
  <c r="F40" i="10" a="1"/>
  <c r="F40" i="10" s="1"/>
  <c r="F41" i="10" a="1"/>
  <c r="F41" i="10" s="1"/>
  <c r="F42" i="10" a="1"/>
  <c r="F42" i="10" s="1"/>
  <c r="F43" i="10" a="1"/>
  <c r="F43" i="10" s="1"/>
  <c r="F44" i="10" a="1"/>
  <c r="F44" i="10" s="1"/>
  <c r="F45" i="10" a="1"/>
  <c r="F45" i="10" s="1"/>
  <c r="F46" i="10" a="1"/>
  <c r="F46" i="10" s="1"/>
  <c r="F47" i="10" a="1"/>
  <c r="F47" i="10" s="1"/>
  <c r="F48" i="10" a="1"/>
  <c r="F48" i="10" s="1"/>
  <c r="F49" i="10" a="1"/>
  <c r="F49" i="10" s="1"/>
  <c r="F50" i="10" a="1"/>
  <c r="F50" i="10" s="1"/>
  <c r="F51" i="10" a="1"/>
  <c r="F51" i="10" s="1"/>
  <c r="F52" i="10" a="1"/>
  <c r="F52" i="10" s="1"/>
  <c r="F53" i="10" a="1"/>
  <c r="F53" i="10" s="1"/>
  <c r="F54" i="10" a="1"/>
  <c r="F54" i="10" s="1"/>
  <c r="F55" i="10" a="1"/>
  <c r="F55" i="10" s="1"/>
  <c r="F56" i="10" a="1"/>
  <c r="F56" i="10" s="1"/>
  <c r="F57" i="10" a="1"/>
  <c r="F57" i="10" s="1"/>
  <c r="F58" i="10" a="1"/>
  <c r="F58" i="10" s="1"/>
  <c r="F59" i="10" a="1"/>
  <c r="F59" i="10" s="1"/>
  <c r="F60" i="10" a="1"/>
  <c r="F60" i="10" s="1"/>
  <c r="F61" i="10" a="1"/>
  <c r="F61" i="10" s="1"/>
  <c r="F62" i="10" a="1"/>
  <c r="F62" i="10" s="1"/>
  <c r="F63" i="10" a="1"/>
  <c r="F63" i="10" s="1"/>
  <c r="F64" i="10" a="1"/>
  <c r="F64" i="10" s="1"/>
  <c r="F65" i="10" a="1"/>
  <c r="F65" i="10" s="1"/>
  <c r="F66" i="10" a="1"/>
  <c r="F66" i="10" s="1"/>
  <c r="F67" i="10" a="1"/>
  <c r="F67" i="10" s="1"/>
  <c r="F68" i="10" a="1"/>
  <c r="F68" i="10" s="1"/>
  <c r="F69" i="10" a="1"/>
  <c r="F69" i="10" s="1"/>
  <c r="F70" i="10" a="1"/>
  <c r="F70" i="10" s="1"/>
  <c r="F71" i="10" a="1"/>
  <c r="F71" i="10" s="1"/>
  <c r="F72" i="10" a="1"/>
  <c r="F72" i="10" s="1"/>
  <c r="F73" i="10" a="1"/>
  <c r="F73" i="10" s="1"/>
  <c r="F74" i="10" a="1"/>
  <c r="F74" i="10" s="1"/>
  <c r="F75" i="10" a="1"/>
  <c r="F75" i="10" s="1"/>
  <c r="F76" i="10" a="1"/>
  <c r="F76" i="10" s="1"/>
  <c r="F77" i="10" a="1"/>
  <c r="F77" i="10" s="1"/>
  <c r="F78" i="10" a="1"/>
  <c r="F78" i="10" s="1"/>
  <c r="F79" i="10" a="1"/>
  <c r="F79" i="10" s="1"/>
  <c r="F80" i="10" a="1"/>
  <c r="F80" i="10" s="1"/>
  <c r="F81" i="10" a="1"/>
  <c r="F81" i="10" s="1"/>
  <c r="F82" i="10" a="1"/>
  <c r="F82" i="10" s="1"/>
  <c r="F83" i="10" a="1"/>
  <c r="F83" i="10" s="1"/>
  <c r="F84" i="10" a="1"/>
  <c r="F84" i="10" s="1"/>
  <c r="F85" i="10" a="1"/>
  <c r="F85" i="10" s="1"/>
  <c r="F86" i="10" a="1"/>
  <c r="F86" i="10" s="1"/>
  <c r="F87" i="10" a="1"/>
  <c r="F87" i="10" s="1"/>
  <c r="F88" i="10" a="1"/>
  <c r="F88" i="10" s="1"/>
  <c r="F89" i="10" a="1"/>
  <c r="F89" i="10" s="1"/>
  <c r="F90" i="10" a="1"/>
  <c r="F90" i="10" s="1"/>
  <c r="F91" i="10" a="1"/>
  <c r="F91" i="10" s="1"/>
  <c r="F92" i="10" a="1"/>
  <c r="F92" i="10" s="1"/>
  <c r="F93" i="10" a="1"/>
  <c r="F93" i="10" s="1"/>
  <c r="F94" i="10" a="1"/>
  <c r="F94" i="10" s="1"/>
  <c r="F95" i="10" a="1"/>
  <c r="F95" i="10" s="1"/>
  <c r="F96" i="10" a="1"/>
  <c r="F96" i="10" s="1"/>
  <c r="F97" i="10" a="1"/>
  <c r="F97" i="10" s="1"/>
  <c r="F98" i="10" a="1"/>
  <c r="F98" i="10" s="1"/>
  <c r="F99" i="10" a="1"/>
  <c r="F99" i="10" s="1"/>
  <c r="F100" i="10" a="1"/>
  <c r="F100" i="10" s="1"/>
  <c r="F101" i="10" a="1"/>
  <c r="F101" i="10" s="1"/>
  <c r="F102" i="10" a="1"/>
  <c r="F102" i="10" s="1"/>
  <c r="F103" i="10" a="1"/>
  <c r="F103" i="10" s="1"/>
  <c r="F104" i="10" a="1"/>
  <c r="F104" i="10" s="1"/>
  <c r="F105" i="10" a="1"/>
  <c r="F105" i="10" s="1"/>
  <c r="F106" i="10" a="1"/>
  <c r="F106" i="10" s="1"/>
  <c r="F107" i="10" a="1"/>
  <c r="F107" i="10" s="1"/>
  <c r="F108" i="10" a="1"/>
  <c r="F108" i="10" s="1"/>
  <c r="F109" i="10" a="1"/>
  <c r="F109" i="10" s="1"/>
  <c r="F110" i="10" a="1"/>
  <c r="F110" i="10" s="1"/>
  <c r="F111" i="10" a="1"/>
  <c r="F111" i="10" s="1"/>
  <c r="F112" i="10" a="1"/>
  <c r="F112" i="10" s="1"/>
  <c r="F113" i="10" a="1"/>
  <c r="F113" i="10" s="1"/>
  <c r="F114" i="10" a="1"/>
  <c r="F114" i="10" s="1"/>
  <c r="F115" i="10" a="1"/>
  <c r="F115" i="10" s="1"/>
  <c r="F116" i="10" a="1"/>
  <c r="F116" i="10" s="1"/>
  <c r="F117" i="10" a="1"/>
  <c r="F117" i="10" s="1"/>
  <c r="F118" i="10" a="1"/>
  <c r="F118" i="10" s="1"/>
  <c r="F119" i="10" a="1"/>
  <c r="F119" i="10" s="1"/>
  <c r="F120" i="10" a="1"/>
  <c r="F120" i="10" s="1"/>
  <c r="F121" i="10" a="1"/>
  <c r="F121" i="10" s="1"/>
  <c r="F122" i="10" a="1"/>
  <c r="F122" i="10" s="1"/>
  <c r="F123" i="10" a="1"/>
  <c r="F123" i="10" s="1"/>
  <c r="F124" i="10" a="1"/>
  <c r="F124" i="10" s="1"/>
  <c r="F125" i="10" a="1"/>
  <c r="F125" i="10" s="1"/>
  <c r="F126" i="10" a="1"/>
  <c r="F126" i="10"/>
  <c r="F127" i="10" a="1"/>
  <c r="F127" i="10" s="1"/>
  <c r="F128" i="10" a="1"/>
  <c r="F128" i="10" s="1"/>
  <c r="F129" i="10" a="1"/>
  <c r="F129" i="10" s="1"/>
  <c r="F130" i="10" a="1"/>
  <c r="F130" i="10"/>
  <c r="F131" i="10" a="1"/>
  <c r="F131" i="10" s="1"/>
  <c r="F132" i="10" a="1"/>
  <c r="F132" i="10" s="1"/>
  <c r="F133" i="10" a="1"/>
  <c r="F133" i="10" s="1"/>
  <c r="F134" i="10" a="1"/>
  <c r="F134" i="10" s="1"/>
  <c r="F135" i="10" a="1"/>
  <c r="F135" i="10" s="1"/>
  <c r="F136" i="10" a="1"/>
  <c r="F136" i="10" s="1"/>
  <c r="F137" i="10" a="1"/>
  <c r="F137" i="10" s="1"/>
  <c r="F138" i="10" a="1"/>
  <c r="F138" i="10" s="1"/>
  <c r="F139" i="10" a="1"/>
  <c r="F139" i="10" s="1"/>
  <c r="F140" i="10" a="1"/>
  <c r="F140" i="10" s="1"/>
  <c r="F141" i="10" a="1"/>
  <c r="F141" i="10" s="1"/>
  <c r="F142" i="10" a="1"/>
  <c r="F142" i="10" s="1"/>
  <c r="F143" i="10" a="1"/>
  <c r="F143" i="10" s="1"/>
  <c r="F144" i="10" a="1"/>
  <c r="F144" i="10" s="1"/>
  <c r="F145" i="10" a="1"/>
  <c r="F145" i="10" s="1"/>
  <c r="F146" i="10" a="1"/>
  <c r="F146" i="10" s="1"/>
  <c r="F147" i="10" a="1"/>
  <c r="F147" i="10" s="1"/>
  <c r="F148" i="10" a="1"/>
  <c r="F148" i="10" s="1"/>
  <c r="F149" i="10" a="1"/>
  <c r="F149" i="10" s="1"/>
  <c r="F150" i="10" a="1"/>
  <c r="F150" i="10" s="1"/>
  <c r="F151" i="10" a="1"/>
  <c r="F151" i="10" s="1"/>
  <c r="F152" i="10" a="1"/>
  <c r="F152" i="10" s="1"/>
  <c r="F153" i="10" a="1"/>
  <c r="F153" i="10" s="1"/>
  <c r="F154" i="10" a="1"/>
  <c r="F154" i="10" s="1"/>
  <c r="F155" i="10" a="1"/>
  <c r="F155" i="10" s="1"/>
  <c r="F156" i="10" a="1"/>
  <c r="F156" i="10" s="1"/>
  <c r="F157" i="10" a="1"/>
  <c r="F157" i="10" s="1"/>
  <c r="F158" i="10" a="1"/>
  <c r="F158" i="10" s="1"/>
  <c r="F2" i="10" a="1"/>
  <c r="F2" i="10" s="1"/>
  <c r="F3" i="10" a="1"/>
  <c r="F3" i="10" s="1"/>
  <c r="F4" i="10" a="1"/>
  <c r="F4" i="10" s="1"/>
  <c r="J22" i="2"/>
  <c r="J7" i="2"/>
  <c r="J8" i="2"/>
  <c r="J9" i="2"/>
  <c r="J10" i="2"/>
  <c r="J11" i="2"/>
  <c r="J12" i="2"/>
  <c r="J13" i="2"/>
  <c r="J14" i="2"/>
  <c r="J15" i="2"/>
  <c r="J16" i="2"/>
  <c r="L21" i="25"/>
  <c r="L20" i="25"/>
  <c r="L14" i="25"/>
  <c r="L15" i="25"/>
  <c r="L16" i="25"/>
  <c r="L17" i="25"/>
  <c r="L18" i="25"/>
  <c r="L19" i="25"/>
  <c r="L8" i="25" l="1"/>
  <c r="L9" i="25"/>
  <c r="L10" i="25"/>
  <c r="L11" i="25"/>
  <c r="L12" i="25"/>
  <c r="L13" i="25"/>
  <c r="J10" i="25"/>
  <c r="J11" i="25"/>
  <c r="J12" i="25"/>
  <c r="J13" i="25"/>
  <c r="L3" i="25"/>
  <c r="L4" i="25"/>
  <c r="L5" i="25"/>
  <c r="L6" i="25"/>
  <c r="L7" i="25"/>
  <c r="L2" i="25"/>
  <c r="J9" i="25"/>
  <c r="J8" i="25"/>
  <c r="J7" i="25"/>
  <c r="J6" i="25"/>
  <c r="J5" i="25"/>
  <c r="J4" i="25"/>
  <c r="J3" i="25"/>
  <c r="J2" i="25"/>
  <c r="Q63" i="17" l="1"/>
  <c r="O63" i="17"/>
  <c r="J63" i="17"/>
  <c r="J81" i="17" l="1"/>
  <c r="J82" i="17"/>
  <c r="J83" i="17"/>
  <c r="J84" i="17"/>
  <c r="J85" i="17"/>
  <c r="J86" i="17"/>
  <c r="J87" i="17"/>
  <c r="J88" i="17"/>
  <c r="J90" i="17"/>
  <c r="J91" i="17"/>
  <c r="J92" i="17"/>
  <c r="J93" i="17"/>
  <c r="J94" i="17"/>
  <c r="J95" i="17"/>
  <c r="J96" i="17"/>
  <c r="J97" i="17"/>
  <c r="J98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4" i="17"/>
  <c r="J65" i="17"/>
  <c r="J66" i="17"/>
  <c r="J67" i="17"/>
  <c r="J68" i="17"/>
  <c r="J69" i="17"/>
  <c r="J70" i="17"/>
  <c r="J71" i="17"/>
  <c r="J72" i="17"/>
  <c r="J73" i="17"/>
  <c r="O105" i="17"/>
  <c r="I157" i="10" l="1"/>
  <c r="J157" i="10" s="1"/>
  <c r="I158" i="10"/>
  <c r="J158" i="10" s="1"/>
  <c r="H157" i="10"/>
  <c r="H158" i="10"/>
  <c r="I145" i="10"/>
  <c r="J145" i="10" s="1"/>
  <c r="I146" i="10"/>
  <c r="J146" i="10"/>
  <c r="I147" i="10"/>
  <c r="J147" i="10" s="1"/>
  <c r="I148" i="10"/>
  <c r="J148" i="10" s="1"/>
  <c r="I149" i="10"/>
  <c r="J149" i="10"/>
  <c r="I150" i="10"/>
  <c r="J150" i="10" s="1"/>
  <c r="I151" i="10"/>
  <c r="J151" i="10" s="1"/>
  <c r="I152" i="10"/>
  <c r="J152" i="10"/>
  <c r="I153" i="10"/>
  <c r="J153" i="10"/>
  <c r="I154" i="10"/>
  <c r="J154" i="10"/>
  <c r="I155" i="10"/>
  <c r="J155" i="10"/>
  <c r="I156" i="10"/>
  <c r="J156" i="10"/>
  <c r="H152" i="10"/>
  <c r="H153" i="10"/>
  <c r="H154" i="10"/>
  <c r="H155" i="10"/>
  <c r="H156" i="10"/>
  <c r="H151" i="10"/>
  <c r="H150" i="10"/>
  <c r="H149" i="10"/>
  <c r="H148" i="10"/>
  <c r="H147" i="10"/>
  <c r="H146" i="10"/>
  <c r="H145" i="10"/>
  <c r="I133" i="10"/>
  <c r="J133" i="10" s="1"/>
  <c r="I134" i="10"/>
  <c r="J134" i="10"/>
  <c r="I135" i="10"/>
  <c r="J135" i="10" s="1"/>
  <c r="I136" i="10"/>
  <c r="J136" i="10"/>
  <c r="I137" i="10"/>
  <c r="J137" i="10" s="1"/>
  <c r="I138" i="10"/>
  <c r="J138" i="10" s="1"/>
  <c r="I139" i="10"/>
  <c r="J139" i="10"/>
  <c r="I140" i="10"/>
  <c r="J140" i="10" s="1"/>
  <c r="I141" i="10"/>
  <c r="J141" i="10" s="1"/>
  <c r="I142" i="10"/>
  <c r="J142" i="10" s="1"/>
  <c r="I143" i="10"/>
  <c r="J143" i="10" s="1"/>
  <c r="I144" i="10"/>
  <c r="J144" i="10" s="1"/>
  <c r="H141" i="10"/>
  <c r="H142" i="10"/>
  <c r="H143" i="10"/>
  <c r="H144" i="10"/>
  <c r="H140" i="10"/>
  <c r="H139" i="10"/>
  <c r="H138" i="10"/>
  <c r="H137" i="10"/>
  <c r="H136" i="10"/>
  <c r="H135" i="10"/>
  <c r="H134" i="10"/>
  <c r="H133" i="10"/>
  <c r="H131" i="10"/>
  <c r="H132" i="10"/>
  <c r="I131" i="10"/>
  <c r="J131" i="10" s="1"/>
  <c r="I132" i="10"/>
  <c r="J132" i="10" s="1"/>
  <c r="I118" i="10"/>
  <c r="J118" i="10"/>
  <c r="I119" i="10"/>
  <c r="J119" i="10"/>
  <c r="I120" i="10"/>
  <c r="J120" i="10" s="1"/>
  <c r="I121" i="10"/>
  <c r="J121" i="10"/>
  <c r="I122" i="10"/>
  <c r="J122" i="10" s="1"/>
  <c r="I123" i="10"/>
  <c r="J123" i="10" s="1"/>
  <c r="I124" i="10"/>
  <c r="J124" i="10"/>
  <c r="I125" i="10"/>
  <c r="J125" i="10" s="1"/>
  <c r="I126" i="10"/>
  <c r="J126" i="10"/>
  <c r="I127" i="10"/>
  <c r="J127" i="10" s="1"/>
  <c r="I128" i="10"/>
  <c r="J128" i="10"/>
  <c r="I129" i="10"/>
  <c r="J129" i="10" s="1"/>
  <c r="I130" i="10"/>
  <c r="J130" i="10"/>
  <c r="H123" i="10"/>
  <c r="H124" i="10"/>
  <c r="H125" i="10"/>
  <c r="H126" i="10"/>
  <c r="H127" i="10"/>
  <c r="H128" i="10"/>
  <c r="H129" i="10"/>
  <c r="H130" i="10"/>
  <c r="H122" i="10"/>
  <c r="H121" i="10"/>
  <c r="H120" i="10"/>
  <c r="H119" i="10"/>
  <c r="H118" i="10"/>
  <c r="I111" i="10"/>
  <c r="J111" i="10" s="1"/>
  <c r="I112" i="10"/>
  <c r="J112" i="10" s="1"/>
  <c r="I113" i="10"/>
  <c r="J113" i="10" s="1"/>
  <c r="I114" i="10"/>
  <c r="J114" i="10" s="1"/>
  <c r="I115" i="10"/>
  <c r="J115" i="10" s="1"/>
  <c r="I116" i="10"/>
  <c r="J116" i="10"/>
  <c r="I117" i="10"/>
  <c r="J117" i="10" s="1"/>
  <c r="H111" i="10"/>
  <c r="H112" i="10"/>
  <c r="H113" i="10"/>
  <c r="H114" i="10"/>
  <c r="H115" i="10"/>
  <c r="H116" i="10"/>
  <c r="H117" i="10"/>
  <c r="H101" i="10"/>
  <c r="H102" i="10"/>
  <c r="H103" i="10"/>
  <c r="H104" i="10"/>
  <c r="H105" i="10"/>
  <c r="H106" i="10"/>
  <c r="H107" i="10"/>
  <c r="H108" i="10"/>
  <c r="H109" i="10"/>
  <c r="H110" i="10"/>
  <c r="H100" i="10"/>
  <c r="H99" i="10"/>
  <c r="H98" i="10"/>
  <c r="I110" i="10"/>
  <c r="J110" i="10" s="1"/>
  <c r="I98" i="10"/>
  <c r="J98" i="10" s="1"/>
  <c r="I99" i="10"/>
  <c r="J99" i="10" s="1"/>
  <c r="I100" i="10"/>
  <c r="J100" i="10" s="1"/>
  <c r="I101" i="10"/>
  <c r="J101" i="10"/>
  <c r="I102" i="10"/>
  <c r="J102" i="10" s="1"/>
  <c r="I103" i="10"/>
  <c r="J103" i="10" s="1"/>
  <c r="I104" i="10"/>
  <c r="J104" i="10" s="1"/>
  <c r="I105" i="10"/>
  <c r="J105" i="10" s="1"/>
  <c r="I106" i="10"/>
  <c r="J106" i="10" s="1"/>
  <c r="I107" i="10"/>
  <c r="J107" i="10" s="1"/>
  <c r="I108" i="10"/>
  <c r="J108" i="10" s="1"/>
  <c r="I109" i="10"/>
  <c r="J109" i="10" s="1"/>
  <c r="I71" i="10"/>
  <c r="I72" i="10"/>
  <c r="I73" i="10"/>
  <c r="J73" i="10" s="1"/>
  <c r="I74" i="10"/>
  <c r="J74" i="10" s="1"/>
  <c r="I75" i="10"/>
  <c r="J75" i="10" s="1"/>
  <c r="I76" i="10"/>
  <c r="J76" i="10" s="1"/>
  <c r="I77" i="10"/>
  <c r="J77" i="10" s="1"/>
  <c r="I78" i="10"/>
  <c r="J78" i="10" s="1"/>
  <c r="I79" i="10"/>
  <c r="J79" i="10" s="1"/>
  <c r="I80" i="10"/>
  <c r="J80" i="10" s="1"/>
  <c r="I81" i="10"/>
  <c r="J81" i="10" s="1"/>
  <c r="I82" i="10"/>
  <c r="J82" i="10" s="1"/>
  <c r="I83" i="10"/>
  <c r="J83" i="10" s="1"/>
  <c r="I84" i="10"/>
  <c r="J84" i="10" s="1"/>
  <c r="I85" i="10"/>
  <c r="J85" i="10" s="1"/>
  <c r="I86" i="10"/>
  <c r="J86" i="10" s="1"/>
  <c r="I87" i="10"/>
  <c r="J87" i="10" s="1"/>
  <c r="I88" i="10"/>
  <c r="J88" i="10" s="1"/>
  <c r="I89" i="10"/>
  <c r="J89" i="10" s="1"/>
  <c r="I90" i="10"/>
  <c r="J90" i="10" s="1"/>
  <c r="I91" i="10"/>
  <c r="J91" i="10" s="1"/>
  <c r="I92" i="10"/>
  <c r="J92" i="10" s="1"/>
  <c r="I93" i="10"/>
  <c r="J93" i="10" s="1"/>
  <c r="I94" i="10"/>
  <c r="J94" i="10" s="1"/>
  <c r="I95" i="10"/>
  <c r="J95" i="10" s="1"/>
  <c r="I96" i="10"/>
  <c r="J96" i="10" s="1"/>
  <c r="I97" i="10"/>
  <c r="J97" i="10" s="1"/>
  <c r="I70" i="10"/>
  <c r="J70" i="10" s="1"/>
  <c r="H91" i="10"/>
  <c r="H92" i="10"/>
  <c r="H93" i="10"/>
  <c r="H94" i="10"/>
  <c r="H95" i="10"/>
  <c r="H96" i="10"/>
  <c r="H97" i="10"/>
  <c r="H90" i="10"/>
  <c r="H89" i="10"/>
  <c r="H88" i="10"/>
  <c r="H87" i="10"/>
  <c r="H86" i="10"/>
  <c r="H85" i="10"/>
  <c r="H84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J71" i="10"/>
  <c r="J72" i="10"/>
  <c r="Q83" i="17"/>
  <c r="Q84" i="17"/>
  <c r="Q85" i="17"/>
  <c r="Q86" i="17"/>
  <c r="Q87" i="17"/>
  <c r="Q88" i="17"/>
  <c r="Q90" i="17"/>
  <c r="Q91" i="17"/>
  <c r="Q92" i="17"/>
  <c r="Q93" i="17"/>
  <c r="Q94" i="17"/>
  <c r="Q95" i="17"/>
  <c r="Q96" i="17"/>
  <c r="Q97" i="17"/>
  <c r="Q98" i="17"/>
  <c r="Q82" i="17"/>
  <c r="Q81" i="17"/>
  <c r="Q80" i="17"/>
  <c r="O84" i="17"/>
  <c r="O85" i="17"/>
  <c r="O86" i="17"/>
  <c r="O87" i="17"/>
  <c r="O88" i="17"/>
  <c r="O90" i="17"/>
  <c r="O91" i="17"/>
  <c r="O92" i="17"/>
  <c r="O93" i="17"/>
  <c r="O94" i="17"/>
  <c r="O95" i="17"/>
  <c r="O96" i="17"/>
  <c r="O97" i="17"/>
  <c r="O98" i="17"/>
  <c r="O82" i="17"/>
  <c r="O81" i="17"/>
  <c r="O80" i="17"/>
  <c r="O68" i="17"/>
  <c r="O69" i="17"/>
  <c r="O70" i="17"/>
  <c r="O71" i="17"/>
  <c r="O72" i="17"/>
  <c r="Q68" i="17"/>
  <c r="Q69" i="17"/>
  <c r="Q72" i="17"/>
  <c r="Q71" i="17"/>
  <c r="Q70" i="17"/>
  <c r="Q61" i="17"/>
  <c r="Q62" i="17"/>
  <c r="Q64" i="17"/>
  <c r="Q65" i="17"/>
  <c r="Q66" i="17"/>
  <c r="Q67" i="17"/>
  <c r="O67" i="17"/>
  <c r="O61" i="17"/>
  <c r="O62" i="17"/>
  <c r="O64" i="17"/>
  <c r="O65" i="17"/>
  <c r="O66" i="17"/>
  <c r="Q56" i="17"/>
  <c r="Q57" i="17"/>
  <c r="Q58" i="17"/>
  <c r="Q59" i="17"/>
  <c r="Q60" i="17"/>
  <c r="Q55" i="17"/>
  <c r="Q54" i="17"/>
  <c r="Q53" i="17"/>
  <c r="Q52" i="17"/>
  <c r="Q51" i="17"/>
  <c r="Q50" i="17"/>
  <c r="Q49" i="17"/>
  <c r="O57" i="17"/>
  <c r="O58" i="17"/>
  <c r="O59" i="17"/>
  <c r="O60" i="17"/>
  <c r="O56" i="17"/>
  <c r="O55" i="17"/>
  <c r="O54" i="17"/>
  <c r="O53" i="17"/>
  <c r="O52" i="17"/>
  <c r="O51" i="17"/>
  <c r="O50" i="17"/>
  <c r="O49" i="17"/>
  <c r="E18" i="41" l="1"/>
  <c r="F18" i="41" s="1"/>
  <c r="Q6" i="17"/>
  <c r="O6" i="17"/>
  <c r="O161" i="9"/>
  <c r="O162" i="9"/>
  <c r="O163" i="9"/>
  <c r="O164" i="9"/>
  <c r="O165" i="9"/>
  <c r="O166" i="9"/>
  <c r="O167" i="9"/>
  <c r="E15" i="41"/>
  <c r="F15" i="41" s="1"/>
  <c r="E26" i="41" l="1"/>
  <c r="F26" i="41" s="1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04" i="9"/>
  <c r="O12" i="9"/>
  <c r="I126" i="17" l="1"/>
  <c r="E34" i="41"/>
  <c r="F34" i="41" s="1"/>
  <c r="F31" i="41"/>
  <c r="F39" i="41"/>
  <c r="Q27" i="8"/>
  <c r="Q26" i="8"/>
  <c r="Q13" i="8"/>
  <c r="Q21" i="8"/>
  <c r="Q20" i="8"/>
  <c r="Q19" i="8"/>
  <c r="Q18" i="8"/>
  <c r="Q8" i="8"/>
  <c r="Q7" i="8"/>
  <c r="Q6" i="8"/>
  <c r="E42" i="41" l="1"/>
  <c r="F42" i="41" s="1"/>
  <c r="F47" i="41"/>
  <c r="J130" i="17" l="1"/>
  <c r="F79" i="41"/>
  <c r="I166" i="17" l="1"/>
  <c r="E50" i="41"/>
  <c r="F50" i="41" s="1"/>
  <c r="F80" i="41"/>
  <c r="Q172" i="9"/>
  <c r="Q171" i="9"/>
  <c r="Q170" i="9"/>
  <c r="Q169" i="9"/>
  <c r="Q168" i="9"/>
  <c r="Q167" i="9"/>
  <c r="Q166" i="9"/>
  <c r="Q165" i="9"/>
  <c r="Q164" i="9"/>
  <c r="Q163" i="9"/>
  <c r="Q162" i="9"/>
  <c r="Q161" i="9"/>
  <c r="Q160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22" i="9"/>
  <c r="Q121" i="9"/>
  <c r="Q120" i="9"/>
  <c r="Q119" i="9"/>
  <c r="Q118" i="9"/>
  <c r="Q117" i="9"/>
  <c r="Q116" i="9"/>
  <c r="Q115" i="9"/>
  <c r="Q114" i="9"/>
  <c r="Q113" i="9"/>
  <c r="Q112" i="9"/>
  <c r="Q111" i="9"/>
  <c r="Q110" i="9"/>
  <c r="Q109" i="9"/>
  <c r="Q108" i="9"/>
  <c r="Q107" i="9"/>
  <c r="Q106" i="9"/>
  <c r="Q105" i="9"/>
  <c r="Q104" i="9"/>
  <c r="Q97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4" i="9"/>
  <c r="Q36" i="9"/>
  <c r="Q37" i="9"/>
  <c r="Q38" i="9"/>
  <c r="Q40" i="9"/>
  <c r="Q41" i="9"/>
  <c r="Q42" i="9"/>
  <c r="Q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221" i="1"/>
  <c r="I169" i="17" l="1"/>
  <c r="I173" i="17" s="1"/>
  <c r="E86" i="41"/>
  <c r="F86" i="41" s="1"/>
  <c r="F81" i="41"/>
  <c r="O27" i="8"/>
  <c r="I27" i="8"/>
  <c r="J27" i="8" s="1"/>
  <c r="O26" i="8"/>
  <c r="I26" i="8"/>
  <c r="J26" i="8" s="1"/>
  <c r="O21" i="8"/>
  <c r="O20" i="8"/>
  <c r="O19" i="8"/>
  <c r="O18" i="8"/>
  <c r="O13" i="8"/>
  <c r="O8" i="8"/>
  <c r="O7" i="8"/>
  <c r="O6" i="8"/>
  <c r="Q121" i="1"/>
  <c r="Q6" i="1"/>
  <c r="Q22" i="2"/>
  <c r="Q7" i="2"/>
  <c r="Q8" i="2"/>
  <c r="Q9" i="2"/>
  <c r="Q10" i="2"/>
  <c r="Q11" i="2"/>
  <c r="Q12" i="2"/>
  <c r="Q13" i="2"/>
  <c r="Q14" i="2"/>
  <c r="Q15" i="2"/>
  <c r="Q16" i="2"/>
  <c r="Q6" i="2"/>
  <c r="I175" i="17" l="1"/>
  <c r="I179" i="17" s="1"/>
  <c r="E87" i="41"/>
  <c r="F87" i="41" s="1"/>
  <c r="F82" i="41"/>
  <c r="I29" i="8"/>
  <c r="I29" i="12"/>
  <c r="K71" i="12"/>
  <c r="I71" i="12"/>
  <c r="K67" i="12"/>
  <c r="I67" i="12"/>
  <c r="K62" i="12"/>
  <c r="I62" i="12"/>
  <c r="I72" i="12" s="1"/>
  <c r="K57" i="12"/>
  <c r="I57" i="12"/>
  <c r="K53" i="12"/>
  <c r="I53" i="12"/>
  <c r="K29" i="12"/>
  <c r="K72" i="12" s="1"/>
  <c r="I182" i="17" l="1"/>
  <c r="I186" i="17" s="1"/>
  <c r="E88" i="41"/>
  <c r="F88" i="41" s="1"/>
  <c r="F83" i="41"/>
  <c r="H61" i="10"/>
  <c r="H62" i="10"/>
  <c r="H63" i="10"/>
  <c r="H64" i="10"/>
  <c r="H65" i="10"/>
  <c r="H66" i="10"/>
  <c r="H67" i="10"/>
  <c r="H68" i="10"/>
  <c r="H69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I189" i="17" l="1"/>
  <c r="I193" i="17" s="1"/>
  <c r="E89" i="41"/>
  <c r="F89" i="41" s="1"/>
  <c r="F85" i="41"/>
  <c r="F84" i="41"/>
  <c r="I21" i="8"/>
  <c r="J21" i="8" s="1"/>
  <c r="I20" i="8"/>
  <c r="J20" i="8" s="1"/>
  <c r="I19" i="8"/>
  <c r="J19" i="8" s="1"/>
  <c r="I18" i="8"/>
  <c r="I13" i="8"/>
  <c r="I14" i="8" s="1"/>
  <c r="O173" i="9"/>
  <c r="O170" i="9"/>
  <c r="J170" i="9"/>
  <c r="O169" i="9"/>
  <c r="J169" i="9"/>
  <c r="I196" i="17" l="1"/>
  <c r="I200" i="17" s="1"/>
  <c r="E90" i="41"/>
  <c r="F90" i="41" s="1"/>
  <c r="I22" i="8"/>
  <c r="J18" i="8"/>
  <c r="J13" i="8"/>
  <c r="O160" i="9"/>
  <c r="O168" i="9"/>
  <c r="O171" i="9"/>
  <c r="O172" i="9"/>
  <c r="I176" i="9"/>
  <c r="J176" i="9" s="1"/>
  <c r="I175" i="9"/>
  <c r="J175" i="9" s="1"/>
  <c r="I174" i="9"/>
  <c r="J174" i="9" s="1"/>
  <c r="I173" i="9"/>
  <c r="J173" i="9" s="1"/>
  <c r="I172" i="9"/>
  <c r="J172" i="9" s="1"/>
  <c r="I171" i="9"/>
  <c r="J171" i="9" s="1"/>
  <c r="J168" i="9"/>
  <c r="I167" i="9"/>
  <c r="J167" i="9" s="1"/>
  <c r="I166" i="9"/>
  <c r="J166" i="9" s="1"/>
  <c r="I165" i="9"/>
  <c r="J165" i="9" s="1"/>
  <c r="I164" i="9"/>
  <c r="J164" i="9" s="1"/>
  <c r="I163" i="9"/>
  <c r="J163" i="9" s="1"/>
  <c r="I162" i="9"/>
  <c r="J162" i="9" s="1"/>
  <c r="I161" i="9"/>
  <c r="J161" i="9" s="1"/>
  <c r="I160" i="9"/>
  <c r="J160" i="9" s="1"/>
  <c r="I133" i="9"/>
  <c r="J133" i="9" s="1"/>
  <c r="I134" i="9"/>
  <c r="J134" i="9" s="1"/>
  <c r="I135" i="9"/>
  <c r="J135" i="9" s="1"/>
  <c r="I136" i="9"/>
  <c r="J136" i="9" s="1"/>
  <c r="I137" i="9"/>
  <c r="J137" i="9" s="1"/>
  <c r="I138" i="9"/>
  <c r="J138" i="9" s="1"/>
  <c r="I139" i="9"/>
  <c r="J139" i="9" s="1"/>
  <c r="I129" i="9"/>
  <c r="J129" i="9" s="1"/>
  <c r="I126" i="9"/>
  <c r="J126" i="9" s="1"/>
  <c r="G120" i="9"/>
  <c r="I120" i="9" s="1"/>
  <c r="J120" i="9" s="1"/>
  <c r="I122" i="9"/>
  <c r="J122" i="9" s="1"/>
  <c r="I121" i="9"/>
  <c r="J121" i="9" s="1"/>
  <c r="I140" i="9"/>
  <c r="J140" i="9" s="1"/>
  <c r="I132" i="9"/>
  <c r="J132" i="9" s="1"/>
  <c r="I131" i="9"/>
  <c r="J131" i="9" s="1"/>
  <c r="I130" i="9"/>
  <c r="J130" i="9" s="1"/>
  <c r="I128" i="9"/>
  <c r="J128" i="9" s="1"/>
  <c r="I127" i="9"/>
  <c r="J127" i="9" s="1"/>
  <c r="I125" i="9"/>
  <c r="J125" i="9" s="1"/>
  <c r="I124" i="9"/>
  <c r="J124" i="9" s="1"/>
  <c r="I123" i="9"/>
  <c r="J123" i="9" s="1"/>
  <c r="I148" i="9"/>
  <c r="J148" i="9" s="1"/>
  <c r="O79" i="9"/>
  <c r="I153" i="9"/>
  <c r="J153" i="9" s="1"/>
  <c r="I152" i="9"/>
  <c r="J152" i="9" s="1"/>
  <c r="I151" i="9"/>
  <c r="J151" i="9" s="1"/>
  <c r="I150" i="9"/>
  <c r="J150" i="9" s="1"/>
  <c r="I149" i="9"/>
  <c r="J149" i="9" s="1"/>
  <c r="I147" i="9"/>
  <c r="J147" i="9" s="1"/>
  <c r="I146" i="9"/>
  <c r="J146" i="9" s="1"/>
  <c r="I145" i="9"/>
  <c r="J145" i="9" s="1"/>
  <c r="I144" i="9"/>
  <c r="J144" i="9" s="1"/>
  <c r="I143" i="9"/>
  <c r="J143" i="9" s="1"/>
  <c r="I142" i="9"/>
  <c r="J142" i="9" s="1"/>
  <c r="I141" i="9"/>
  <c r="J141" i="9" s="1"/>
  <c r="I119" i="9"/>
  <c r="J119" i="9" s="1"/>
  <c r="I118" i="9"/>
  <c r="J118" i="9" s="1"/>
  <c r="I117" i="9"/>
  <c r="J117" i="9" s="1"/>
  <c r="I116" i="9"/>
  <c r="J116" i="9" s="1"/>
  <c r="I115" i="9"/>
  <c r="J115" i="9" s="1"/>
  <c r="I114" i="9"/>
  <c r="J114" i="9" s="1"/>
  <c r="I113" i="9"/>
  <c r="J113" i="9" s="1"/>
  <c r="I112" i="9"/>
  <c r="J112" i="9" s="1"/>
  <c r="I111" i="9"/>
  <c r="J111" i="9" s="1"/>
  <c r="I110" i="9"/>
  <c r="J110" i="9" s="1"/>
  <c r="I109" i="9"/>
  <c r="J109" i="9" s="1"/>
  <c r="I108" i="9"/>
  <c r="J108" i="9" s="1"/>
  <c r="I107" i="9"/>
  <c r="J107" i="9" s="1"/>
  <c r="I106" i="9"/>
  <c r="J106" i="9" s="1"/>
  <c r="I105" i="9"/>
  <c r="J105" i="9" s="1"/>
  <c r="I104" i="9"/>
  <c r="J104" i="9" s="1"/>
  <c r="I203" i="17" l="1"/>
  <c r="I207" i="17" s="1"/>
  <c r="E92" i="41" s="1"/>
  <c r="F92" i="41" s="1"/>
  <c r="E91" i="41"/>
  <c r="F91" i="41" s="1"/>
  <c r="I187" i="9"/>
  <c r="I154" i="9"/>
  <c r="I155" i="9" s="1"/>
  <c r="E32" i="41" s="1"/>
  <c r="F32" i="41" s="1"/>
  <c r="O63" i="9"/>
  <c r="I63" i="9"/>
  <c r="J63" i="9" s="1"/>
  <c r="O62" i="9"/>
  <c r="I62" i="9"/>
  <c r="J62" i="9" s="1"/>
  <c r="O61" i="9"/>
  <c r="I61" i="9"/>
  <c r="J61" i="9" s="1"/>
  <c r="I56" i="9"/>
  <c r="J56" i="9" s="1"/>
  <c r="O56" i="9"/>
  <c r="O55" i="9"/>
  <c r="O57" i="9"/>
  <c r="O58" i="9"/>
  <c r="O59" i="9"/>
  <c r="O60" i="9"/>
  <c r="O64" i="9"/>
  <c r="I64" i="9"/>
  <c r="J64" i="9" s="1"/>
  <c r="I60" i="9"/>
  <c r="J60" i="9" s="1"/>
  <c r="I59" i="9"/>
  <c r="J59" i="9" s="1"/>
  <c r="I58" i="9"/>
  <c r="J58" i="9" s="1"/>
  <c r="I57" i="9"/>
  <c r="J57" i="9" s="1"/>
  <c r="I55" i="9"/>
  <c r="J55" i="9" s="1"/>
  <c r="O90" i="9"/>
  <c r="I89" i="9"/>
  <c r="J89" i="9" s="1"/>
  <c r="I90" i="9"/>
  <c r="J90" i="9" s="1"/>
  <c r="I91" i="9"/>
  <c r="J91" i="9" s="1"/>
  <c r="I92" i="9"/>
  <c r="J92" i="9" s="1"/>
  <c r="I93" i="9"/>
  <c r="J93" i="9" s="1"/>
  <c r="O97" i="9"/>
  <c r="O95" i="9"/>
  <c r="O94" i="9"/>
  <c r="O93" i="9"/>
  <c r="O91" i="9"/>
  <c r="O89" i="9"/>
  <c r="O88" i="9"/>
  <c r="I88" i="9"/>
  <c r="J88" i="9" s="1"/>
  <c r="O87" i="9"/>
  <c r="I87" i="9"/>
  <c r="J87" i="9" s="1"/>
  <c r="O86" i="9"/>
  <c r="I86" i="9"/>
  <c r="J86" i="9" s="1"/>
  <c r="O85" i="9"/>
  <c r="I85" i="9"/>
  <c r="J85" i="9" s="1"/>
  <c r="O84" i="9"/>
  <c r="I84" i="9"/>
  <c r="J84" i="9" s="1"/>
  <c r="O83" i="9"/>
  <c r="I83" i="9"/>
  <c r="J83" i="9" s="1"/>
  <c r="O82" i="9"/>
  <c r="I82" i="9"/>
  <c r="J82" i="9" s="1"/>
  <c r="O81" i="9"/>
  <c r="I81" i="9"/>
  <c r="J81" i="9" s="1"/>
  <c r="O80" i="9"/>
  <c r="I80" i="9"/>
  <c r="J80" i="9" s="1"/>
  <c r="O78" i="9"/>
  <c r="O77" i="9"/>
  <c r="O76" i="9"/>
  <c r="I76" i="9"/>
  <c r="J76" i="9" s="1"/>
  <c r="O75" i="9"/>
  <c r="I75" i="9"/>
  <c r="J75" i="9" s="1"/>
  <c r="O72" i="9"/>
  <c r="O68" i="9"/>
  <c r="I68" i="9"/>
  <c r="J68" i="9" s="1"/>
  <c r="I97" i="9"/>
  <c r="J97" i="9" s="1"/>
  <c r="O96" i="9"/>
  <c r="I96" i="9"/>
  <c r="J96" i="9" s="1"/>
  <c r="I95" i="9"/>
  <c r="J95" i="9" s="1"/>
  <c r="I94" i="9"/>
  <c r="J94" i="9" s="1"/>
  <c r="I79" i="9"/>
  <c r="J79" i="9" s="1"/>
  <c r="I78" i="9"/>
  <c r="J78" i="9" s="1"/>
  <c r="I77" i="9"/>
  <c r="J77" i="9" s="1"/>
  <c r="O74" i="9"/>
  <c r="I74" i="9"/>
  <c r="J74" i="9" s="1"/>
  <c r="O73" i="9"/>
  <c r="I73" i="9"/>
  <c r="J73" i="9" s="1"/>
  <c r="I72" i="9"/>
  <c r="J72" i="9" s="1"/>
  <c r="O71" i="9"/>
  <c r="I71" i="9"/>
  <c r="J71" i="9" s="1"/>
  <c r="O70" i="9"/>
  <c r="I70" i="9"/>
  <c r="J70" i="9" s="1"/>
  <c r="O69" i="9"/>
  <c r="I69" i="9"/>
  <c r="J69" i="9" s="1"/>
  <c r="O67" i="9"/>
  <c r="I67" i="9"/>
  <c r="J67" i="9" s="1"/>
  <c r="O66" i="9"/>
  <c r="I66" i="9"/>
  <c r="J66" i="9" s="1"/>
  <c r="O65" i="9"/>
  <c r="I65" i="9"/>
  <c r="J65" i="9" s="1"/>
  <c r="O54" i="9"/>
  <c r="I54" i="9"/>
  <c r="J54" i="9" s="1"/>
  <c r="I53" i="9"/>
  <c r="J53" i="9" s="1"/>
  <c r="I52" i="9"/>
  <c r="J52" i="9" s="1"/>
  <c r="I51" i="9"/>
  <c r="J51" i="9" s="1"/>
  <c r="I50" i="9"/>
  <c r="J50" i="9" s="1"/>
  <c r="O7" i="9"/>
  <c r="O8" i="9"/>
  <c r="O9" i="9"/>
  <c r="O10" i="9"/>
  <c r="O11" i="9"/>
  <c r="O13" i="9"/>
  <c r="O14" i="9"/>
  <c r="O15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40" i="9"/>
  <c r="O41" i="9"/>
  <c r="O42" i="9"/>
  <c r="O6" i="9"/>
  <c r="I188" i="9" l="1"/>
  <c r="J188" i="9" s="1"/>
  <c r="E40" i="41"/>
  <c r="F40" i="41" s="1"/>
  <c r="I192" i="9"/>
  <c r="I234" i="9" s="1"/>
  <c r="I238" i="9" s="1"/>
  <c r="I98" i="9"/>
  <c r="I99" i="9" s="1"/>
  <c r="E24" i="41" s="1"/>
  <c r="F24" i="41" s="1"/>
  <c r="I26" i="9"/>
  <c r="J26" i="9" s="1"/>
  <c r="G22" i="9"/>
  <c r="I22" i="9" s="1"/>
  <c r="J22" i="9" s="1"/>
  <c r="I24" i="9"/>
  <c r="J24" i="9" s="1"/>
  <c r="I23" i="9"/>
  <c r="J23" i="9" s="1"/>
  <c r="I21" i="9"/>
  <c r="J21" i="9" s="1"/>
  <c r="I20" i="9"/>
  <c r="J20" i="9" s="1"/>
  <c r="I41" i="9"/>
  <c r="J41" i="9" s="1"/>
  <c r="I42" i="9"/>
  <c r="J42" i="9" s="1"/>
  <c r="I7" i="9"/>
  <c r="I8" i="9"/>
  <c r="J8" i="9" s="1"/>
  <c r="I9" i="9"/>
  <c r="J9" i="9" s="1"/>
  <c r="I10" i="9"/>
  <c r="J10" i="9" s="1"/>
  <c r="I11" i="9"/>
  <c r="J11" i="9" s="1"/>
  <c r="I12" i="9"/>
  <c r="J12" i="9" s="1"/>
  <c r="I13" i="9"/>
  <c r="J13" i="9" s="1"/>
  <c r="I14" i="9"/>
  <c r="J14" i="9" s="1"/>
  <c r="I15" i="9"/>
  <c r="J15" i="9" s="1"/>
  <c r="I16" i="9"/>
  <c r="J16" i="9" s="1"/>
  <c r="I17" i="9"/>
  <c r="J17" i="9" s="1"/>
  <c r="I18" i="9"/>
  <c r="J18" i="9" s="1"/>
  <c r="I19" i="9"/>
  <c r="J19" i="9" s="1"/>
  <c r="I25" i="9"/>
  <c r="J25" i="9" s="1"/>
  <c r="I27" i="9"/>
  <c r="J27" i="9" s="1"/>
  <c r="I28" i="9"/>
  <c r="J28" i="9" s="1"/>
  <c r="I29" i="9"/>
  <c r="J29" i="9" s="1"/>
  <c r="I30" i="9"/>
  <c r="J30" i="9" s="1"/>
  <c r="I31" i="9"/>
  <c r="J31" i="9" s="1"/>
  <c r="I32" i="9"/>
  <c r="J32" i="9" s="1"/>
  <c r="I33" i="9"/>
  <c r="J33" i="9" s="1"/>
  <c r="I34" i="9"/>
  <c r="J34" i="9" s="1"/>
  <c r="I35" i="9"/>
  <c r="J35" i="9" s="1"/>
  <c r="I36" i="9"/>
  <c r="J36" i="9" s="1"/>
  <c r="I37" i="9"/>
  <c r="J37" i="9" s="1"/>
  <c r="I38" i="9"/>
  <c r="J38" i="9" s="1"/>
  <c r="I40" i="9"/>
  <c r="J40" i="9" s="1"/>
  <c r="J7" i="9" l="1"/>
  <c r="I43" i="9"/>
  <c r="J192" i="9"/>
  <c r="I276" i="9"/>
  <c r="I44" i="9"/>
  <c r="E16" i="41" s="1"/>
  <c r="F16" i="41" s="1"/>
  <c r="I7" i="8"/>
  <c r="J7" i="8" s="1"/>
  <c r="I8" i="8"/>
  <c r="J8" i="8" s="1"/>
  <c r="I6" i="8"/>
  <c r="J43" i="2"/>
  <c r="J42" i="2"/>
  <c r="J41" i="2"/>
  <c r="J40" i="2"/>
  <c r="J39" i="2"/>
  <c r="J33" i="2"/>
  <c r="J32" i="2"/>
  <c r="J31" i="2"/>
  <c r="J30" i="2"/>
  <c r="J29" i="2"/>
  <c r="J28" i="2"/>
  <c r="J27" i="2"/>
  <c r="J26" i="2"/>
  <c r="J25" i="2"/>
  <c r="J24" i="2"/>
  <c r="J23" i="2"/>
  <c r="I255" i="1"/>
  <c r="J255" i="1" s="1"/>
  <c r="I254" i="1"/>
  <c r="J254" i="1" s="1"/>
  <c r="I253" i="1"/>
  <c r="J253" i="1" s="1"/>
  <c r="I252" i="1"/>
  <c r="J252" i="1" s="1"/>
  <c r="G249" i="1"/>
  <c r="I249" i="1" s="1"/>
  <c r="J249" i="1" s="1"/>
  <c r="I250" i="1"/>
  <c r="J250" i="1" s="1"/>
  <c r="H247" i="1"/>
  <c r="G247" i="1"/>
  <c r="I248" i="1"/>
  <c r="J248" i="1" s="1"/>
  <c r="I236" i="1"/>
  <c r="J236" i="1" s="1"/>
  <c r="I256" i="1"/>
  <c r="J256" i="1" s="1"/>
  <c r="I251" i="1"/>
  <c r="J251" i="1" s="1"/>
  <c r="I246" i="1"/>
  <c r="J246" i="1" s="1"/>
  <c r="I245" i="1"/>
  <c r="J245" i="1" s="1"/>
  <c r="I244" i="1"/>
  <c r="J244" i="1" s="1"/>
  <c r="I243" i="1"/>
  <c r="J243" i="1" s="1"/>
  <c r="I242" i="1"/>
  <c r="J242" i="1" s="1"/>
  <c r="I241" i="1"/>
  <c r="J241" i="1" s="1"/>
  <c r="I240" i="1"/>
  <c r="J240" i="1" s="1"/>
  <c r="I239" i="1"/>
  <c r="J239" i="1" s="1"/>
  <c r="I238" i="1"/>
  <c r="J238" i="1" s="1"/>
  <c r="I237" i="1"/>
  <c r="J237" i="1" s="1"/>
  <c r="I280" i="9" l="1"/>
  <c r="I284" i="9" s="1"/>
  <c r="E72" i="41"/>
  <c r="I9" i="8"/>
  <c r="I10" i="8" s="1"/>
  <c r="I12" i="8" s="1"/>
  <c r="E48" i="41"/>
  <c r="F48" i="41" s="1"/>
  <c r="I15" i="8"/>
  <c r="E11" i="41"/>
  <c r="F11" i="41" s="1"/>
  <c r="J6" i="8"/>
  <c r="J34" i="2"/>
  <c r="J47" i="2"/>
  <c r="J48" i="2" s="1"/>
  <c r="E36" i="41" s="1"/>
  <c r="F36" i="41" s="1"/>
  <c r="I247" i="1"/>
  <c r="J247" i="1" s="1"/>
  <c r="I261" i="1"/>
  <c r="J261" i="1" s="1"/>
  <c r="I260" i="1"/>
  <c r="J260" i="1" s="1"/>
  <c r="I235" i="1"/>
  <c r="J235" i="1" s="1"/>
  <c r="I257" i="1"/>
  <c r="J257" i="1" s="1"/>
  <c r="I259" i="1"/>
  <c r="J259" i="1" s="1"/>
  <c r="I258" i="1"/>
  <c r="J258" i="1" s="1"/>
  <c r="I234" i="1"/>
  <c r="J234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O221" i="1"/>
  <c r="I221" i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8" i="1"/>
  <c r="J168" i="1" s="1"/>
  <c r="I166" i="1"/>
  <c r="J166" i="1" s="1"/>
  <c r="I161" i="1"/>
  <c r="J161" i="1" s="1"/>
  <c r="I160" i="1"/>
  <c r="J160" i="1" s="1"/>
  <c r="I158" i="1"/>
  <c r="J158" i="1" s="1"/>
  <c r="I153" i="1"/>
  <c r="J153" i="1" s="1"/>
  <c r="I149" i="1"/>
  <c r="J149" i="1" s="1"/>
  <c r="I147" i="1"/>
  <c r="J147" i="1" s="1"/>
  <c r="I148" i="1"/>
  <c r="J148" i="1" s="1"/>
  <c r="I150" i="1"/>
  <c r="J150" i="1" s="1"/>
  <c r="I151" i="1"/>
  <c r="J151" i="1" s="1"/>
  <c r="I152" i="1"/>
  <c r="J152" i="1" s="1"/>
  <c r="I154" i="1"/>
  <c r="J154" i="1" s="1"/>
  <c r="I155" i="1"/>
  <c r="J155" i="1" s="1"/>
  <c r="I156" i="1"/>
  <c r="J156" i="1" s="1"/>
  <c r="I157" i="1"/>
  <c r="J157" i="1" s="1"/>
  <c r="I159" i="1"/>
  <c r="J159" i="1" s="1"/>
  <c r="I162" i="1"/>
  <c r="J162" i="1" s="1"/>
  <c r="I163" i="1"/>
  <c r="J163" i="1" s="1"/>
  <c r="I164" i="1"/>
  <c r="J164" i="1" s="1"/>
  <c r="I165" i="1"/>
  <c r="J165" i="1" s="1"/>
  <c r="I167" i="1"/>
  <c r="J167" i="1" s="1"/>
  <c r="I169" i="1"/>
  <c r="J169" i="1" s="1"/>
  <c r="I177" i="1"/>
  <c r="J177" i="1" s="1"/>
  <c r="J221" i="1" l="1"/>
  <c r="I279" i="1"/>
  <c r="I288" i="9"/>
  <c r="I292" i="9" s="1"/>
  <c r="E73" i="41"/>
  <c r="E19" i="41"/>
  <c r="F19" i="41" s="1"/>
  <c r="I17" i="8"/>
  <c r="I23" i="8" s="1"/>
  <c r="F72" i="41"/>
  <c r="I25" i="8"/>
  <c r="I30" i="8" s="1"/>
  <c r="I32" i="8" s="1"/>
  <c r="E27" i="41"/>
  <c r="F27" i="41" s="1"/>
  <c r="J51" i="2"/>
  <c r="J59" i="2" s="1"/>
  <c r="J62" i="2" s="1"/>
  <c r="J75" i="2" s="1"/>
  <c r="G208" i="1"/>
  <c r="I208" i="1" s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07" i="1"/>
  <c r="J207" i="1" s="1"/>
  <c r="I205" i="1"/>
  <c r="J205" i="1" s="1"/>
  <c r="I206" i="1"/>
  <c r="J206" i="1" s="1"/>
  <c r="I197" i="1"/>
  <c r="J197" i="1" s="1"/>
  <c r="I198" i="1"/>
  <c r="J198" i="1" s="1"/>
  <c r="I199" i="1"/>
  <c r="J199" i="1" s="1"/>
  <c r="I200" i="1"/>
  <c r="J200" i="1" s="1"/>
  <c r="I204" i="1"/>
  <c r="J204" i="1" s="1"/>
  <c r="I193" i="1"/>
  <c r="J193" i="1" s="1"/>
  <c r="I194" i="1"/>
  <c r="J194" i="1" s="1"/>
  <c r="I195" i="1"/>
  <c r="J195" i="1" s="1"/>
  <c r="I196" i="1"/>
  <c r="J196" i="1" s="1"/>
  <c r="I185" i="1"/>
  <c r="J185" i="1" s="1"/>
  <c r="H136" i="1"/>
  <c r="I136" i="1" s="1"/>
  <c r="J136" i="1" s="1"/>
  <c r="H135" i="1"/>
  <c r="I135" i="1" s="1"/>
  <c r="J135" i="1" s="1"/>
  <c r="H134" i="1"/>
  <c r="I134" i="1" s="1"/>
  <c r="J134" i="1" s="1"/>
  <c r="H129" i="1"/>
  <c r="H132" i="1"/>
  <c r="I132" i="1" s="1"/>
  <c r="J132" i="1" s="1"/>
  <c r="H133" i="1"/>
  <c r="I133" i="1" s="1"/>
  <c r="J133" i="1" s="1"/>
  <c r="H130" i="1"/>
  <c r="I130" i="1" s="1"/>
  <c r="J130" i="1" s="1"/>
  <c r="I131" i="1"/>
  <c r="J131" i="1" s="1"/>
  <c r="I296" i="9" l="1"/>
  <c r="I300" i="9" s="1"/>
  <c r="E74" i="41"/>
  <c r="I35" i="8"/>
  <c r="I37" i="8"/>
  <c r="I43" i="8" s="1"/>
  <c r="E43" i="41"/>
  <c r="F43" i="41" s="1"/>
  <c r="F73" i="41"/>
  <c r="E44" i="41"/>
  <c r="F44" i="41" s="1"/>
  <c r="E35" i="41"/>
  <c r="F35" i="41" s="1"/>
  <c r="I304" i="9" l="1"/>
  <c r="I308" i="9" s="1"/>
  <c r="E75" i="41"/>
  <c r="E51" i="41"/>
  <c r="F51" i="41" s="1"/>
  <c r="I47" i="8"/>
  <c r="I53" i="8" s="1"/>
  <c r="F74" i="41"/>
  <c r="J78" i="2"/>
  <c r="J82" i="2" s="1"/>
  <c r="J85" i="2" s="1"/>
  <c r="E58" i="41"/>
  <c r="F58" i="41" s="1"/>
  <c r="I192" i="1"/>
  <c r="J192" i="1" s="1"/>
  <c r="I191" i="1"/>
  <c r="J191" i="1" s="1"/>
  <c r="I190" i="1"/>
  <c r="J190" i="1" s="1"/>
  <c r="I189" i="1"/>
  <c r="J189" i="1" s="1"/>
  <c r="I188" i="1"/>
  <c r="J188" i="1" s="1"/>
  <c r="G187" i="1"/>
  <c r="I187" i="1" s="1"/>
  <c r="J187" i="1" s="1"/>
  <c r="I186" i="1"/>
  <c r="J186" i="1" s="1"/>
  <c r="I184" i="1"/>
  <c r="J184" i="1" s="1"/>
  <c r="I183" i="1"/>
  <c r="J183" i="1" s="1"/>
  <c r="G182" i="1"/>
  <c r="H182" i="1" s="1"/>
  <c r="G180" i="1"/>
  <c r="H180" i="1" s="1"/>
  <c r="I123" i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78" i="1"/>
  <c r="J178" i="1" s="1"/>
  <c r="I179" i="1"/>
  <c r="J179" i="1" s="1"/>
  <c r="I181" i="1"/>
  <c r="J181" i="1" s="1"/>
  <c r="J123" i="1" l="1"/>
  <c r="I312" i="9"/>
  <c r="I316" i="9" s="1"/>
  <c r="E76" i="41"/>
  <c r="E52" i="41"/>
  <c r="F52" i="41" s="1"/>
  <c r="I58" i="8"/>
  <c r="I64" i="8" s="1"/>
  <c r="F75" i="41"/>
  <c r="E59" i="41"/>
  <c r="F59" i="41" s="1"/>
  <c r="I182" i="1"/>
  <c r="J182" i="1" s="1"/>
  <c r="I180" i="1"/>
  <c r="J180" i="1" l="1"/>
  <c r="I215" i="1"/>
  <c r="I216" i="1" s="1"/>
  <c r="I320" i="9"/>
  <c r="I324" i="9" s="1"/>
  <c r="E78" i="41" s="1"/>
  <c r="E77" i="41"/>
  <c r="E53" i="41"/>
  <c r="F53" i="41" s="1"/>
  <c r="I68" i="8"/>
  <c r="I74" i="8" s="1"/>
  <c r="F76" i="41"/>
  <c r="J89" i="2"/>
  <c r="J94" i="2" s="1"/>
  <c r="J98" i="2" s="1"/>
  <c r="E60" i="41"/>
  <c r="F60" i="41" s="1"/>
  <c r="G102" i="1"/>
  <c r="I102" i="1" s="1"/>
  <c r="J102" i="1" s="1"/>
  <c r="I104" i="1"/>
  <c r="J104" i="1" s="1"/>
  <c r="I103" i="1"/>
  <c r="J103" i="1" s="1"/>
  <c r="I101" i="1"/>
  <c r="J101" i="1" s="1"/>
  <c r="E54" i="41" l="1"/>
  <c r="F54" i="41" s="1"/>
  <c r="I78" i="8"/>
  <c r="I84" i="8" s="1"/>
  <c r="F78" i="41"/>
  <c r="F77" i="41"/>
  <c r="I220" i="1"/>
  <c r="I280" i="1" s="1"/>
  <c r="I284" i="1" s="1"/>
  <c r="I366" i="1" s="1"/>
  <c r="E29" i="41"/>
  <c r="F29" i="41" s="1"/>
  <c r="J101" i="2"/>
  <c r="J105" i="2" s="1"/>
  <c r="E61" i="41"/>
  <c r="F61" i="41" s="1"/>
  <c r="I97" i="1"/>
  <c r="J97" i="1" s="1"/>
  <c r="I98" i="1"/>
  <c r="J98" i="1" s="1"/>
  <c r="I99" i="1"/>
  <c r="J99" i="1" s="1"/>
  <c r="I94" i="1"/>
  <c r="J94" i="1" s="1"/>
  <c r="I92" i="1"/>
  <c r="J92" i="1" s="1"/>
  <c r="I89" i="1"/>
  <c r="J89" i="1" s="1"/>
  <c r="H86" i="1"/>
  <c r="G86" i="1"/>
  <c r="I87" i="1"/>
  <c r="J87" i="1" s="1"/>
  <c r="G84" i="1"/>
  <c r="I84" i="1" s="1"/>
  <c r="J84" i="1" s="1"/>
  <c r="I85" i="1"/>
  <c r="J85" i="1" s="1"/>
  <c r="I79" i="1"/>
  <c r="J79" i="1" s="1"/>
  <c r="I80" i="1"/>
  <c r="J80" i="1" s="1"/>
  <c r="I81" i="1"/>
  <c r="J81" i="1" s="1"/>
  <c r="I82" i="1"/>
  <c r="J82" i="1" s="1"/>
  <c r="I75" i="1"/>
  <c r="J75" i="1" s="1"/>
  <c r="I76" i="1"/>
  <c r="J76" i="1" s="1"/>
  <c r="I77" i="1"/>
  <c r="J77" i="1" s="1"/>
  <c r="I78" i="1"/>
  <c r="J78" i="1" s="1"/>
  <c r="I83" i="1"/>
  <c r="J83" i="1" s="1"/>
  <c r="I88" i="1"/>
  <c r="J88" i="1" s="1"/>
  <c r="I90" i="1"/>
  <c r="J90" i="1" s="1"/>
  <c r="I91" i="1"/>
  <c r="J91" i="1" s="1"/>
  <c r="I93" i="1"/>
  <c r="J93" i="1" s="1"/>
  <c r="I95" i="1"/>
  <c r="J95" i="1" s="1"/>
  <c r="I96" i="1"/>
  <c r="J96" i="1" s="1"/>
  <c r="I100" i="1"/>
  <c r="J100" i="1" s="1"/>
  <c r="I105" i="1"/>
  <c r="J105" i="1" s="1"/>
  <c r="G114" i="1"/>
  <c r="I114" i="1" s="1"/>
  <c r="J114" i="1" s="1"/>
  <c r="H107" i="1"/>
  <c r="G107" i="1"/>
  <c r="I71" i="1"/>
  <c r="I72" i="1"/>
  <c r="J72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6" i="1"/>
  <c r="J106" i="1" s="1"/>
  <c r="I74" i="1"/>
  <c r="J74" i="1" s="1"/>
  <c r="I73" i="1"/>
  <c r="J73" i="1" s="1"/>
  <c r="O6" i="2"/>
  <c r="J6" i="2"/>
  <c r="J71" i="1" l="1"/>
  <c r="E55" i="41"/>
  <c r="F55" i="41" s="1"/>
  <c r="I89" i="8"/>
  <c r="I95" i="8" s="1"/>
  <c r="E37" i="41"/>
  <c r="F37" i="41" s="1"/>
  <c r="E62" i="41"/>
  <c r="F62" i="41" s="1"/>
  <c r="J108" i="2"/>
  <c r="J112" i="2" s="1"/>
  <c r="J17" i="2"/>
  <c r="J18" i="2" s="1"/>
  <c r="J21" i="2" s="1"/>
  <c r="J35" i="2" s="1"/>
  <c r="E28" i="41" s="1"/>
  <c r="F28" i="41" s="1"/>
  <c r="I86" i="1"/>
  <c r="I107" i="1"/>
  <c r="J107" i="1" s="1"/>
  <c r="J86" i="1" l="1"/>
  <c r="I115" i="1"/>
  <c r="E56" i="41"/>
  <c r="F56" i="41" s="1"/>
  <c r="I99" i="8"/>
  <c r="I105" i="8" s="1"/>
  <c r="E57" i="41" s="1"/>
  <c r="F57" i="41" s="1"/>
  <c r="E45" i="41"/>
  <c r="F45" i="41" s="1"/>
  <c r="I370" i="1"/>
  <c r="I444" i="1" s="1"/>
  <c r="E13" i="41"/>
  <c r="F13" i="41" s="1"/>
  <c r="I70" i="1"/>
  <c r="E12" i="41"/>
  <c r="F12" i="41" s="1"/>
  <c r="E20" i="41"/>
  <c r="F20" i="41" s="1"/>
  <c r="J115" i="2"/>
  <c r="J119" i="2" s="1"/>
  <c r="E64" i="41" s="1"/>
  <c r="F64" i="41" s="1"/>
  <c r="E63" i="41"/>
  <c r="F63" i="41" s="1"/>
  <c r="I116" i="1" l="1"/>
  <c r="E21" i="41" s="1"/>
  <c r="F21" i="41" s="1"/>
  <c r="I448" i="1"/>
  <c r="I452" i="1" s="1"/>
  <c r="E65" i="41"/>
  <c r="F65" i="41" s="1"/>
  <c r="I456" i="1" l="1"/>
  <c r="I460" i="1" s="1"/>
  <c r="E66" i="41"/>
  <c r="F66" i="41" s="1"/>
  <c r="I464" i="1" l="1"/>
  <c r="I468" i="1" s="1"/>
  <c r="E67" i="41"/>
  <c r="F67" i="41" s="1"/>
  <c r="E68" i="41" l="1"/>
  <c r="F68" i="41" s="1"/>
  <c r="I472" i="1"/>
  <c r="I476" i="1" s="1"/>
  <c r="I480" i="1" l="1"/>
  <c r="I484" i="1" s="1"/>
  <c r="E69" i="41"/>
  <c r="F69" i="41" s="1"/>
  <c r="I488" i="1" l="1"/>
  <c r="I492" i="1" s="1"/>
  <c r="E71" i="41" s="1"/>
  <c r="F71" i="41" s="1"/>
  <c r="E70" i="41"/>
  <c r="F70" i="4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<sst xmlns="http://schemas.openxmlformats.org/spreadsheetml/2006/main" count="32330" uniqueCount="1884">
  <si>
    <t>East West Bank</t>
  </si>
  <si>
    <t>SG</t>
  </si>
  <si>
    <t>MY</t>
  </si>
  <si>
    <t>CN</t>
  </si>
  <si>
    <t>USD</t>
  </si>
  <si>
    <t>Expected Inflow</t>
  </si>
  <si>
    <t>Invoice Date</t>
  </si>
  <si>
    <t>2026</t>
  </si>
  <si>
    <t xml:space="preserve">Pending </t>
  </si>
  <si>
    <t>Jan</t>
  </si>
  <si>
    <t>Revenue</t>
  </si>
  <si>
    <t>Sum of Amount (USD)</t>
  </si>
  <si>
    <t>May</t>
  </si>
  <si>
    <t>Jun</t>
  </si>
  <si>
    <t>Due</t>
  </si>
  <si>
    <t>Paid</t>
  </si>
  <si>
    <t>Armstrong 001-202508-MES</t>
  </si>
  <si>
    <t>2025</t>
  </si>
  <si>
    <t>GT 002-202602-AX Trace Digital Mktg Solution</t>
  </si>
  <si>
    <t>Grand Total</t>
  </si>
  <si>
    <t>Dec</t>
  </si>
  <si>
    <t>Infinix 001-202603-AX trace</t>
  </si>
  <si>
    <t>VSMC 001-202508-Power BI (1st)</t>
  </si>
  <si>
    <t>VSMC 004-202603-Power BI (2nd)</t>
  </si>
  <si>
    <t>Qtr1</t>
  </si>
  <si>
    <t>Soitec 001-202501- PR1 ADSS</t>
  </si>
  <si>
    <t>Feb</t>
  </si>
  <si>
    <t>Mar</t>
  </si>
  <si>
    <t xml:space="preserve">Forecast </t>
  </si>
  <si>
    <t>Qtr2</t>
  </si>
  <si>
    <t>Armstrong 002-202509- AX JIT (AEM)</t>
  </si>
  <si>
    <t>MIMOS 001-202504-MES, EAS</t>
  </si>
  <si>
    <t>SEH 006-202603-stocker change request</t>
  </si>
  <si>
    <t>SEH 003-202411-Stocker</t>
  </si>
  <si>
    <t>SEH 002-202506-IG Project</t>
  </si>
  <si>
    <t>VSMC 001-202508-Power BI</t>
  </si>
  <si>
    <t>Apr</t>
  </si>
  <si>
    <t>Nil</t>
  </si>
  <si>
    <t>Wilson 001-202604-IP Licenseout</t>
  </si>
  <si>
    <t>Soitec 003-202605-6 months Application Development Services</t>
  </si>
  <si>
    <t>Column Labels</t>
  </si>
  <si>
    <t>Bank Balance</t>
  </si>
  <si>
    <t>HQ</t>
  </si>
  <si>
    <t>Entity</t>
  </si>
  <si>
    <t>Group</t>
  </si>
  <si>
    <t>DSC</t>
  </si>
  <si>
    <t>Employee Benefits</t>
  </si>
  <si>
    <t>Headcount Costs</t>
  </si>
  <si>
    <t>Travelling Expenses</t>
  </si>
  <si>
    <t>Direct Costs</t>
  </si>
  <si>
    <t>Office Supplies</t>
  </si>
  <si>
    <t>Sales Expenses</t>
  </si>
  <si>
    <t>Telecommunication</t>
  </si>
  <si>
    <t xml:space="preserve">Account Code </t>
  </si>
  <si>
    <t>Billing Date</t>
  </si>
  <si>
    <t>Research &amp; Development</t>
  </si>
  <si>
    <t>R&amp;D - Team D</t>
  </si>
  <si>
    <t>R&amp;D - Team P</t>
  </si>
  <si>
    <t>Network &amp; Server</t>
  </si>
  <si>
    <t>R&amp;D - Team W</t>
  </si>
  <si>
    <t>Subscription Fee</t>
  </si>
  <si>
    <t>Sales &amp; Marketing</t>
  </si>
  <si>
    <t>General &amp; Administrative</t>
  </si>
  <si>
    <t>R&amp;D - DSC</t>
  </si>
  <si>
    <t>Account Category</t>
  </si>
  <si>
    <t>Row Labels</t>
  </si>
  <si>
    <t>Others</t>
  </si>
  <si>
    <t xml:space="preserve">Department </t>
  </si>
  <si>
    <t>Marketing Expense</t>
  </si>
  <si>
    <t>Date</t>
  </si>
  <si>
    <t>Currency</t>
  </si>
  <si>
    <t>Currency Amount</t>
  </si>
  <si>
    <t>Amount (USD)</t>
  </si>
  <si>
    <t>FOREX</t>
  </si>
  <si>
    <t xml:space="preserve">East West </t>
  </si>
  <si>
    <t>AXT USD</t>
  </si>
  <si>
    <t>AXT SGD</t>
  </si>
  <si>
    <t>SGD</t>
  </si>
  <si>
    <t>AXT CNY</t>
  </si>
  <si>
    <t>CNY</t>
  </si>
  <si>
    <t>AXI USD</t>
  </si>
  <si>
    <t>AXI MYR</t>
  </si>
  <si>
    <t>MYR</t>
  </si>
  <si>
    <t>AXS CNY - Capital Fund</t>
  </si>
  <si>
    <t xml:space="preserve">AXS CNY </t>
  </si>
  <si>
    <t>Total</t>
  </si>
  <si>
    <t>Alpha X Technology Pte Ltd (Singapore)</t>
  </si>
  <si>
    <t>Status</t>
  </si>
  <si>
    <t>Due Date</t>
  </si>
  <si>
    <t>Payment Received Date</t>
  </si>
  <si>
    <t>Sub Total</t>
  </si>
  <si>
    <t>Tax</t>
  </si>
  <si>
    <t>Total Amount</t>
  </si>
  <si>
    <t>Client Name</t>
  </si>
  <si>
    <t>Invoice Number</t>
  </si>
  <si>
    <t xml:space="preserve">Description </t>
  </si>
  <si>
    <t>Project Code</t>
  </si>
  <si>
    <t>SST</t>
  </si>
  <si>
    <t>Remarks</t>
  </si>
  <si>
    <t>Soitec Microelectronics Singapore Pte Ltd</t>
  </si>
  <si>
    <t>INV 2512002</t>
  </si>
  <si>
    <t>Development Support Services for PR1 Visual Inspect automation - December 2025</t>
  </si>
  <si>
    <t>SG-00017-7</t>
  </si>
  <si>
    <t>Sales &amp; Pre-sales</t>
  </si>
  <si>
    <t>Yes</t>
  </si>
  <si>
    <t>VisionPower Semiconductor Manufacturing Company Pte Ltd</t>
  </si>
  <si>
    <t>INV 2601001</t>
  </si>
  <si>
    <t>Power BI Consultant Fees - December 2025</t>
  </si>
  <si>
    <t>SG-00010-1</t>
  </si>
  <si>
    <t>Armstrong Industrial Corporation Limited</t>
  </si>
  <si>
    <t>INV 2601002</t>
  </si>
  <si>
    <t>AX JIT - IOT BOX (Tianjin)</t>
  </si>
  <si>
    <t>SG-00031-1</t>
  </si>
  <si>
    <t>No</t>
  </si>
  <si>
    <t>INV 2601003</t>
  </si>
  <si>
    <t>Implementation fees - CN Suzhou (Part 2)</t>
  </si>
  <si>
    <t>SG-00008-Suzhou-2</t>
  </si>
  <si>
    <t>INV 2602001</t>
  </si>
  <si>
    <t>Power BI Consultant Fees - January 2026</t>
  </si>
  <si>
    <t>SG-00010-2</t>
  </si>
  <si>
    <t>INV 2602002</t>
  </si>
  <si>
    <t>Development Support Services for PR1 Visual Inspect automation - January 2026</t>
  </si>
  <si>
    <t>SG-00017-8</t>
  </si>
  <si>
    <t>INV 2602003</t>
  </si>
  <si>
    <t>Implementation fees - CN Tianjin (UAT Completion)</t>
  </si>
  <si>
    <t>SG-00008-Tianjin-5</t>
  </si>
  <si>
    <t>INV 2602004</t>
  </si>
  <si>
    <t>Consultation Fee : AOT 17th Nov to 21st Nov 2025</t>
  </si>
  <si>
    <t>INV 2602005</t>
  </si>
  <si>
    <t>Consultation Fee: AOT and ATS 4th Jan - 16th Jan 2026</t>
  </si>
  <si>
    <t>INV 2603001</t>
  </si>
  <si>
    <t>Consultation Fee : ATS Go Live 2 Feb - 6 Feb 2026.</t>
  </si>
  <si>
    <t>INV 2603002</t>
  </si>
  <si>
    <t>Power BI Consultant Fees - February 2026</t>
  </si>
  <si>
    <t>SG-00010-3</t>
  </si>
  <si>
    <t>INV 2603003</t>
  </si>
  <si>
    <t>Development Support Services for PR1 Visual Inspect automation - February 2025</t>
  </si>
  <si>
    <t>SG-00017-9</t>
  </si>
  <si>
    <t>Infinix Hospitality Management Pte Ltd</t>
  </si>
  <si>
    <t>INV 2603004</t>
  </si>
  <si>
    <t>AI Scheduler Setup Fee (Phase 1) + AI Scheduler Monthly Subscription</t>
  </si>
  <si>
    <t>SG-00045-1</t>
  </si>
  <si>
    <t>INV 2603005</t>
  </si>
  <si>
    <t>Implementation Fees – CN Changchun (Kick Off)</t>
  </si>
  <si>
    <t>SG-00008-Changchun-7</t>
  </si>
  <si>
    <t>Gtrontec Technology Pte Ltd</t>
  </si>
  <si>
    <t>INV 2603006</t>
  </si>
  <si>
    <t>AX Trace Digital Marketing Solution 19 Feb 2026 – 18 Mar 2026 (1/6)</t>
  </si>
  <si>
    <t>SG-00041-1</t>
  </si>
  <si>
    <t>INV 2603007</t>
  </si>
  <si>
    <t>Development Support Services for PR1 Visual Inspect automation - March 2026</t>
  </si>
  <si>
    <t>SG-00017-10</t>
  </si>
  <si>
    <t>INV 2604001</t>
  </si>
  <si>
    <t>Power BI Consultant Fees - March 2026</t>
  </si>
  <si>
    <t>INV 2604002</t>
  </si>
  <si>
    <t>INV 2604003</t>
  </si>
  <si>
    <t>Project milestone: Phase 1 - 40% upon kick off AX Trace Smart Factory Data Platform</t>
  </si>
  <si>
    <t>Armstrong 004-202603-AX Trace Smart Factory Data Platform</t>
  </si>
  <si>
    <t>INV 2604004</t>
  </si>
  <si>
    <t>OHT related IP License Fee for 2 years</t>
  </si>
  <si>
    <t>INV 2604005</t>
  </si>
  <si>
    <t>Implementation Fees - MY JB (Kick Off)</t>
  </si>
  <si>
    <t>INV 2604006</t>
  </si>
  <si>
    <t>INV 2604007</t>
  </si>
  <si>
    <t>Implementation Fees - CN Wuhan</t>
  </si>
  <si>
    <t>INV 2604008</t>
  </si>
  <si>
    <t>Ax Trace AI Scheduler Monthly Subscription - April 2026 (2/6)</t>
  </si>
  <si>
    <t>SG-00045-2</t>
  </si>
  <si>
    <t>INV 2604009</t>
  </si>
  <si>
    <t>Ax Trace Digital Marketing Solution
a) Website content audit &amp; revamp plan
b) New LinkedIn page setup blog framework &amp; ongoing blog / content creation (weekly)
Period : 19 Mar 2026 – 18 Apr 2026</t>
  </si>
  <si>
    <t>AXQ00028</t>
  </si>
  <si>
    <t>INV 2604011</t>
  </si>
  <si>
    <t>POWER BI CONSULTANTS AS QUO : AXQ00015 for the month of April 2026</t>
  </si>
  <si>
    <t>PO 3325001371</t>
  </si>
  <si>
    <t>INV 2604012</t>
  </si>
  <si>
    <t>2nd POWER BI CONSULTANTS AS QUO : AXQ00015 for the month of April 2026</t>
  </si>
  <si>
    <t>PO 3325001593</t>
  </si>
  <si>
    <t>Advanced Micro Foundry Pte Ltd</t>
  </si>
  <si>
    <t>INV 2604010</t>
  </si>
  <si>
    <t>Implementation of Equipment Automation for 4 equipment types</t>
  </si>
  <si>
    <t>AMF 003-202506-EAS</t>
  </si>
  <si>
    <t>PO002149 Ver. 1.2</t>
  </si>
  <si>
    <t>INV 2604013</t>
  </si>
  <si>
    <t>Consultation Fee: Tianjin (AOT) Go-Live 4 Mar, and Changchun (AOC) kick off 9 Mar - 13 Mar 2026</t>
  </si>
  <si>
    <t>PO26M00038</t>
  </si>
  <si>
    <t>Shanghai Wilson Optimus Technology Co., Ltd.,</t>
  </si>
  <si>
    <t>INV 2604014</t>
  </si>
  <si>
    <t>Taiwan IP License</t>
  </si>
  <si>
    <t>INV 2605001</t>
  </si>
  <si>
    <t>Development Support Services for PR1 Visual Inspect automation - April 2026</t>
  </si>
  <si>
    <t>SG-00017-11</t>
  </si>
  <si>
    <t>Getech (ShenZhen) Co., Ltd</t>
  </si>
  <si>
    <t>INV 2605002</t>
  </si>
  <si>
    <t>Technical Service Fee - 50% kick off payment</t>
  </si>
  <si>
    <t>GT 001-202604-Resources Service</t>
  </si>
  <si>
    <t>INV 2605003</t>
  </si>
  <si>
    <t>Implementation Fees – CHN ChangChun (UAT)</t>
  </si>
  <si>
    <t>PO25M00126</t>
  </si>
  <si>
    <t>INV 2605004</t>
  </si>
  <si>
    <t>Implementation Fees – MY JB (UAT)</t>
  </si>
  <si>
    <t>PO26M00034</t>
  </si>
  <si>
    <t>INV 2605005</t>
  </si>
  <si>
    <t>INV 2605006</t>
  </si>
  <si>
    <t>Ax Trace AI Scheduler Monthly Subscription - May 2026 (3/6)</t>
  </si>
  <si>
    <t>SG-00045-3</t>
  </si>
  <si>
    <t>INV 2605008</t>
  </si>
  <si>
    <t>Power BI Consultant Fees - May 2026</t>
  </si>
  <si>
    <t>SG-00010-6</t>
  </si>
  <si>
    <t>INV 2605009</t>
  </si>
  <si>
    <t>INV 2605007</t>
  </si>
  <si>
    <t>AX Trace Digital Marketing Solution 19 Apr 2026 – 18 May 2026 (2/6)</t>
  </si>
  <si>
    <t>SG-00041-2</t>
  </si>
  <si>
    <t>INV 2605010</t>
  </si>
  <si>
    <t>Development Support Services for PR1 Visual Inspect automation - May 2026</t>
  </si>
  <si>
    <t>SG-00017-12</t>
  </si>
  <si>
    <t>INV 2606001</t>
  </si>
  <si>
    <t>Consultation Fee: AOC UAT 13th to 17th April 2026</t>
  </si>
  <si>
    <t>PO26M00053</t>
  </si>
  <si>
    <t>INV 2606002</t>
  </si>
  <si>
    <t>Consultation Fee: AEM Kick Off 7th to 10th Apr 2026</t>
  </si>
  <si>
    <t>PO26M00054</t>
  </si>
  <si>
    <t>N/A</t>
  </si>
  <si>
    <t>20% payment (every 4 tools)</t>
  </si>
  <si>
    <t xml:space="preserve">AMF 003-202506-EAS </t>
  </si>
  <si>
    <t>SG-00005-2</t>
  </si>
  <si>
    <t>20% payment (1 tool only)</t>
  </si>
  <si>
    <t>SG-00005-3</t>
  </si>
  <si>
    <t>(Suzhou)Go Live 18% Payment</t>
  </si>
  <si>
    <t>SG-00008-Suzhou-3</t>
  </si>
  <si>
    <t>(Tianjin)Go Live 18% Payment</t>
  </si>
  <si>
    <t>SG-00008-Tianjin-6</t>
  </si>
  <si>
    <t>(Changchun) UAT 17% Payment</t>
  </si>
  <si>
    <t>SG-00008-Changchun-8</t>
  </si>
  <si>
    <t>(Changchun) Go Live 16% Payment</t>
  </si>
  <si>
    <t>SG-00008-Changchun-9</t>
  </si>
  <si>
    <t>(Thailand) Kick Off 61% Payment</t>
  </si>
  <si>
    <t>SG-00008-Thailand-13</t>
  </si>
  <si>
    <t>(JB) UAT 25% Payment</t>
  </si>
  <si>
    <t>SG-00008-JB-11</t>
  </si>
  <si>
    <t>(JB) Go Live 14% Payment</t>
  </si>
  <si>
    <t>SG-00008-JB-12</t>
  </si>
  <si>
    <t>(Thailand) UAT 25% Payment</t>
  </si>
  <si>
    <t>SG-00008-Thailand-14</t>
  </si>
  <si>
    <t>(Thailand) Go Live 14% Payment</t>
  </si>
  <si>
    <t>SG-00008-Thailand-15</t>
  </si>
  <si>
    <t>(Shen Yang) Go Live 100%</t>
  </si>
  <si>
    <t>SG-00008-Shen Yang-17</t>
  </si>
  <si>
    <t>Forecast</t>
  </si>
  <si>
    <t>Ax Trace AI Scheduler Monthly Subscription - June 2026 (4/6)</t>
  </si>
  <si>
    <t>SG-00045-4</t>
  </si>
  <si>
    <t>Ax Trace AI Scheduler Monthly Subscription - July 2026 (5/6)</t>
  </si>
  <si>
    <t>SG-00045-5</t>
  </si>
  <si>
    <t>Ax Trace AI Scheduler Monthly Subscription - August 2026 (6/6)</t>
  </si>
  <si>
    <t>SG-00045-6</t>
  </si>
  <si>
    <t>Power BI Consultant Fees - June 2026</t>
  </si>
  <si>
    <t>SG-00010-7</t>
  </si>
  <si>
    <t>Power BI Consultant Fees - July 2026</t>
  </si>
  <si>
    <t>SG-00010-8</t>
  </si>
  <si>
    <t>Power BI Consultant Fees - August 2026</t>
  </si>
  <si>
    <t>SG-00010-9</t>
  </si>
  <si>
    <t>Power BI Consultant Fees - September 2026</t>
  </si>
  <si>
    <t>SG-00010-10</t>
  </si>
  <si>
    <t>Power BI Consultant Fees - October 2026</t>
  </si>
  <si>
    <t>SG-00010-11</t>
  </si>
  <si>
    <t>Power BI Consultant Fees - November 2026</t>
  </si>
  <si>
    <t>SG-00010-12</t>
  </si>
  <si>
    <t>AX Trace Digital Marketing Solution 19 May 2026 – 18 Jun 2026 (3/6)</t>
  </si>
  <si>
    <t>SG-00041-3</t>
  </si>
  <si>
    <t>AX Trace Digital Marketing Solution 19 Jun 2026 – 18 Jul 2026 (4/6)</t>
  </si>
  <si>
    <t>SG-00041-4</t>
  </si>
  <si>
    <t>AX Trace Digital Marketing Solution 19 Jul 2026 – 18 Aug 2026 (5/6)</t>
  </si>
  <si>
    <t>SG-00041-5</t>
  </si>
  <si>
    <t>AX Trace Digital Marketing Solution 19 Aug 2026 – 18 Sep 2026 (6/6)</t>
  </si>
  <si>
    <t>SG-00041-6</t>
  </si>
  <si>
    <t>Development Support Services for PR1 Visual Inspect automation - June 2026</t>
  </si>
  <si>
    <t>SG-00051-1</t>
  </si>
  <si>
    <t>Development Support Services for PR1 Visual Inspect automation - July 2026</t>
  </si>
  <si>
    <t>SG-00051-2</t>
  </si>
  <si>
    <t>Development Support Services for PR1 Visual Inspect automation - August 2026</t>
  </si>
  <si>
    <t>SG-00051-3</t>
  </si>
  <si>
    <t>Development Support Services for PR1 Visual Inspect automation - September 2026</t>
  </si>
  <si>
    <t>SG-00051-4</t>
  </si>
  <si>
    <t>Development Support Services for PR1 Visual Inspect automation - October 2026</t>
  </si>
  <si>
    <t>SG-00051-5</t>
  </si>
  <si>
    <t>Development Support Services for PR1 Visual Inspect automation - November 2026</t>
  </si>
  <si>
    <t>SG-00051-6</t>
  </si>
  <si>
    <t>Alpha X Innovation Sdn Bhd (Malaysia)</t>
  </si>
  <si>
    <t xml:space="preserve">S.E.H (Shah Alam) Sdn Bhd </t>
  </si>
  <si>
    <t>INV 2512001</t>
  </si>
  <si>
    <t xml:space="preserve">99-SPOT-PRO3743L / PROJECT-90504 </t>
  </si>
  <si>
    <t>SEH 001-202505-napson</t>
  </si>
  <si>
    <t>MY-00006-1</t>
  </si>
  <si>
    <t>Dai-Ichi Jitsugyo (Malaysia) Sdn Bhd</t>
  </si>
  <si>
    <t>Phase 2 - 60% payment milestone upon Hardware Delivery, Installation of License and MES Integration Test</t>
  </si>
  <si>
    <t>MY-00004-2</t>
  </si>
  <si>
    <t>INV 2502001</t>
  </si>
  <si>
    <t>Phase 1 - Project Implementation (Balance payment milestone)</t>
  </si>
  <si>
    <t>Denso 001-202509-Simulation</t>
  </si>
  <si>
    <t>MY-00032-2</t>
  </si>
  <si>
    <t>New</t>
  </si>
  <si>
    <t>S.E.H (Shah Alam) Sdn Bhd</t>
  </si>
  <si>
    <t xml:space="preserve">Software compatibility alignment, interface configuration &amp; data handling, Deployment readiness &amp; support  </t>
  </si>
  <si>
    <t>PO No.: SAPO024440</t>
  </si>
  <si>
    <t>Software &amp; Licenses, Services &amp; Support</t>
  </si>
  <si>
    <t>PO No.: SAPO018003</t>
  </si>
  <si>
    <t>Enhancement for Burn In and I/R Simulation Project</t>
  </si>
  <si>
    <t>Denso 002-202604-Simulation Enhancement</t>
  </si>
  <si>
    <t>PO No.: HP/26/04/512 as at 07/04/2026</t>
  </si>
  <si>
    <t>IG#11 &amp; IG#12 Automation Implementation</t>
  </si>
  <si>
    <t>PO No.: SAPO023182</t>
  </si>
  <si>
    <t>Phase 3 - 10% payment milestone upon Hardware Delivery, Installation of License and MES Integration Test</t>
  </si>
  <si>
    <t>MY-00004-3</t>
  </si>
  <si>
    <t>芯元智控（上海）科技有限公司</t>
  </si>
  <si>
    <t>格创东智（深圳）科技有限公司</t>
  </si>
  <si>
    <t>25312000000383595327</t>
  </si>
  <si>
    <t>大章鱼 - 软件开发服务</t>
  </si>
  <si>
    <t>GT 001-202511-章鱼</t>
  </si>
  <si>
    <t>R&amp;D</t>
  </si>
  <si>
    <t>25312000000383591535</t>
  </si>
  <si>
    <t>25312000000383592715</t>
  </si>
  <si>
    <t>25312000000435000000</t>
  </si>
  <si>
    <t>格创东智（武汉）科技有限公司</t>
  </si>
  <si>
    <t>26312000002309900000</t>
  </si>
  <si>
    <t>长电FDC POC项目</t>
  </si>
  <si>
    <t>长电绍兴 JCET 002-202603</t>
  </si>
  <si>
    <t>Payee</t>
  </si>
  <si>
    <t xml:space="preserve">Submitter </t>
  </si>
  <si>
    <t>Approval</t>
  </si>
  <si>
    <t>Authorisation</t>
  </si>
  <si>
    <t>GST Claimable</t>
  </si>
  <si>
    <t>招商银行 - 基本户</t>
  </si>
  <si>
    <t>网上企业银行-网上企业银行服务费</t>
  </si>
  <si>
    <t>Bank Charges</t>
  </si>
  <si>
    <t>Finance</t>
  </si>
  <si>
    <t>网银支付-跨行-异地手续费</t>
  </si>
  <si>
    <t>网银支付-跨行-本地普通手续费</t>
  </si>
  <si>
    <t>福建省泉州宾馆有限责任公司</t>
  </si>
  <si>
    <t>09S137BF000004738176</t>
  </si>
  <si>
    <t>会务场地费</t>
  </si>
  <si>
    <t>Accommodation - National</t>
  </si>
  <si>
    <t>General</t>
  </si>
  <si>
    <t>报销</t>
  </si>
  <si>
    <t>报销12月</t>
  </si>
  <si>
    <t>Total Courier Charges</t>
  </si>
  <si>
    <t>Courier Charges</t>
  </si>
  <si>
    <t>Total General Expenses</t>
  </si>
  <si>
    <t>General Expenses</t>
  </si>
  <si>
    <t>R&amp;D - China</t>
  </si>
  <si>
    <t>Total Insurance expenses</t>
  </si>
  <si>
    <t>Insurance expenses</t>
  </si>
  <si>
    <t>HR</t>
  </si>
  <si>
    <t>Total Office Supplies</t>
  </si>
  <si>
    <t>Total Personal Meals - International</t>
  </si>
  <si>
    <t>Transportation fee - International</t>
  </si>
  <si>
    <t>Business Operation</t>
  </si>
  <si>
    <t>Total Personal Meals - National</t>
  </si>
  <si>
    <t>Transportation fee - National</t>
  </si>
  <si>
    <t>Total Rounding</t>
  </si>
  <si>
    <t>Total Subscription Fee</t>
  </si>
  <si>
    <t>Total Telecommunication</t>
  </si>
  <si>
    <t>Total Transportation fee - International</t>
  </si>
  <si>
    <t>Total Transportation fee - National</t>
  </si>
  <si>
    <t>上海融聚全才企业服务有限公司</t>
  </si>
  <si>
    <t>代理记账服务费-2026.01</t>
  </si>
  <si>
    <t>Statutory Contribution</t>
  </si>
  <si>
    <t>上海卓川人力资源有限公司</t>
  </si>
  <si>
    <t>人力资源服务费-成都，上海</t>
  </si>
  <si>
    <t>Professional &amp; Consultancy Fees</t>
  </si>
  <si>
    <t>上海德必飞虹文化科技发展有限公司</t>
  </si>
  <si>
    <t>办公室电费</t>
  </si>
  <si>
    <t>Electricity</t>
  </si>
  <si>
    <t>Utilities</t>
  </si>
  <si>
    <t>北京易点淘网络技术有限公司</t>
  </si>
  <si>
    <t>显示器租赁费-2025年12月</t>
  </si>
  <si>
    <t xml:space="preserve">Leasing </t>
  </si>
  <si>
    <t>Non-Current Liabilities</t>
  </si>
  <si>
    <t>IT</t>
  </si>
  <si>
    <t>北京芯普思信息技术有限公司</t>
  </si>
  <si>
    <t>09S137C5000002056994</t>
  </si>
  <si>
    <t>货款</t>
  </si>
  <si>
    <t>R&amp;D Contract Services</t>
  </si>
  <si>
    <t>INV-0001</t>
  </si>
  <si>
    <t>Sales - Services Fees</t>
  </si>
  <si>
    <t>Interest Received</t>
  </si>
  <si>
    <t>Interest Income</t>
  </si>
  <si>
    <t>Other Income</t>
  </si>
  <si>
    <t>Net Pay - January 2026</t>
  </si>
  <si>
    <t>Salaries &amp; Wages</t>
  </si>
  <si>
    <t>报销1月</t>
  </si>
  <si>
    <t>Total Business Meals - International</t>
  </si>
  <si>
    <t>Staff Welfare - Meal &amp; Refreshment</t>
  </si>
  <si>
    <t>Personal Meals - International</t>
  </si>
  <si>
    <t>Total Staff Welfare - Gift &amp; Tokens</t>
  </si>
  <si>
    <t>Staff Welfare - Gift &amp; Tokens</t>
  </si>
  <si>
    <t>上海记账代理服务费-2026年2月</t>
  </si>
  <si>
    <t>深圳海域信息技术有限公司</t>
  </si>
  <si>
    <t>域名续费</t>
  </si>
  <si>
    <t>Intercompany - Alpha X Technology Pte Ltd</t>
  </si>
  <si>
    <t>Intercompany</t>
  </si>
  <si>
    <t>显示器租赁费-2025年1月</t>
  </si>
  <si>
    <t>Net Pay - February 2026</t>
  </si>
  <si>
    <t>报销2月</t>
  </si>
  <si>
    <t>Personal Meals - National</t>
  </si>
  <si>
    <t>Total Professional &amp; Consultancy Fees</t>
  </si>
  <si>
    <t>上海记账代理服务费-2026年3月</t>
  </si>
  <si>
    <t>电费</t>
  </si>
  <si>
    <t>电费+空调费2026-01-01 2026-01-31</t>
  </si>
  <si>
    <t>办公室租金</t>
  </si>
  <si>
    <t>房租2026-04-01 2026-06-30</t>
  </si>
  <si>
    <t>Rental of Office</t>
  </si>
  <si>
    <t>Rental</t>
  </si>
  <si>
    <t>显示器租赁费-2026年2月</t>
  </si>
  <si>
    <t>Net Pay - March 2026</t>
  </si>
  <si>
    <t>上海记账代理服务费-2026年4月</t>
  </si>
  <si>
    <t>上海人事代理服务费-2026年3月</t>
  </si>
  <si>
    <t>报销3月</t>
  </si>
  <si>
    <t>Total Staff Welfare - Meal &amp; Refreshment</t>
  </si>
  <si>
    <t>汇入汇款流程解付</t>
  </si>
  <si>
    <t>Internal Fund Transfer</t>
  </si>
  <si>
    <t>PV2604013</t>
  </si>
  <si>
    <t>Net Pay - April 2026</t>
  </si>
  <si>
    <t>PV2605001</t>
  </si>
  <si>
    <t>PV2605002</t>
  </si>
  <si>
    <t>PV2605003</t>
  </si>
  <si>
    <t>OR2605001</t>
  </si>
  <si>
    <t>OR2605002</t>
  </si>
  <si>
    <t>上海记账代理服务费-2026年5月</t>
  </si>
  <si>
    <t>人力资源服务费-成都 &amp; 上海</t>
  </si>
  <si>
    <t>办公室电费+空调费-2026.03</t>
  </si>
  <si>
    <t>显示器租赁费-2026年4月</t>
  </si>
  <si>
    <t xml:space="preserve"> 招商银行 - 基本户 </t>
  </si>
  <si>
    <t xml:space="preserve">对公中间业务收入-结算帐户管理收入 </t>
  </si>
  <si>
    <t>PV2605009</t>
  </si>
  <si>
    <t xml:space="preserve">招商银行 - 基本户 </t>
  </si>
  <si>
    <t xml:space="preserve"> 121984970910002印鉴变更手续费 </t>
  </si>
  <si>
    <t>PV2605012</t>
  </si>
  <si>
    <t xml:space="preserve">格创东智（武汉）科技有限公司 </t>
  </si>
  <si>
    <t xml:space="preserve"> 款项 </t>
  </si>
  <si>
    <t>Sales &amp; Pre-Sales</t>
  </si>
  <si>
    <t>OR2605003</t>
  </si>
  <si>
    <t xml:space="preserve">格创东智（深圳）科技有限公司 </t>
  </si>
  <si>
    <t xml:space="preserve"> L4000236902369款项 </t>
  </si>
  <si>
    <t>OR2605004</t>
  </si>
  <si>
    <t>Net Pay - May 2026</t>
  </si>
  <si>
    <t>Golden Dragon Technology Sdn Bhd</t>
  </si>
  <si>
    <t xml:space="preserve">TM Technology Services Sdn Bhd </t>
  </si>
  <si>
    <t>Lembaga Hasil Dalam Negeri (PCB)</t>
  </si>
  <si>
    <t>Accrual</t>
  </si>
  <si>
    <t>OCBC MYR</t>
  </si>
  <si>
    <t>Bank Charges 02/01/2026</t>
  </si>
  <si>
    <t>Bank Charges - Headcount Costs December 2025</t>
  </si>
  <si>
    <t>Direct</t>
  </si>
  <si>
    <t>-</t>
  </si>
  <si>
    <t>Bank Charges 15/01/2026</t>
  </si>
  <si>
    <t>Bank Charges - Payroll  - Statutory Contribution for December 2025</t>
  </si>
  <si>
    <t>OCBC USD</t>
  </si>
  <si>
    <t>Internal Transfer 2026/01-01</t>
  </si>
  <si>
    <t xml:space="preserve">Internal Transfer from USD to MYR </t>
  </si>
  <si>
    <t>Cathfrine Low</t>
  </si>
  <si>
    <t>Leon Chan</t>
  </si>
  <si>
    <t>Internal Transfer 2026/01-02</t>
  </si>
  <si>
    <t>LHDN</t>
  </si>
  <si>
    <t>2025/12</t>
  </si>
  <si>
    <t>Tax Instalment 2025</t>
  </si>
  <si>
    <t>Accrual - Expenses of 2025</t>
  </si>
  <si>
    <t>CK Beh</t>
  </si>
  <si>
    <t>Cathfrine</t>
  </si>
  <si>
    <t>Staff Claim</t>
  </si>
  <si>
    <t>Staff Claim 2025/12</t>
  </si>
  <si>
    <t>Total Printing &amp; Stationery</t>
  </si>
  <si>
    <t>Printing &amp; Stationery</t>
  </si>
  <si>
    <t>Total Stamp Duty</t>
  </si>
  <si>
    <t>Stamp Duty</t>
  </si>
  <si>
    <t>Compliance Costs</t>
  </si>
  <si>
    <t>Total Accommodation - International</t>
  </si>
  <si>
    <t>Accommodation - International</t>
  </si>
  <si>
    <t>Total Accommodation - National</t>
  </si>
  <si>
    <t>Bank Charges 20/01/2026</t>
  </si>
  <si>
    <t>Bank Charges - Staff Claim for December 2025</t>
  </si>
  <si>
    <t>Bank Charges 30/01/2026</t>
  </si>
  <si>
    <t>Bank Charges - Payrun 30/01/2026</t>
  </si>
  <si>
    <t>Internal Transfer 2026/01-03</t>
  </si>
  <si>
    <t>4698</t>
  </si>
  <si>
    <t>Laptop Leasing payment for November 2025</t>
  </si>
  <si>
    <t>Danny Kwok</t>
  </si>
  <si>
    <t>EasySpace Sdn Bhd</t>
  </si>
  <si>
    <t>INV-80414</t>
  </si>
  <si>
    <t>Office Rental for Penang January 2026</t>
  </si>
  <si>
    <t>CK</t>
  </si>
  <si>
    <t>4746</t>
  </si>
  <si>
    <t>Laptop Leasing payment for December 2025</t>
  </si>
  <si>
    <t>H Space Petaling Jaya</t>
  </si>
  <si>
    <t>IV-HSPJ-2601005</t>
  </si>
  <si>
    <t>Office Rental for KL 7/1/2026 - 8 /2/2026</t>
  </si>
  <si>
    <t>MY-C01754-020017569</t>
  </si>
  <si>
    <t>Internet 25/12/2025 - 24/01/2026</t>
  </si>
  <si>
    <t>Jabatan Kastam Diraja Malaysia</t>
  </si>
  <si>
    <t>SST 2025/11-12</t>
  </si>
  <si>
    <t>SST Payment for November and December 2025</t>
  </si>
  <si>
    <t>Tax Expenses (GST/SST/VAT)</t>
  </si>
  <si>
    <t>Bank Charges 31/01/2026</t>
  </si>
  <si>
    <t>Bank Charges - Headcount Costs January 2026</t>
  </si>
  <si>
    <t>Bank Interest 31/01/2026</t>
  </si>
  <si>
    <t>Bank Charges - Bank Interest 31/01/2026</t>
  </si>
  <si>
    <t>Bank Charges January 2026</t>
  </si>
  <si>
    <t>INV-81017</t>
  </si>
  <si>
    <t>Private Office (up to 6 pax - Private Office (Suite 805) Feb26</t>
  </si>
  <si>
    <t>2026/01</t>
  </si>
  <si>
    <t>Tax Instalment 2026/01</t>
  </si>
  <si>
    <t>Corporate Income Tax Expenses</t>
  </si>
  <si>
    <t>Corporate Tax Expenses</t>
  </si>
  <si>
    <t>DAI-ICHI JITSUGYO(MALAYSIA) SDN. BHD.</t>
  </si>
  <si>
    <t>Allianz Life Insurance Malaysia Berhad</t>
  </si>
  <si>
    <t>ENQ11128-0</t>
  </si>
  <si>
    <t>Allianz Elite - Group hospitalization &amp; surgical 23Dec25 to 22Dec26</t>
  </si>
  <si>
    <t>Stamp duty - Alliance insurance</t>
  </si>
  <si>
    <t xml:space="preserve">Mednefits Sdn Bhd </t>
  </si>
  <si>
    <t>Mednefits Postpaid Card (01/12/2025 to 31/12/2025)</t>
  </si>
  <si>
    <t>H Space Petaling Jaya Sdn. Bhd.</t>
  </si>
  <si>
    <t>IV-HSPJ-2602006</t>
  </si>
  <si>
    <t>Private Room- Bandar Utama BU- Private Room : 7 February- 8 March 2026</t>
  </si>
  <si>
    <t>Howe Xin Yu</t>
  </si>
  <si>
    <t>Deposit Nominee Director</t>
  </si>
  <si>
    <t>Management</t>
  </si>
  <si>
    <t>Bank Charges 13/02/2026</t>
  </si>
  <si>
    <t>Staff Claim Jan26</t>
  </si>
  <si>
    <t>Total Business Meals - National</t>
  </si>
  <si>
    <t>Business Meals - National</t>
  </si>
  <si>
    <t>Internal Transfer</t>
  </si>
  <si>
    <t>Bank Charges 25/02/2026</t>
  </si>
  <si>
    <t>INV-81048</t>
  </si>
  <si>
    <t>Office Rental - Suite 805 Mar26</t>
  </si>
  <si>
    <t>Golden Dragon Technology Sdn. Bhd.</t>
  </si>
  <si>
    <t>4878</t>
  </si>
  <si>
    <t>Lease liability - Mar26</t>
  </si>
  <si>
    <t>Lease Liabilities</t>
  </si>
  <si>
    <t>Bank Charges 27/02/2026</t>
  </si>
  <si>
    <t>Mednefits Sdn Bhd</t>
  </si>
  <si>
    <t>MY-C01754-020018124</t>
  </si>
  <si>
    <t>MEDNEFITS POSTPAID CARD 01Jan26 to 23Jan26</t>
  </si>
  <si>
    <t>Staff Welfare - Medical Expenses</t>
  </si>
  <si>
    <t>H Space Petaling Jaya Sdn. Bhd</t>
  </si>
  <si>
    <t>IV-HSPJ-2603010</t>
  </si>
  <si>
    <t>Office Rental - Bandar Utama 7Mar26 to 8Apr26</t>
  </si>
  <si>
    <t>Bank Charges 28/02/2026</t>
  </si>
  <si>
    <t>Lifa Success Sdn Bhd</t>
  </si>
  <si>
    <t>Discount on Insurance Policy</t>
  </si>
  <si>
    <t>Interest Expenses</t>
  </si>
  <si>
    <t>Bank Charges 04/03/2026</t>
  </si>
  <si>
    <t>Phase 2 - Project Implementation (80% payment milestone)</t>
  </si>
  <si>
    <t>BLIV Ethereal PLT</t>
  </si>
  <si>
    <t>I-260022</t>
  </si>
  <si>
    <t>Resignation &amp; Appointment of Director</t>
  </si>
  <si>
    <t>FASTRACK MEDIA SDN BHD</t>
  </si>
  <si>
    <t>IV-0018051</t>
  </si>
  <si>
    <t>Name Card - paid on behalf of Alpha X Technology Pte Ltd</t>
  </si>
  <si>
    <t>4963</t>
  </si>
  <si>
    <t>Gtrontec Technology Sdn Bhd</t>
  </si>
  <si>
    <t>GCES-2025-0334-01-IN01</t>
  </si>
  <si>
    <t>Consultancy fee - 30% payment upon project kick-off - MIMOS, Swift code:BKCHMYKL</t>
  </si>
  <si>
    <t>Contract Services - Project delivery</t>
  </si>
  <si>
    <t>2026/02</t>
  </si>
  <si>
    <t>Tax Instalment 2026/02</t>
  </si>
  <si>
    <t>Bank Charges 13/03/2026</t>
  </si>
  <si>
    <t>Staff Claim Feb26</t>
  </si>
  <si>
    <t>Bank Charges 16/03/2026</t>
  </si>
  <si>
    <t>Bandar Utama City Sdn BhD</t>
  </si>
  <si>
    <t>IM20001092</t>
  </si>
  <si>
    <t>ADMIN/MISC CHARGES</t>
  </si>
  <si>
    <t>1FA-TA</t>
  </si>
  <si>
    <t>Security Deposit - Office Rental Lot3.01, Level 3, 1 First Avenue (3 months)</t>
  </si>
  <si>
    <t>Security Deposit</t>
  </si>
  <si>
    <t>Current Asset</t>
  </si>
  <si>
    <t xml:space="preserve">H Space Petaling Jaya Sdn. Bhd. </t>
  </si>
  <si>
    <t>IV-HSPJ-2604009</t>
  </si>
  <si>
    <t>Private Room - Bandar Utama BU - Private Room : 1 April - 6 April 2026</t>
  </si>
  <si>
    <t>INV-007</t>
  </si>
  <si>
    <t>Consultation Fees</t>
  </si>
  <si>
    <t xml:space="preserve">LHDN </t>
  </si>
  <si>
    <t>Stamp Duty for Letter of Guarantee - Company rental purpose</t>
  </si>
  <si>
    <t>Stamp Duty for Tenancy Agreement</t>
  </si>
  <si>
    <t>Bank Charges 31/03/2026</t>
  </si>
  <si>
    <t>Bandar Utama City Sdn Bhd</t>
  </si>
  <si>
    <t>IM20001184</t>
  </si>
  <si>
    <t>Building Lift Access Card 5pcs</t>
  </si>
  <si>
    <t>Chey Pui Yan</t>
  </si>
  <si>
    <t>Staff Claim Mar26</t>
  </si>
  <si>
    <t>2026/03</t>
  </si>
  <si>
    <t>Tax Instalment 2026/03</t>
  </si>
  <si>
    <t>Lim Shu Wen</t>
  </si>
  <si>
    <t>Low Lee Chwin</t>
  </si>
  <si>
    <t>Ng Jia Yong</t>
  </si>
  <si>
    <t>Shinjiru Technology Sdn Bhd</t>
  </si>
  <si>
    <t>Invoice #1836403</t>
  </si>
  <si>
    <t>Microsoft 365 Business Basic - alphaxinnovation.onmicrosoft.com</t>
  </si>
  <si>
    <t>TM Technology Services Sdn Bhd</t>
  </si>
  <si>
    <t>10009625400</t>
  </si>
  <si>
    <t>Unifi Business Exclusive 500M + Simple Voice Plus 70 (ST)</t>
  </si>
  <si>
    <t>Wan Nurul Amira Wan Mohamad</t>
  </si>
  <si>
    <t>Birthday Gift - USD50</t>
  </si>
  <si>
    <t>Refund of Security Deposit</t>
  </si>
  <si>
    <t>S.E.H (SHAH ALAM) SDN BHD</t>
  </si>
  <si>
    <t>I-260071</t>
  </si>
  <si>
    <t>PD2 - Change of Business Address</t>
  </si>
  <si>
    <t>5051</t>
  </si>
  <si>
    <t>Lease Liabilities - Apr 2026</t>
  </si>
  <si>
    <t>PV2604014</t>
  </si>
  <si>
    <t>OCBC MY</t>
  </si>
  <si>
    <t>Bank Charges 30/04/2026</t>
  </si>
  <si>
    <t>Bank charges</t>
  </si>
  <si>
    <t>OR2604004</t>
  </si>
  <si>
    <t>IV20002665</t>
  </si>
  <si>
    <t>First Avenue rental from 01 May to 31 May 2026</t>
  </si>
  <si>
    <t>Bank Charges 07/05/2026</t>
  </si>
  <si>
    <t>H Space Holdings Sdn. Bhd.</t>
  </si>
  <si>
    <t>2604006</t>
  </si>
  <si>
    <t>To supply labour and material for swaping 2 cubicles by dismantle &amp; reinstall power cable and network cable</t>
  </si>
  <si>
    <t>Upkeep of Offices</t>
  </si>
  <si>
    <t>Upkeep of Office</t>
  </si>
  <si>
    <t>2604007</t>
  </si>
  <si>
    <t>One-time deep cleaning for new office space</t>
  </si>
  <si>
    <t>Cleaning Fees</t>
  </si>
  <si>
    <t>2604008</t>
  </si>
  <si>
    <t>Monthly cleaning service for office premises</t>
  </si>
  <si>
    <t>2604009</t>
  </si>
  <si>
    <t>Supply 5 Bottle x 19L mineral water - April 2026</t>
  </si>
  <si>
    <t>Staff Claim Apr26</t>
  </si>
  <si>
    <t>Staff Claim May26</t>
  </si>
  <si>
    <t>2605001</t>
  </si>
  <si>
    <t>Supply and delivery of portable fire extinguisher (ABC Dry Powder, 9kg).</t>
  </si>
  <si>
    <t>Lembaga Hasil Dalam Negeri (LHDN-Tax)</t>
  </si>
  <si>
    <t>Company Tax Instalment 04/2026</t>
  </si>
  <si>
    <t>Bank Charges 21/05/2026</t>
  </si>
  <si>
    <t>Invoice #1885857</t>
  </si>
  <si>
    <t>RENEWAL: Power BI Pro, Microsoft 365 Business Premium, Microsoft 365 Business Basic</t>
  </si>
  <si>
    <t>PV2605014</t>
  </si>
  <si>
    <t>AIA Bhd</t>
  </si>
  <si>
    <t>Policy 86002530</t>
  </si>
  <si>
    <t>Medical group insurance</t>
  </si>
  <si>
    <t>PV2605017</t>
  </si>
  <si>
    <t>Inv.010110820890</t>
  </si>
  <si>
    <t>PV2605016</t>
  </si>
  <si>
    <t>Bank Charges 29/05/2026</t>
  </si>
  <si>
    <t>Bank Charges 31/05/2026</t>
  </si>
  <si>
    <t>PO-0023 - AOC 27" 27B36X monitor
PO-0023 - Brother DCP-L3560CDW Laser Printer</t>
  </si>
  <si>
    <t>IV20002797</t>
  </si>
  <si>
    <t>First Avenue rental from 01 June to 30 June 2026</t>
  </si>
  <si>
    <t>Bank Charges 02/06/2026</t>
  </si>
  <si>
    <t>14/05/2026</t>
  </si>
  <si>
    <t>Invoice #1889186</t>
  </si>
  <si>
    <t>Microsoft 365 Copilot for Business Domain: aphaxinnovation.onmicrosoft.com</t>
  </si>
  <si>
    <t>31/05/2026</t>
  </si>
  <si>
    <t>Lease Liabilities - May 2026</t>
  </si>
  <si>
    <t>Total Staff Welfare - Professional Subscription</t>
  </si>
  <si>
    <t>Staff Welfare - Professional Subscription</t>
  </si>
  <si>
    <t>Bank Charges 15/06/2026</t>
  </si>
  <si>
    <t>Company Tax Instalment 05/2026</t>
  </si>
  <si>
    <t>Intercompany - Alpha X Innovation Sdn Bhd</t>
  </si>
  <si>
    <t>Marketing</t>
  </si>
  <si>
    <t>FLO Energy</t>
  </si>
  <si>
    <t>HTSG A/C Suntec Reit</t>
  </si>
  <si>
    <t>JK Technology Pte Ltd</t>
  </si>
  <si>
    <t>Juyee Consulting Pte Ltd</t>
  </si>
  <si>
    <t>Intercompany - Alpha X (Shanghai) Technology Co Ltd</t>
  </si>
  <si>
    <t>19/05/2026</t>
  </si>
  <si>
    <t>Kumpulan Development (S) Pte Ltd</t>
  </si>
  <si>
    <t>Ice Mountain Pure Drinking Water 19L</t>
  </si>
  <si>
    <t>Singapore Telecommunications Limited</t>
  </si>
  <si>
    <t xml:space="preserve">Sarai Fine Thai Cuisine Singapore </t>
  </si>
  <si>
    <t>Debit Card 3/1/2026</t>
  </si>
  <si>
    <t>OCBC SGD</t>
  </si>
  <si>
    <t>Bank Charges 05/01/2026</t>
  </si>
  <si>
    <t xml:space="preserve">Central Provident Fund </t>
  </si>
  <si>
    <t>CPF 2025/12</t>
  </si>
  <si>
    <t>CPF Contribution for December 2025</t>
  </si>
  <si>
    <t xml:space="preserve">Stephanie </t>
  </si>
  <si>
    <t>Fan Li</t>
  </si>
  <si>
    <t>Sutin Kwok Kwai Lian</t>
  </si>
  <si>
    <t>Decemeber2025</t>
  </si>
  <si>
    <t>Cleaning Fees for December 2025</t>
  </si>
  <si>
    <t>Mei Inn</t>
  </si>
  <si>
    <t>CE/2896961</t>
  </si>
  <si>
    <t xml:space="preserve">Drink water for office </t>
  </si>
  <si>
    <t>Staff Claim Dec25</t>
  </si>
  <si>
    <t>Business Meals - International</t>
  </si>
  <si>
    <t>Total Consumable Tools</t>
  </si>
  <si>
    <t>Consumable Tools</t>
  </si>
  <si>
    <t>Total Hampers &amp; Gift</t>
  </si>
  <si>
    <t>Hampers &amp; Gift</t>
  </si>
  <si>
    <t>Total Intercompany - China</t>
  </si>
  <si>
    <t>Total Small Value Assets</t>
  </si>
  <si>
    <t>Small Value Assets</t>
  </si>
  <si>
    <t>Total Upkeep of Offices</t>
  </si>
  <si>
    <t>Internal Transfer from SGD to USD</t>
  </si>
  <si>
    <t xml:space="preserve">Ceki Geo </t>
  </si>
  <si>
    <t>Debit Card 17/1/2026</t>
  </si>
  <si>
    <t>Internal Transfer from USD to SGD</t>
  </si>
  <si>
    <t xml:space="preserve">Cube Creation </t>
  </si>
  <si>
    <t>CubeC/INV25-0021</t>
  </si>
  <si>
    <t>Renovation fees - Balance 50%</t>
  </si>
  <si>
    <t>Renovation</t>
  </si>
  <si>
    <t>Mednefits Singapore Pte. Ltd</t>
  </si>
  <si>
    <t>SG-C01740-020017025</t>
  </si>
  <si>
    <t>Mednefits Postpaid Card (Panel) 01/11/2025 to 30/11/2025</t>
  </si>
  <si>
    <t xml:space="preserve">AIG Asia Pacific Insurance Pte Ltd </t>
  </si>
  <si>
    <t>D26NB7403649</t>
  </si>
  <si>
    <t>Singapore travel insurance policy 1/1/2026-31/12/2026</t>
  </si>
  <si>
    <t xml:space="preserve">Rosemary </t>
  </si>
  <si>
    <t>SG-C01740-020017563</t>
  </si>
  <si>
    <t>Mednefits Postpaid Card (Panel) 01/12/2025 to 31/12/2025</t>
  </si>
  <si>
    <t>Bank Charges 27/01/2026</t>
  </si>
  <si>
    <t>T2610000338</t>
  </si>
  <si>
    <t>Electricity Bill for #14-04 (9/12/2025 - 31/12/2025)</t>
  </si>
  <si>
    <t>T2610000232</t>
  </si>
  <si>
    <t>Electricity Bill for #19-05 (1/12/2025 - 31/12/2025)</t>
  </si>
  <si>
    <t>Cash Rebate</t>
  </si>
  <si>
    <t>20251101</t>
  </si>
  <si>
    <t>Legal Consultation fees from July to October 2025</t>
  </si>
  <si>
    <t>Lucca Lam</t>
  </si>
  <si>
    <t xml:space="preserve">MSF - Government </t>
  </si>
  <si>
    <t>GOV-GPL CLE1VP3Z7QK605C</t>
  </si>
  <si>
    <t xml:space="preserve">MSF-Gov Paid Leave </t>
  </si>
  <si>
    <t>GOV-GPL CLE1VP39RBCSTRC</t>
  </si>
  <si>
    <t>National University of Singapore</t>
  </si>
  <si>
    <t>20050545</t>
  </si>
  <si>
    <t>NUS Membership - Computing Membership (Gigabyte)</t>
  </si>
  <si>
    <t>Passed through committee review</t>
  </si>
  <si>
    <t>I26010037</t>
  </si>
  <si>
    <t xml:space="preserve">Laptop Leasing </t>
  </si>
  <si>
    <t>I26010036</t>
  </si>
  <si>
    <t>DHL Express (Singapore)</t>
  </si>
  <si>
    <t>SINR014726420</t>
  </si>
  <si>
    <t>Courier Fees for December 2025</t>
  </si>
  <si>
    <t>CE2902279</t>
  </si>
  <si>
    <t>XERO for Singapore - Debit Card 30/1/2026</t>
  </si>
  <si>
    <t>XERO for Malaysia  - Debit Card 30/1/2026</t>
  </si>
  <si>
    <t xml:space="preserve">Singtel </t>
  </si>
  <si>
    <t>0020</t>
  </si>
  <si>
    <t>Wifi and network</t>
  </si>
  <si>
    <t>SOT3-020461</t>
  </si>
  <si>
    <t>Rental for February 2026</t>
  </si>
  <si>
    <t>CPF 2026/01</t>
  </si>
  <si>
    <t>CPF Contribution for January 2026</t>
  </si>
  <si>
    <t>Bill.569770</t>
  </si>
  <si>
    <t>Total Accrual</t>
  </si>
  <si>
    <t>Subscription fees for software in 2025</t>
  </si>
  <si>
    <t>Court case filing</t>
  </si>
  <si>
    <t>Intercompany - SPIN (India)</t>
  </si>
  <si>
    <t>Total Repair &amp; Maintenance</t>
  </si>
  <si>
    <t>Repair &amp; Maintenance</t>
  </si>
  <si>
    <t>Total Staff Welfare - Recreation, Training &amp; Events</t>
  </si>
  <si>
    <t>Staff Welfare - Recreation, Training &amp; Events</t>
  </si>
  <si>
    <t>Grab to do notary</t>
  </si>
  <si>
    <t>Dor-Com Door Specialist Pte Ltd</t>
  </si>
  <si>
    <t>Inv17439</t>
  </si>
  <si>
    <t>I26027812 &amp; I26027811</t>
  </si>
  <si>
    <t>Leasing liabilities - FA</t>
  </si>
  <si>
    <t>Sulin Kwok Kwai Lian</t>
  </si>
  <si>
    <t>Office cleaning service - Jan26</t>
  </si>
  <si>
    <t>HTSG A/C SUNTEC REIT</t>
  </si>
  <si>
    <t>OR2602001</t>
  </si>
  <si>
    <t>Deposit refund - SUNTEC</t>
  </si>
  <si>
    <t>GST</t>
  </si>
  <si>
    <t>PV2602007</t>
  </si>
  <si>
    <t>GST - Oct-Dec25</t>
  </si>
  <si>
    <t>Insur-Asia Pte Ltd</t>
  </si>
  <si>
    <t>M2026-3194</t>
  </si>
  <si>
    <t>Directors &amp; Officers Liability Insurance</t>
  </si>
  <si>
    <t>Zingrill Pte Ltd</t>
  </si>
  <si>
    <t>Bill.003-273984</t>
  </si>
  <si>
    <t>Zingrill Pte Ltd - New year team lunch</t>
  </si>
  <si>
    <t>Bank Charges 26/02/2026</t>
  </si>
  <si>
    <t>2601002 &amp; 2601003</t>
  </si>
  <si>
    <t>Sales - Software</t>
  </si>
  <si>
    <t>Xero (Singapore) Pte. Ltd.</t>
  </si>
  <si>
    <t>INV-654490</t>
  </si>
  <si>
    <t>Xero accounting software</t>
  </si>
  <si>
    <t>Internal Transfer from CNH to SGD</t>
  </si>
  <si>
    <t>SOT3-020565</t>
  </si>
  <si>
    <t>63721230/0021</t>
  </si>
  <si>
    <t>Policy-0000086365</t>
  </si>
  <si>
    <t>CE12907922</t>
  </si>
  <si>
    <t>INV0000001</t>
  </si>
  <si>
    <t>I25124426</t>
  </si>
  <si>
    <t>AWS - Oct25 usage</t>
  </si>
  <si>
    <t>Overpaid SGD180.11, offset subsequent</t>
  </si>
  <si>
    <t>Prepayment</t>
  </si>
  <si>
    <t>Wu Xiaoli</t>
  </si>
  <si>
    <t>Salary - March 2026</t>
  </si>
  <si>
    <t>Alpha X Innovation Sdn Bhd</t>
  </si>
  <si>
    <t>IRAS</t>
  </si>
  <si>
    <t>Tax Clearance / Withholding Tax for Foreign Employees (Form IR21)</t>
  </si>
  <si>
    <t>Bank Charges 03/03/2026</t>
  </si>
  <si>
    <t>CPF 2026/02</t>
  </si>
  <si>
    <t>CPF Contribution for Febuary 2026</t>
  </si>
  <si>
    <t>Grant Received</t>
  </si>
  <si>
    <t>INV39666, INV39749, INV39903</t>
  </si>
  <si>
    <t>healthcare service for SG staff</t>
  </si>
  <si>
    <t>Total Business Development Cost (Entertainment)</t>
  </si>
  <si>
    <t>Business Development Cost (Entertainment)</t>
  </si>
  <si>
    <t>Total License Fee</t>
  </si>
  <si>
    <t>Recruitment Related Fees</t>
  </si>
  <si>
    <t>Total Marketing Expense</t>
  </si>
  <si>
    <t>FLO Utilities - Feb26 - Tower 3
FLO Utilities - Jan26 - Tower 3
FLO Utilities - 01Jan26 - Tower 4</t>
  </si>
  <si>
    <t>CE/2914515</t>
  </si>
  <si>
    <t>B D E Technology Pte Ltd</t>
  </si>
  <si>
    <t>INV-2512035</t>
  </si>
  <si>
    <t xml:space="preserve">Office Door access system </t>
  </si>
  <si>
    <t>Febuary 2026</t>
  </si>
  <si>
    <t>Office Cleaning Service - Feb26</t>
  </si>
  <si>
    <t>GCES-2025-0349-01-IN02, GCES-2025-0349-01-IN01</t>
  </si>
  <si>
    <t>30% payment upon project kick-off - ARMSTRONG, Travel expenses Sept25-ARMSTRONG</t>
  </si>
  <si>
    <t>I26032861, I26032862</t>
  </si>
  <si>
    <t>Lease liability - Mar26, Lease liability - Mar26</t>
  </si>
  <si>
    <t>I25129460, I26017728</t>
  </si>
  <si>
    <t>AWS Usage - Nov25, AWS Usage - Dec25</t>
  </si>
  <si>
    <t>Compose Coffee - Coffee</t>
  </si>
  <si>
    <t>Go Ang Pratunam Chicken Rice</t>
  </si>
  <si>
    <t>Go Ang Pratunam Chicken Rice - Team meal</t>
  </si>
  <si>
    <t>Shu xiang fang</t>
  </si>
  <si>
    <t>Shu xiang fang - Business meal</t>
  </si>
  <si>
    <t>Peking Chamber</t>
  </si>
  <si>
    <t>Peking Chamber - Business dinner</t>
  </si>
  <si>
    <t>Paradise Dynasty</t>
  </si>
  <si>
    <t>Pang Pang</t>
  </si>
  <si>
    <t>Astons Suntec City</t>
  </si>
  <si>
    <t>Astons Suntec City - Team meal</t>
  </si>
  <si>
    <t>Uncle Fong Hot Pot Restaurant</t>
  </si>
  <si>
    <t>Uncle Fong Hot Pot Restaurant - Business dinner</t>
  </si>
  <si>
    <t>POWER BI CONSULTANTS AS QUO : AXQ00015 for the month of Dec 2025</t>
  </si>
  <si>
    <t xml:space="preserve">SEMI </t>
  </si>
  <si>
    <t>10-043582</t>
  </si>
  <si>
    <t>Corporate Startup Membership - 01Apr26 to 31Mar27</t>
  </si>
  <si>
    <t>INV-673635</t>
  </si>
  <si>
    <t xml:space="preserve">Xero (NZ) Ltd </t>
  </si>
  <si>
    <t>IN-6545814</t>
  </si>
  <si>
    <t>CPF Transition Offset</t>
  </si>
  <si>
    <t>SOT3-020659</t>
  </si>
  <si>
    <t>Rental for April 2026</t>
  </si>
  <si>
    <t>DHL Express (Singapore) Pte Ltd</t>
  </si>
  <si>
    <t>SINR014792873;014896605</t>
  </si>
  <si>
    <t>JobStreet.com Pte Ltd</t>
  </si>
  <si>
    <t>SGTX100000081234</t>
  </si>
  <si>
    <t>Branded Plus Ad Budget - Upfront</t>
  </si>
  <si>
    <t>NLA DFK Pte Ltd</t>
  </si>
  <si>
    <t>IV-01449</t>
  </si>
  <si>
    <t>Professional fee for preparation of financial statements in XBRL for the financial year ended 31.03.2025</t>
  </si>
  <si>
    <t>IV-01692</t>
  </si>
  <si>
    <t>Penalty fee payable to ACRA for filing of AR for FYE 31.03.2025</t>
  </si>
  <si>
    <t>Penalty</t>
  </si>
  <si>
    <t xml:space="preserve">I26032438 </t>
  </si>
  <si>
    <t>AWS for January 2026</t>
  </si>
  <si>
    <t>63721230/0022</t>
  </si>
  <si>
    <t>Internet 12Mar26 to 11Apr26</t>
  </si>
  <si>
    <t>The Boiler Pte Ltd</t>
  </si>
  <si>
    <t>Debit Purchase</t>
  </si>
  <si>
    <t>The Boiler Pte Ltd - Business dinner</t>
  </si>
  <si>
    <t>Wildseed Café</t>
  </si>
  <si>
    <t>Wildseed Cafe - Business meal</t>
  </si>
  <si>
    <t>Uncle Fong Hot Pot - Business meal</t>
  </si>
  <si>
    <t>Paradise Dynasty - Business meal</t>
  </si>
  <si>
    <t>Bank Charges 06/04/2026</t>
  </si>
  <si>
    <t>Cheval Group Pte Ltd</t>
  </si>
  <si>
    <t>Cheval Group Pte Ltd - Business lunch</t>
  </si>
  <si>
    <t>CPF 2026/03</t>
  </si>
  <si>
    <t>CPF Contribution for March 2026</t>
  </si>
  <si>
    <t>Enterprise Singapore</t>
  </si>
  <si>
    <t>Claim : 25102JMR-CL01 (A.I.) INFO-TECH Cloud HRMS Version 8.0 - Package (InfoHRMS Lite 50)</t>
  </si>
  <si>
    <t>Tansen Izakaya Mamafuku</t>
  </si>
  <si>
    <t>Marco 1utama</t>
  </si>
  <si>
    <t>Marco 1utama - Business meal</t>
  </si>
  <si>
    <t>Implementation fees – CN-Tianjin (UAT Completion)</t>
  </si>
  <si>
    <t>The Management Corporation Strata Title Plan No 2197</t>
  </si>
  <si>
    <t>Refund of Security Deposit (PV2407001)</t>
  </si>
  <si>
    <t>Total Staff Allowance</t>
  </si>
  <si>
    <t>Staff Allowance</t>
  </si>
  <si>
    <t>Office Cleaning Service - Mar26</t>
  </si>
  <si>
    <t>Steaks HEIRLOOM Sdn Bhd</t>
  </si>
  <si>
    <t>Steaks HEIRLOOM Sdn Bhd - Business meal</t>
  </si>
  <si>
    <t>Synthesis</t>
  </si>
  <si>
    <t>Synthesis - Business meal</t>
  </si>
  <si>
    <t xml:space="preserve">Internal Transfer </t>
  </si>
  <si>
    <t>Internal Transfer received from USD to SGD</t>
  </si>
  <si>
    <t>T2610002852</t>
  </si>
  <si>
    <t>Electricity - 1 Mar 2026 - 31 Mar 2026</t>
  </si>
  <si>
    <t>Expedia</t>
  </si>
  <si>
    <t>Expedia - Flight to US</t>
  </si>
  <si>
    <t>POWER BI CONSULTANTS AS QUO : AXQ00015 for the month of Jan 2026</t>
  </si>
  <si>
    <t>I26036779</t>
  </si>
  <si>
    <t>AWS for February 2026</t>
  </si>
  <si>
    <t>INV-695328</t>
  </si>
  <si>
    <t>Monthly Subscription, Additional Expenses Charges, Expenses</t>
  </si>
  <si>
    <t>Additional Project Charges, Monthly fee, Projects</t>
  </si>
  <si>
    <t>Xero (NZ) Ltd</t>
  </si>
  <si>
    <t>IN-6634195</t>
  </si>
  <si>
    <t>XERO for Malaysia - 28 Apr 2026 to 27 May 2026</t>
  </si>
  <si>
    <t>Office Cleaning Service - Apr26</t>
  </si>
  <si>
    <t>GST 202416094W IBG GIRO</t>
  </si>
  <si>
    <t>GST Refund for GST Jan to Mar26 ($501.40) &amp; Pre-Registration GST Submission F7 ($9534.28)</t>
  </si>
  <si>
    <t>SOT3-020756</t>
  </si>
  <si>
    <t>Office Rental - 14-04, TOWER3, SG - May 2026</t>
  </si>
  <si>
    <t>63721230/0023</t>
  </si>
  <si>
    <t>Internet 12Apr26 to 11May26</t>
  </si>
  <si>
    <t>AIG Asia Pacific Insurance Pte Ltd</t>
  </si>
  <si>
    <t>SG22032678</t>
  </si>
  <si>
    <t>General Liability Insurance</t>
  </si>
  <si>
    <t>Bank Charges 04/05/2026</t>
  </si>
  <si>
    <t>CPF 2026/04</t>
  </si>
  <si>
    <t>CPF Contribution for April 2026</t>
  </si>
  <si>
    <t>POWER BI CONSULTANTS AS QUO : AXQ00015 for the month of Feb 2026</t>
  </si>
  <si>
    <t>SHU DA XIA - Team meal</t>
  </si>
  <si>
    <t>Datou Software Technology Co., Ltd</t>
  </si>
  <si>
    <t>Business dinner with Kong</t>
  </si>
  <si>
    <t>ACCA</t>
  </si>
  <si>
    <t>GB11SI0350034, GB11SI0350035</t>
  </si>
  <si>
    <t>Training Expenses</t>
  </si>
  <si>
    <t>PAULANER BRAUHAUS SG</t>
  </si>
  <si>
    <t>Business meal</t>
  </si>
  <si>
    <t>MOI GANFIELDS - Team meal 11 pax</t>
  </si>
  <si>
    <t>Ax Trace Monthly Subscription - AI Scheduler (April 2026)</t>
  </si>
  <si>
    <t>SINR014993774</t>
  </si>
  <si>
    <t>Express Worldwide Doc</t>
  </si>
  <si>
    <t>SINR015010226</t>
  </si>
  <si>
    <t>Domestic Express</t>
  </si>
  <si>
    <t>License Fee</t>
  </si>
  <si>
    <t>Total Recruitment Related Fees</t>
  </si>
  <si>
    <t>CE2925976</t>
  </si>
  <si>
    <t>CE/2920246</t>
  </si>
  <si>
    <t>Beijiang Restaurant</t>
  </si>
  <si>
    <t>Beijiang Restaurant - Business meal</t>
  </si>
  <si>
    <t>OCBC SG - USD</t>
  </si>
  <si>
    <t>Iras-Income Tax</t>
  </si>
  <si>
    <t>Payment Slip Number 25530281007030</t>
  </si>
  <si>
    <t>Directive to Pay Tax for Jin Chao</t>
  </si>
  <si>
    <t>R Beauty (Suntec City)</t>
  </si>
  <si>
    <t>Yu Yu Cun Seafood Restaurant Pte Ltd</t>
  </si>
  <si>
    <t>TAI ER SAUERKRAUT FISH SI</t>
  </si>
  <si>
    <t>Team meal</t>
  </si>
  <si>
    <t>WONDERFUL BAPSANG</t>
  </si>
  <si>
    <t>WONDERFUL BAPSANG - Business meal</t>
  </si>
  <si>
    <t xml:space="preserve">SUHANG XIANGBAN PTE. L </t>
  </si>
  <si>
    <t>Suhang Gourmet Pte Ltd - business meal</t>
  </si>
  <si>
    <t>ISTEAKS SUNTEC CITY</t>
  </si>
  <si>
    <t>Isteaks - Farewell for Charlie</t>
  </si>
  <si>
    <t>Payroll-Jin Chao</t>
  </si>
  <si>
    <t>Payroll /2020605</t>
  </si>
  <si>
    <t>Salary - May 2026</t>
  </si>
  <si>
    <t>Payment Slip Number 25530286881052</t>
  </si>
  <si>
    <t>Directive to Pay Tax for Wu WenLong</t>
  </si>
  <si>
    <t>Flo Energy Singapore Pte Ltd</t>
  </si>
  <si>
    <t>T2610003170</t>
  </si>
  <si>
    <t>Electricity for #14-04 Suntec Tower 3 (1 Apr 2026 - 30 Apr 2026)</t>
  </si>
  <si>
    <t>Bank Charges 30/05/2026</t>
  </si>
  <si>
    <t>INV-715032</t>
  </si>
  <si>
    <t xml:space="preserve">HEN LE SHAN  </t>
  </si>
  <si>
    <t>SOT3-020850</t>
  </si>
  <si>
    <t>Office Rental - 14-04, TOWER3, SG - June 2026</t>
  </si>
  <si>
    <t>May 2026</t>
  </si>
  <si>
    <t>Cleaning Fees May 2026</t>
  </si>
  <si>
    <t>I26055701</t>
  </si>
  <si>
    <t>Lease liability - May26</t>
  </si>
  <si>
    <t>I26055700</t>
  </si>
  <si>
    <t>I26055699</t>
  </si>
  <si>
    <t>Bank Charges 03/06/2026</t>
  </si>
  <si>
    <t>Bank Charges for the exchange rate for Inv 2605002</t>
  </si>
  <si>
    <t>IN-6720236</t>
  </si>
  <si>
    <t>Monthly Subscription 28 May 2026 to 27 Jun 2026</t>
  </si>
  <si>
    <t>CPF 2026/05</t>
  </si>
  <si>
    <t>CPF Contribution for May 2026</t>
  </si>
  <si>
    <t>XIABU XIABU SUNTEC</t>
  </si>
  <si>
    <t>TAI ER SAUERKRAUT FIS</t>
  </si>
  <si>
    <t>NOTES  SPIRITS PTE. L</t>
  </si>
  <si>
    <t>ABeam Consulting (Singapore) Pte Ltd</t>
  </si>
  <si>
    <t>Purchase of S4 HAHA PMC License
- SAP Finance Base
- SAP Supply Chain Base
- SAP Integration Suite,Standard edition
- SAP AI Unit</t>
  </si>
  <si>
    <t>XIN WANG-SUNTEC CITY</t>
  </si>
  <si>
    <t>SkillsFuture Singapore Agency</t>
  </si>
  <si>
    <t>Outstanding SDL Payable for year 2025</t>
  </si>
  <si>
    <t>BUTAHAGE-SNC</t>
  </si>
  <si>
    <t xml:space="preserve">River Snail Rice Noodl </t>
  </si>
  <si>
    <t>XIAHUANG CRAYFISH</t>
  </si>
  <si>
    <t>Mamacita Beer POOL. Pizza</t>
  </si>
  <si>
    <t>Total Contract Services - Project delivery</t>
  </si>
  <si>
    <t>Total Staff Welfare - Medical Expenses</t>
  </si>
  <si>
    <t>SHANG YI TANG</t>
  </si>
  <si>
    <t>Team lunch</t>
  </si>
  <si>
    <t>Downstairs</t>
  </si>
  <si>
    <t>xx-JIU FU PTE. LTD.</t>
  </si>
  <si>
    <t>BEAUTIFUL LAI GRILLD F SIN</t>
  </si>
  <si>
    <t>INV 2606006</t>
  </si>
  <si>
    <t>Bank Charges 25/06/2026</t>
  </si>
  <si>
    <t>NASSIM HILL PTE. LTD.</t>
  </si>
  <si>
    <t>YAKINIKU LIKE-SNC</t>
  </si>
  <si>
    <t>HOSHINO COFFEE</t>
  </si>
  <si>
    <t>Trip.com Travel Singapore Pte Ltd</t>
  </si>
  <si>
    <t>Microtel by Wyndham Batangas</t>
  </si>
  <si>
    <t>Manila Hotel for 10nights (RM 2546.43)</t>
  </si>
  <si>
    <t>Bank Charges 29/06/2026</t>
  </si>
  <si>
    <t>FOR: 2 961.16 SGD CCY CONVERSION FEE</t>
  </si>
  <si>
    <t>Tipsy Time</t>
  </si>
  <si>
    <t>AIRBNB</t>
  </si>
  <si>
    <t>House in Laguna</t>
  </si>
  <si>
    <t xml:space="preserve">OCBC SGD </t>
  </si>
  <si>
    <t xml:space="preserve">Alpha X Innovation Sdn Bhd </t>
  </si>
  <si>
    <t>Intercompany Loan MY/2026/01</t>
  </si>
  <si>
    <t>Intercompany Loan to MY entity</t>
  </si>
  <si>
    <t>Bank charges 15/01/2026</t>
  </si>
  <si>
    <t>Bank charges - Intercompany Loan to MY entity</t>
  </si>
  <si>
    <t xml:space="preserve">Eastwest Bank </t>
  </si>
  <si>
    <t>Internal Transfer from Eastwest bank to OCBC USD</t>
  </si>
  <si>
    <t>Bank charges 16/01/2026</t>
  </si>
  <si>
    <t>Bank charges - Internal Transfer from Eastwest bank to OCBC USD</t>
  </si>
  <si>
    <t>Eastwest Bank</t>
  </si>
  <si>
    <t>Bank charges 26/01/2026</t>
  </si>
  <si>
    <t>Bank charges 27/01/2026</t>
  </si>
  <si>
    <t>Bank charges - INV 2512002</t>
  </si>
  <si>
    <t>Bank Interest ORE2601001</t>
  </si>
  <si>
    <t>Bank Interest for January 2026</t>
  </si>
  <si>
    <t>Bank Interest ORE2602001</t>
  </si>
  <si>
    <t>Bank Interest for February 2026</t>
  </si>
  <si>
    <t>PVU2603001</t>
  </si>
  <si>
    <t>Bank charges - Intercompany Loan to SG entity</t>
  </si>
  <si>
    <t>Application Development Support Services for PR1 Visual Inspect automation for the month of January 2026</t>
  </si>
  <si>
    <t>Chen Hong</t>
  </si>
  <si>
    <t>Payment on behalf of Taiwan - Consultation Fees</t>
  </si>
  <si>
    <t>Intercompany - Alpha X (Taiwan) Technology Co Ltd</t>
  </si>
  <si>
    <t>GTRONTEC TECHNOLOGY PTE LTD</t>
  </si>
  <si>
    <t>AX Trace Digital Marketing Solution</t>
  </si>
  <si>
    <t>Alpha X Technology Limited</t>
  </si>
  <si>
    <t>Application Development Support Services for PR1 Visual Inspect automation for the month of February 2026</t>
  </si>
  <si>
    <t>Bank Interest ORE2603002</t>
  </si>
  <si>
    <t>Bank Interest for March 2026</t>
  </si>
  <si>
    <t>Chance Accountancy</t>
  </si>
  <si>
    <t>412, 448, 422</t>
  </si>
  <si>
    <t>40 min Tax Consultation on 11/5/2025, Renew 2026 Statement of Information, Annual Agent of Service 2026, Prepare 2025 C Corp Income Tax Return with 5471 Filings</t>
  </si>
  <si>
    <t>Intercompany - Alpha X (US) Technology Pte Ltd</t>
  </si>
  <si>
    <t>Bank Charges - Internal Transfer from Eastwest bank to OCBC USD</t>
  </si>
  <si>
    <t>Application Development Support Services for PR1 Visual Inspect automation for the month of March 2026</t>
  </si>
  <si>
    <t>30/04/2026</t>
  </si>
  <si>
    <t>Bank Interest ORE2604001</t>
  </si>
  <si>
    <t>Bank Interest for April 2026</t>
  </si>
  <si>
    <t>Bank charges for INV 2604014</t>
  </si>
  <si>
    <t>OCBC SG - SGD</t>
  </si>
  <si>
    <t>Application Development Support Services for PR1 Visual Inspect automation for the month of April 2026</t>
  </si>
  <si>
    <t>Bank Interest ORE2605001</t>
  </si>
  <si>
    <t>Bank Interest for May 2026</t>
  </si>
  <si>
    <t>Alpha X Technology Co., Ltd</t>
  </si>
  <si>
    <t>Loan refund - USD50K</t>
  </si>
  <si>
    <t>Short Term Loan</t>
  </si>
  <si>
    <t>15/01/2026</t>
  </si>
  <si>
    <t>OCBC MY - USD</t>
  </si>
  <si>
    <t>Bank Transfer to OCBC AC7619 - MYR.</t>
  </si>
  <si>
    <t>16/01/2026</t>
  </si>
  <si>
    <t>Alpha X Technology Pte Ltd</t>
  </si>
  <si>
    <t>Loan from Alpha X Technology Pte Ltd</t>
  </si>
  <si>
    <t>Bank Charges - Loan from Alpha X Technology Pte Ltd</t>
  </si>
  <si>
    <t>24/02/2026</t>
  </si>
  <si>
    <t>26/02/2026</t>
  </si>
  <si>
    <t>LOAN REFUND - USD190K</t>
  </si>
  <si>
    <t>27/01/2026</t>
  </si>
  <si>
    <t>LOAN USD63K - ALPHA X TECHNOLOGY PTE LTD</t>
  </si>
  <si>
    <t>29/01/2026</t>
  </si>
  <si>
    <t>PIC</t>
  </si>
  <si>
    <t>Project Name</t>
  </si>
  <si>
    <t>PO Date</t>
  </si>
  <si>
    <t>PO Date -F</t>
  </si>
  <si>
    <t>Amount USD</t>
  </si>
  <si>
    <t>Kare Guan</t>
  </si>
  <si>
    <t>晋华POC - AX insights &amp; Smart Assistant</t>
  </si>
  <si>
    <t>JCET 长电绍兴-POC</t>
  </si>
  <si>
    <t>GT - AI product resources service</t>
  </si>
  <si>
    <t>Alex Chan</t>
  </si>
  <si>
    <t>SEH - Stocker ( Change request)</t>
  </si>
  <si>
    <t>DJK (Denso)- Simulation Enhancement</t>
  </si>
  <si>
    <t>Armstrong-Smart Factory Data Platform</t>
  </si>
  <si>
    <t>Mei Inn Koh</t>
  </si>
  <si>
    <t>GT - Marketing Resouces</t>
  </si>
  <si>
    <t>Chris Chan</t>
  </si>
  <si>
    <t>Infinix Hospitality Management - AX Trace</t>
  </si>
  <si>
    <t>Armstrong - MES for JB AEM with integrations</t>
  </si>
  <si>
    <t>Teresa Tham</t>
  </si>
  <si>
    <t>Soitec - 6 months Application Development Support Services</t>
  </si>
  <si>
    <t>Armstrong - Maintenance Contract</t>
  </si>
  <si>
    <t>Description</t>
  </si>
  <si>
    <t>Payment Date</t>
  </si>
  <si>
    <t>PV2601E001</t>
  </si>
  <si>
    <t>Payroll</t>
  </si>
  <si>
    <t>PV2601E002</t>
  </si>
  <si>
    <t>PV2603E001</t>
  </si>
  <si>
    <t>PV2603E002</t>
  </si>
  <si>
    <t>PV2603E005</t>
  </si>
  <si>
    <t>PV2603E006</t>
  </si>
  <si>
    <t>PV2603E003</t>
  </si>
  <si>
    <t>PV2603E004</t>
  </si>
  <si>
    <t>PV2603E007</t>
  </si>
  <si>
    <t>PV2604E002</t>
  </si>
  <si>
    <t>PV2604E007</t>
  </si>
  <si>
    <t>PV2605E002</t>
  </si>
  <si>
    <t>Payroll-Lynn Chan Wai Yin</t>
  </si>
  <si>
    <t>PV2605E003</t>
  </si>
  <si>
    <t>PV2605E009</t>
  </si>
  <si>
    <t>PV2605E011</t>
  </si>
  <si>
    <t>PV2606E007</t>
  </si>
  <si>
    <t>Alpha X Innovation Sdn. Bhd. (Malaysia)</t>
  </si>
  <si>
    <t>Depreciation</t>
  </si>
  <si>
    <t>Kumpulan Wang Simpanan Pekerja (KWSP)</t>
  </si>
  <si>
    <t>Pertubuhan Keselamatan Sosial</t>
  </si>
  <si>
    <t>OR2604001</t>
  </si>
  <si>
    <t>OR2604003</t>
  </si>
  <si>
    <t>PV2605E001</t>
  </si>
  <si>
    <t>PV2605E010</t>
  </si>
  <si>
    <t>PV2605E012</t>
  </si>
  <si>
    <t>Payroll-Chey Pui Yan</t>
  </si>
  <si>
    <t>PV2605E008</t>
  </si>
  <si>
    <t>PV2605E006</t>
  </si>
  <si>
    <t>PV2605E020</t>
  </si>
  <si>
    <t>Payroll-Lim Shu Wen</t>
  </si>
  <si>
    <t>PV2605E018</t>
  </si>
  <si>
    <t>PV2606E008</t>
  </si>
  <si>
    <t>PV2606E009</t>
  </si>
  <si>
    <t>PV2606E010</t>
  </si>
  <si>
    <t>PV2606E011</t>
  </si>
  <si>
    <t>Cost Category</t>
  </si>
  <si>
    <t>Account Code</t>
  </si>
  <si>
    <t>Department</t>
  </si>
  <si>
    <t>MY Employee</t>
  </si>
  <si>
    <t>CHAN YIN HOCK</t>
  </si>
  <si>
    <t>Sales - Hardware</t>
  </si>
  <si>
    <t>LIM SHU WEN</t>
  </si>
  <si>
    <t>YEAP JIA SHUNG</t>
  </si>
  <si>
    <t>WAN NURUL AMIRA BINTI WAN MOHAMAD</t>
  </si>
  <si>
    <t>Management Fees</t>
  </si>
  <si>
    <t>CHEY PUI YAN</t>
  </si>
  <si>
    <t>Disbursement Income</t>
  </si>
  <si>
    <t>LOW LEE CHWIN</t>
  </si>
  <si>
    <t>GOH AI PING</t>
  </si>
  <si>
    <t>Carriage Inwards</t>
  </si>
  <si>
    <t>CHEW KWANG HWEE</t>
  </si>
  <si>
    <t>NG JIA YONG</t>
  </si>
  <si>
    <t>Direct Labour</t>
  </si>
  <si>
    <t>LIN CHAORAN</t>
  </si>
  <si>
    <t>Direct Materials</t>
  </si>
  <si>
    <t>YU CHEAN FEI</t>
  </si>
  <si>
    <t>Discount Allowed</t>
  </si>
  <si>
    <t>CHEN CHEE KHEN</t>
  </si>
  <si>
    <t>Packaging Fees</t>
  </si>
  <si>
    <t>CHEONG KA MENG</t>
  </si>
  <si>
    <t>Import/Custom Fees</t>
  </si>
  <si>
    <t>BEH YEAN SHIN</t>
  </si>
  <si>
    <t>Bank</t>
  </si>
  <si>
    <t>OCBC SG - CNH</t>
  </si>
  <si>
    <t>OCBC MY - MYR</t>
  </si>
  <si>
    <t>TW</t>
  </si>
  <si>
    <t>Audit Fees</t>
  </si>
  <si>
    <t>Declined</t>
  </si>
  <si>
    <t>US</t>
  </si>
  <si>
    <t>IND</t>
  </si>
  <si>
    <t>Director Fees</t>
  </si>
  <si>
    <t>Expense</t>
  </si>
  <si>
    <t>Expenses - unidentified</t>
  </si>
  <si>
    <t>Foreign Exchange</t>
  </si>
  <si>
    <t>Staff Bonus / Incentives</t>
  </si>
  <si>
    <t>Advertising Expenses</t>
  </si>
  <si>
    <t>Legal Fees</t>
  </si>
  <si>
    <t>R&amp;D Intellectual Property</t>
  </si>
  <si>
    <t>Realised Currency Gains</t>
  </si>
  <si>
    <t>Registration Fee</t>
  </si>
  <si>
    <t>Current Liabilities</t>
  </si>
  <si>
    <t>Unrealised Currency Gains</t>
  </si>
  <si>
    <t>Non-Current Asset</t>
  </si>
  <si>
    <t>Water</t>
  </si>
  <si>
    <t>Month</t>
  </si>
  <si>
    <t>Rate</t>
  </si>
  <si>
    <t>Opening b/f</t>
  </si>
  <si>
    <t>Closing c/f</t>
  </si>
  <si>
    <t>ORU2604002</t>
  </si>
  <si>
    <t>PVU2604005</t>
  </si>
  <si>
    <t>ORU2605001</t>
  </si>
  <si>
    <t>PVU2605001</t>
  </si>
  <si>
    <t>ORU2605002</t>
  </si>
  <si>
    <t>PVU2605003</t>
  </si>
  <si>
    <t>Bank Recon May 2026 - OK</t>
  </si>
  <si>
    <t>ORU2606001</t>
  </si>
  <si>
    <t>PVU2606001</t>
  </si>
  <si>
    <t>PVU2606002</t>
  </si>
  <si>
    <t>ORU2606002</t>
  </si>
  <si>
    <t>ORU2606003</t>
  </si>
  <si>
    <t>PVU2606003</t>
  </si>
  <si>
    <t>PV2601002</t>
  </si>
  <si>
    <t>PV2601027</t>
  </si>
  <si>
    <t>JV2601001</t>
  </si>
  <si>
    <t>PV2601015</t>
  </si>
  <si>
    <t>OR2601001</t>
  </si>
  <si>
    <t>PV2601019 / PV2601018-01</t>
  </si>
  <si>
    <t xml:space="preserve"> XERO  </t>
  </si>
  <si>
    <t xml:space="preserve"> INV-635549 </t>
  </si>
  <si>
    <t>28/01/2026</t>
  </si>
  <si>
    <t>30/01/2026</t>
  </si>
  <si>
    <t xml:space="preserve"> Xero (NZ) Ltd </t>
  </si>
  <si>
    <t xml:space="preserve"> IN-6396728 </t>
  </si>
  <si>
    <t>PV2601024</t>
  </si>
  <si>
    <t>PV2601025</t>
  </si>
  <si>
    <t xml:space="preserve">Staff cost - Payroll </t>
  </si>
  <si>
    <t>Payroll /2020601</t>
  </si>
  <si>
    <t>Payroll Net Pay - January 2026</t>
  </si>
  <si>
    <t>Rosemary Qiu</t>
  </si>
  <si>
    <t>Bank Charges 03/02/2026</t>
  </si>
  <si>
    <t>PAULANER BRAUHAUS Micro Brewery Restaurant</t>
  </si>
  <si>
    <t>PAULANER BRAUHAUS Micro Brewery Restaurant - Annual dinner</t>
  </si>
  <si>
    <t>REPLACE FAULTY PARTS FOR DOUBLE LEAF
PATCH FITTING GLASS DOOR @ MAIN ENTRANCE &amp;
MEETING ROOM NO. 1
-Replace PT22 - Top Pivot</t>
  </si>
  <si>
    <t>Implementation fees – CN-Suzhou (UAT Completion) AX JIT - IOT BOX</t>
  </si>
  <si>
    <t>PV2603001</t>
  </si>
  <si>
    <t xml:space="preserve"> Yes </t>
  </si>
  <si>
    <t xml:space="preserve">IN-6472279 </t>
  </si>
  <si>
    <t xml:space="preserve">XERO for Malaysia - 28 Feb to 27 Mar 2026 </t>
  </si>
  <si>
    <t xml:space="preserve"> No </t>
  </si>
  <si>
    <t>PVC2603001</t>
  </si>
  <si>
    <t>Staff cost - Payroll</t>
  </si>
  <si>
    <t>Payroll /2020602</t>
  </si>
  <si>
    <t>Payroll Net Pay - Febuary 2026 (partially)</t>
  </si>
  <si>
    <t>PVU2603002</t>
  </si>
  <si>
    <t>Payroll Net Pay - Febuary 2026 (balance)</t>
  </si>
  <si>
    <t>OFFICE RENTAL - 14-04, TOWER3, SG - MAR26</t>
  </si>
  <si>
    <t>Internet 12Feb26 to 11Mar26</t>
  </si>
  <si>
    <t>AIA Singapore Pte Ltd</t>
  </si>
  <si>
    <t>Staff Insurance Jan26 to Dec26</t>
  </si>
  <si>
    <t>KUMPULAN DEVELOPMENT (S) PTE LTD</t>
  </si>
  <si>
    <t>ICE MOUNTAIN PURE DRINKING WATER - FEB26</t>
  </si>
  <si>
    <t>LG ELECTRONICS SINGAPORE PTE LTD</t>
  </si>
  <si>
    <t>PURCHASE OF FA - TAKE OVER FROM PREVIOUS TENANT LG</t>
  </si>
  <si>
    <t>PV2603004</t>
  </si>
  <si>
    <t>Payroll /2020603</t>
  </si>
  <si>
    <t>LOAN REPAYMENT FRM ALPHA X INNOVATION SDN BHD USD190K</t>
  </si>
  <si>
    <t>OR2603001</t>
  </si>
  <si>
    <t>PV2603013</t>
  </si>
  <si>
    <t>OR2603002</t>
  </si>
  <si>
    <t>OR2603003</t>
  </si>
  <si>
    <t>JURONG CENTRE CLINIC PTE LTD</t>
  </si>
  <si>
    <t xml:space="preserve">PV2603008 </t>
  </si>
  <si>
    <t>ICE MOUNTAIN PURE DRINKING WATER 191 - Mar26</t>
  </si>
  <si>
    <t>PV2603011</t>
  </si>
  <si>
    <t>PV2603007</t>
  </si>
  <si>
    <t>T2610001012, T2610000724, T2610002128</t>
  </si>
  <si>
    <t>OR2603004</t>
  </si>
  <si>
    <t>Bank Charges 26/03/2026</t>
  </si>
  <si>
    <t>OR2603005</t>
  </si>
  <si>
    <t>Refund for Fit in and Fit out deposit for unit #14-04</t>
  </si>
  <si>
    <t>XERO for Malaysia - 28 Mar 2026 to 27 Apr 2026</t>
  </si>
  <si>
    <t>PV2603016</t>
  </si>
  <si>
    <t>PV2603019</t>
  </si>
  <si>
    <t>PV2604001</t>
  </si>
  <si>
    <t>Tansen Izakaya Mamafuku - Business meal</t>
  </si>
  <si>
    <t>OR2604002</t>
  </si>
  <si>
    <t>PV2604003</t>
  </si>
  <si>
    <t>PV2604004</t>
  </si>
  <si>
    <t>March 2026</t>
  </si>
  <si>
    <t>PV2604005</t>
  </si>
  <si>
    <t>Expedia - Flight to Shanghai</t>
  </si>
  <si>
    <t>OR2604005</t>
  </si>
  <si>
    <t>Payroll /2020604</t>
  </si>
  <si>
    <t>Salary - April 2026</t>
  </si>
  <si>
    <t>OR2604006</t>
  </si>
  <si>
    <t>PV2604008</t>
  </si>
  <si>
    <t>PV2604009</t>
  </si>
  <si>
    <t>PV2604010</t>
  </si>
  <si>
    <t>PV2604011</t>
  </si>
  <si>
    <t>PV2604012</t>
  </si>
  <si>
    <t>April 2026</t>
  </si>
  <si>
    <t>OR2604007</t>
  </si>
  <si>
    <t>PV2605004</t>
  </si>
  <si>
    <t>PV2605005</t>
  </si>
  <si>
    <t>PV2605006</t>
  </si>
  <si>
    <t>PV2605007</t>
  </si>
  <si>
    <t>OR2605005</t>
  </si>
  <si>
    <t>PV2605008</t>
  </si>
  <si>
    <t>Iras</t>
  </si>
  <si>
    <t>CIT Rebate Cash Grant 202416094W IBG GIRO</t>
  </si>
  <si>
    <t>OR2605006</t>
  </si>
  <si>
    <t>20/05/2026</t>
  </si>
  <si>
    <t>THE MANAGEMENT COR</t>
  </si>
  <si>
    <t>Refund of overpaid dated 02 March 2026</t>
  </si>
  <si>
    <t>OR2605007</t>
  </si>
  <si>
    <t>18/05/2026</t>
  </si>
  <si>
    <t>21/05/2026</t>
  </si>
  <si>
    <t>22/05/2026</t>
  </si>
  <si>
    <t>23/05/2026</t>
  </si>
  <si>
    <t>25/05/2026</t>
  </si>
  <si>
    <t>2nd POWER BI CONSULTANTS AS QUO : AXQ00015 for the month of March 2026</t>
  </si>
  <si>
    <t>OR2605008</t>
  </si>
  <si>
    <t>POWER BI CONSULTANTS AS QUO : AXQ00015 for the month of March 2026</t>
  </si>
  <si>
    <t>OR2605009</t>
  </si>
  <si>
    <t>PV2605013</t>
  </si>
  <si>
    <t>PV2606001</t>
  </si>
  <si>
    <t>PV2606002</t>
  </si>
  <si>
    <t>PV2606003</t>
  </si>
  <si>
    <t>OR2606001</t>
  </si>
  <si>
    <t>PV2606004</t>
  </si>
  <si>
    <t>Bank Charges 04/06/2026</t>
  </si>
  <si>
    <t>PV2606005</t>
  </si>
  <si>
    <t>PV2606006</t>
  </si>
  <si>
    <t>PV2606008</t>
  </si>
  <si>
    <t>OR2606002</t>
  </si>
  <si>
    <t>PV2606010</t>
  </si>
  <si>
    <t>OR2606003</t>
  </si>
  <si>
    <t>OR2606004</t>
  </si>
  <si>
    <t>OR2606005</t>
  </si>
  <si>
    <t>OR2606006</t>
  </si>
  <si>
    <t>OR2606007</t>
  </si>
  <si>
    <t>PV2606011</t>
  </si>
  <si>
    <t>PV2606012</t>
  </si>
  <si>
    <t>PV2606013</t>
  </si>
  <si>
    <t>Last updated 29/06/2026 9.47am</t>
  </si>
  <si>
    <t xml:space="preserve">	Working Capital Fund</t>
  </si>
  <si>
    <t>ORE2604001</t>
  </si>
  <si>
    <t>ORE2605001</t>
  </si>
  <si>
    <t>PVE2606001</t>
  </si>
  <si>
    <t>Account code</t>
  </si>
  <si>
    <t>SST Claimable</t>
  </si>
  <si>
    <t>Salary 2025/12</t>
  </si>
  <si>
    <t>Headcount Costs December 2025</t>
  </si>
  <si>
    <t>Jannette</t>
  </si>
  <si>
    <t>Rosemary</t>
  </si>
  <si>
    <t xml:space="preserve">HREasily Sdn Bhd </t>
  </si>
  <si>
    <t>INV-HRMY-MS-202512-0010</t>
  </si>
  <si>
    <t>Payroll  - Statutory Contribution for December 2025</t>
  </si>
  <si>
    <t xml:space="preserve">Payroll Management Fees </t>
  </si>
  <si>
    <t xml:space="preserve">Payroll </t>
  </si>
  <si>
    <t>Salary 2026/01</t>
  </si>
  <si>
    <t>Headcount Costs January 2026</t>
  </si>
  <si>
    <t>PCB</t>
  </si>
  <si>
    <t>PCB Monthly Tax Deduction January 2026</t>
  </si>
  <si>
    <t>Pembangunan Sumber Manusia Berhad</t>
  </si>
  <si>
    <t>HRDC</t>
  </si>
  <si>
    <t>HRDC Jan26</t>
  </si>
  <si>
    <t>Kumpulan Wang Simpanan Pekerja</t>
  </si>
  <si>
    <t>EPF - January 2026</t>
  </si>
  <si>
    <t>SOCSO - January 2026 &amp; EIS - January 2026</t>
  </si>
  <si>
    <t>Salary 2026/02</t>
  </si>
  <si>
    <t>Headcount Costs February 2026</t>
  </si>
  <si>
    <t>Salary 2026/03</t>
  </si>
  <si>
    <t>Headcount Costs March 2026</t>
  </si>
  <si>
    <t>CI_0004563729</t>
  </si>
  <si>
    <t>Interest on late payment of levy</t>
  </si>
  <si>
    <t>SOCSO - February 2026 &amp; EIS - February 2026</t>
  </si>
  <si>
    <t>HRDC Feb26</t>
  </si>
  <si>
    <t>EPF - February 2026</t>
  </si>
  <si>
    <t>PCB Monthly Tax Deduction February 2026</t>
  </si>
  <si>
    <t>tr</t>
  </si>
  <si>
    <t>HREasily Sdn. Bhd</t>
  </si>
  <si>
    <t>Refund of reimbursement of HRDF for Dec'25</t>
  </si>
  <si>
    <t>HRDC Mar26</t>
  </si>
  <si>
    <t>SOCSO - March 2026 &amp; EIS - March 2026</t>
  </si>
  <si>
    <t>EPF - March 2026</t>
  </si>
  <si>
    <t>Customer Refund CCN_0000006861</t>
  </si>
  <si>
    <t>Correction of HRDC Levy Records Refund CRN0000003333</t>
  </si>
  <si>
    <t>Salary 2026/04</t>
  </si>
  <si>
    <t>Headcount Costs April 2026</t>
  </si>
  <si>
    <t>Bank charges 30/04/2026</t>
  </si>
  <si>
    <t>PV2604015</t>
  </si>
  <si>
    <t>PV2604016</t>
  </si>
  <si>
    <t>PV2604017</t>
  </si>
  <si>
    <t>PV2604018</t>
  </si>
  <si>
    <t>Payroll-Chan Yin Hock</t>
  </si>
  <si>
    <t>Salary 2026/05</t>
  </si>
  <si>
    <t>Headcount Costs May 2026</t>
  </si>
  <si>
    <t>Bank Charges 15/05/2025</t>
  </si>
  <si>
    <t>Bank Charges Staff Claim May26</t>
  </si>
  <si>
    <t xml:space="preserve">Pembangunan Sumber Manusia Berhad (HRDC) </t>
  </si>
  <si>
    <t>HRDC Apr26</t>
  </si>
  <si>
    <t>Salary for May 2026</t>
  </si>
  <si>
    <t>EPF - April 2026</t>
  </si>
  <si>
    <t>SOCSO - April 2026</t>
  </si>
  <si>
    <t>EIS - April 2026</t>
  </si>
  <si>
    <t>PCB Monthly Tax Deduction April 2026</t>
  </si>
  <si>
    <t>23/04/2026</t>
  </si>
  <si>
    <t>PV2605015</t>
  </si>
  <si>
    <t>TM Technology Services Sdn Bhd_I</t>
  </si>
  <si>
    <t>PV2605019</t>
  </si>
  <si>
    <t>PV2605021</t>
  </si>
  <si>
    <t>PV2605022</t>
  </si>
  <si>
    <t>PV2606007</t>
  </si>
  <si>
    <t>PCB Monthly Tax Deduction May 2026</t>
  </si>
  <si>
    <t>HRDC May26</t>
  </si>
  <si>
    <t>EPF - May 2026</t>
  </si>
  <si>
    <t>SOCSO - May 2026</t>
  </si>
  <si>
    <t>EIS - May 2026</t>
  </si>
  <si>
    <t>PV2606014</t>
  </si>
  <si>
    <t>Alpha X Innovation Sdn. Bhd. (USD)</t>
  </si>
  <si>
    <t xml:space="preserve"> Sub Total </t>
  </si>
  <si>
    <t xml:space="preserve"> Tax </t>
  </si>
  <si>
    <t xml:space="preserve"> Total Amount </t>
  </si>
  <si>
    <t xml:space="preserve">Group </t>
  </si>
  <si>
    <t> </t>
  </si>
  <si>
    <t>JVU2601001</t>
  </si>
  <si>
    <t>JVU2601001-0</t>
  </si>
  <si>
    <t>JV2601002</t>
  </si>
  <si>
    <t>ORU2601001</t>
  </si>
  <si>
    <t>PVU2601001</t>
  </si>
  <si>
    <t>JV2601003</t>
  </si>
  <si>
    <t>31/01/2026</t>
  </si>
  <si>
    <t>PV2602011</t>
  </si>
  <si>
    <t>PVU2602001</t>
  </si>
  <si>
    <t>28/02/2026</t>
  </si>
  <si>
    <t>31/03/2026</t>
  </si>
  <si>
    <t>Salary Payable for December 2025</t>
  </si>
  <si>
    <t>工资</t>
  </si>
  <si>
    <t>人力资源服务-代收代付</t>
  </si>
  <si>
    <t>国库待结算款项-暂收款</t>
  </si>
  <si>
    <t>00TX:000990:20260119:000YST260119138TJ7YF:实时缴税:税单号:431016260100921735</t>
  </si>
  <si>
    <t>上海市公积金管理中心(房改资金)</t>
  </si>
  <si>
    <t>公积金:业务唯一编号2026011902014349</t>
  </si>
  <si>
    <t>00TX:000990:20260120:000YST2601201796QAC9:实时缴税:税单号:331016260101660251</t>
  </si>
  <si>
    <t>00TX:000990:20260120:000YST26012018971HCT:实时缴税:税单号:626012011652925632</t>
  </si>
  <si>
    <t>00TX:000990:20260122:000YST260122159M9UJ2:实时缴税:税单号:626012211653861788</t>
  </si>
  <si>
    <t>00TX:000990:20260122:000YST260122159M9ZO8:实时缴税:税单号:626012211653863546</t>
  </si>
  <si>
    <t>00TX:000990:20260122:000YST260122159MB9OE:实时缴税:税单号:626012211653862315</t>
  </si>
  <si>
    <t>00TX:000990:20260122:000YST260122159MBDUW:实时缴税:税单号:626012211653859900</t>
  </si>
  <si>
    <t>00TX:000990:20260122:000YST260122159MBFZQ:实时缴税:税单号:626012211653862476</t>
  </si>
  <si>
    <t>00TX:000990:20260128:000YST26012816B5KDQ9:实时缴税:税单号:626012811654951506</t>
  </si>
  <si>
    <t>Salary Payable for January 2026</t>
  </si>
  <si>
    <t>电子退库</t>
  </si>
  <si>
    <t>电子退库[纳税人编码=91310000MAENUTPU0R纳税人名称=芯元智控（上海）科技有限公司]</t>
  </si>
  <si>
    <t>00TX:000990:20260224:000YST260224151MAPQC:实时缴税:税单号:431016260201017161</t>
  </si>
  <si>
    <t>公积金 - January 2026</t>
  </si>
  <si>
    <t>00TX:000990:20260225:000YST260225131VNGF7:实时缴税:税单号:626022511674966400</t>
  </si>
  <si>
    <t>Salary Payable for February 2026</t>
  </si>
  <si>
    <t xml:space="preserve"> </t>
  </si>
  <si>
    <t>2026-03-02</t>
  </si>
  <si>
    <t>2026-03-13</t>
  </si>
  <si>
    <t>00TX:000990:20260313:000YST2603131363RJM5:实时缴税:税单号:626031311716922148</t>
  </si>
  <si>
    <t>2026-03-16</t>
  </si>
  <si>
    <t>2026-03-18</t>
  </si>
  <si>
    <t>社保公司 &amp; 个人 - February 2026 - Shanghai</t>
  </si>
  <si>
    <t>上海 - 公积金</t>
  </si>
  <si>
    <t>公积金公司 &amp; 个人 - February 2026 - Shanghai</t>
  </si>
  <si>
    <t>2026-03-21</t>
  </si>
  <si>
    <t>2026-03-23</t>
  </si>
  <si>
    <t>2026-03-31</t>
  </si>
  <si>
    <t>Bonus 2025</t>
  </si>
  <si>
    <t>奖金</t>
  </si>
  <si>
    <t>Salary Payable for March 2026</t>
  </si>
  <si>
    <t>成都社保公积金代付及人事服务费-2026年4月</t>
  </si>
  <si>
    <t>显示器租赁费-2026.03</t>
  </si>
  <si>
    <t>公积金:业务唯一编号2026041600050826</t>
  </si>
  <si>
    <t>00TX:000990:20260416:000YST26041610FBR8K1:实时缴税:税单号:431016260400819448</t>
  </si>
  <si>
    <t>个税 - March 2026</t>
  </si>
  <si>
    <t>Salary Payable for April 2026</t>
  </si>
  <si>
    <t>上海三礼企业发展有限公司</t>
  </si>
  <si>
    <t>服务费</t>
  </si>
  <si>
    <t>企业现代服务-法人变更</t>
  </si>
  <si>
    <t>员工个税代扣-2026年4月工资个税</t>
  </si>
  <si>
    <t xml:space="preserve">上海市公积金管理中心(房改资金) </t>
  </si>
  <si>
    <t xml:space="preserve"> 上海 - 公积金 </t>
  </si>
  <si>
    <t>上海公积金-2026年4月</t>
  </si>
  <si>
    <t xml:space="preserve">国库待结算款项-暂收款 </t>
  </si>
  <si>
    <t xml:space="preserve">上海社保-2026年4月 </t>
  </si>
  <si>
    <t xml:space="preserve"> Salary Payable for May 2026 </t>
  </si>
  <si>
    <t xml:space="preserve">员工实发工资-2026年5月 </t>
  </si>
  <si>
    <t>30-Jan</t>
  </si>
  <si>
    <t>2-Feb</t>
  </si>
  <si>
    <t>12-Feb</t>
  </si>
  <si>
    <t>27-Feb</t>
  </si>
  <si>
    <t>13-Mar</t>
  </si>
  <si>
    <t>31-Mar</t>
  </si>
  <si>
    <t>15-Apr</t>
  </si>
  <si>
    <t>30-Apr</t>
  </si>
  <si>
    <t>15-May</t>
  </si>
  <si>
    <t>31-Jan</t>
  </si>
  <si>
    <t>28-Feb</t>
  </si>
  <si>
    <t>Bill Date</t>
  </si>
  <si>
    <t>Planned Payment / Paid</t>
  </si>
  <si>
    <t>Employee</t>
  </si>
  <si>
    <t>Amount</t>
  </si>
  <si>
    <t>Bill Date (PNL)</t>
  </si>
  <si>
    <t>Payment Date (CF)</t>
  </si>
  <si>
    <t>Employee EPF - January 2026</t>
  </si>
  <si>
    <t>CHAN YEIK KAM</t>
  </si>
  <si>
    <t>LAM DICK</t>
  </si>
  <si>
    <t>Employee SOCSO - January 2026</t>
  </si>
  <si>
    <t>Employee EIS - January 2026</t>
  </si>
  <si>
    <t>PCB - January 2026</t>
  </si>
  <si>
    <t>HRDF - January 2026</t>
  </si>
  <si>
    <t>Employer EPF - January 2026</t>
  </si>
  <si>
    <t>Employer SOCSO - January 2026</t>
  </si>
  <si>
    <t>Employer EIS - January 2026</t>
  </si>
  <si>
    <t>Employee EPF - February 2026</t>
  </si>
  <si>
    <t>Employee SOCSO - February 2026</t>
  </si>
  <si>
    <t>Employee EIS - February 2026</t>
  </si>
  <si>
    <t>PCB - February 2026</t>
  </si>
  <si>
    <t>Employer EPF - February 2026</t>
  </si>
  <si>
    <t>Employer SOCSO - February 2026</t>
  </si>
  <si>
    <t>Employer EIS - February 2026</t>
  </si>
  <si>
    <t>Staff Bonus 2025</t>
  </si>
  <si>
    <t>Spot Award 2025</t>
  </si>
  <si>
    <t>Employee EPF - March 2026</t>
  </si>
  <si>
    <t>Employee SOCSO - March 2026</t>
  </si>
  <si>
    <t>Employee EIS - March 2026</t>
  </si>
  <si>
    <t>PCB - March 2026</t>
  </si>
  <si>
    <t>Employer EPF - March 2026</t>
  </si>
  <si>
    <t>Employer SOCSO - March 2026</t>
  </si>
  <si>
    <t>Employer EIS - March 2026</t>
  </si>
  <si>
    <t>HRDF - March 2026</t>
  </si>
  <si>
    <t>Employee EPF - April 2026</t>
  </si>
  <si>
    <t>Employee SOCSO- April 2026</t>
  </si>
  <si>
    <t>Employee EIS - April 2026</t>
  </si>
  <si>
    <t>PCB - April 2026</t>
  </si>
  <si>
    <t>Employer EPF - April 2026</t>
  </si>
  <si>
    <t>Employer SOCSO- April 2026</t>
  </si>
  <si>
    <t>Employer EIS - April 2026</t>
  </si>
  <si>
    <t>Employee EPF - May 2026</t>
  </si>
  <si>
    <t>Employee SOCSO- May 2026</t>
  </si>
  <si>
    <t>Employee EIS - May 2026</t>
  </si>
  <si>
    <t>PCB - May 2026</t>
  </si>
  <si>
    <t>5-Feb</t>
  </si>
  <si>
    <t>2-Mar</t>
  </si>
  <si>
    <t>3-Mar</t>
  </si>
  <si>
    <t>9-Mar</t>
  </si>
  <si>
    <t>17-Mar</t>
  </si>
  <si>
    <t>8-Apr</t>
  </si>
  <si>
    <t>6-May</t>
  </si>
  <si>
    <t>8-May</t>
  </si>
  <si>
    <t>9-Jun</t>
  </si>
  <si>
    <t>CHEN LIFENG</t>
  </si>
  <si>
    <t>CHAN JI WEI</t>
  </si>
  <si>
    <t>LI FAN</t>
  </si>
  <si>
    <t>KOH MEI INN</t>
  </si>
  <si>
    <t>THAM SOK WAN</t>
  </si>
  <si>
    <t>CHUA HUAI CHAI</t>
  </si>
  <si>
    <t>NG KOK LOON</t>
  </si>
  <si>
    <t>YO MENG GI</t>
  </si>
  <si>
    <t>WU WENLONG</t>
  </si>
  <si>
    <t>DANNY KWOK CHING YUN</t>
  </si>
  <si>
    <t>JIN CHAO</t>
  </si>
  <si>
    <t>PHILIPPE JEAN FELIX LEDUC</t>
  </si>
  <si>
    <t>KEE SHIN YUAN</t>
  </si>
  <si>
    <t>HE CAIFENG THERESA</t>
  </si>
  <si>
    <t>QIU JIE</t>
  </si>
  <si>
    <t>WU XIAOLI</t>
  </si>
  <si>
    <t>CALVEN OOI JIA WEI</t>
  </si>
  <si>
    <t>STEPHANIE LING WAN QING</t>
  </si>
  <si>
    <t>GUO BEITING</t>
  </si>
  <si>
    <t>CDAC - January 2026</t>
  </si>
  <si>
    <t>CHENG YI YANG</t>
  </si>
  <si>
    <t>TANG KIN LEUNG</t>
  </si>
  <si>
    <t>LYNN CHAN WAI YIN</t>
  </si>
  <si>
    <t>PHI CHEE LING</t>
  </si>
  <si>
    <t>PAN ZHENGYAN</t>
  </si>
  <si>
    <t>CPF Employee - January 2026</t>
  </si>
  <si>
    <t>SDF - January 2026</t>
  </si>
  <si>
    <t>CPF Employer - January 2026</t>
  </si>
  <si>
    <t>CDAC - February 2026</t>
  </si>
  <si>
    <t>CPF Employee - February 2026</t>
  </si>
  <si>
    <t>SDF - February 2026</t>
  </si>
  <si>
    <t>CPF Employer - February 2026</t>
  </si>
  <si>
    <t>CDAC - March 2026</t>
  </si>
  <si>
    <t>CPF Employee - March 2026</t>
  </si>
  <si>
    <t>SDF - March 2026</t>
  </si>
  <si>
    <t>CPF Employer - March 2026</t>
  </si>
  <si>
    <t>Net Pay - March 2026 (IR21)</t>
  </si>
  <si>
    <t>CDAC - April 2026</t>
  </si>
  <si>
    <t>CPF Employee - April 2026</t>
  </si>
  <si>
    <t>SDF - April 2026</t>
  </si>
  <si>
    <t>CPF Employer - April 2026</t>
  </si>
  <si>
    <t>CDAC - May 2026</t>
  </si>
  <si>
    <t>SDF - May 2026</t>
  </si>
  <si>
    <t>CPF Employer - May 2026</t>
  </si>
  <si>
    <t>14-Feb</t>
  </si>
  <si>
    <t>16-Mar</t>
  </si>
  <si>
    <t>16-Apr</t>
  </si>
  <si>
    <t>李世豪</t>
  </si>
  <si>
    <t>Billing Date (PNL)</t>
  </si>
  <si>
    <t>王喜超</t>
  </si>
  <si>
    <t>关欣</t>
  </si>
  <si>
    <t>邓思</t>
  </si>
  <si>
    <t>个税 - January 2026</t>
  </si>
  <si>
    <t>补扣个税 - 2025</t>
  </si>
  <si>
    <t>社保公司 &amp; 个人 - January 2026</t>
  </si>
  <si>
    <t>公积金公司 &amp; 个人 - January 2026</t>
  </si>
  <si>
    <t>Cash Outflow month</t>
  </si>
  <si>
    <t>个税 - February 2026</t>
  </si>
  <si>
    <t>社保公司 &amp; 个人 - February 20262026</t>
  </si>
  <si>
    <t>社保公司 &amp; 个人 - February 2026 2026</t>
  </si>
  <si>
    <t>公积金公司 &amp; 个人 - February 2026</t>
  </si>
  <si>
    <t>个税 - April 2026</t>
  </si>
  <si>
    <t>社保公司 &amp; 个人 - April 2026</t>
  </si>
  <si>
    <t>公积金公司 &amp; 个人 - April 2026</t>
  </si>
  <si>
    <t>Detailed Time</t>
  </si>
  <si>
    <t>Alpha X Innovation Sdn. Bhd.</t>
  </si>
  <si>
    <t>For the period 1 January 2026 to 31 January 2026</t>
  </si>
  <si>
    <t>Contact</t>
  </si>
  <si>
    <t>Task</t>
  </si>
  <si>
    <t>Charge Type</t>
  </si>
  <si>
    <t>Start Time</t>
  </si>
  <si>
    <t>End Time</t>
  </si>
  <si>
    <t>Total Time</t>
  </si>
  <si>
    <t>Chargeout Rate /hr</t>
  </si>
  <si>
    <t>Total Charge</t>
  </si>
  <si>
    <t>Chee Khen Chen</t>
  </si>
  <si>
    <t>User Training &amp; Trial</t>
  </si>
  <si>
    <t>Hourly rate</t>
  </si>
  <si>
    <t>Total Chee Khen Chen</t>
  </si>
  <si>
    <t>Jia Yong Ng</t>
  </si>
  <si>
    <t>Total Jia Yong Ng</t>
  </si>
  <si>
    <t>Ka Meng Cheong</t>
  </si>
  <si>
    <t>Project Implementation</t>
  </si>
  <si>
    <t>8:00</t>
  </si>
  <si>
    <t>Total Ka Meng Cheong</t>
  </si>
  <si>
    <t>Kwang Hwee Chew</t>
  </si>
  <si>
    <t>Total Kwang Hwee Chew</t>
  </si>
  <si>
    <t>Shu Wen Lim</t>
  </si>
  <si>
    <t>Total Shu Wen Lim</t>
  </si>
  <si>
    <t>Simulation</t>
  </si>
  <si>
    <t>Note: Following the customer meeting on 31st December, the executable file was sent to the customer for testing.
Task: Implemented minor updates to the simulation logic to ensure no error pop-ups occur due to incorrect condition settings or loop failures. Re-tested the simulation to verify stability and ensure smooth simulation operation.</t>
  </si>
  <si>
    <t>Total Wan Nurul Amira Wan Mohamad</t>
  </si>
  <si>
    <t>Raw Data</t>
  </si>
  <si>
    <t>Overall</t>
  </si>
  <si>
    <t>Jul</t>
  </si>
  <si>
    <t>Aug</t>
  </si>
  <si>
    <t>Sep</t>
  </si>
  <si>
    <t>Oct</t>
  </si>
  <si>
    <t>Nov</t>
  </si>
  <si>
    <t>Pending</t>
  </si>
  <si>
    <t>INV 2606003</t>
  </si>
  <si>
    <t>INV 2606004</t>
  </si>
  <si>
    <t>Consultation fee for AEM MES UAT between 10th to 15th May 2026</t>
  </si>
  <si>
    <t>INV 2606005</t>
  </si>
  <si>
    <t>Consultation fee for AOC MES Go-Live between 19th May to 27th May 2026</t>
  </si>
  <si>
    <t>INV 2606007</t>
  </si>
  <si>
    <t>MES Consulting service for Wuhan (AOW) 29 June 2026 -  28 July 2026</t>
  </si>
  <si>
    <t>Armstrong 011-202606-UAT and GO Live support for Wuhan (AOW)</t>
  </si>
  <si>
    <t>SG-00065-1</t>
  </si>
  <si>
    <t>INV 2606008</t>
  </si>
  <si>
    <t>Bank Charges 16/01/2026</t>
  </si>
  <si>
    <t>Working Capital Fund</t>
  </si>
  <si>
    <t>Bank Charges 02/03/2026</t>
  </si>
  <si>
    <t>Consulation fees December 2026</t>
  </si>
  <si>
    <t>Consulation fees November 2026</t>
  </si>
  <si>
    <t>Consulation fees October 2026</t>
  </si>
  <si>
    <t>AWS Consumption December 2026</t>
  </si>
  <si>
    <t>Electricity Bill for #14-04 - December 2026</t>
  </si>
  <si>
    <t>Monthly Subscription 28 Dec 2026 to 27 Jan 2027</t>
  </si>
  <si>
    <t>Statutory Contribution - 12/26</t>
  </si>
  <si>
    <t>SG Staff</t>
  </si>
  <si>
    <t>Net Pay - Dec 2026</t>
  </si>
  <si>
    <t>Cleaning Fees December 2026</t>
  </si>
  <si>
    <t>Lease liability - Dec26</t>
  </si>
  <si>
    <t>Rental for January 2027</t>
  </si>
  <si>
    <t>Electricity Bill for #14-04 - November 2026</t>
  </si>
  <si>
    <t>Consulation fees September 2026</t>
  </si>
  <si>
    <t>Consulation fees August 2026</t>
  </si>
  <si>
    <t>Consulation fees July 2026</t>
  </si>
  <si>
    <t>AWS Consumption October 2026</t>
  </si>
  <si>
    <t>Monthly Subscription 28 Nov 2026 to 27 Dec 2026</t>
  </si>
  <si>
    <t>Statutory Contribution - 11/26</t>
  </si>
  <si>
    <t>Net Pay - Nov 2026</t>
  </si>
  <si>
    <t>AWS Consumption September 2026</t>
  </si>
  <si>
    <t>Lease liability - Nov26</t>
  </si>
  <si>
    <t>Rental for December 2026</t>
  </si>
  <si>
    <t>Electricity Bill for #14-04 - October 2026</t>
  </si>
  <si>
    <t>AWS Consumption November 2026</t>
  </si>
  <si>
    <t>Cleaning Fees November 2026</t>
  </si>
  <si>
    <t>Monthly Subscription 28 Oct 2026 to 27 Nov 2026</t>
  </si>
  <si>
    <t>Statutory Contribution - 10/26</t>
  </si>
  <si>
    <t>Net Pay - Oct 2026</t>
  </si>
  <si>
    <t>Cleaning Fees October 2026</t>
  </si>
  <si>
    <t>Lease liability - Oct26</t>
  </si>
  <si>
    <t>Rental for November 2026</t>
  </si>
  <si>
    <t>Electricity Bill for #14-04 - September 2026</t>
  </si>
  <si>
    <t>AWS Consumption August 2026</t>
  </si>
  <si>
    <t>Monthly Subscription 28 Sep 2026 to 27 Oct 2026</t>
  </si>
  <si>
    <t>Consulation fees June 2026</t>
  </si>
  <si>
    <t>Statutory Contribution - 09/26</t>
  </si>
  <si>
    <t>Net Pay - Sep 2026</t>
  </si>
  <si>
    <t>Cleaning Fees September 2026</t>
  </si>
  <si>
    <t>AWS Consumption July 2026</t>
  </si>
  <si>
    <t>Lease liability - Sep26</t>
  </si>
  <si>
    <t>Rental for October 2026</t>
  </si>
  <si>
    <t>Electricity Bill for #14-04 -  August 2026</t>
  </si>
  <si>
    <t>Monthly Subscription 28 Aug 2026 to 27 Sep 2026</t>
  </si>
  <si>
    <t>Statutory Contribution - 08/26</t>
  </si>
  <si>
    <t>Net Pay - Aug 2026</t>
  </si>
  <si>
    <t>Cleaning Fees August 2026</t>
  </si>
  <si>
    <t>AWS Consumption June 2026</t>
  </si>
  <si>
    <t>Lease liability - Aug26</t>
  </si>
  <si>
    <t>Rental for  September 2026</t>
  </si>
  <si>
    <t>Electricity Bill for #14-04 - July 2026</t>
  </si>
  <si>
    <t>Monthly Subscription 28 Jul 2026 to 27 Aug 2026</t>
  </si>
  <si>
    <t>Statutory Contribution - 07/26</t>
  </si>
  <si>
    <t>Net Pay - July 2026</t>
  </si>
  <si>
    <t>Cleaning Fees July 2026</t>
  </si>
  <si>
    <t>AWS Consumption May  2026</t>
  </si>
  <si>
    <t>AWS Consumption May 2026</t>
  </si>
  <si>
    <t>Lease liability - Jul26</t>
  </si>
  <si>
    <t>Rental for August 2026</t>
  </si>
  <si>
    <t>Electricity Bill for #14-04 - June 2026</t>
  </si>
  <si>
    <t>Monthly Subscription 28 Jun 2026 to 27 Jul 2026</t>
  </si>
  <si>
    <t>INV-735105</t>
  </si>
  <si>
    <t>IN-6786349</t>
  </si>
  <si>
    <t>Statutory Contribution - 06/26</t>
  </si>
  <si>
    <t>Net Pay - June 2026</t>
  </si>
  <si>
    <t>Cleaning Fees June 2026</t>
  </si>
  <si>
    <t xml:space="preserve"> -   </t>
  </si>
  <si>
    <t>Statutory Contribution - May 2026</t>
  </si>
  <si>
    <t>Statutory Contribution - April 2026</t>
  </si>
  <si>
    <t>April2026</t>
  </si>
  <si>
    <t>Flight from SG to Shanghai</t>
  </si>
  <si>
    <t>Air China</t>
  </si>
  <si>
    <t>March2026</t>
  </si>
  <si>
    <t>INV 2602003, INV 2602004, INV 2602005</t>
  </si>
  <si>
    <t xml:space="preserve">	Tansen Izakaya Mamafuku - Business meal</t>
  </si>
  <si>
    <t>Statutory Contribution - March 2026</t>
  </si>
  <si>
    <t>Uncle Fong Hot Pot</t>
  </si>
  <si>
    <t>Bonus - March 2026</t>
  </si>
  <si>
    <t xml:space="preserve">	Refund for Fit in and Fit out deposit for unit #14-04</t>
  </si>
  <si>
    <t xml:space="preserve">Gtrontec Technology Pte Ltd </t>
  </si>
  <si>
    <t>Drinking water for office - Mar26</t>
  </si>
  <si>
    <t xml:space="preserve">T2610001012, T2610000724, T2610002128	</t>
  </si>
  <si>
    <t>Non-deductible expenses as it is from 2025</t>
  </si>
  <si>
    <t>Jurong Centre Clinic Pte Ltd</t>
  </si>
  <si>
    <t xml:space="preserve">	Grant Received</t>
  </si>
  <si>
    <t>Statutory Contribution - February 2026</t>
  </si>
  <si>
    <t>Loan repayment from Alpha X Innovation Sdn Bhd</t>
  </si>
  <si>
    <t>Fixed Assets takeover</t>
  </si>
  <si>
    <t>LG Electronics Singapore Pte Ltd</t>
  </si>
  <si>
    <t>Drinking water for office - February 2026</t>
  </si>
  <si>
    <t>Staff Insurance Jan- Dec 2026</t>
  </si>
  <si>
    <t>AIA Singapore Private Limited</t>
  </si>
  <si>
    <t>SG office internet from 12 Feb to 11 Mar 2026</t>
  </si>
  <si>
    <t>Office rental for March 2026</t>
  </si>
  <si>
    <t>XERO for Malaysia - 28 Fen to 27 Mar 2026</t>
  </si>
  <si>
    <t>IN-6472279</t>
  </si>
  <si>
    <t xml:space="preserve">Xero </t>
  </si>
  <si>
    <t>Implementation fees – CN-Suzhou (UAT Completion)
AX JIT - IOT BOX</t>
  </si>
  <si>
    <t>January2026</t>
  </si>
  <si>
    <t>Replace faulty parts for double leaf</t>
  </si>
  <si>
    <t xml:space="preserve">  </t>
  </si>
  <si>
    <t>Paulaner Brauhaus Micro Brewery Restaurant</t>
  </si>
  <si>
    <t>Statutory Contribution - January 2026</t>
  </si>
  <si>
    <t>IN-6396728</t>
  </si>
  <si>
    <t xml:space="preserve">XERO </t>
  </si>
  <si>
    <t>INV-63554</t>
  </si>
  <si>
    <t>JK Technology Pte Lted</t>
  </si>
  <si>
    <t>Internet 12Jun26 to 11Jul26</t>
  </si>
  <si>
    <t>63721230/0025</t>
  </si>
  <si>
    <t>Internet 12May26 to 11Jun26</t>
  </si>
  <si>
    <t>63721230/0024</t>
  </si>
  <si>
    <t>CE/2937450</t>
  </si>
  <si>
    <t>CE/2931962</t>
  </si>
  <si>
    <t>Consulation fee - Jan 2026 to May 2026</t>
  </si>
  <si>
    <t>18/06/2026</t>
  </si>
  <si>
    <t xml:space="preserve">Reimbursement for Shenzhen Ziteng IP Agency Co., Ltd. </t>
  </si>
  <si>
    <t>Professional Fee - Nov &amp; Dec25, swift code : DHBKHKHH</t>
  </si>
  <si>
    <t>AWS Consumption April 2026</t>
  </si>
  <si>
    <t>I26061448</t>
  </si>
  <si>
    <t>AWS Consumption March 2026</t>
  </si>
  <si>
    <t>I26061436</t>
  </si>
  <si>
    <t>Lease liability - Jun26</t>
  </si>
  <si>
    <t>I26062036</t>
  </si>
  <si>
    <t>I26062037</t>
  </si>
  <si>
    <t>I26062038</t>
  </si>
  <si>
    <t>Lease liability - Feb26 (Invoice dated 26Feb2026, received on 12Jun2026)</t>
  </si>
  <si>
    <t>I26031287</t>
  </si>
  <si>
    <t>Lease liability - Apr26</t>
  </si>
  <si>
    <t>I26048338</t>
  </si>
  <si>
    <t>I26048339</t>
  </si>
  <si>
    <t>I26048340</t>
  </si>
  <si>
    <t>Rental for July 2026</t>
  </si>
  <si>
    <t>SOT3-020953</t>
  </si>
  <si>
    <t>Travelling Expenses  - November 2025</t>
  </si>
  <si>
    <t>GCES-2025-0349-01-IN05</t>
  </si>
  <si>
    <t>Travelling Expenses  - January to March 2026</t>
  </si>
  <si>
    <t>GCES-2025-0349-01-IN03</t>
  </si>
  <si>
    <t>14/06/2026</t>
  </si>
  <si>
    <t>Electricity Bill for #14-04 - May 2026</t>
  </si>
  <si>
    <t>T2610004197</t>
  </si>
  <si>
    <t>SBF Subscription Fee for the period from Jan To Dec 2026</t>
  </si>
  <si>
    <t>Singapore Business Federation</t>
  </si>
  <si>
    <t>Malaysia_Passport Check</t>
  </si>
  <si>
    <t>eeCheck Limited</t>
  </si>
  <si>
    <t>Supply 5 Bottles x 19L mineral water December2026</t>
  </si>
  <si>
    <t>H Space Holdings Sdn Bhd</t>
  </si>
  <si>
    <t>Monthly cleaning service December 2026</t>
  </si>
  <si>
    <t>Supply 5 Bottles x 19L mineral water November 2026</t>
  </si>
  <si>
    <t>Monthly cleaning service November 2026</t>
  </si>
  <si>
    <t>Supply 5 Bottles x 19L mineral water October2026</t>
  </si>
  <si>
    <t>Monthly cleaning service October 2026</t>
  </si>
  <si>
    <t>Supply 5 Bottles x 19L mineral water September 2026</t>
  </si>
  <si>
    <t>Monthly cleaning service September 2026</t>
  </si>
  <si>
    <t>Supply 5 Bottles x 19L mineral water August 2026</t>
  </si>
  <si>
    <t>Monthly cleaning service August 2026</t>
  </si>
  <si>
    <t>Supply 5 Bottles x 19L mineral water July 2026</t>
  </si>
  <si>
    <t>Monthly cleaning service July 2026</t>
  </si>
  <si>
    <t>Supply 13 Bottles x 19L mineral water: 11 &amp; 23 June 2026</t>
  </si>
  <si>
    <t>Monthly cleaning service June 2026</t>
  </si>
  <si>
    <t>Supply 5 Bottles x 19L mineral water: 26 May 2026</t>
  </si>
  <si>
    <t>2605006</t>
  </si>
  <si>
    <t>Monthly cleaning service May 2026</t>
  </si>
  <si>
    <t>Wifi December 2026</t>
  </si>
  <si>
    <t>Company Tax Instalment 12/2026</t>
  </si>
  <si>
    <t>Disbursement - Printing &amp; Stationery</t>
  </si>
  <si>
    <t>AUDX.22646</t>
  </si>
  <si>
    <t>CJ Phang &amp; Co PLT</t>
  </si>
  <si>
    <t>Audit Fee for Financial Year Ended 31 December 2025</t>
  </si>
  <si>
    <t>Net Pay - 12/26</t>
  </si>
  <si>
    <t>MY Staff</t>
  </si>
  <si>
    <t>Wifi November 2026</t>
  </si>
  <si>
    <t>Laptop Leasing payment for December 2026</t>
  </si>
  <si>
    <t>Rental December 2026</t>
  </si>
  <si>
    <t>Company Tax Instalment 11/2026</t>
  </si>
  <si>
    <t>Net Pay - 11/26</t>
  </si>
  <si>
    <t>Wifis October 2026</t>
  </si>
  <si>
    <t>Laptop Leasing payment for November 2026</t>
  </si>
  <si>
    <t>Rental November 2026</t>
  </si>
  <si>
    <t>Company Tax Instalment 10/2026</t>
  </si>
  <si>
    <t>Net Pay - 10/26</t>
  </si>
  <si>
    <t>Wifi  September 2026</t>
  </si>
  <si>
    <t>Laptop Leasing payment for October 2026</t>
  </si>
  <si>
    <t>Rental October 2026</t>
  </si>
  <si>
    <t>Company Tax Instalment 09/2026</t>
  </si>
  <si>
    <t>Net Pay - 09/26</t>
  </si>
  <si>
    <t>Wifi August 2026</t>
  </si>
  <si>
    <t>Laptop Leasing payment for September 2026</t>
  </si>
  <si>
    <t>Rental September 2026</t>
  </si>
  <si>
    <t>Company Tax Instalment 08/2026</t>
  </si>
  <si>
    <t>Net Pay - 08/26</t>
  </si>
  <si>
    <t>Wifi July 2026</t>
  </si>
  <si>
    <t>Laptop Leasing payment for August 2026</t>
  </si>
  <si>
    <t>Rental August 2026</t>
  </si>
  <si>
    <t>Company Tax Instalment 07/2026</t>
  </si>
  <si>
    <t>Net Pay - 07/26</t>
  </si>
  <si>
    <t>Wifi June 2026</t>
  </si>
  <si>
    <t>Laptop Leasing payment for July 2026</t>
  </si>
  <si>
    <t>Malaysia Airline-KL to Manila (Ng Jia Yong)</t>
  </si>
  <si>
    <t>Malaysia Airline</t>
  </si>
  <si>
    <t>Malaysia Airline-KL to Manila (Chan Yeik Kam)</t>
  </si>
  <si>
    <t>Malaysia Airline-KL to Manila (Chen Chee Khen)</t>
  </si>
  <si>
    <t>Malaysia Airline-KL to Manila (Goh Ai Ping)</t>
  </si>
  <si>
    <t>Rental July 2026</t>
  </si>
  <si>
    <t>IV20002916</t>
  </si>
  <si>
    <t>Company Tax Instalment 06/2026</t>
  </si>
  <si>
    <t>Net Pay - 06/26</t>
  </si>
  <si>
    <t>Net Pay - 05/26</t>
  </si>
  <si>
    <t>R&amp;D - MY Team</t>
  </si>
  <si>
    <t xml:space="preserve"> OCBC MYR </t>
  </si>
  <si>
    <t>Bank Charges 15/05/2026</t>
  </si>
  <si>
    <t>ERROR</t>
  </si>
  <si>
    <t>INTEREST RECEIVED</t>
  </si>
  <si>
    <t>PCB Monthly Tax Deduction March 2026</t>
  </si>
  <si>
    <t>15/05/2026</t>
  </si>
  <si>
    <t>Wifi May 2026 (25/05/2026 - 24/06/2026)</t>
  </si>
  <si>
    <t>INV2026052618976704</t>
  </si>
  <si>
    <t>Laptop Leasing payment for June 2026</t>
  </si>
  <si>
    <t>CN Staff</t>
  </si>
  <si>
    <t>代理记账服务费-2026.07</t>
  </si>
  <si>
    <t>人力资源服务费-成都 &amp; 上海 2026.06</t>
  </si>
  <si>
    <t>代理记账服务费-2026.06</t>
  </si>
  <si>
    <t>房租2026-07-01 2026-09-30</t>
  </si>
  <si>
    <t>办公室电费+空调费-2026.04</t>
  </si>
  <si>
    <t>人力资源服务-代收代付 2026.06</t>
  </si>
  <si>
    <t>人力资源服务费-成都 &amp; 上海 2026.05</t>
  </si>
  <si>
    <t>显示器租赁费-2026年5月</t>
  </si>
  <si>
    <t xml:space="preserve">General </t>
  </si>
  <si>
    <t xml:space="preserve">Professional &amp; Consultancy Fees </t>
  </si>
  <si>
    <t xml:space="preserve">企业现代服务-法人变更 </t>
  </si>
  <si>
    <t xml:space="preserve">服务费 </t>
  </si>
  <si>
    <t xml:space="preserve">上海三礼企业发展有限公司 </t>
  </si>
  <si>
    <t>显示器租赁费-2026年3月</t>
  </si>
  <si>
    <t xml:space="preserve">Payment Date/ Planned Date </t>
  </si>
  <si>
    <t>&lt;11/12/2025</t>
  </si>
  <si>
    <t>(All)</t>
  </si>
  <si>
    <t>(Multiple Items)</t>
  </si>
  <si>
    <t>2027</t>
  </si>
  <si>
    <t>章鱼AI-2026 Q2</t>
  </si>
  <si>
    <t>GT - Global Collaboration for R3</t>
  </si>
  <si>
    <t>S.E.H MA Package</t>
  </si>
  <si>
    <t xml:space="preserve">VSMC - Resources for Siview </t>
  </si>
  <si>
    <t>VSMC - Resources for Python</t>
  </si>
  <si>
    <t>Armstrong UAT support for Wuhan</t>
  </si>
  <si>
    <t>2026 Total</t>
  </si>
  <si>
    <t>Details for Sum of Amount (USD) - Entity: MY, Group: ERROR, Months (Payment Date/ Planned Date ): May, Years (Payment Date/ Planned Date ): 2026, Status: Paid (+)</t>
  </si>
  <si>
    <t>(blank)</t>
  </si>
  <si>
    <t>Details for Sum of Amount (USD) - Account Category: Headcount Costs, Entity: MY, Group: ERROR, Years (Payment Date/ Planned Date ): 2026, Department : Business Operation (+)</t>
  </si>
  <si>
    <t>Details for Sum of Amount (USD) - Account Category: Direct Costs, Entity: SG, Months (Payment Date/ Planned Date ): Jun, Years (Payment Date/ Planned Date ): 2026, Department : Business Operation (+)</t>
  </si>
  <si>
    <t>Details for Sum of Amount (USD) - Account Category: Accrual, Entity: SG, Months (Payment Date/ Planned Date ): May, Years (Payment Date/ Planned Date ): 2026, Department : Business Operation (+)</t>
  </si>
  <si>
    <t>Details for Sum of Amount (USD) - Account Code : Accrual - Expenses of 2025, Account Category: Accrual - Expenses of 2025, Months (Payment Date/ Planned Date ): Jun, Years (Payment Date/ Planned Date ): 2026, Department : Business Operation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</si>
</sst>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RM&quot;* #,##0.00_-;\-&quot;RM&quot;* #,##0.00_-;_-&quot;RM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00000"/>
    <numFmt numFmtId="166" formatCode="[$-14409]dd/mm/yyyy;@"/>
    <numFmt numFmtId="167" formatCode="0.00000"/>
    <numFmt numFmtId="168" formatCode="dd\ mmm\ yyyy"/>
    <numFmt numFmtId="169" formatCode="#,##0.00;\(#,##0.00\)"/>
    <numFmt numFmtId="170" formatCode="_-* #,##0.0000000_-;\-* #,##0.0000000_-;_-* &quot;-&quot;??_-;_-@_-"/>
    <numFmt numFmtId="171" formatCode="0.000000"/>
    <numFmt numFmtId="172" formatCode="[$-1046F]dd\-mm\-yyyy;@"/>
    <numFmt numFmtId="173" formatCode="dd/mm/yyyy"/>
    <numFmt numFmtId="174" formatCode="#,##0.000000;\(#,##0.000000\)"/>
  </numFmts>
  <fonts count="25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8"/>
      <name val="Calibri"/>
      <family val="2"/>
    </font>
    <font>
      <sz val="10"/>
      <color rgb="FF000000"/>
      <name val="Calibri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0"/>
      <name val="Calibri"/>
      <family val="2"/>
    </font>
    <font>
      <b/>
      <sz val="10"/>
      <color rgb="FFFF0000"/>
      <name val="Calibri"/>
      <family val="2"/>
    </font>
    <font>
      <b/>
      <sz val="10"/>
      <color theme="1"/>
      <name val="KaiTi"/>
      <family val="3"/>
    </font>
    <font>
      <sz val="10"/>
      <color theme="1"/>
      <name val="KaiTi"/>
      <family val="3"/>
    </font>
    <font>
      <b/>
      <sz val="12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7030A0"/>
      <name val="Calibri"/>
      <family val="2"/>
    </font>
    <font>
      <b/>
      <sz val="12"/>
      <color rgb="FF000000"/>
      <name val="Calibri"/>
      <family val="2"/>
    </font>
    <font>
      <sz val="10"/>
      <color rgb="FFFF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E36D6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332">
    <xf numFmtId="0" fontId="0" fillId="0" borderId="0" xfId="0"/>
    <xf numFmtId="43" fontId="0" fillId="0" borderId="0" xfId="1" applyFont="1" applyFill="1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43" fontId="0" fillId="0" borderId="0" xfId="1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43" fontId="2" fillId="0" borderId="0" xfId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4" fillId="3" borderId="0" xfId="0" applyNumberFormat="1" applyFont="1" applyFill="1" applyAlignment="1">
      <alignment horizontal="center" vertical="center"/>
    </xf>
    <xf numFmtId="43" fontId="4" fillId="3" borderId="0" xfId="1" applyFont="1" applyFill="1" applyAlignment="1">
      <alignment horizontal="center" vertical="center"/>
    </xf>
    <xf numFmtId="43" fontId="0" fillId="0" borderId="0" xfId="1" applyFont="1" applyFill="1" applyAlignment="1">
      <alignment vertical="center"/>
    </xf>
    <xf numFmtId="0" fontId="0" fillId="3" borderId="0" xfId="0" applyFill="1" applyAlignment="1">
      <alignment vertical="center"/>
    </xf>
    <xf numFmtId="43" fontId="0" fillId="0" borderId="0" xfId="1" applyFont="1" applyFill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44" fontId="0" fillId="0" borderId="0" xfId="0" applyNumberFormat="1" applyAlignment="1">
      <alignment horizontal="left" vertical="center"/>
    </xf>
    <xf numFmtId="44" fontId="0" fillId="0" borderId="0" xfId="0" applyNumberFormat="1" applyAlignment="1">
      <alignment vertical="center"/>
    </xf>
    <xf numFmtId="44" fontId="2" fillId="2" borderId="0" xfId="0" applyNumberFormat="1" applyFont="1" applyFill="1" applyAlignment="1">
      <alignment horizontal="center" vertical="center"/>
    </xf>
    <xf numFmtId="44" fontId="4" fillId="3" borderId="0" xfId="0" applyNumberFormat="1" applyFont="1" applyFill="1" applyAlignment="1">
      <alignment horizontal="center" vertical="center"/>
    </xf>
    <xf numFmtId="44" fontId="0" fillId="3" borderId="0" xfId="0" applyNumberFormat="1" applyFill="1" applyAlignment="1">
      <alignment vertical="center"/>
    </xf>
    <xf numFmtId="44" fontId="0" fillId="0" borderId="0" xfId="1" applyNumberFormat="1" applyFont="1" applyAlignment="1">
      <alignment vertical="center"/>
    </xf>
    <xf numFmtId="44" fontId="2" fillId="2" borderId="0" xfId="1" applyNumberFormat="1" applyFont="1" applyFill="1" applyAlignment="1">
      <alignment horizontal="center" vertical="center"/>
    </xf>
    <xf numFmtId="44" fontId="2" fillId="0" borderId="0" xfId="1" applyNumberFormat="1" applyFont="1" applyFill="1" applyAlignment="1">
      <alignment horizontal="center" vertical="center"/>
    </xf>
    <xf numFmtId="44" fontId="4" fillId="3" borderId="0" xfId="1" applyNumberFormat="1" applyFont="1" applyFill="1" applyAlignment="1">
      <alignment horizontal="center" vertical="center"/>
    </xf>
    <xf numFmtId="44" fontId="0" fillId="0" borderId="0" xfId="1" applyNumberFormat="1" applyFont="1" applyFill="1" applyAlignment="1">
      <alignment vertical="center"/>
    </xf>
    <xf numFmtId="44" fontId="0" fillId="0" borderId="0" xfId="0" applyNumberFormat="1" applyAlignment="1">
      <alignment horizontal="center" vertical="center"/>
    </xf>
    <xf numFmtId="44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0" fillId="0" borderId="0" xfId="1" applyFont="1" applyFill="1" applyBorder="1" applyAlignment="1">
      <alignment vertical="center"/>
    </xf>
    <xf numFmtId="44" fontId="0" fillId="4" borderId="0" xfId="1" applyNumberFormat="1" applyFont="1" applyFill="1" applyAlignment="1">
      <alignment vertical="center"/>
    </xf>
    <xf numFmtId="0" fontId="0" fillId="0" borderId="0" xfId="0" applyAlignment="1">
      <alignment horizontal="center"/>
    </xf>
    <xf numFmtId="43" fontId="0" fillId="0" borderId="0" xfId="1" applyFont="1"/>
    <xf numFmtId="14" fontId="0" fillId="0" borderId="0" xfId="0" applyNumberFormat="1"/>
    <xf numFmtId="43" fontId="0" fillId="0" borderId="0" xfId="0" applyNumberFormat="1"/>
    <xf numFmtId="43" fontId="7" fillId="0" borderId="0" xfId="1" applyFont="1"/>
    <xf numFmtId="0" fontId="9" fillId="0" borderId="0" xfId="2" applyFont="1" applyAlignment="1">
      <alignment vertical="center"/>
    </xf>
    <xf numFmtId="0" fontId="10" fillId="0" borderId="0" xfId="2" applyFont="1"/>
    <xf numFmtId="0" fontId="11" fillId="0" borderId="0" xfId="2" applyFont="1" applyAlignment="1">
      <alignment vertical="center"/>
    </xf>
    <xf numFmtId="0" fontId="11" fillId="0" borderId="0" xfId="2" applyFont="1"/>
    <xf numFmtId="0" fontId="8" fillId="0" borderId="0" xfId="2"/>
    <xf numFmtId="0" fontId="12" fillId="0" borderId="7" xfId="2" applyFont="1" applyBorder="1" applyAlignment="1">
      <alignment horizontal="left" vertical="center"/>
    </xf>
    <xf numFmtId="0" fontId="12" fillId="0" borderId="7" xfId="2" applyFont="1" applyBorder="1" applyAlignment="1">
      <alignment horizontal="right" vertical="center"/>
    </xf>
    <xf numFmtId="0" fontId="13" fillId="0" borderId="0" xfId="2" applyFont="1"/>
    <xf numFmtId="0" fontId="12" fillId="0" borderId="7" xfId="2" applyFont="1" applyBorder="1" applyAlignment="1">
      <alignment vertical="center"/>
    </xf>
    <xf numFmtId="168" fontId="8" fillId="0" borderId="0" xfId="2" applyNumberFormat="1" applyAlignment="1">
      <alignment horizontal="left" vertical="center"/>
    </xf>
    <xf numFmtId="0" fontId="8" fillId="0" borderId="0" xfId="2" applyAlignment="1">
      <alignment vertical="center"/>
    </xf>
    <xf numFmtId="0" fontId="8" fillId="0" borderId="0" xfId="2" applyAlignment="1">
      <alignment horizontal="left" vertical="center"/>
    </xf>
    <xf numFmtId="169" fontId="8" fillId="0" borderId="0" xfId="2" applyNumberFormat="1" applyAlignment="1">
      <alignment horizontal="right" vertical="center"/>
    </xf>
    <xf numFmtId="168" fontId="8" fillId="0" borderId="8" xfId="2" applyNumberFormat="1" applyBorder="1" applyAlignment="1">
      <alignment horizontal="left" vertical="center"/>
    </xf>
    <xf numFmtId="0" fontId="8" fillId="0" borderId="8" xfId="2" applyBorder="1" applyAlignment="1">
      <alignment vertical="center"/>
    </xf>
    <xf numFmtId="0" fontId="8" fillId="0" borderId="8" xfId="2" applyBorder="1" applyAlignment="1">
      <alignment horizontal="left" vertical="center"/>
    </xf>
    <xf numFmtId="169" fontId="8" fillId="0" borderId="8" xfId="2" applyNumberFormat="1" applyBorder="1" applyAlignment="1">
      <alignment horizontal="right" vertical="center"/>
    </xf>
    <xf numFmtId="0" fontId="14" fillId="0" borderId="8" xfId="2" applyFont="1" applyBorder="1" applyAlignment="1">
      <alignment vertical="center"/>
    </xf>
    <xf numFmtId="0" fontId="14" fillId="0" borderId="8" xfId="2" applyFont="1" applyBorder="1" applyAlignment="1">
      <alignment horizontal="left" vertical="center"/>
    </xf>
    <xf numFmtId="169" fontId="14" fillId="0" borderId="8" xfId="2" applyNumberFormat="1" applyFont="1" applyBorder="1" applyAlignment="1">
      <alignment horizontal="right" vertical="center"/>
    </xf>
    <xf numFmtId="0" fontId="8" fillId="0" borderId="0" xfId="2" applyAlignment="1">
      <alignment vertical="center" wrapText="1"/>
    </xf>
    <xf numFmtId="2" fontId="8" fillId="0" borderId="0" xfId="2" applyNumberFormat="1" applyAlignment="1">
      <alignment horizontal="left" vertical="center"/>
    </xf>
    <xf numFmtId="2" fontId="14" fillId="0" borderId="8" xfId="2" applyNumberFormat="1" applyFont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5" borderId="0" xfId="1" applyFont="1" applyFill="1"/>
    <xf numFmtId="0" fontId="0" fillId="5" borderId="0" xfId="0" applyFill="1" applyAlignment="1">
      <alignment vertical="center"/>
    </xf>
    <xf numFmtId="0" fontId="3" fillId="0" borderId="0" xfId="0" applyFont="1"/>
    <xf numFmtId="0" fontId="0" fillId="6" borderId="0" xfId="0" applyFill="1"/>
    <xf numFmtId="166" fontId="4" fillId="0" borderId="0" xfId="0" applyNumberFormat="1" applyFont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4" fontId="2" fillId="2" borderId="0" xfId="1" applyNumberFormat="1" applyFont="1" applyFill="1" applyBorder="1" applyAlignment="1">
      <alignment horizontal="center" vertical="center"/>
    </xf>
    <xf numFmtId="44" fontId="4" fillId="3" borderId="0" xfId="1" applyNumberFormat="1" applyFont="1" applyFill="1" applyBorder="1" applyAlignment="1">
      <alignment horizontal="center" vertical="center"/>
    </xf>
    <xf numFmtId="43" fontId="2" fillId="2" borderId="0" xfId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4" fontId="2" fillId="3" borderId="0" xfId="0" applyNumberFormat="1" applyFont="1" applyFill="1" applyAlignment="1">
      <alignment horizontal="center" vertical="center"/>
    </xf>
    <xf numFmtId="43" fontId="4" fillId="3" borderId="0" xfId="1" applyFont="1" applyFill="1" applyBorder="1" applyAlignment="1">
      <alignment horizontal="center" vertical="center"/>
    </xf>
    <xf numFmtId="0" fontId="0" fillId="5" borderId="0" xfId="0" applyFill="1"/>
    <xf numFmtId="43" fontId="2" fillId="3" borderId="0" xfId="1" applyFont="1" applyFill="1" applyAlignment="1">
      <alignment horizontal="center" vertical="center"/>
    </xf>
    <xf numFmtId="44" fontId="2" fillId="3" borderId="0" xfId="1" applyNumberFormat="1" applyFont="1" applyFill="1" applyAlignment="1">
      <alignment horizontal="center" vertical="center"/>
    </xf>
    <xf numFmtId="44" fontId="2" fillId="3" borderId="0" xfId="0" applyNumberFormat="1" applyFont="1" applyFill="1" applyAlignment="1">
      <alignment horizontal="left" vertical="center"/>
    </xf>
    <xf numFmtId="0" fontId="2" fillId="2" borderId="0" xfId="0" applyFont="1" applyFill="1"/>
    <xf numFmtId="43" fontId="2" fillId="2" borderId="0" xfId="1" applyFont="1" applyFill="1"/>
    <xf numFmtId="14" fontId="0" fillId="0" borderId="0" xfId="0" applyNumberFormat="1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2"/>
    </xf>
    <xf numFmtId="0" fontId="2" fillId="2" borderId="0" xfId="0" applyFont="1" applyFill="1" applyAlignment="1">
      <alignment horizontal="center"/>
    </xf>
    <xf numFmtId="0" fontId="0" fillId="7" borderId="0" xfId="0" applyFill="1"/>
    <xf numFmtId="14" fontId="0" fillId="7" borderId="0" xfId="0" applyNumberFormat="1" applyFill="1"/>
    <xf numFmtId="0" fontId="0" fillId="7" borderId="0" xfId="0" applyFill="1" applyAlignment="1">
      <alignment horizontal="center"/>
    </xf>
    <xf numFmtId="43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43" fontId="2" fillId="2" borderId="0" xfId="1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2" fillId="0" borderId="0" xfId="0" applyFont="1"/>
    <xf numFmtId="0" fontId="0" fillId="0" borderId="0" xfId="0" applyAlignment="1">
      <alignment horizontal="left" indent="4"/>
    </xf>
    <xf numFmtId="14" fontId="0" fillId="0" borderId="0" xfId="0" applyNumberFormat="1" applyAlignment="1">
      <alignment horizontal="left" indent="3"/>
    </xf>
    <xf numFmtId="167" fontId="2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left"/>
    </xf>
    <xf numFmtId="14" fontId="0" fillId="11" borderId="0" xfId="0" applyNumberFormat="1" applyFill="1"/>
    <xf numFmtId="0" fontId="0" fillId="11" borderId="0" xfId="0" applyFill="1" applyAlignment="1">
      <alignment horizontal="center"/>
    </xf>
    <xf numFmtId="0" fontId="0" fillId="0" borderId="0" xfId="0" applyAlignment="1">
      <alignment wrapText="1"/>
    </xf>
    <xf numFmtId="0" fontId="0" fillId="0" borderId="0" xfId="1" applyNumberFormat="1" applyFont="1" applyAlignment="1">
      <alignment vertical="center"/>
    </xf>
    <xf numFmtId="0" fontId="0" fillId="0" borderId="0" xfId="1" applyNumberFormat="1" applyFont="1" applyFill="1" applyAlignment="1">
      <alignment vertical="center"/>
    </xf>
    <xf numFmtId="0" fontId="0" fillId="0" borderId="0" xfId="1" quotePrefix="1" applyNumberFormat="1" applyFont="1" applyFill="1" applyAlignment="1">
      <alignment vertical="center"/>
    </xf>
    <xf numFmtId="0" fontId="1" fillId="0" borderId="0" xfId="1" applyNumberFormat="1" applyFont="1" applyFill="1" applyAlignment="1">
      <alignment vertical="center"/>
    </xf>
    <xf numFmtId="0" fontId="0" fillId="0" borderId="0" xfId="1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164" fontId="0" fillId="0" borderId="0" xfId="1" applyNumberFormat="1" applyFont="1" applyFill="1" applyAlignment="1">
      <alignment vertical="center"/>
    </xf>
    <xf numFmtId="164" fontId="0" fillId="0" borderId="0" xfId="1" applyNumberFormat="1" applyFont="1" applyFill="1" applyBorder="1" applyAlignment="1">
      <alignment vertical="center"/>
    </xf>
    <xf numFmtId="171" fontId="0" fillId="0" borderId="0" xfId="0" applyNumberFormat="1"/>
    <xf numFmtId="171" fontId="0" fillId="11" borderId="0" xfId="0" applyNumberFormat="1" applyFill="1"/>
    <xf numFmtId="171" fontId="0" fillId="7" borderId="0" xfId="0" applyNumberFormat="1" applyFill="1"/>
    <xf numFmtId="0" fontId="6" fillId="0" borderId="0" xfId="0" applyFont="1"/>
    <xf numFmtId="0" fontId="21" fillId="0" borderId="0" xfId="0" applyFont="1"/>
    <xf numFmtId="0" fontId="4" fillId="13" borderId="0" xfId="0" applyFont="1" applyFill="1"/>
    <xf numFmtId="0" fontId="6" fillId="13" borderId="0" xfId="0" applyFont="1" applyFill="1"/>
    <xf numFmtId="0" fontId="2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13" borderId="0" xfId="0" applyFont="1" applyFill="1" applyAlignment="1">
      <alignment horizontal="center"/>
    </xf>
    <xf numFmtId="14" fontId="4" fillId="13" borderId="0" xfId="0" applyNumberFormat="1" applyFont="1" applyFill="1" applyAlignment="1">
      <alignment horizontal="center"/>
    </xf>
    <xf numFmtId="14" fontId="6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14" fontId="21" fillId="0" borderId="0" xfId="0" applyNumberFormat="1" applyFont="1" applyAlignment="1">
      <alignment horizontal="center"/>
    </xf>
    <xf numFmtId="0" fontId="21" fillId="2" borderId="0" xfId="0" applyFont="1" applyFill="1" applyAlignment="1">
      <alignment horizontal="center"/>
    </xf>
    <xf numFmtId="0" fontId="20" fillId="0" borderId="0" xfId="0" applyFont="1" applyAlignment="1">
      <alignment horizontal="left"/>
    </xf>
    <xf numFmtId="0" fontId="6" fillId="13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2" borderId="0" xfId="1" applyNumberFormat="1" applyFont="1" applyFill="1" applyBorder="1" applyAlignment="1">
      <alignment horizontal="center" vertical="center"/>
    </xf>
    <xf numFmtId="0" fontId="4" fillId="3" borderId="0" xfId="1" applyNumberFormat="1" applyFont="1" applyFill="1" applyAlignment="1">
      <alignment horizontal="center" vertical="center"/>
    </xf>
    <xf numFmtId="0" fontId="0" fillId="7" borderId="0" xfId="1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1" applyNumberFormat="1" applyFont="1" applyFill="1" applyBorder="1" applyAlignment="1">
      <alignment horizontal="center" vertical="center"/>
    </xf>
    <xf numFmtId="0" fontId="4" fillId="3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1" quotePrefix="1" applyNumberFormat="1" applyFont="1" applyAlignment="1">
      <alignment vertical="center"/>
    </xf>
    <xf numFmtId="0" fontId="0" fillId="0" borderId="0" xfId="1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7" borderId="0" xfId="1" applyNumberFormat="1" applyFont="1" applyFill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1" applyNumberFormat="1" applyFont="1" applyFill="1" applyBorder="1" applyAlignment="1">
      <alignment vertical="center"/>
    </xf>
    <xf numFmtId="0" fontId="2" fillId="2" borderId="0" xfId="1" applyNumberFormat="1" applyFont="1" applyFill="1" applyAlignment="1">
      <alignment horizontal="center" vertical="center"/>
    </xf>
    <xf numFmtId="0" fontId="0" fillId="0" borderId="0" xfId="0" quotePrefix="1" applyAlignment="1">
      <alignment vertical="center"/>
    </xf>
    <xf numFmtId="172" fontId="0" fillId="0" borderId="0" xfId="0" applyNumberFormat="1"/>
    <xf numFmtId="167" fontId="0" fillId="0" borderId="0" xfId="0" applyNumberFormat="1" applyAlignment="1">
      <alignment horizontal="center"/>
    </xf>
    <xf numFmtId="0" fontId="2" fillId="3" borderId="0" xfId="0" applyFont="1" applyFill="1" applyAlignment="1">
      <alignment horizontal="left" vertical="center"/>
    </xf>
    <xf numFmtId="44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44" fontId="4" fillId="3" borderId="0" xfId="0" applyNumberFormat="1" applyFont="1" applyFill="1" applyAlignment="1">
      <alignment horizontal="left" vertical="center"/>
    </xf>
    <xf numFmtId="173" fontId="2" fillId="2" borderId="0" xfId="0" applyNumberFormat="1" applyFont="1" applyFill="1" applyAlignment="1">
      <alignment horizontal="center"/>
    </xf>
    <xf numFmtId="173" fontId="0" fillId="0" borderId="0" xfId="0" applyNumberFormat="1"/>
    <xf numFmtId="173" fontId="0" fillId="0" borderId="0" xfId="0" applyNumberFormat="1" applyAlignment="1">
      <alignment horizontal="center"/>
    </xf>
    <xf numFmtId="1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4" fontId="2" fillId="2" borderId="0" xfId="0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left" vertical="center"/>
    </xf>
    <xf numFmtId="173" fontId="0" fillId="0" borderId="0" xfId="0" applyNumberFormat="1" applyAlignment="1">
      <alignment horizontal="center" vertical="center"/>
    </xf>
    <xf numFmtId="0" fontId="15" fillId="0" borderId="0" xfId="0" applyFont="1" applyAlignment="1">
      <alignment vertical="center"/>
    </xf>
    <xf numFmtId="173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43" fontId="0" fillId="0" borderId="9" xfId="1" applyFont="1" applyBorder="1" applyAlignment="1">
      <alignment vertical="center"/>
    </xf>
    <xf numFmtId="170" fontId="0" fillId="0" borderId="0" xfId="1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4" fontId="18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43" fontId="18" fillId="0" borderId="0" xfId="1" applyFont="1" applyAlignment="1">
      <alignment vertical="center"/>
    </xf>
    <xf numFmtId="173" fontId="2" fillId="2" borderId="0" xfId="0" applyNumberFormat="1" applyFont="1" applyFill="1" applyAlignment="1">
      <alignment horizontal="center" vertical="center"/>
    </xf>
    <xf numFmtId="0" fontId="0" fillId="11" borderId="0" xfId="0" applyFill="1"/>
    <xf numFmtId="0" fontId="4" fillId="3" borderId="0" xfId="1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1" applyNumberFormat="1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22" fillId="13" borderId="0" xfId="0" applyFont="1" applyFill="1" applyAlignment="1">
      <alignment vertical="center"/>
    </xf>
    <xf numFmtId="166" fontId="2" fillId="2" borderId="0" xfId="0" applyNumberFormat="1" applyFont="1" applyFill="1" applyAlignment="1">
      <alignment horizontal="center" vertical="top"/>
    </xf>
    <xf numFmtId="0" fontId="19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43" fontId="20" fillId="0" borderId="0" xfId="1" applyFont="1" applyFill="1" applyAlignment="1">
      <alignment horizontal="center" vertical="center"/>
    </xf>
    <xf numFmtId="44" fontId="20" fillId="0" borderId="0" xfId="1" applyNumberFormat="1" applyFont="1" applyFill="1" applyAlignment="1">
      <alignment horizontal="center" vertical="center"/>
    </xf>
    <xf numFmtId="44" fontId="20" fillId="0" borderId="0" xfId="0" applyNumberFormat="1" applyFont="1" applyAlignment="1">
      <alignment horizontal="center" vertical="center"/>
    </xf>
    <xf numFmtId="44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173" fontId="20" fillId="0" borderId="0" xfId="0" applyNumberFormat="1" applyFont="1" applyAlignment="1">
      <alignment horizontal="center" vertical="center"/>
    </xf>
    <xf numFmtId="173" fontId="4" fillId="3" borderId="0" xfId="0" applyNumberFormat="1" applyFont="1" applyFill="1" applyAlignment="1">
      <alignment horizontal="center" vertical="center"/>
    </xf>
    <xf numFmtId="169" fontId="0" fillId="0" borderId="0" xfId="0" applyNumberFormat="1" applyAlignment="1">
      <alignment vertical="center"/>
    </xf>
    <xf numFmtId="169" fontId="0" fillId="0" borderId="0" xfId="0" applyNumberFormat="1" applyAlignment="1">
      <alignment horizontal="right" vertical="center"/>
    </xf>
    <xf numFmtId="169" fontId="0" fillId="0" borderId="0" xfId="1" applyNumberFormat="1" applyFont="1" applyFill="1" applyAlignment="1">
      <alignment vertical="center"/>
    </xf>
    <xf numFmtId="169" fontId="3" fillId="0" borderId="0" xfId="0" applyNumberFormat="1" applyFont="1" applyAlignment="1">
      <alignment horizontal="center" vertical="center"/>
    </xf>
    <xf numFmtId="169" fontId="2" fillId="2" borderId="0" xfId="1" applyNumberFormat="1" applyFont="1" applyFill="1" applyBorder="1" applyAlignment="1">
      <alignment horizontal="center" vertical="center"/>
    </xf>
    <xf numFmtId="169" fontId="4" fillId="3" borderId="0" xfId="1" applyNumberFormat="1" applyFont="1" applyFill="1" applyAlignment="1">
      <alignment horizontal="center" vertical="center"/>
    </xf>
    <xf numFmtId="169" fontId="4" fillId="3" borderId="0" xfId="1" applyNumberFormat="1" applyFont="1" applyFill="1" applyAlignment="1">
      <alignment horizontal="right" vertical="center"/>
    </xf>
    <xf numFmtId="169" fontId="0" fillId="0" borderId="0" xfId="1" applyNumberFormat="1" applyFont="1" applyFill="1" applyBorder="1" applyAlignment="1">
      <alignment vertical="center"/>
    </xf>
    <xf numFmtId="169" fontId="0" fillId="0" borderId="0" xfId="1" applyNumberFormat="1" applyFont="1" applyFill="1" applyBorder="1" applyAlignment="1">
      <alignment horizontal="right" vertical="center"/>
    </xf>
    <xf numFmtId="169" fontId="4" fillId="3" borderId="0" xfId="1" applyNumberFormat="1" applyFont="1" applyFill="1" applyBorder="1" applyAlignment="1">
      <alignment horizontal="center" vertical="center"/>
    </xf>
    <xf numFmtId="169" fontId="0" fillId="3" borderId="0" xfId="0" applyNumberFormat="1" applyFill="1" applyAlignment="1">
      <alignment vertical="center"/>
    </xf>
    <xf numFmtId="169" fontId="3" fillId="3" borderId="0" xfId="0" applyNumberFormat="1" applyFont="1" applyFill="1" applyAlignment="1">
      <alignment horizontal="right" vertical="center"/>
    </xf>
    <xf numFmtId="169" fontId="4" fillId="0" borderId="0" xfId="1" applyNumberFormat="1" applyFont="1" applyFill="1" applyBorder="1" applyAlignment="1">
      <alignment horizontal="center" vertical="center"/>
    </xf>
    <xf numFmtId="169" fontId="3" fillId="0" borderId="0" xfId="0" applyNumberFormat="1" applyFont="1" applyAlignment="1">
      <alignment horizontal="right" vertical="center"/>
    </xf>
    <xf numFmtId="169" fontId="4" fillId="3" borderId="0" xfId="1" applyNumberFormat="1" applyFont="1" applyFill="1" applyBorder="1" applyAlignment="1">
      <alignment horizontal="right" vertical="center"/>
    </xf>
    <xf numFmtId="169" fontId="0" fillId="0" borderId="0" xfId="1" applyNumberFormat="1" applyFont="1" applyFill="1" applyAlignment="1">
      <alignment horizontal="right" vertical="center"/>
    </xf>
    <xf numFmtId="169" fontId="0" fillId="0" borderId="0" xfId="1" applyNumberFormat="1" applyFont="1" applyAlignment="1">
      <alignment vertical="center"/>
    </xf>
    <xf numFmtId="169" fontId="3" fillId="3" borderId="0" xfId="1" applyNumberFormat="1" applyFont="1" applyFill="1" applyBorder="1" applyAlignment="1">
      <alignment vertical="center"/>
    </xf>
    <xf numFmtId="169" fontId="3" fillId="3" borderId="0" xfId="1" applyNumberFormat="1" applyFont="1" applyFill="1" applyBorder="1" applyAlignment="1">
      <alignment horizontal="right" vertical="center"/>
    </xf>
    <xf numFmtId="169" fontId="3" fillId="0" borderId="0" xfId="1" applyNumberFormat="1" applyFont="1" applyFill="1" applyBorder="1" applyAlignment="1">
      <alignment vertical="center"/>
    </xf>
    <xf numFmtId="169" fontId="3" fillId="0" borderId="0" xfId="1" applyNumberFormat="1" applyFont="1" applyFill="1" applyBorder="1" applyAlignment="1">
      <alignment horizontal="right" vertical="center"/>
    </xf>
    <xf numFmtId="169" fontId="6" fillId="0" borderId="0" xfId="1" applyNumberFormat="1" applyFont="1" applyFill="1" applyAlignment="1">
      <alignment horizontal="right" vertical="center"/>
    </xf>
    <xf numFmtId="169" fontId="3" fillId="0" borderId="0" xfId="1" applyNumberFormat="1" applyFont="1" applyFill="1" applyAlignment="1">
      <alignment horizontal="right" vertical="center"/>
    </xf>
    <xf numFmtId="169" fontId="0" fillId="0" borderId="0" xfId="1" applyNumberFormat="1" applyFont="1" applyAlignment="1">
      <alignment horizontal="right" vertical="center"/>
    </xf>
    <xf numFmtId="169" fontId="3" fillId="3" borderId="0" xfId="1" applyNumberFormat="1" applyFont="1" applyFill="1" applyAlignment="1">
      <alignment horizontal="right" vertical="center"/>
    </xf>
    <xf numFmtId="169" fontId="2" fillId="0" borderId="0" xfId="1" applyNumberFormat="1" applyFont="1" applyFill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169" fontId="0" fillId="0" borderId="2" xfId="1" applyNumberFormat="1" applyFont="1" applyFill="1" applyBorder="1" applyAlignment="1">
      <alignment horizontal="right" vertical="center"/>
    </xf>
    <xf numFmtId="169" fontId="0" fillId="0" borderId="3" xfId="1" applyNumberFormat="1" applyFont="1" applyFill="1" applyBorder="1" applyAlignment="1">
      <alignment horizontal="right" vertical="center"/>
    </xf>
    <xf numFmtId="169" fontId="0" fillId="3" borderId="0" xfId="0" applyNumberFormat="1" applyFill="1" applyAlignment="1">
      <alignment horizontal="right" vertical="center"/>
    </xf>
    <xf numFmtId="169" fontId="0" fillId="0" borderId="4" xfId="1" applyNumberFormat="1" applyFont="1" applyFill="1" applyBorder="1" applyAlignment="1">
      <alignment horizontal="right" vertical="center"/>
    </xf>
    <xf numFmtId="169" fontId="0" fillId="0" borderId="5" xfId="1" applyNumberFormat="1" applyFont="1" applyFill="1" applyBorder="1" applyAlignment="1">
      <alignment horizontal="right" vertical="center"/>
    </xf>
    <xf numFmtId="169" fontId="0" fillId="0" borderId="6" xfId="1" applyNumberFormat="1" applyFont="1" applyFill="1" applyBorder="1" applyAlignment="1">
      <alignment horizontal="right" vertical="center"/>
    </xf>
    <xf numFmtId="169" fontId="0" fillId="0" borderId="1" xfId="1" applyNumberFormat="1" applyFont="1" applyFill="1" applyBorder="1" applyAlignment="1">
      <alignment horizontal="right" vertical="center"/>
    </xf>
    <xf numFmtId="169" fontId="4" fillId="0" borderId="0" xfId="1" applyNumberFormat="1" applyFont="1" applyFill="1" applyBorder="1" applyAlignment="1">
      <alignment horizontal="right" vertical="center"/>
    </xf>
    <xf numFmtId="169" fontId="0" fillId="0" borderId="3" xfId="0" applyNumberFormat="1" applyBorder="1" applyAlignment="1">
      <alignment horizontal="right" vertical="center"/>
    </xf>
    <xf numFmtId="169" fontId="0" fillId="0" borderId="2" xfId="0" applyNumberFormat="1" applyBorder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169" fontId="3" fillId="0" borderId="0" xfId="1" applyNumberFormat="1" applyFont="1" applyAlignment="1">
      <alignment horizontal="center" vertical="center"/>
    </xf>
    <xf numFmtId="169" fontId="2" fillId="2" borderId="0" xfId="1" applyNumberFormat="1" applyFont="1" applyFill="1" applyAlignment="1">
      <alignment horizontal="center" vertical="center"/>
    </xf>
    <xf numFmtId="169" fontId="4" fillId="0" borderId="0" xfId="1" applyNumberFormat="1" applyFont="1" applyFill="1" applyAlignment="1">
      <alignment horizontal="center" vertical="center"/>
    </xf>
    <xf numFmtId="169" fontId="4" fillId="3" borderId="0" xfId="1" applyNumberFormat="1" applyFont="1" applyFill="1" applyBorder="1" applyAlignment="1">
      <alignment vertical="center"/>
    </xf>
    <xf numFmtId="169" fontId="3" fillId="3" borderId="0" xfId="0" applyNumberFormat="1" applyFont="1" applyFill="1" applyAlignment="1">
      <alignment vertical="center"/>
    </xf>
    <xf numFmtId="169" fontId="3" fillId="0" borderId="0" xfId="0" applyNumberFormat="1" applyFont="1" applyAlignment="1">
      <alignment vertical="center"/>
    </xf>
    <xf numFmtId="169" fontId="6" fillId="0" borderId="0" xfId="0" applyNumberFormat="1" applyFont="1"/>
    <xf numFmtId="169" fontId="20" fillId="0" borderId="0" xfId="0" applyNumberFormat="1" applyFont="1" applyAlignment="1">
      <alignment horizontal="center"/>
    </xf>
    <xf numFmtId="169" fontId="21" fillId="2" borderId="0" xfId="0" applyNumberFormat="1" applyFont="1" applyFill="1" applyAlignment="1">
      <alignment horizontal="center"/>
    </xf>
    <xf numFmtId="169" fontId="21" fillId="0" borderId="0" xfId="0" applyNumberFormat="1" applyFont="1"/>
    <xf numFmtId="169" fontId="4" fillId="13" borderId="0" xfId="0" applyNumberFormat="1" applyFont="1" applyFill="1"/>
    <xf numFmtId="169" fontId="6" fillId="13" borderId="0" xfId="0" applyNumberFormat="1" applyFont="1" applyFill="1"/>
    <xf numFmtId="169" fontId="20" fillId="13" borderId="0" xfId="0" applyNumberFormat="1" applyFont="1" applyFill="1"/>
    <xf numFmtId="169" fontId="6" fillId="0" borderId="4" xfId="0" applyNumberFormat="1" applyFont="1" applyBorder="1"/>
    <xf numFmtId="169" fontId="6" fillId="0" borderId="6" xfId="0" applyNumberFormat="1" applyFont="1" applyBorder="1"/>
    <xf numFmtId="169" fontId="20" fillId="0" borderId="0" xfId="1" applyNumberFormat="1" applyFont="1" applyFill="1" applyAlignment="1">
      <alignment horizontal="center" vertical="center"/>
    </xf>
    <xf numFmtId="169" fontId="2" fillId="3" borderId="0" xfId="1" applyNumberFormat="1" applyFont="1" applyFill="1" applyAlignment="1">
      <alignment horizontal="center" vertical="center"/>
    </xf>
    <xf numFmtId="169" fontId="0" fillId="0" borderId="1" xfId="1" applyNumberFormat="1" applyFont="1" applyBorder="1" applyAlignment="1">
      <alignment vertical="center"/>
    </xf>
    <xf numFmtId="169" fontId="0" fillId="0" borderId="2" xfId="1" applyNumberFormat="1" applyFont="1" applyBorder="1" applyAlignment="1">
      <alignment vertical="center"/>
    </xf>
    <xf numFmtId="169" fontId="0" fillId="0" borderId="3" xfId="1" applyNumberFormat="1" applyFont="1" applyBorder="1" applyAlignment="1">
      <alignment vertical="center"/>
    </xf>
    <xf numFmtId="169" fontId="0" fillId="0" borderId="4" xfId="1" applyNumberFormat="1" applyFont="1" applyFill="1" applyBorder="1" applyAlignment="1">
      <alignment vertical="center"/>
    </xf>
    <xf numFmtId="169" fontId="0" fillId="0" borderId="6" xfId="1" applyNumberFormat="1" applyFont="1" applyBorder="1" applyAlignment="1">
      <alignment vertical="center"/>
    </xf>
    <xf numFmtId="174" fontId="0" fillId="0" borderId="0" xfId="0" applyNumberFormat="1" applyAlignment="1">
      <alignment vertical="center"/>
    </xf>
    <xf numFmtId="173" fontId="4" fillId="0" borderId="0" xfId="0" applyNumberFormat="1" applyFont="1" applyAlignment="1">
      <alignment horizontal="center" vertical="center"/>
    </xf>
    <xf numFmtId="169" fontId="2" fillId="0" borderId="0" xfId="1" applyNumberFormat="1" applyFont="1" applyFill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4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4" fontId="6" fillId="0" borderId="0" xfId="1" applyNumberFormat="1" applyFont="1" applyFill="1" applyAlignment="1">
      <alignment horizontal="right" vertical="center"/>
    </xf>
    <xf numFmtId="174" fontId="0" fillId="0" borderId="0" xfId="0" applyNumberFormat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0" fillId="7" borderId="0" xfId="1" applyNumberFormat="1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left"/>
    </xf>
    <xf numFmtId="44" fontId="0" fillId="7" borderId="0" xfId="0" applyNumberFormat="1" applyFill="1" applyAlignment="1">
      <alignment horizontal="left" vertical="center"/>
    </xf>
    <xf numFmtId="0" fontId="0" fillId="10" borderId="0" xfId="0" applyFill="1" applyAlignment="1">
      <alignment horizontal="center" vertical="center"/>
    </xf>
    <xf numFmtId="43" fontId="0" fillId="0" borderId="0" xfId="0" applyNumberFormat="1" applyAlignment="1">
      <alignment vertical="center"/>
    </xf>
    <xf numFmtId="0" fontId="0" fillId="14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43" fontId="18" fillId="0" borderId="0" xfId="1" applyFont="1" applyAlignment="1">
      <alignment horizontal="center" vertical="center"/>
    </xf>
    <xf numFmtId="43" fontId="0" fillId="0" borderId="0" xfId="1" quotePrefix="1" applyFont="1" applyAlignment="1">
      <alignment horizontal="center" vertical="center"/>
    </xf>
    <xf numFmtId="43" fontId="1" fillId="0" borderId="0" xfId="1" applyFont="1" applyAlignment="1">
      <alignment horizontal="center" vertical="center"/>
    </xf>
    <xf numFmtId="164" fontId="0" fillId="0" borderId="1" xfId="1" applyNumberFormat="1" applyFont="1" applyFill="1" applyBorder="1" applyAlignment="1">
      <alignment vertical="center"/>
    </xf>
    <xf numFmtId="164" fontId="0" fillId="0" borderId="3" xfId="1" applyNumberFormat="1" applyFont="1" applyFill="1" applyBorder="1" applyAlignment="1">
      <alignment vertical="center"/>
    </xf>
    <xf numFmtId="17" fontId="0" fillId="0" borderId="0" xfId="1" quotePrefix="1" applyNumberFormat="1" applyFont="1" applyFill="1" applyAlignment="1">
      <alignment vertical="center"/>
    </xf>
    <xf numFmtId="169" fontId="0" fillId="0" borderId="0" xfId="1" applyNumberFormat="1" applyFont="1" applyBorder="1"/>
    <xf numFmtId="164" fontId="0" fillId="0" borderId="2" xfId="1" applyNumberFormat="1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17" fontId="0" fillId="0" borderId="0" xfId="0" quotePrefix="1" applyNumberFormat="1" applyAlignment="1">
      <alignment vertical="center"/>
    </xf>
    <xf numFmtId="0" fontId="0" fillId="0" borderId="0" xfId="0" applyAlignment="1">
      <alignment vertical="top" wrapText="1"/>
    </xf>
    <xf numFmtId="169" fontId="0" fillId="0" borderId="1" xfId="1" applyNumberFormat="1" applyFont="1" applyBorder="1" applyAlignment="1">
      <alignment horizontal="right" vertical="center"/>
    </xf>
    <xf numFmtId="169" fontId="0" fillId="0" borderId="3" xfId="1" applyNumberFormat="1" applyFont="1" applyBorder="1" applyAlignment="1">
      <alignment horizontal="right" vertical="center"/>
    </xf>
    <xf numFmtId="0" fontId="0" fillId="16" borderId="0" xfId="0" applyFill="1" applyAlignment="1">
      <alignment horizontal="center" vertical="center"/>
    </xf>
    <xf numFmtId="166" fontId="0" fillId="16" borderId="0" xfId="0" applyNumberFormat="1" applyFill="1" applyAlignment="1">
      <alignment horizontal="center" vertical="center"/>
    </xf>
    <xf numFmtId="169" fontId="0" fillId="16" borderId="0" xfId="0" applyNumberFormat="1" applyFill="1" applyAlignment="1">
      <alignment horizontal="right" vertical="center"/>
    </xf>
    <xf numFmtId="169" fontId="0" fillId="16" borderId="0" xfId="1" applyNumberFormat="1" applyFont="1" applyFill="1" applyAlignment="1">
      <alignment horizontal="right" vertical="center"/>
    </xf>
    <xf numFmtId="0" fontId="0" fillId="16" borderId="0" xfId="1" applyNumberFormat="1" applyFont="1" applyFill="1" applyAlignment="1">
      <alignment vertical="center"/>
    </xf>
    <xf numFmtId="0" fontId="0" fillId="16" borderId="0" xfId="0" applyFill="1" applyAlignment="1">
      <alignment vertical="center"/>
    </xf>
    <xf numFmtId="164" fontId="0" fillId="0" borderId="0" xfId="0" applyNumberFormat="1" applyAlignment="1">
      <alignment vertical="center"/>
    </xf>
    <xf numFmtId="43" fontId="0" fillId="5" borderId="0" xfId="0" applyNumberFormat="1" applyFill="1" applyAlignment="1">
      <alignment vertical="center"/>
    </xf>
    <xf numFmtId="169" fontId="0" fillId="5" borderId="0" xfId="0" applyNumberFormat="1" applyFill="1" applyAlignment="1">
      <alignment horizontal="right" vertical="center"/>
    </xf>
    <xf numFmtId="169" fontId="0" fillId="5" borderId="0" xfId="1" applyNumberFormat="1" applyFont="1" applyFill="1" applyAlignment="1">
      <alignment horizontal="right" vertical="center"/>
    </xf>
    <xf numFmtId="0" fontId="16" fillId="3" borderId="0" xfId="0" applyFont="1" applyFill="1" applyAlignment="1">
      <alignment vertical="center"/>
    </xf>
    <xf numFmtId="173" fontId="24" fillId="0" borderId="0" xfId="0" applyNumberFormat="1" applyFont="1" applyAlignment="1">
      <alignment horizontal="center" vertical="center"/>
    </xf>
    <xf numFmtId="169" fontId="0" fillId="0" borderId="0" xfId="1" applyNumberFormat="1" applyFont="1" applyBorder="1" applyAlignment="1">
      <alignment vertical="center"/>
    </xf>
    <xf numFmtId="169" fontId="0" fillId="0" borderId="0" xfId="1" applyNumberFormat="1" applyFont="1" applyBorder="1" applyAlignment="1">
      <alignment horizontal="right" vertical="center"/>
    </xf>
    <xf numFmtId="0" fontId="0" fillId="0" borderId="0" xfId="1" applyNumberFormat="1" applyFont="1" applyBorder="1" applyAlignment="1">
      <alignment horizontal="center" vertical="center"/>
    </xf>
    <xf numFmtId="169" fontId="0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9" fontId="15" fillId="0" borderId="0" xfId="1" applyNumberFormat="1" applyFont="1" applyFill="1" applyBorder="1" applyAlignment="1">
      <alignment vertical="center"/>
    </xf>
    <xf numFmtId="166" fontId="15" fillId="0" borderId="0" xfId="0" applyNumberFormat="1" applyFont="1" applyAlignment="1">
      <alignment horizontal="center" vertical="center"/>
    </xf>
    <xf numFmtId="169" fontId="6" fillId="0" borderId="0" xfId="1" applyNumberFormat="1" applyFont="1" applyBorder="1" applyAlignment="1">
      <alignment vertical="center"/>
    </xf>
    <xf numFmtId="166" fontId="6" fillId="0" borderId="0" xfId="0" applyNumberFormat="1" applyFont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0" fontId="0" fillId="17" borderId="0" xfId="0" applyFill="1" applyAlignment="1">
      <alignment horizontal="center" vertical="center"/>
    </xf>
    <xf numFmtId="164" fontId="0" fillId="0" borderId="3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2" xfId="1" applyNumberFormat="1" applyFont="1" applyBorder="1" applyAlignment="1">
      <alignment vertical="center"/>
    </xf>
    <xf numFmtId="164" fontId="0" fillId="0" borderId="0" xfId="1" applyNumberFormat="1" applyFont="1"/>
    <xf numFmtId="164" fontId="0" fillId="0" borderId="3" xfId="1" applyNumberFormat="1" applyFont="1" applyBorder="1"/>
    <xf numFmtId="164" fontId="0" fillId="0" borderId="1" xfId="1" applyNumberFormat="1" applyFont="1" applyBorder="1"/>
    <xf numFmtId="0" fontId="0" fillId="17" borderId="0" xfId="0" applyFill="1" applyAlignment="1">
      <alignment horizontal="center"/>
    </xf>
    <xf numFmtId="0" fontId="0" fillId="0" borderId="0" xfId="1" applyNumberFormat="1" applyFont="1" applyBorder="1" applyAlignment="1">
      <alignment vertical="center"/>
    </xf>
    <xf numFmtId="164" fontId="0" fillId="0" borderId="0" xfId="1" applyNumberFormat="1" applyFont="1" applyBorder="1"/>
    <xf numFmtId="4" fontId="6" fillId="0" borderId="0" xfId="0" applyNumberFormat="1" applyFont="1"/>
    <xf numFmtId="164" fontId="0" fillId="0" borderId="0" xfId="1" applyNumberFormat="1" applyFont="1" applyFill="1" applyBorder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indent="5"/>
    </xf>
    <xf numFmtId="14" fontId="24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6"/>
    </xf>
    <xf numFmtId="43" fontId="0" fillId="10" borderId="0" xfId="1" applyFont="1" applyFill="1"/>
    <xf numFmtId="0" fontId="4" fillId="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/>
    </xf>
    <xf numFmtId="0" fontId="0" fillId="0" borderId="0" xfId="0" applyNumberFormat="1"/>
  </cellXfs>
  <cellStyles count="3">
    <cellStyle name="Comma" xfId="1" builtinId="3"/>
    <cellStyle name="Normal" xfId="0" builtinId="0"/>
    <cellStyle name="Normal 2" xfId="2" xr:uid="{53C421D4-3F6F-4897-B7AD-5AC86B5AD201}"/>
  </cellStyles>
  <dxfs count="39"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alignment horizontal="general" vertical="bottom" textRotation="0" wrapText="1" indent="0" justifyLastLine="0" shrinkToFit="0" readingOrder="0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numFmt numFmtId="19" formatCode="d/m/yyyy"/>
    </dxf>
    <dxf>
      <numFmt numFmtId="19" formatCode="d/m/yyyy"/>
    </dxf>
    <dxf>
      <numFmt numFmtId="19" formatCode="d/m/yyyy"/>
    </dxf>
  </dxfs>
  <tableStyles count="0" defaultTableStyle="TableStyleMedium2" defaultPivotStyle="PivotStyleLight16"/>
  <colors>
    <mruColors>
      <color rgb="FFE36D6D"/>
      <color rgb="FFF5DA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4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pivotCacheDefinition" Target="pivotCache/pivotCacheDefinition2.xml"/><Relationship Id="rId45" Type="http://schemas.openxmlformats.org/officeDocument/2006/relationships/pivotCacheDefinition" Target="pivotCache/pivotCacheDefinition7.xml"/><Relationship Id="rId53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6.xml"/><Relationship Id="rId52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5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phaxinnovation-my.sharepoint.com/personal/cathfrine_low_alphaxtec_com/Documents/Alpha%20X%20-%20Finance/HQ/FYE%202026/Finance%20Data_Conso.xlsx" TargetMode="External"/><Relationship Id="rId1" Type="http://schemas.openxmlformats.org/officeDocument/2006/relationships/externalLinkPath" Target="Finance%20Data_Cons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Financial Status"/>
      <sheetName val="Conso PNL"/>
      <sheetName val="Conso CF"/>
      <sheetName val="Bank "/>
      <sheetName val="Receivable"/>
      <sheetName val="CF"/>
      <sheetName val="AP"/>
      <sheetName val="AR"/>
      <sheetName val="PO"/>
      <sheetName val="Aging"/>
      <sheetName val="Non-cash"/>
      <sheetName val="Setting"/>
      <sheetName val="FOREX"/>
      <sheetName val="AXT - USD"/>
      <sheetName val="AXT- SGD"/>
      <sheetName val="AXT -Eastwest Bank"/>
      <sheetName val="AXI - MYR"/>
      <sheetName val="AXI - USD"/>
      <sheetName val="AXS-CNY"/>
      <sheetName val="Sheet2"/>
      <sheetName val="Payroll MY"/>
      <sheetName val="Sheet3"/>
      <sheetName val="Payroll SG"/>
      <sheetName val="Sheet4"/>
      <sheetName val="Payroll CN"/>
      <sheetName val="Payroll"/>
      <sheetName val="Project Mand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153.749643171293" createdVersion="8" refreshedVersion="8" minRefreshableVersion="3" recordCount="68" xr:uid="{6D102655-8F40-4302-BA62-F79253C0ABAA}">
  <cacheSource type="worksheet">
    <worksheetSource ref="A1:L69" sheet="Payroll CN"/>
  </cacheSource>
  <cacheFields count="17">
    <cacheField name="Entity" numFmtId="0">
      <sharedItems/>
    </cacheField>
    <cacheField name="Bill Date" numFmtId="14">
      <sharedItems containsSemiMixedTypes="0" containsNonDate="0" containsDate="1" containsString="0" minDate="2025-12-31T00:00:00" maxDate="2026-05-01T00:00:00" count="5">
        <d v="2026-01-31T00:00:00"/>
        <d v="2025-12-31T00:00:00"/>
        <d v="2026-02-28T00:00:00"/>
        <d v="2026-03-31T00:00:00"/>
        <d v="2026-04-30T00:00:00"/>
      </sharedItems>
      <fieldGroup par="14"/>
    </cacheField>
    <cacheField name="Planned Payment / Paid" numFmtId="14">
      <sharedItems containsSemiMixedTypes="0" containsNonDate="0" containsDate="1" containsString="0" minDate="2026-01-31T00:00:00" maxDate="2026-05-16T00:00:00" count="8">
        <d v="2026-01-31T00:00:00"/>
        <d v="2026-02-14T00:00:00"/>
        <d v="2026-02-27T00:00:00"/>
        <d v="2026-03-16T00:00:00"/>
        <d v="2026-03-31T00:00:00"/>
        <d v="2026-04-16T00:00:00"/>
        <d v="2026-04-30T00:00:00"/>
        <d v="2026-05-15T00:00:00"/>
      </sharedItems>
      <fieldGroup par="16"/>
    </cacheField>
    <cacheField name="Employee" numFmtId="0">
      <sharedItems/>
    </cacheField>
    <cacheField name="Currency" numFmtId="0">
      <sharedItems/>
    </cacheField>
    <cacheField name="Amount" numFmtId="43">
      <sharedItems containsSemiMixedTypes="0" containsString="0" containsNumber="1" minValue="295.5" maxValue="29538.44"/>
    </cacheField>
    <cacheField name="Amount (USD)" numFmtId="43">
      <sharedItems containsSemiMixedTypes="0" containsString="0" containsNumber="1" minValue="42.509152500000006" maxValue="4281.86272396"/>
    </cacheField>
    <cacheField name="Description" numFmtId="0">
      <sharedItems/>
    </cacheField>
    <cacheField name="Account Code" numFmtId="0">
      <sharedItems count="4">
        <s v="Salaries &amp; Wages"/>
        <s v="Accrual - Expenses of 2025"/>
        <s v="Statutory Contribution"/>
        <s v="Staff Bonus / Incentives"/>
      </sharedItems>
    </cacheField>
    <cacheField name="Account Category" numFmtId="44">
      <sharedItems/>
    </cacheField>
    <cacheField name="Department " numFmtId="44">
      <sharedItems count="2">
        <s v="R&amp;D - China"/>
        <s v="Business Operation"/>
      </sharedItems>
    </cacheField>
    <cacheField name="Group" numFmtId="0">
      <sharedItems count="2">
        <s v="Research &amp; Development"/>
        <s v="Sales &amp; Marketing"/>
      </sharedItems>
    </cacheField>
    <cacheField name="Months (Bill Date)" numFmtId="0" databaseField="0">
      <fieldGroup base="1">
        <rangePr groupBy="months" startDate="2025-12-31T00:00:00" endDate="2026-05-01T00:00:00"/>
        <groupItems count="14">
          <s v="&lt;31/1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5/2026"/>
        </groupItems>
      </fieldGroup>
    </cacheField>
    <cacheField name="Quarters (Bill Date)" numFmtId="0" databaseField="0">
      <fieldGroup base="1">
        <rangePr groupBy="quarters" startDate="2025-12-31T00:00:00" endDate="2026-05-01T00:00:00"/>
        <groupItems count="6">
          <s v="&lt;31/12/2025"/>
          <s v="Qtr1"/>
          <s v="Qtr2"/>
          <s v="Qtr3"/>
          <s v="Qtr4"/>
          <s v="&gt;1/5/2026"/>
        </groupItems>
      </fieldGroup>
    </cacheField>
    <cacheField name="Years (Bill Date)" numFmtId="0" databaseField="0">
      <fieldGroup base="1">
        <rangePr groupBy="years" startDate="2025-12-31T00:00:00" endDate="2026-05-01T00:00:00"/>
        <groupItems count="4">
          <s v="&lt;31/12/2025"/>
          <s v="2025"/>
          <s v="2026"/>
          <s v="&gt;1/5/2026"/>
        </groupItems>
      </fieldGroup>
    </cacheField>
    <cacheField name="Days (Planned Payment / Paid)" numFmtId="0" databaseField="0">
      <fieldGroup base="2">
        <rangePr groupBy="days" startDate="2026-01-31T00:00:00" endDate="2026-05-16T00:00:00"/>
        <groupItems count="368">
          <s v="&lt;3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6/5/2026"/>
        </groupItems>
      </fieldGroup>
    </cacheField>
    <cacheField name="Months (Planned Payment / Paid)" numFmtId="0" databaseField="0">
      <fieldGroup base="2">
        <rangePr groupBy="months" startDate="2026-01-31T00:00:00" endDate="2026-05-16T00:00:00"/>
        <groupItems count="14">
          <s v="&lt;3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/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154.417804513891" createdVersion="8" refreshedVersion="8" minRefreshableVersion="3" recordCount="460" xr:uid="{BE229997-5FE3-4ADD-9814-2FB02E643698}">
  <cacheSource type="worksheet">
    <worksheetSource ref="A1:L461" sheet="Payroll MY"/>
  </cacheSource>
  <cacheFields count="16">
    <cacheField name="Entity" numFmtId="0">
      <sharedItems/>
    </cacheField>
    <cacheField name="Bill Date" numFmtId="14">
      <sharedItems containsSemiMixedTypes="0" containsNonDate="0" containsDate="1" containsString="0" minDate="2026-01-31T00:00:00" maxDate="2026-05-01T00:00:00" count="4">
        <d v="2026-01-31T00:00:00"/>
        <d v="2026-02-28T00:00:00"/>
        <d v="2026-03-31T00:00:00"/>
        <d v="2026-04-30T00:00:00"/>
      </sharedItems>
      <fieldGroup par="13"/>
    </cacheField>
    <cacheField name="Planned Payment / Paid" numFmtId="14">
      <sharedItems containsSemiMixedTypes="0" containsNonDate="0" containsDate="1" containsString="0" minDate="2026-01-30T00:00:00" maxDate="2026-05-16T00:00:00" count="9">
        <d v="2026-01-30T00:00:00"/>
        <d v="2026-02-12T00:00:00"/>
        <d v="2026-02-02T00:00:00"/>
        <d v="2026-02-27T00:00:00"/>
        <d v="2026-03-13T00:00:00"/>
        <d v="2026-03-31T00:00:00"/>
        <d v="2026-04-15T00:00:00"/>
        <d v="2026-04-30T00:00:00"/>
        <d v="2026-05-15T00:00:00"/>
      </sharedItems>
      <fieldGroup par="15"/>
    </cacheField>
    <cacheField name="Employee" numFmtId="0">
      <sharedItems/>
    </cacheField>
    <cacheField name="Currency" numFmtId="0">
      <sharedItems/>
    </cacheField>
    <cacheField name="Amount" numFmtId="43">
      <sharedItems containsSemiMixedTypes="0" containsString="0" containsNumber="1" minValue="0" maxValue="22757.35"/>
    </cacheField>
    <cacheField name="Amount (USD)" numFmtId="43">
      <sharedItems containsSemiMixedTypes="0" containsString="0" containsNumber="1" minValue="0" maxValue="5621.1792367499993"/>
    </cacheField>
    <cacheField name="Description" numFmtId="0">
      <sharedItems/>
    </cacheField>
    <cacheField name="Account Code" numFmtId="0">
      <sharedItems count="3">
        <s v="Salaries &amp; Wages"/>
        <s v="Statutory Contribution"/>
        <s v="Staff Bonus / Incentives"/>
      </sharedItems>
    </cacheField>
    <cacheField name="Account Category" numFmtId="44">
      <sharedItems count="1">
        <s v="Headcount Costs"/>
      </sharedItems>
    </cacheField>
    <cacheField name="Department " numFmtId="0">
      <sharedItems count="5">
        <s v="Sales &amp; Pre-Sales"/>
        <s v="DSC"/>
        <s v="HR"/>
        <s v="Finance"/>
        <s v="Business Operation"/>
      </sharedItems>
    </cacheField>
    <cacheField name="Group" numFmtId="0">
      <sharedItems count="3">
        <s v="Sales &amp; Marketing"/>
        <s v="DSC"/>
        <s v="General &amp; Administrative"/>
      </sharedItems>
    </cacheField>
    <cacheField name="Days (Bill Date)" numFmtId="0" databaseField="0">
      <fieldGroup base="1">
        <rangePr groupBy="days" startDate="2026-01-31T00:00:00" endDate="2026-05-01T00:00:00"/>
        <groupItems count="368">
          <s v="&lt;3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5/2026"/>
        </groupItems>
      </fieldGroup>
    </cacheField>
    <cacheField name="Months (Bill Date)" numFmtId="0" databaseField="0">
      <fieldGroup base="1">
        <rangePr groupBy="months" startDate="2026-01-31T00:00:00" endDate="2026-05-01T00:00:00"/>
        <groupItems count="14">
          <s v="&lt;3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5/2026"/>
        </groupItems>
      </fieldGroup>
    </cacheField>
    <cacheField name="Days (Planned Payment / Paid)" numFmtId="0" databaseField="0">
      <fieldGroup base="2">
        <rangePr groupBy="days" startDate="2026-01-30T00:00:00" endDate="2026-05-16T00:00:00"/>
        <groupItems count="368">
          <s v="&lt;30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6/5/2026"/>
        </groupItems>
      </fieldGroup>
    </cacheField>
    <cacheField name="Months (Planned Payment / Paid)" numFmtId="0" databaseField="0">
      <fieldGroup base="2">
        <rangePr groupBy="months" startDate="2026-01-30T00:00:00" endDate="2026-05-16T00:00:00"/>
        <groupItems count="14">
          <s v="&lt;30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/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156.506250231483" createdVersion="8" refreshedVersion="8" minRefreshableVersion="3" recordCount="381" xr:uid="{8749603D-7271-4F64-B3F6-01C167873D9A}">
  <cacheSource type="worksheet">
    <worksheetSource ref="A1:L382" sheet="Payroll SG"/>
  </cacheSource>
  <cacheFields count="16">
    <cacheField name="Entity" numFmtId="0">
      <sharedItems/>
    </cacheField>
    <cacheField name="Bill Date" numFmtId="14">
      <sharedItems containsSemiMixedTypes="0" containsNonDate="0" containsDate="1" containsString="0" minDate="2026-01-31T00:00:00" maxDate="2026-05-09T00:00:00" count="7">
        <d v="2026-01-31T00:00:00"/>
        <d v="2026-02-28T00:00:00"/>
        <d v="2026-03-03T00:00:00"/>
        <d v="2026-03-17T00:00:00"/>
        <d v="2026-03-31T00:00:00"/>
        <d v="2026-04-30T00:00:00"/>
        <d v="2026-05-08T00:00:00"/>
      </sharedItems>
      <fieldGroup par="13"/>
    </cacheField>
    <cacheField name="Planned Payment / Paid" numFmtId="14">
      <sharedItems containsSemiMixedTypes="0" containsNonDate="0" containsDate="1" containsString="0" minDate="2026-01-30T00:00:00" maxDate="2026-06-10T00:00:00" count="12">
        <d v="2026-01-30T00:00:00"/>
        <d v="2026-02-05T00:00:00"/>
        <d v="2026-03-02T00:00:00"/>
        <d v="2026-03-09T00:00:00"/>
        <d v="2026-03-03T00:00:00"/>
        <d v="2026-04-08T00:00:00"/>
        <d v="2026-03-17T00:00:00"/>
        <d v="2026-03-31T00:00:00"/>
        <d v="2026-04-30T00:00:00"/>
        <d v="2026-05-06T00:00:00"/>
        <d v="2026-05-08T00:00:00"/>
        <d v="2026-06-09T00:00:00"/>
      </sharedItems>
      <fieldGroup par="15"/>
    </cacheField>
    <cacheField name="Employee" numFmtId="0">
      <sharedItems/>
    </cacheField>
    <cacheField name="Currency" numFmtId="0">
      <sharedItems/>
    </cacheField>
    <cacheField name="Amount" numFmtId="43">
      <sharedItems containsString="0" containsBlank="1" containsNumber="1" minValue="-1600" maxValue="32825"/>
    </cacheField>
    <cacheField name="Amount (USD)" numFmtId="43">
      <sharedItems containsSemiMixedTypes="0" containsString="0" containsNumber="1" minValue="-1264.9824000000001" maxValue="25763.546128833492"/>
    </cacheField>
    <cacheField name="Description" numFmtId="0">
      <sharedItems/>
    </cacheField>
    <cacheField name="Account Code" numFmtId="0">
      <sharedItems count="3">
        <s v="Salaries &amp; Wages"/>
        <s v="Statutory Contribution"/>
        <s v="Staff Bonus / Incentives"/>
      </sharedItems>
    </cacheField>
    <cacheField name="Account Category" numFmtId="44">
      <sharedItems/>
    </cacheField>
    <cacheField name="Department " numFmtId="0">
      <sharedItems count="12">
        <s v="Management"/>
        <s v="Marketing"/>
        <s v="Business Operation"/>
        <s v="Sales &amp; Pre-Sales"/>
        <s v="DSC"/>
        <s v="R&amp;D - Team D"/>
        <s v="R&amp;D - Team W"/>
        <s v="R&amp;D - Team P"/>
        <s v="HR"/>
        <s v="IT"/>
        <s v="Finance"/>
        <s v="ERROR" u="1"/>
      </sharedItems>
    </cacheField>
    <cacheField name="Group" numFmtId="0">
      <sharedItems count="5">
        <s v="General &amp; Administrative"/>
        <s v="Sales &amp; Marketing"/>
        <s v="DSC"/>
        <s v="Research &amp; Development"/>
        <s v="ERROR" u="1"/>
      </sharedItems>
    </cacheField>
    <cacheField name="Days (Bill Date)" numFmtId="0" databaseField="0">
      <fieldGroup base="1">
        <rangePr groupBy="days" startDate="2026-01-31T00:00:00" endDate="2026-05-09T00:00:00"/>
        <groupItems count="368">
          <s v="&lt;3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9/5/2026"/>
        </groupItems>
      </fieldGroup>
    </cacheField>
    <cacheField name="Months (Bill Date)" numFmtId="0" databaseField="0">
      <fieldGroup base="1">
        <rangePr groupBy="months" startDate="2026-01-31T00:00:00" endDate="2026-05-09T00:00:00"/>
        <groupItems count="14">
          <s v="&lt;3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5/2026"/>
        </groupItems>
      </fieldGroup>
    </cacheField>
    <cacheField name="Days (Planned Payment / Paid)" numFmtId="0" databaseField="0">
      <fieldGroup base="2">
        <rangePr groupBy="days" startDate="2026-01-30T00:00:00" endDate="2026-06-10T00:00:00"/>
        <groupItems count="368">
          <s v="&lt;30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/6/2026"/>
        </groupItems>
      </fieldGroup>
    </cacheField>
    <cacheField name="Months (Planned Payment / Paid)" numFmtId="0" databaseField="0">
      <fieldGroup base="2">
        <rangePr groupBy="months" startDate="2026-01-30T00:00:00" endDate="2026-06-10T00:00:00"/>
        <groupItems count="14">
          <s v="&lt;30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203.350343518519" createdVersion="8" refreshedVersion="8" minRefreshableVersion="3" recordCount="90" xr:uid="{C455B706-0D82-454C-856C-F50ACC36775C}">
  <cacheSource type="worksheet">
    <worksheetSource ref="A2:F92" sheet="Bank "/>
  </cacheSource>
  <cacheFields count="8">
    <cacheField name="Date" numFmtId="173">
      <sharedItems containsSemiMixedTypes="0" containsNonDate="0" containsDate="1" containsString="0" minDate="2026-01-01T00:00:00" maxDate="2027-01-01T00:00:00" count="13">
        <d v="2026-01-01T00:00:00"/>
        <d v="2026-01-31T00:00:00"/>
        <d v="2026-02-28T00:00:00"/>
        <d v="2026-03-31T00:00:00"/>
        <d v="2026-04-30T00:00:00"/>
        <d v="2026-05-31T00:00:00"/>
        <d v="2026-06-30T00:00:00"/>
        <d v="2026-07-31T00:00:00"/>
        <d v="2026-08-31T00:00:00"/>
        <d v="2026-09-30T00:00:00"/>
        <d v="2026-10-31T00:00:00"/>
        <d v="2026-11-30T00:00:00"/>
        <d v="2026-12-31T00:00:00"/>
      </sharedItems>
      <fieldGroup par="7"/>
    </cacheField>
    <cacheField name="Entity" numFmtId="0">
      <sharedItems count="4">
        <s v="HQ"/>
        <s v="SG"/>
        <s v="MY"/>
        <s v="CN"/>
      </sharedItems>
    </cacheField>
    <cacheField name="Bank Balance" numFmtId="0">
      <sharedItems count="8">
        <s v="East West "/>
        <s v="AXT USD"/>
        <s v="AXT SGD"/>
        <s v="AXT CNY"/>
        <s v="AXI USD"/>
        <s v="AXI MYR"/>
        <s v="AXS CNY - Capital Fund"/>
        <s v="AXS CNY "/>
      </sharedItems>
    </cacheField>
    <cacheField name="Currency" numFmtId="0">
      <sharedItems/>
    </cacheField>
    <cacheField name="Currency Amount" numFmtId="43">
      <sharedItems containsSemiMixedTypes="0" containsString="0" containsNumber="1" minValue="0" maxValue="1010053.5800000001"/>
    </cacheField>
    <cacheField name="Amount (USD)" numFmtId="43">
      <sharedItems containsSemiMixedTypes="0" containsString="0" containsNumber="1" minValue="0" maxValue="825438.09"/>
    </cacheField>
    <cacheField name="Days (Date)" numFmtId="0" databaseField="0">
      <fieldGroup base="0">
        <rangePr groupBy="days" startDate="2026-01-01T00:00:00" endDate="2027-01-01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7"/>
        </groupItems>
      </fieldGroup>
    </cacheField>
    <cacheField name="Months (Date)" numFmtId="0" databaseField="0">
      <fieldGroup base="0">
        <rangePr groupBy="months" startDate="2026-01-01T00:00:00" endDate="2027-01-01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203.382763194444" createdVersion="8" refreshedVersion="8" minRefreshableVersion="3" recordCount="99" xr:uid="{1B3E6811-579E-47A0-ABDD-4973E2B818C7}">
  <cacheSource type="worksheet">
    <worksheetSource ref="A2:U101" sheet="AR"/>
  </cacheSource>
  <cacheFields count="30">
    <cacheField name="Status" numFmtId="0">
      <sharedItems count="7">
        <s v="Paid"/>
        <s v="Declined"/>
        <s v="Due"/>
        <s v="Pending "/>
        <s v="Forecast "/>
        <s v="Pending"/>
        <s v="Forecast"/>
      </sharedItems>
    </cacheField>
    <cacheField name="Entity" numFmtId="0">
      <sharedItems count="3">
        <s v="SG"/>
        <s v="MY"/>
        <s v="CN"/>
      </sharedItems>
    </cacheField>
    <cacheField name="Invoice Date" numFmtId="173">
      <sharedItems containsNonDate="0" containsDate="1" containsString="0" containsBlank="1" minDate="2025-11-24T00:00:00" maxDate="2027-01-16T00:00:00" count="50">
        <d v="2025-12-30T00:00:00"/>
        <d v="2026-01-21T00:00:00"/>
        <d v="2026-01-22T00:00:00"/>
        <d v="2026-01-30T00:00:00"/>
        <d v="2026-02-03T00:00:00"/>
        <d v="2026-02-09T00:00:00"/>
        <d v="2026-02-10T00:00:00"/>
        <d v="2026-02-27T00:00:00"/>
        <d v="2026-03-03T00:00:00"/>
        <d v="2026-03-05T00:00:00"/>
        <d v="2026-03-06T00:00:00"/>
        <d v="2026-03-12T00:00:00"/>
        <d v="2026-03-13T00:00:00"/>
        <d v="2026-03-30T00:00:00"/>
        <d v="2026-04-01T00:00:00"/>
        <d v="2026-04-07T00:00:00"/>
        <d v="2026-04-09T00:00:00"/>
        <d v="2026-04-10T00:00:00"/>
        <d v="2026-04-14T00:00:00"/>
        <d v="2026-04-21T00:00:00"/>
        <d v="2026-04-28T00:00:00"/>
        <d v="2026-04-29T00:00:00"/>
        <d v="2026-05-05T00:00:00"/>
        <d v="2026-05-08T00:00:00"/>
        <d v="2026-05-15T00:00:00"/>
        <d v="2026-05-22T00:00:00"/>
        <d v="2026-05-28T00:00:00"/>
        <d v="2026-06-03T00:00:00"/>
        <d v="2026-06-18T00:00:00"/>
        <d v="2026-06-22T00:00:00"/>
        <d v="2026-06-24T00:00:00"/>
        <d v="2026-06-25T00:00:00"/>
        <d v="2026-07-01T00:00:00"/>
        <d v="2026-08-01T00:00:00"/>
        <d v="2026-09-01T00:00:00"/>
        <d v="2026-10-01T00:00:00"/>
        <d v="2026-11-06T00:00:00"/>
        <d v="2026-11-15T00:00:00"/>
        <d v="2026-12-15T00:00:00"/>
        <d v="2027-01-15T00:00:00"/>
        <m/>
        <d v="2025-12-09T00:00:00"/>
        <d v="2025-12-17T00:00:00"/>
        <d v="2026-02-04T00:00:00"/>
        <d v="2026-05-07T00:00:00"/>
        <d v="2026-05-29T00:00:00"/>
        <d v="2025-11-24T00:00:00"/>
        <d v="2025-12-29T00:00:00"/>
        <d v="2026-04-15T00:00:00"/>
        <d v="2026-05-25T00:00:00"/>
      </sharedItems>
      <fieldGroup par="29"/>
    </cacheField>
    <cacheField name="Due Date" numFmtId="173">
      <sharedItems containsNonDate="0" containsDate="1" containsString="0" containsBlank="1" minDate="2025-12-05T00:00:00" maxDate="2027-02-16T00:00:00"/>
    </cacheField>
    <cacheField name="Expected Inflow" numFmtId="173">
      <sharedItems containsSemiMixedTypes="0" containsNonDate="0" containsDate="1" containsString="0" minDate="2025-12-31T00:00:00" maxDate="2027-03-01T00:00:00" count="25">
        <d v="2026-01-27T00:00:00"/>
        <d v="2026-03-27T00:00:00"/>
        <d v="2026-02-27T00:00:00"/>
        <d v="2026-04-30T00:00:00"/>
        <d v="2026-03-10T00:00:00"/>
        <d v="2026-03-26T00:00:00"/>
        <d v="2026-03-09T00:00:00"/>
        <d v="2026-05-31T00:00:00"/>
        <d v="2026-07-31T00:00:00"/>
        <d v="2026-08-31T00:00:00"/>
        <d v="2026-05-30T00:00:00"/>
        <d v="2026-06-30T00:00:00"/>
        <d v="2026-07-30T00:00:00"/>
        <d v="2026-09-30T00:00:00"/>
        <d v="2026-10-30T00:00:00"/>
        <d v="2026-11-30T00:00:00"/>
        <d v="2026-12-31T00:00:00"/>
        <d v="2027-01-31T00:00:00"/>
        <d v="2027-02-28T00:00:00"/>
        <d v="2026-10-31T00:00:00"/>
        <d v="2026-02-28T00:00:00"/>
        <d v="2026-03-31T00:00:00"/>
        <d v="2026-08-30T00:00:00"/>
        <d v="2025-12-31T00:00:00"/>
        <d v="2026-01-30T00:00:00"/>
      </sharedItems>
      <fieldGroup par="26"/>
    </cacheField>
    <cacheField name="Payment Received Date" numFmtId="173">
      <sharedItems containsNonDate="0" containsDate="1" containsString="0" containsBlank="1" minDate="2025-12-11T00:00:00" maxDate="2026-06-30T00:00:00" count="29">
        <d v="2026-01-27T00:00:00"/>
        <d v="2026-03-27T00:00:00"/>
        <d v="2026-02-27T00:00:00"/>
        <d v="2026-04-28T00:00:00"/>
        <d v="2026-03-10T00:00:00"/>
        <d v="2026-04-13T00:00:00"/>
        <d v="2026-05-12T00:00:00"/>
        <d v="2026-05-07T00:00:00"/>
        <d v="2026-03-26T00:00:00"/>
        <d v="2026-03-09T00:00:00"/>
        <d v="2026-04-27T00:00:00"/>
        <d v="2026-05-28T00:00:00"/>
        <d v="2026-06-15T00:00:00"/>
        <m/>
        <d v="2026-05-11T00:00:00"/>
        <d v="2026-05-13T00:00:00"/>
        <d v="2026-06-26T00:00:00"/>
        <d v="2026-05-08T00:00:00"/>
        <d v="2026-05-26T00:00:00"/>
        <d v="2026-06-03T00:00:00"/>
        <d v="2026-06-29T00:00:00"/>
        <d v="2026-06-22T00:00:00"/>
        <d v="2026-04-23T00:00:00"/>
        <d v="2026-02-13T00:00:00"/>
        <d v="2026-03-13T00:00:00"/>
        <d v="2026-05-29T00:00:00"/>
        <d v="2025-12-11T00:00:00"/>
        <d v="2026-01-23T00:00:00"/>
        <d v="2026-05-27T00:00:00"/>
      </sharedItems>
      <fieldGroup par="23"/>
    </cacheField>
    <cacheField name="Currency" numFmtId="0">
      <sharedItems/>
    </cacheField>
    <cacheField name="Sub Total" numFmtId="43">
      <sharedItems containsString="0" containsBlank="1" containsNumber="1" minValue="99" maxValue="1876020"/>
    </cacheField>
    <cacheField name="Tax" numFmtId="43">
      <sharedItems containsString="0" containsBlank="1" containsNumber="1" minValue="0" maxValue="32233.5"/>
    </cacheField>
    <cacheField name="Total Amount" numFmtId="43">
      <sharedItems containsSemiMixedTypes="0" containsString="0" containsNumber="1" minValue="0" maxValue="1883220"/>
    </cacheField>
    <cacheField name="Amount (USD)" numFmtId="43">
      <sharedItems containsSemiMixedTypes="0" containsString="0" containsNumber="1" minValue="0" maxValue="455699.67746389384"/>
    </cacheField>
    <cacheField name="Client Name" numFmtId="0">
      <sharedItems count="13">
        <s v="Soitec Microelectronics Singapore Pte Ltd"/>
        <s v="VisionPower Semiconductor Manufacturing Company Pte Ltd"/>
        <s v="Armstrong Industrial Corporation Limited"/>
        <s v="Infinix Hospitality Management Pte Ltd"/>
        <s v="Gtrontec Technology Pte Ltd"/>
        <s v="Advanced Micro Foundry Pte Ltd"/>
        <s v="Shanghai Wilson Optimus Technology Co., Ltd.,"/>
        <s v="Getech (ShenZhen) Co., Ltd"/>
        <s v="S.E.H (Shah Alam) Sdn Bhd "/>
        <s v="Dai-Ichi Jitsugyo (Malaysia) Sdn Bhd"/>
        <s v="S.E.H (Shah Alam) Sdn Bhd"/>
        <s v="格创东智（深圳）科技有限公司"/>
        <s v="格创东智（武汉）科技有限公司"/>
      </sharedItems>
    </cacheField>
    <cacheField name="Invoice Number" numFmtId="0">
      <sharedItems containsBlank="1"/>
    </cacheField>
    <cacheField name="Description " numFmtId="0">
      <sharedItems containsBlank="1"/>
    </cacheField>
    <cacheField name="Project Code" numFmtId="0">
      <sharedItems count="26">
        <s v="Soitec 001-202501- PR1 ADSS"/>
        <s v="VSMC 001-202508-Power BI"/>
        <s v="Armstrong 002-202509- AX JIT (AEM)"/>
        <s v="Armstrong 001-202508-MES"/>
        <s v="Infinix 001-202603-AX trace"/>
        <s v="GT 002-202602-AX Trace Digital Mktg Solution"/>
        <s v="VSMC 001-202508-Power BI (1st)"/>
        <s v="VSMC 004-202603-Power BI (2nd)"/>
        <s v="Armstrong 004-202603-AX Trace Smart Factory Data Platform"/>
        <s v="Nil"/>
        <s v="AMF 003-202506-EAS"/>
        <s v="Wilson 001-202604-IP Licenseout"/>
        <s v="GT 001-202604-Resources Service"/>
        <s v="AMF 003-202506-EAS "/>
        <s v="Armstrong 011-202606-UAT and GO Live support for Wuhan (AOW)"/>
        <s v="Soitec 003-202605-6 months Application Development Services"/>
        <s v="SEH 001-202505-napson"/>
        <s v="MIMOS 001-202504-MES, EAS"/>
        <s v="Denso 001-202509-Simulation"/>
        <s v="SEH 006-202603-stocker change request"/>
        <s v="SEH 003-202411-Stocker"/>
        <s v="Denso 002-202604-Simulation Enhancement"/>
        <s v="SEH 002-202506-IG Project"/>
        <s v="GT 001-202511-章鱼"/>
        <s v="长电绍兴 JCET 002-202603"/>
        <s v="大章鱼 - 软件开发服务"/>
      </sharedItems>
    </cacheField>
    <cacheField name="Field16" caption="Field16" numFmtId="0">
      <sharedItems containsBlank="1"/>
    </cacheField>
    <cacheField name="Account Code " numFmtId="0">
      <sharedItems containsBlank="1"/>
    </cacheField>
    <cacheField name="Account Category" numFmtId="0">
      <sharedItems containsBlank="1"/>
    </cacheField>
    <cacheField name="Department " numFmtId="0">
      <sharedItems containsBlank="1"/>
    </cacheField>
    <cacheField name="SST" numFmtId="0">
      <sharedItems containsBlank="1"/>
    </cacheField>
    <cacheField name="Remarks" numFmtId="0">
      <sharedItems containsNonDate="0" containsString="0" containsBlank="1"/>
    </cacheField>
    <cacheField name="Months (Payment Received Date)" numFmtId="0" databaseField="0">
      <fieldGroup base="5">
        <rangePr groupBy="months" startDate="2025-12-11T00:00:00" endDate="2026-06-30T00:00:00"/>
        <groupItems count="14">
          <s v="&lt;11/1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6/2026"/>
        </groupItems>
      </fieldGroup>
    </cacheField>
    <cacheField name="Quarters (Payment Received Date)" numFmtId="0" databaseField="0">
      <fieldGroup base="5">
        <rangePr groupBy="quarters" startDate="2025-12-11T00:00:00" endDate="2026-06-30T00:00:00"/>
        <groupItems count="6">
          <s v="&lt;11/12/2025"/>
          <s v="Qtr1"/>
          <s v="Qtr2"/>
          <s v="Qtr3"/>
          <s v="Qtr4"/>
          <s v="&gt;30/6/2026"/>
        </groupItems>
      </fieldGroup>
    </cacheField>
    <cacheField name="Years (Payment Received Date)" numFmtId="0" databaseField="0">
      <fieldGroup base="5">
        <rangePr groupBy="years" startDate="2025-12-11T00:00:00" endDate="2026-06-30T00:00:00"/>
        <groupItems count="4">
          <s v="&lt;11/12/2025"/>
          <s v="2025"/>
          <s v="2026"/>
          <s v="&gt;30/6/2026"/>
        </groupItems>
      </fieldGroup>
    </cacheField>
    <cacheField name="Months (Expected Inflow)" numFmtId="0" databaseField="0">
      <fieldGroup base="4">
        <rangePr groupBy="months" startDate="2025-12-31T00:00:00" endDate="2027-03-01T00:00:00"/>
        <groupItems count="14">
          <s v="&lt;31/1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3/2027"/>
        </groupItems>
      </fieldGroup>
    </cacheField>
    <cacheField name="Quarters (Expected Inflow)" numFmtId="0" databaseField="0">
      <fieldGroup base="4">
        <rangePr groupBy="quarters" startDate="2025-12-31T00:00:00" endDate="2027-03-01T00:00:00"/>
        <groupItems count="6">
          <s v="&lt;31/12/2025"/>
          <s v="Qtr1"/>
          <s v="Qtr2"/>
          <s v="Qtr3"/>
          <s v="Qtr4"/>
          <s v="&gt;1/3/2027"/>
        </groupItems>
      </fieldGroup>
    </cacheField>
    <cacheField name="Years (Expected Inflow)" numFmtId="0" databaseField="0">
      <fieldGroup base="4">
        <rangePr groupBy="years" startDate="2025-12-31T00:00:00" endDate="2027-03-01T00:00:00"/>
        <groupItems count="5">
          <s v="&lt;31/12/2025"/>
          <s v="2025"/>
          <s v="2026"/>
          <s v="2027"/>
          <s v="&gt;1/3/2027"/>
        </groupItems>
      </fieldGroup>
    </cacheField>
    <cacheField name="Months (Invoice Date)" numFmtId="0" databaseField="0">
      <fieldGroup base="2">
        <rangePr groupBy="months" startDate="2025-11-24T00:00:00" endDate="2027-01-16T00:00:00"/>
        <groupItems count="14">
          <s v="&lt;24/1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/1/2027"/>
        </groupItems>
      </fieldGroup>
    </cacheField>
    <cacheField name="Quarters (Invoice Date)" numFmtId="0" databaseField="0">
      <fieldGroup base="2">
        <rangePr groupBy="quarters" startDate="2025-11-24T00:00:00" endDate="2027-01-16T00:00:00"/>
        <groupItems count="6">
          <s v="&lt;24/11/2025"/>
          <s v="Qtr1"/>
          <s v="Qtr2"/>
          <s v="Qtr3"/>
          <s v="Qtr4"/>
          <s v="&gt;16/1/2027"/>
        </groupItems>
      </fieldGroup>
    </cacheField>
    <cacheField name="Years (Invoice Date)" numFmtId="0" databaseField="0">
      <fieldGroup base="2">
        <rangePr groupBy="years" startDate="2025-11-24T00:00:00" endDate="2027-01-16T00:00:00"/>
        <groupItems count="5">
          <s v="&lt;24/11/2025"/>
          <s v="2025"/>
          <s v="2026"/>
          <s v="2027"/>
          <s v="&gt;16/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203.44702939815" createdVersion="8" refreshedVersion="8" minRefreshableVersion="3" recordCount="19" xr:uid="{E857A336-4DEA-4BDD-963C-C57C8D239BC8}">
  <cacheSource type="worksheet">
    <worksheetSource ref="A1:F20" sheet="PO"/>
  </cacheSource>
  <cacheFields count="9">
    <cacheField name="PIC" numFmtId="0">
      <sharedItems/>
    </cacheField>
    <cacheField name="Entity" numFmtId="0">
      <sharedItems count="3">
        <s v="CN"/>
        <s v="MY"/>
        <s v="SG"/>
      </sharedItems>
    </cacheField>
    <cacheField name="Project Name" numFmtId="0">
      <sharedItems/>
    </cacheField>
    <cacheField name="PO Date" numFmtId="173">
      <sharedItems containsSemiMixedTypes="0" containsNonDate="0" containsDate="1" containsString="0" minDate="2026-02-09T00:00:00" maxDate="2026-06-30T00:00:00"/>
    </cacheField>
    <cacheField name="PO Date -F" numFmtId="173">
      <sharedItems containsSemiMixedTypes="0" containsNonDate="0" containsDate="1" containsString="0" minDate="2026-02-09T00:00:00" maxDate="2026-06-30T00:00:00" count="16">
        <d v="2026-02-24T00:00:00"/>
        <d v="2026-03-13T00:00:00"/>
        <d v="2026-04-30T00:00:00"/>
        <d v="2026-03-09T00:00:00"/>
        <d v="2026-04-07T00:00:00"/>
        <d v="2026-03-27T00:00:00"/>
        <d v="2026-02-09T00:00:00"/>
        <d v="2026-03-03T00:00:00"/>
        <d v="2026-05-08T00:00:00"/>
        <d v="2026-04-24T00:00:00"/>
        <d v="2026-05-27T00:00:00"/>
        <d v="2026-06-16T00:00:00"/>
        <d v="2026-05-28T00:00:00"/>
        <d v="2026-06-29T00:00:00"/>
        <d v="2026-06-28T00:00:00"/>
        <d v="2026-06-12T00:00:00"/>
      </sharedItems>
      <fieldGroup par="8"/>
    </cacheField>
    <cacheField name="Amount USD" numFmtId="43">
      <sharedItems containsSemiMixedTypes="0" containsString="0" containsNumber="1" minValue="1022" maxValue="231185"/>
    </cacheField>
    <cacheField name="Months (PO Date -F)" numFmtId="0" databaseField="0">
      <fieldGroup base="4">
        <rangePr groupBy="months" startDate="2026-02-09T00:00:00" endDate="2026-06-30T00:00:00"/>
        <groupItems count="14">
          <s v="&lt;9/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6/2026"/>
        </groupItems>
      </fieldGroup>
    </cacheField>
    <cacheField name="Quarters (PO Date -F)" numFmtId="0" databaseField="0">
      <fieldGroup base="4">
        <rangePr groupBy="quarters" startDate="2026-02-09T00:00:00" endDate="2026-06-30T00:00:00"/>
        <groupItems count="6">
          <s v="&lt;9/2/2026"/>
          <s v="Qtr1"/>
          <s v="Qtr2"/>
          <s v="Qtr3"/>
          <s v="Qtr4"/>
          <s v="&gt;30/6/2026"/>
        </groupItems>
      </fieldGroup>
    </cacheField>
    <cacheField name="Years (PO Date -F)" numFmtId="0" databaseField="0">
      <fieldGroup base="4">
        <rangePr groupBy="years" startDate="2026-02-09T00:00:00" endDate="2026-06-30T00:00:00"/>
        <groupItems count="3">
          <s v="&lt;9/2/2026"/>
          <s v="2026"/>
          <s v="&gt;30/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frine Low" refreshedDate="46203.719885995371" createdVersion="8" refreshedVersion="8" minRefreshableVersion="3" recordCount="1467" xr:uid="{ED8CEB6D-A2AB-4445-8068-BDF57E45D6AF}">
  <cacheSource type="worksheet">
    <worksheetSource ref="A1:V1468" sheet="CF"/>
  </cacheSource>
  <cacheFields count="24">
    <cacheField name="Status" numFmtId="0">
      <sharedItems count="3">
        <s v="Paid"/>
        <s v="Forecast"/>
        <s v="Pending"/>
      </sharedItems>
    </cacheField>
    <cacheField name="Entity" numFmtId="0">
      <sharedItems count="3">
        <s v="CN"/>
        <s v="MY"/>
        <s v="SG"/>
      </sharedItems>
    </cacheField>
    <cacheField name="Billing Date" numFmtId="14">
      <sharedItems containsSemiMixedTypes="0" containsNonDate="0" containsDate="1" containsString="0" minDate="2025-11-04T00:00:00" maxDate="2027-01-26T00:00:00"/>
    </cacheField>
    <cacheField name="Due Date" numFmtId="0">
      <sharedItems containsDate="1" containsBlank="1" containsMixedTypes="1" minDate="2025-05-12T00:00:00" maxDate="2027-02-01T00:00:00"/>
    </cacheField>
    <cacheField name="Payment Date/ Planned Date " numFmtId="14">
      <sharedItems containsSemiMixedTypes="0" containsNonDate="0" containsDate="1" containsString="0" minDate="2026-01-02T00:00:00" maxDate="2027-04-01T00:00:00" count="133">
        <d v="2026-01-02T00:00:00"/>
        <d v="2026-01-09T00:00:00"/>
        <d v="2026-01-15T00:00:00"/>
        <d v="2026-01-16T00:00:00"/>
        <d v="2026-01-23T00:00:00"/>
        <d v="2026-01-30T00:00:00"/>
        <d v="2026-01-31T00:00:00"/>
        <d v="2026-02-02T00:00:00"/>
        <d v="2026-02-13T00:00:00"/>
        <d v="2026-02-14T00:00:00"/>
        <d v="2026-02-27T00:00:00"/>
        <d v="2026-03-02T00:00:00"/>
        <d v="2026-03-16T00:00:00"/>
        <d v="2026-03-21T00:00:00"/>
        <d v="2026-03-31T00:00:00"/>
        <d v="2026-04-02T00:00:00"/>
        <d v="2026-04-15T00:00:00"/>
        <d v="2026-04-16T00:00:00"/>
        <d v="2026-04-24T00:00:00"/>
        <d v="2026-04-30T00:00:00"/>
        <d v="2026-05-02T00:00:00"/>
        <d v="2026-05-08T00:00:00"/>
        <d v="2026-05-15T00:00:00"/>
        <d v="2026-05-19T00:00:00"/>
        <d v="2026-05-22T00:00:00"/>
        <d v="2026-05-27T00:00:00"/>
        <d v="2026-05-31T00:00:00"/>
        <d v="2026-06-15T00:00:00"/>
        <d v="2026-06-30T00:00:00"/>
        <d v="2026-07-15T00:00:00"/>
        <d v="2026-07-31T00:00:00"/>
        <d v="2026-01-19T00:00:00"/>
        <d v="2026-01-20T00:00:00"/>
        <d v="2026-01-29T00:00:00"/>
        <d v="2026-02-07T00:00:00"/>
        <d v="2026-02-12T00:00:00"/>
        <d v="2026-02-24T00:00:00"/>
        <d v="2026-02-25T00:00:00"/>
        <d v="2026-02-28T00:00:00"/>
        <d v="2026-03-04T00:00:00"/>
        <d v="2026-03-13T00:00:00"/>
        <d v="2026-04-23T00:00:00"/>
        <d v="2026-05-07T00:00:00"/>
        <d v="2026-05-21T00:00:00"/>
        <d v="2026-05-25T00:00:00"/>
        <d v="2026-05-29T00:00:00"/>
        <d v="2026-05-05T00:00:00"/>
        <d v="2026-06-02T00:00:00"/>
        <d v="2026-06-18T00:00:00"/>
        <d v="2026-06-25T00:00:00"/>
        <d v="2026-07-25T00:00:00"/>
        <d v="2026-08-15T00:00:00"/>
        <d v="2026-08-25T00:00:00"/>
        <d v="2026-08-31T00:00:00"/>
        <d v="2026-09-15T00:00:00"/>
        <d v="2026-09-25T00:00:00"/>
        <d v="2026-09-30T00:00:00"/>
        <d v="2026-10-15T00:00:00"/>
        <d v="2026-10-25T00:00:00"/>
        <d v="2026-10-31T00:00:00"/>
        <d v="2026-11-15T00:00:00"/>
        <d v="2026-11-25T00:00:00"/>
        <d v="2026-11-30T00:00:00"/>
        <d v="2026-12-15T00:00:00"/>
        <d v="2026-12-25T00:00:00"/>
        <d v="2026-12-31T00:00:00"/>
        <d v="2027-01-15T00:00:00"/>
        <d v="2027-01-25T00:00:00"/>
        <d v="2026-07-30T00:00:00"/>
        <d v="2026-01-03T00:00:00"/>
        <d v="2026-01-05T00:00:00"/>
        <d v="2026-01-12T00:00:00"/>
        <d v="2026-01-14T00:00:00"/>
        <d v="2026-01-17T00:00:00"/>
        <d v="2026-01-26T00:00:00"/>
        <d v="2026-01-27T00:00:00"/>
        <d v="2026-02-03T00:00:00"/>
        <d v="2026-02-05T00:00:00"/>
        <d v="2026-02-09T00:00:00"/>
        <d v="2026-02-16T00:00:00"/>
        <d v="2026-02-19T00:00:00"/>
        <d v="2026-02-26T00:00:00"/>
        <d v="2026-03-03T00:00:00"/>
        <d v="2026-03-06T00:00:00"/>
        <d v="2026-03-09T00:00:00"/>
        <d v="2026-03-12T00:00:00"/>
        <d v="2026-03-15T00:00:00"/>
        <d v="2026-03-17T00:00:00"/>
        <d v="2026-03-20T00:00:00"/>
        <d v="2026-03-23T00:00:00"/>
        <d v="2026-03-24T00:00:00"/>
        <d v="2026-03-25T00:00:00"/>
        <d v="2026-03-26T00:00:00"/>
        <d v="2026-03-27T00:00:00"/>
        <d v="2026-03-28T00:00:00"/>
        <d v="2026-03-30T00:00:00"/>
        <d v="2026-04-01T00:00:00"/>
        <d v="2026-04-04T00:00:00"/>
        <d v="2026-04-06T00:00:00"/>
        <d v="2026-04-08T00:00:00"/>
        <d v="2026-04-09T00:00:00"/>
        <d v="2026-04-10T00:00:00"/>
        <d v="2026-04-13T00:00:00"/>
        <d v="2026-04-20T00:00:00"/>
        <d v="2026-04-27T00:00:00"/>
        <d v="2026-04-28T00:00:00"/>
        <d v="2026-05-04T00:00:00"/>
        <d v="2026-05-06T00:00:00"/>
        <d v="2026-05-09T00:00:00"/>
        <d v="2026-05-11T00:00:00"/>
        <d v="2026-06-09T00:00:00"/>
        <d v="2026-05-13T00:00:00"/>
        <d v="2026-05-16T00:00:00"/>
        <d v="2026-05-18T00:00:00"/>
        <d v="2026-05-23T00:00:00"/>
        <d v="2026-05-28T00:00:00"/>
        <d v="2026-05-30T00:00:00"/>
        <d v="2026-06-03T00:00:00"/>
        <d v="2026-06-05T00:00:00"/>
        <d v="2026-06-08T00:00:00"/>
        <d v="2026-06-11T00:00:00"/>
        <d v="2026-06-12T00:00:00"/>
        <d v="2026-06-13T00:00:00"/>
        <d v="2026-06-14T00:00:00"/>
        <d v="2026-06-20T00:00:00"/>
        <d v="2026-06-22T00:00:00"/>
        <d v="2026-06-24T00:00:00"/>
        <d v="2026-06-26T00:00:00"/>
        <d v="2026-06-27T00:00:00"/>
        <d v="2026-06-29T00:00:00"/>
        <d v="2027-03-31T00:00:00"/>
        <d v="2026-03-10T00:00:00"/>
        <d v="2026-05-26T00:00:00"/>
      </sharedItems>
      <fieldGroup par="23"/>
    </cacheField>
    <cacheField name="Currency" numFmtId="0">
      <sharedItems/>
    </cacheField>
    <cacheField name="Sub Total" numFmtId="0">
      <sharedItems containsString="0" containsBlank="1" containsNumber="1" minValue="-1000000" maxValue="749374.2"/>
    </cacheField>
    <cacheField name="Tax" numFmtId="0">
      <sharedItems containsBlank="1" containsMixedTypes="1" containsNumber="1" minValue="-4176" maxValue="22111.919999999998"/>
    </cacheField>
    <cacheField name="Total Amount" numFmtId="0">
      <sharedItems containsString="0" containsBlank="1" containsNumber="1" minValue="-1000000" maxValue="749374.2"/>
    </cacheField>
    <cacheField name="Amount (USD)" numFmtId="0">
      <sharedItems containsMixedTypes="1" containsNumber="1" minValue="-197083545.28" maxValue="1043557372.2575999" count="925">
        <n v="3.5963750000000001"/>
        <n v="0.63008490000000006"/>
        <n v="0.38409285000000004"/>
        <n v="1551.476175"/>
        <n v="13.738152500000002"/>
        <n v="701.29312500000003"/>
        <n v="51.500090000000007"/>
        <n v="130.35420825"/>
        <n v="4.1717950000000004"/>
        <n v="483.65921115000003"/>
        <n v="57.542000000000002"/>
        <n v="1.4385499999999998E-3"/>
        <n v="298.25744860000003"/>
        <n v="9.6224609500000007"/>
        <n v="617.54074400000002"/>
        <n v="6.1411699500000001"/>
        <n v="22.635584250000001"/>
        <n v="29.346420000000002"/>
        <n v="96.590001200000017"/>
        <n v="61.408822400000005"/>
        <n v="35.46457315"/>
        <n v="39.847835000000003"/>
        <n v="791.63406500000008"/>
        <n v="-81919.452517500002"/>
        <n v="-54.941101600000003"/>
        <n v="1920.72"/>
        <n v="10359.73"/>
        <n v="2.54"/>
        <n v="0.38"/>
        <n v="3.6"/>
        <n v="435.79"/>
        <n v="1.73"/>
        <n v="57.18"/>
        <n v="24.81"/>
        <n v="50.38"/>
        <n v="86.31"/>
        <n v="94.48"/>
        <n v="231.67"/>
        <n v="12.47"/>
        <n v="76.05"/>
        <n v="61.41"/>
        <n v="145.47"/>
        <n v="22.73"/>
        <n v="39.85"/>
        <n v="985.05"/>
        <n v="6789.57"/>
        <n v="2165.09"/>
        <n v="11374.61"/>
        <n v="1.28"/>
        <n v="0.39"/>
        <n v="3.64"/>
        <n v="58.32"/>
        <n v="90.98"/>
        <n v="147.43"/>
        <n v="62.24"/>
        <n v="75.84"/>
        <n v="7406.63"/>
        <n v="40.39"/>
        <n v="1322.67"/>
        <n v="6244.75"/>
        <n v="-7.38"/>
        <n v="4179.7299999999996"/>
        <n v="22514.19"/>
        <n v="0.64"/>
        <n v="173.02"/>
        <n v="46.68"/>
        <n v="49.94"/>
        <n v="8.0299999999999994"/>
        <n v="42.86"/>
        <n v="1006"/>
        <n v="95.81"/>
        <n v="6.65"/>
        <n v="323.82"/>
        <n v="106.85"/>
        <n v="1265.8599999999999"/>
        <n v="-13539.7"/>
        <n v="583.19000000000005"/>
        <n v="2075.31"/>
        <n v="10417.49"/>
        <n v="0.52"/>
        <n v="3.66"/>
        <n v="-6860.68"/>
        <n v="-4.79"/>
        <n v="156.27000000000001"/>
        <n v="93.76"/>
        <n v="64.25"/>
        <n v="40.56"/>
        <n v="1392.4"/>
        <n v="7100.6"/>
        <n v="7.32"/>
        <n v="-1459.06"/>
        <n v="-62475.78"/>
        <n v="2000"/>
        <n v="12000"/>
        <n v="7500"/>
        <n v="40.153643000000002"/>
        <n v="90.2"/>
        <n v="1566.2"/>
        <n v="63.600761250000005"/>
        <n v="7156.13"/>
        <n v="150.33000000000001"/>
        <n v="1451.8739524768021"/>
        <n v="108.89054643576014"/>
        <n v="8795.2199999999993"/>
        <n v="0.35527519999999996"/>
        <n v="0.126884"/>
        <n v="-11836.348563199999"/>
        <n v="-58903.613087999998"/>
        <n v="25636.404663999998"/>
        <n v="33.517677439999993"/>
        <n v="137.18698080000001"/>
        <n v="-5.0753600000000001E-3"/>
        <n v="2.5376799999999999"/>
        <n v="14.464776000000001"/>
        <n v="966.22673536000002"/>
        <n v="346.90085599999998"/>
        <n v="441.90905752000003"/>
        <n v="1127.8566499200001"/>
        <n v="8.3743440000000007"/>
        <n v="37.151635200000001"/>
        <n v="182.16989648000001"/>
        <n v="335.36456271999998"/>
        <n v="76.130399999999995"/>
        <n v="8.8920307199999993"/>
        <n v="81.205759999999998"/>
        <n v="0.25376799999999999"/>
        <n v="-61717.491641519999"/>
        <n v="1368.5708239999999"/>
        <n v="685.17359999999996"/>
        <n v="1462.718752"/>
        <n v="989.6952"/>
        <n v="101.951294"/>
        <n v="4003.46"/>
        <n v="3576.0139999999992"/>
        <n v="14304.056"/>
        <n v="3634.49"/>
        <n v="2353.23"/>
        <n v="7737.65"/>
        <n v="5840.7242879999994"/>
        <n v="-0.89072567999999996"/>
        <n v="838.5"/>
        <n v="696.52799999999979"/>
        <n v="2786.1120000000001"/>
        <n v="433.8"/>
        <n v="369.03"/>
        <n v="1515.17"/>
        <n v="693.66239999999993"/>
        <n v="106.52"/>
        <n v="125.4"/>
        <n v="2175.8960000000002"/>
        <n v="543.97399999999971"/>
        <n v="2855.0400000000004"/>
        <n v="713.75999999999976"/>
        <n v="531.62"/>
        <n v="702.04"/>
        <n v="348.33"/>
        <n v="459.33"/>
        <n v="1177.04"/>
        <n v="1543.07"/>
        <n v="4272.6899999999996"/>
        <n v="-256911.99999999997"/>
        <n v="-226909.81663999998"/>
        <n v="8229.0557836799999"/>
        <n v="2.5691199999999998"/>
        <n v="2997.1482375999994"/>
        <n v="1001.9567999999999"/>
        <n v="256.91199999999998"/>
        <n v="0.15414719999999998"/>
        <n v="0.12845599999999999"/>
        <n v="177.26927999999998"/>
        <n v="376.44030799999996"/>
        <n v="214.40590960000003"/>
        <n v="34.683119999999995"/>
        <n v="179.83839999999998"/>
        <n v="20.296047999999999"/>
        <n v="6.327742559999999"/>
        <n v="485.90023471999996"/>
        <n v="124.62801119999999"/>
        <n v="169.32556095999999"/>
        <n v="80.572741439999987"/>
        <n v="192523.22447039996"/>
        <n v="10.276479999999999"/>
        <n v="0.82211839999999992"/>
        <n v="1480.8407679999998"/>
        <n v="4053.06"/>
        <n v="3620.3199999999997"/>
        <n v="14481.279999999999"/>
        <n v="3760.68"/>
        <n v="2382.38"/>
        <n v="7833.52"/>
        <n v="201.18007983999999"/>
        <n v="-118.08703167999998"/>
        <n v="-149.09535596976357"/>
        <n v="2.41978992079467E-2"/>
        <n v="1083.68"/>
        <n v="7718.848"/>
        <n v="1929.7119999999995"/>
        <n v="1675.61"/>
        <n v="1160.19"/>
        <n v="4182.17"/>
        <n v="-7743.3277465429437"/>
        <n v="96.791596831786791"/>
        <n v="18.148424405960025"/>
        <n v="1394.7669103460478"/>
        <n v="47494.426670397384"/>
        <n v="4074.2002896419858"/>
        <n v="0.1209894960397335"/>
        <n v="483.99186121782515"/>
        <n v="137.48278413986995"/>
        <n v="179.48065800518228"/>
        <n v="67.754117782250759"/>
        <n v="13.562922506054123"/>
        <n v="32.110612248945266"/>
        <n v="17.1151741097807"/>
        <n v="53.917759015146835"/>
        <n v="5.7953968603032342"/>
        <n v="7.0899844679283834"/>
        <n v="94.008838422872927"/>
        <n v="326.74181321498349"/>
        <n v="16.212592469324289"/>
        <n v="633.58569391127253"/>
        <n v="615.84379421200583"/>
        <n v="452.18372270897919"/>
        <n v="72.5936976238401"/>
        <n v="399.96465621823023"/>
        <n v="70.686903166253899"/>
        <n v="7.9853067386224108"/>
        <n v="0.1935831936635736"/>
        <n v="256.49773160423501"/>
        <n v="8413.8224961160959"/>
        <n v="186.15927818657556"/>
        <n v="241.97899207946699"/>
        <n v="7.2593697623840097"/>
        <n v="118.32772712685936"/>
        <n v="3315.93"/>
        <n v="2150.4299999999998"/>
        <n v="2992.637999999999"/>
        <n v="11970.552000000001"/>
        <n v="7248.36"/>
        <n v="2808.39"/>
        <n v="2247.9899999999998"/>
        <n v="2290.5100000000002"/>
        <n v="5855.69"/>
        <n v="436.95"/>
        <n v="0.3145726897033071"/>
        <n v="-108.35577286326453"/>
        <n v="2.41978992079467"/>
        <n v="1500.67"/>
        <n v="165.28"/>
        <n v="6782"/>
        <n v="1695.58"/>
        <n v="3528.864"/>
        <n v="882.21599999999989"/>
        <n v="1766.15"/>
        <n v="990.07"/>
        <n v="698.25"/>
        <n v="447.09"/>
        <n v="2139.62"/>
        <n v="1164.28"/>
        <n v="24.197899207946698"/>
        <n v="91.939918040593483"/>
        <n v="21.480475126894287"/>
        <n v="96.307638847627857"/>
        <n v="117.41788611664056"/>
        <n v="194.43012013585172"/>
        <n v="93.500682539506045"/>
        <n v="336.06526377980532"/>
        <n v="99.780037383968221"/>
        <n v="47.427882447575527"/>
        <n v="-2831.1542073297637"/>
        <n v="-51666.386472839476"/>
        <n v="48.395798415893395"/>
        <n v="3896.78"/>
        <n v="3670.0740000000001"/>
        <n v="14680.296"/>
        <n v="2436.75"/>
        <n v="2290.5300000000002"/>
        <n v="5513.26"/>
        <n v="0.29037479049536036"/>
        <n v="-54.159738007226302"/>
        <n v="2504.6495335270183"/>
        <n v="9.68"/>
        <n v="0.77"/>
        <n v="91.391850000000005"/>
        <n v="44.460900000000002"/>
        <n v="116.09235"/>
        <n v="25.935525000000002"/>
        <n v="914.3482886999999"/>
        <n v="86.451750000000004"/>
        <n v="128.36355840000002"/>
        <n v="23.20117965"/>
        <n v="9.1515352500000002"/>
        <n v="14.88205125"/>
        <n v="919.82"/>
        <n v="122.06"/>
        <n v="1311.5219999999999"/>
        <n v="5246.0879999999997"/>
        <n v="2745.9120000000003"/>
        <n v="686.47799999999961"/>
        <n v="783.2"/>
        <n v="447.34"/>
        <n v="698.23"/>
        <n v="417.2"/>
        <n v="2068.8000000000002"/>
        <n v="1038.31"/>
        <n v="6.9161400000000004"/>
        <n v="403.50242789999999"/>
        <n v="222.1217163"/>
        <n v="49.401000000000003"/>
        <n v="61.509185100000003"/>
        <n v="576.1292823"/>
        <n v="111.15225"/>
        <n v="4158.8231850000002"/>
        <n v="0.1235025"/>
        <n v="0.12"/>
        <n v="10481.68"/>
        <n v="236.84"/>
        <n v="97.22"/>
        <n v="2.51882968668674E-2"/>
        <n v="0.30225956240240875"/>
        <n v="-1007.5318746746959"/>
        <n v="368.83"/>
        <n v="3975.81"/>
        <n v="3935.74"/>
        <n v="2486.1799999999998"/>
        <n v="15742.95"/>
        <n v="1084.06"/>
        <n v="-33.986568962464183"/>
        <n v="1398.64"/>
        <n v="2504.65"/>
        <n v="430.44"/>
        <n v="5764"/>
        <n v="175"/>
        <n v="371.2"/>
        <n v="241.95500000000001"/>
        <n v="7.4349999999999996"/>
        <n v="10.2475"/>
        <n v="51.024999999999999"/>
        <n v="49.5"/>
        <n v="49.5625"/>
        <n v="91.112499999999997"/>
        <n v="1721.75"/>
        <n v="7"/>
        <n v="226.38749999999999"/>
        <n v="98.825000000000003"/>
        <n v="469.19750000000005"/>
        <n v="938.48"/>
        <n v="124.53"/>
        <n v="1363.63"/>
        <n v="784.89"/>
        <n v="799.09"/>
        <n v="489.26"/>
        <n v="1475.51"/>
        <n v="235.53"/>
        <n v="5454.54"/>
        <n v="3139.55"/>
        <n v="224.04"/>
        <n v="271.55"/>
        <n v="140998.82992800002"/>
        <n v="4000"/>
        <n v="1000"/>
        <n v="150"/>
        <n v="16000"/>
        <n v="5500"/>
        <n v="1500"/>
        <n v="3000"/>
        <n v="2500"/>
        <n v="500"/>
        <n v="3500"/>
        <n v="524"/>
        <n v="508.75"/>
        <n v="493.5"/>
        <n v="1647"/>
        <n v="67.5"/>
        <n v="117.5"/>
        <n v="30"/>
        <n v="78"/>
        <n v="440"/>
        <n v="335.72"/>
        <n v="129.36769999999999"/>
        <n v="2047.12"/>
        <n v="661.69"/>
        <n v="20055.811686892401"/>
        <n v="132.63"/>
        <n v="58.76"/>
        <n v="490.32"/>
        <n v="265.21879999999999"/>
        <n v="5158.0608310000007"/>
        <n v="156.52105700000001"/>
        <n v="126.60001200000001"/>
        <n v="4598.2813029999998"/>
        <n v="127.10359200000001"/>
        <n v="113.55729000000001"/>
        <n v="12322"/>
        <n v="30800"/>
        <n v="55.83"/>
        <n v="108.4853"/>
        <n v="231.74793635000003"/>
        <n v="40176.99063"/>
        <n v="393.66050000000001"/>
        <n v="40.767481380000007"/>
        <n v="1280.2548048900003"/>
        <n v="840.15023910000002"/>
        <n v="540.60609144"/>
        <n v="244.88045062999998"/>
        <n v="25.698157440000003"/>
        <n v="802.87058975000002"/>
        <n v="1279.9477497"/>
        <n v="62.670751600000003"/>
        <n v="40.940692000000006"/>
        <n v="3.09"/>
        <n v="25.981593"/>
        <n v="149.15009024"/>
        <n v="49.176069660000003"/>
        <n v="14.42372072"/>
        <n v="270.24793325000002"/>
        <n v="45.00326836"/>
        <n v="31.878627290000008"/>
        <n v="7.8732100000000003"/>
        <n v="167.34507855000001"/>
        <n v="1225.8587970000003"/>
        <n v="1055.7974610000001"/>
        <n v="777.78654269000003"/>
        <n v="44.507256130000002"/>
        <n v="1001.2676085400001"/>
        <n v="5931.0623036200004"/>
        <n v="368.41111553000002"/>
        <n v="54.876273700000006"/>
        <n v="41.334352500000001"/>
        <n v="377.91408000000001"/>
        <n v="2041.523353"/>
        <n v="372.95395769999999"/>
        <n v="-236196.30000000002"/>
        <n v="5924.5905250000005"/>
        <n v="1418.5477385400002"/>
        <n v="1106.05216043"/>
        <n v="2732.0747288900002"/>
        <n v="83.550504520000004"/>
        <n v="54.427500729999998"/>
        <n v="-5.9678931800000008"/>
        <n v="27831.797350000001"/>
        <n v="-493.83135083000002"/>
        <n v="-787.32100000000003"/>
        <n v="4290.8994499999999"/>
        <n v="60.072592300000004"/>
        <n v="501.26366107000007"/>
        <n v="72.890178180000007"/>
        <n v="163.32974145"/>
        <n v="64.591814840000012"/>
        <n v="797.04441435000001"/>
        <n v="3988.57"/>
        <n v="20532.759999999998"/>
        <n v="30848.81"/>
        <n v="15149.63"/>
        <n v="18541.41"/>
        <n v="19981.810000000001"/>
        <n v="13097.08"/>
        <n v="23828.27"/>
        <n v="17599.77"/>
        <n v="20503.633931880002"/>
        <n v="999.11"/>
        <n v="856.8"/>
        <n v="3053.23"/>
        <n v="2743.81"/>
        <n v="1262.08"/>
        <n v="1088.47"/>
        <n v="2421.0100000000002"/>
        <n v="2072.62"/>
        <n v="8.86"/>
        <n v="2960.72"/>
        <n v="2547.77"/>
        <n v="17.71"/>
        <n v="1925.79"/>
        <n v="1812.81"/>
        <n v="23259.701242493658"/>
        <n v="902.13986357029796"/>
        <n v="9.7035753879784838"/>
        <n v="2310.3750923758294"/>
        <n v="118.32200973087411"/>
        <n v="369.32886101689212"/>
        <n v="218.07999999999998"/>
        <n v="4741.1000000000004"/>
        <n v="200.2325080059052"/>
        <n v="14.324325572730139"/>
        <n v="21.563500862174404"/>
        <n v="132.8542690619181"/>
        <n v="223.80603519844658"/>
        <n v="18.359780734079923"/>
        <n v="191.72262641565425"/>
        <n v="159.8548526414836"/>
        <n v="69.31125277127488"/>
        <n v="138.50698678793094"/>
        <n v="73.161877925234592"/>
        <n v="393.0256082143602"/>
        <n v="1516.7843518956556"/>
        <n v="277.19880358325196"/>
        <n v="7.7012503079194303"/>
        <s v="  "/>
        <n v="719.95908628615587"/>
        <n v="537.29313023261489"/>
        <n v="4.0816626631972976"/>
        <n v="318.28497397600216"/>
        <n v="284.5380951266992"/>
        <n v="125.18382375523035"/>
        <n v="28.956701157777054"/>
        <n v="61.532989960276254"/>
        <n v="11.936937977275118"/>
        <n v="30.805001231677721"/>
        <n v="243.43652223333322"/>
        <n v="549.07604320373161"/>
        <n v="462.07501847516585"/>
        <n v="-8998.1254572724465"/>
        <n v="6292.6916266009666"/>
        <n v="8254.1769762771219"/>
        <n v="406.93406627046267"/>
        <n v="-3.4039526361003882"/>
        <n v="-26431.461181810279"/>
        <n v="4005.25"/>
        <n v="20711.71"/>
        <n v="30977.84"/>
        <n v="15212.99"/>
        <n v="18618.96"/>
        <n v="16313.13"/>
        <n v="13151.86"/>
        <n v="23927.93"/>
        <n v="9651.0300000000007"/>
        <n v="176.70518831521133"/>
        <n v="60.978499938106054"/>
        <n v="-11618.41426453957"/>
        <n v="-1687.7598099817749"/>
        <n v="-194533.5827780448"/>
        <n v="108.50553401338153"/>
        <n v="24285.977559777311"/>
        <n v="47.847868163103421"/>
        <n v="3080.7311606770099"/>
        <n v="6629.3137396351431"/>
        <n v="246.11432397789986"/>
        <n v="163.06049808215508"/>
        <n v="138.70721929593688"/>
        <n v="620.6206585643032"/>
        <n v="-185213.7991991615"/>
        <n v="8853.7900000000009"/>
        <n v="625.04999999999995"/>
        <n v="-1761.9767591991942"/>
        <n v="139.74"/>
        <n v="309.92"/>
        <n v="169.59"/>
        <n v="349.85"/>
        <n v="8.89"/>
        <n v="274.14999999999998"/>
        <n v="17.79"/>
        <n v="115.23"/>
        <n v="20049.820114152841"/>
        <n v="-3157.5126262469666"/>
        <n v="117.5210796988505"/>
        <n v="430.03011594391307"/>
        <n v="85.044907150354277"/>
        <n v="369.3519647678159"/>
        <n v="847.65351764176796"/>
        <n v="485.17876939892415"/>
        <n v="769.93249953424504"/>
        <n v="521.38234709645337"/>
        <n v="649.05367470114174"/>
        <n v="179.98592094638502"/>
        <n v="173.27813192818718"/>
        <n v="22.017874630341652"/>
        <n v="164.0520340592997"/>
        <n v="52.715058357708507"/>
        <n v="7.3161877925234586"/>
        <n v="18.375183234695761"/>
        <n v="66.846852672740653"/>
        <n v="61.610002463355443"/>
        <n v="-7.701250307919431E-3"/>
        <n v="130.12032520260669"/>
        <n v="691.3258376413113"/>
        <n v="57.874896064014528"/>
        <n v="67.162603935365354"/>
        <n v="206.270288247314"/>
        <n v="7170.4031241945431"/>
        <n v="2335.334844623796"/>
        <n v="460.79661092405121"/>
        <n v="17.451033197745431"/>
        <n v="8.7409190994885542"/>
        <n v="15.209969358140876"/>
        <n v="173.8865307025128"/>
        <n v="169.41210427361162"/>
        <n v="232.55465554824303"/>
        <n v="839.4362835632179"/>
        <n v="41021.572305167334"/>
        <n v="549.07527307870089"/>
        <n v="374.47329622258229"/>
        <n v="569.97723653942501"/>
        <n v="12757.894648649462"/>
        <n v="10776.58"/>
        <n v="2.15735124875747"/>
        <n v="41.367420053995382"/>
        <n v="77.18616627363788"/>
        <n v="156.97458502632176"/>
        <n v="52.632654979413765"/>
        <n v="91.045259315266605"/>
        <n v="179.67016968376029"/>
        <n v="94.571353781250608"/>
        <n v="-97775.073909345097"/>
        <n v="-2.6107238543846871"/>
        <n v="-7443.0042813439686"/>
        <n v="-3850.6251539597151"/>
        <n v="1018.9062207389724"/>
        <n v="162.84293776095635"/>
        <n v="54.293814670831985"/>
        <n v="-143.52050073838652"/>
        <n v="65.337407612388446"/>
        <n v="2469.7909737497612"/>
        <n v="1007.3235402758615"/>
        <n v="231.03750923758292"/>
        <n v="4811.1712998652738"/>
        <n v="158.25299257743637"/>
        <n v="119.07673226105024"/>
        <n v="108.08704807164921"/>
        <n v="5693.45"/>
        <n v="15992.49"/>
        <n v="7466.21"/>
        <n v="930.18"/>
        <n v="14604.53"/>
        <n v="1550.29"/>
        <n v="986.3"/>
        <n v="43485.69"/>
        <n v="24669.48"/>
        <n v="33082.46"/>
        <n v="12026.28"/>
        <n v="119.95467479615304"/>
        <n v="33.11537632405355"/>
        <n v="409.24444136283853"/>
        <n v="84.120757113403926"/>
        <n v="89.14"/>
        <n v="90.92"/>
        <n v="8.7200000000000006"/>
        <n v="2.33"/>
        <n v="2642.67"/>
        <n v="5.04"/>
        <n v="5472.45"/>
        <n v="3809.26"/>
        <n v="4.6500000000000004"/>
        <n v="4993.88"/>
        <n v="459.65"/>
        <n v="17.440000000000001"/>
        <n v="3.1"/>
        <n v="4984.76"/>
        <n v="3.49"/>
        <n v="3311.11"/>
        <n v="84.020640859400984"/>
        <n v="25750.670654590202"/>
        <n v="-3581.0813931825351"/>
        <n v="101.61029656268896"/>
        <n v="260.279156656753"/>
        <n v="-26406.924998329247"/>
        <n v="-1039.6687915691232"/>
        <n v="295.72801182410615"/>
        <n v="236.15884069234932"/>
        <n v="28.363704884067261"/>
        <n v="2002.1171463007379"/>
        <n v="4.2356876693556869"/>
        <n v="2182.688362270525"/>
        <n v="7.6242378048402362"/>
        <n v="28.155771125753439"/>
        <n v="35.726100178438237"/>
        <n v="1.9792213291352936"/>
        <n v="7701.2503079194303"/>
        <n v="133.18542282515864"/>
        <n v="1406.6641737427158"/>
        <n v="26.492301059242841"/>
        <n v="275.29659475719592"/>
        <n v="22.248912139579236"/>
        <n v="229.62818043123366"/>
        <n v="837.80361849793906"/>
        <n v="368.38160722901802"/>
        <n v="1632.5803515255325"/>
        <n v="77.566993101364503"/>
        <n v="29.272452420401759"/>
        <n v="48.51787693989241"/>
        <n v="215.21143985480848"/>
        <n v="165.28423410856684"/>
        <n v="416.52212290382244"/>
        <n v="-192531.25769798577"/>
        <n v="124.5754249809047"/>
        <n v="3292.7773866552639"/>
        <n v="4452.4778655236187"/>
        <n v="134.00945660810601"/>
        <n v="110.0585681504766"/>
        <n v="124.92968249506897"/>
        <n v="57.936506066477882"/>
        <n v="48.764316949745833"/>
        <n v="-6.75399652004534"/>
        <n v="-7728.7283690180875"/>
        <n v="3962.55"/>
        <n v="16605.95"/>
        <n v="30647.72"/>
        <n v="1873.88"/>
        <n v="23721.02"/>
        <n v="2958.91"/>
        <n v="18409.72"/>
        <n v="13228.64"/>
        <n v="23459.79"/>
        <n v="12983.34"/>
        <n v="221.07209133913517"/>
        <n v="1.55"/>
        <n v="1841.94"/>
        <n v="5.43"/>
        <n v="5757.01"/>
        <n v="2311.87"/>
        <n v="0.78"/>
        <n v="182.44"/>
        <n v="3.88"/>
        <n v="5854.29"/>
        <n v="1.1599999999999999"/>
        <n v="1377.63"/>
        <n v="3757.48"/>
        <n v="23441.58"/>
        <n v="-7491.53"/>
        <n v="174.99"/>
        <n v="1963.31"/>
        <n v="144.24"/>
        <n v="908.97"/>
        <n v="39.04"/>
        <n v="58.91"/>
        <n v="223.79"/>
        <n v="-494.38"/>
        <n v="-39203.78"/>
        <n v="-83.65"/>
        <n v="66.83"/>
        <n v="-1022.18"/>
        <n v="37.090736100000001"/>
        <n v="18.084156179999997"/>
        <n v="108.10961261999999"/>
        <n v="712.32816816000002"/>
        <n v="288.02099922000002"/>
        <n v="730.97818092"/>
        <n v="25.796858880000002"/>
        <n v="143.41751292000001"/>
        <n v="15.40990248"/>
        <n v="57.577844880000001"/>
        <n v="1498.4734899"/>
        <n v="25.176742080000004"/>
        <n v="43.020603000000001"/>
        <n v="1114.49716734"/>
        <n v="309.283254"/>
        <n v="177.43091939999999"/>
        <n v="38.757300000000001"/>
        <n v="84.614937359999999"/>
        <n v="4.4183322"/>
        <n v="5.2399869599999995"/>
        <n v="154.03701312000001"/>
        <n v="7.8212231399999999"/>
        <n v="14.223929100000001"/>
        <n v="91.505985299999992"/>
        <n v="197.66222999999999"/>
        <n v="49.353545820000001"/>
        <n v="49.08999618"/>
        <n v="792.35424119999993"/>
        <n v="65.794392480000013"/>
        <n v="105.807429"/>
        <n v="150.16903458000002"/>
        <n v="50.268218099999999"/>
        <n v="173.0513445"/>
        <n v="171.8498682"/>
        <n v="1674.9819855600001"/>
        <n v="388.01483322000001"/>
        <n v="59.16689418"/>
        <n v="24.572128199999998"/>
        <n v="86.39777316"/>
        <n v="8.7591498000000012"/>
        <n v="31.114360440000002"/>
        <n v="56.190333539999997"/>
        <n v="48.159820979999999"/>
        <n v="361.86915863999997"/>
        <n v="-178283.58"/>
        <n v="7104.0580607999991"/>
        <n v="36.15"/>
        <n v="54.49"/>
        <n v="83.74"/>
        <n v="72.400000000000006"/>
        <n v="106.36"/>
        <n v="7.36"/>
        <n v="14.73"/>
        <n v="79.3"/>
        <n v="1710.46"/>
        <n v="12612.55"/>
        <n v="119.2383222511008"/>
        <n v="-42.320499840569745"/>
        <n v="122.00893360935768"/>
        <n v="58.080804677339785"/>
        <n v="134.85137600000002"/>
        <n v="20055.810000000001"/>
        <n v="-231485.77"/>
        <n v="57.48"/>
        <n v="24590.549337072891"/>
        <n v="137.76488000000001"/>
        <n v="199982.74960000001"/>
        <n v="490604.60200000007"/>
        <n v="1043557372.2575999"/>
        <n v="226597.75700000001"/>
        <n v="120800.18000000001"/>
        <n v="123333.087"/>
        <n v="390574.25940000004"/>
        <n v="134555.81340000001"/>
        <n v="560746.64200000011"/>
        <n v="-67959843.200000003"/>
        <n v="-197083545.28"/>
        <n v="129.42930000000001"/>
        <n v="1206.5899999999999"/>
        <n v="36.344000000000001"/>
        <n v="805.43539999999996"/>
        <n v="168.75319999999999"/>
        <n v="251.79"/>
        <n v="62.293000000000006"/>
        <n v="26.133799999999997"/>
        <n v="179.78730000000002"/>
        <n v="7.7000000000000002E-3"/>
        <n v="1925"/>
        <n v="48.024900000000002"/>
        <n v="149.2645"/>
        <n v="86.347800000000007"/>
        <n v="9.1167999999999996"/>
        <n v="104.28110000000001"/>
        <n v="22.206800000000001"/>
        <n v="2389.5410000000002"/>
        <n v="988.67229999999984"/>
        <n v="37.999500000000005"/>
        <n v="65.295999999999992"/>
        <n v="12.474"/>
        <n v="1205.127"/>
        <n v="117.06310000000001"/>
        <n v="56.040600000000005"/>
        <n v="17.247999999999998"/>
        <n v="66.812899999999999"/>
        <n v="35.912800000000004"/>
        <n v="-83.090699999999998"/>
        <n v="-61455.702000000005"/>
        <n v="-4.9357000000000006"/>
        <n v="70.162400000000005"/>
        <n v="55.540099999999995"/>
        <n v="-7441.7961310000001"/>
        <n v="-2181.3406999999997"/>
        <n v="37.853200000000001"/>
        <n v="636.79"/>
        <n v="22.799700000000001"/>
        <n v="120.8669"/>
        <n v="2280.0931999999998"/>
        <n v="462"/>
        <n v="2"/>
        <n v="17000"/>
        <n v="6"/>
        <n v="6000"/>
        <n v="32000"/>
        <n v="3"/>
        <n v="1"/>
        <n v="200"/>
        <n v="25000"/>
        <n v="4"/>
        <n v="20000"/>
        <n v="10"/>
        <n v="15000"/>
        <n v="20"/>
        <n v="5"/>
        <n v="68"/>
        <n v="176.71"/>
        <n v="92.415003695033164"/>
        <n v="250.2906350073815"/>
        <n v="4755.5220651402487"/>
        <n v="55.5"/>
        <n v="6161.000246335544"/>
        <n v="-2000"/>
        <n v="58000"/>
        <n v="23.49"/>
        <n v="-300000"/>
        <n v="7.7"/>
        <n v="300000"/>
        <n v="26"/>
        <n v="235849.06"/>
        <n v="63000"/>
        <n v="23.84"/>
        <n v="7.81"/>
        <n v="-9786.02"/>
        <n v="-5.77"/>
        <n v="-4.09"/>
        <n v="26.76"/>
        <n v="-349970"/>
        <n v="7.83"/>
        <n v="200000"/>
        <n v="350000"/>
        <n v="7.8"/>
        <n v="4855.2299999999996"/>
        <n v="23.42"/>
        <n v="100000"/>
        <n v="-1090"/>
        <n v="-500000"/>
        <n v="7.74"/>
        <n v="-2.58"/>
        <n v="4637"/>
        <n v="23.56"/>
        <n v="-47.33"/>
        <n v="-249970"/>
        <n v="250000"/>
        <n v="197160.88"/>
        <n v="7.77"/>
        <n v="-4.59"/>
        <n v="-59000"/>
        <n v="25"/>
        <n v="7.82"/>
        <n v="180760.77"/>
        <n v="-3.66"/>
        <n v="-50000"/>
        <n v="-650"/>
        <n v="7.67"/>
        <n v="62000"/>
        <n v="-199970"/>
        <n v="7.65"/>
        <n v="11698.62"/>
        <n v="-58000"/>
        <n v="2.5099999999999998"/>
        <n v="-190100"/>
        <n v="190000"/>
        <n v="5.66"/>
        <n v="-63000"/>
        <n v="2.56"/>
        <n v="62990"/>
      </sharedItems>
    </cacheField>
    <cacheField name="Payee" numFmtId="0">
      <sharedItems/>
    </cacheField>
    <cacheField name="Invoice Number" numFmtId="0">
      <sharedItems containsBlank="1" containsMixedTypes="1" containsNumber="1" containsInteger="1" minValue="5136" maxValue="12026270034"/>
    </cacheField>
    <cacheField name="Description " numFmtId="0">
      <sharedItems containsBlank="1"/>
    </cacheField>
    <cacheField name="Account Code " numFmtId="0">
      <sharedItems containsBlank="1" count="70">
        <s v="Bank Charges"/>
        <s v="Accommodation - National"/>
        <s v="Courier Charges"/>
        <s v="General Expenses"/>
        <s v="Insurance expenses"/>
        <s v="Office Supplies"/>
        <s v="Transportation fee - International"/>
        <s v="Transportation fee - National"/>
        <s v="Subscription Fee"/>
        <s v="Telecommunication"/>
        <s v="Statutory Contribution"/>
        <s v="Professional &amp; Consultancy Fees"/>
        <s v="Electricity"/>
        <s v="Leasing "/>
        <s v="R&amp;D Contract Services"/>
        <s v="Sales - Services Fees"/>
        <s v="Interest Income"/>
        <s v="Salaries &amp; Wages"/>
        <s v="Staff Welfare - Meal &amp; Refreshment"/>
        <s v="Personal Meals - International"/>
        <s v="Staff Welfare - Gift &amp; Tokens"/>
        <s v="Intercompany - Alpha X Technology Pte Ltd"/>
        <s v="Personal Meals - National"/>
        <s v="Rental of Office"/>
        <s v="Internal Fund Transfer"/>
        <s v="Professional &amp; Consultancy Fees "/>
        <s v="Network &amp; Server"/>
        <s v="Accrual"/>
        <s v="Accrual - Expenses of 2025"/>
        <s v="Printing &amp; Stationery"/>
        <s v="Stamp Duty"/>
        <s v="Accommodation - International"/>
        <s v="Tax Expenses (GST/SST/VAT)"/>
        <s v="Corporate Income Tax Expenses"/>
        <s v="Business Meals - National"/>
        <s v="Staff Welfare - Medical Expenses"/>
        <s v="Interest Expenses"/>
        <s v="Lease Liabilities"/>
        <s v="Contract Services - Project delivery"/>
        <s v="Security Deposit"/>
        <s v="Upkeep of Offices"/>
        <s v="Cleaning Fees"/>
        <s v="Staff Welfare - Professional Subscription"/>
        <s v="Intercompany - Alpha X Innovation Sdn Bhd"/>
        <s v="Intercompany - Alpha X (Shanghai) Technology Co Ltd"/>
        <s v="Business Meals - International"/>
        <s v="Consumable Tools"/>
        <s v="Hampers &amp; Gift"/>
        <s v="Small Value Assets"/>
        <s v="Renovation"/>
        <s v="Intercompany - SPIN (India)"/>
        <s v="Repair &amp; Maintenance"/>
        <s v="Staff Welfare - Recreation, Training &amp; Events"/>
        <s v="Sales - Software"/>
        <s v="Prepayment"/>
        <s v="Grant Received"/>
        <s v="Business Development Cost (Entertainment)"/>
        <s v="Recruitment Related Fees"/>
        <s v="Marketing Expense"/>
        <s v="Penalty"/>
        <s v="Staff Allowance"/>
        <s v="License Fee"/>
        <s v="OCBC SG - USD"/>
        <m/>
        <s v="Intercompany - Alpha X (Taiwan) Technology Co Ltd"/>
        <s v="Alpha X Technology Limited"/>
        <s v="Intercompany - Alpha X (US) Technology Pte Ltd"/>
        <s v="OCBC SG - SGD"/>
        <s v="Short Term Loan"/>
        <s v="OCBC MY - USD"/>
      </sharedItems>
    </cacheField>
    <cacheField name="Account Category" numFmtId="0">
      <sharedItems containsBlank="1" count="41">
        <s v="Bank Charges"/>
        <s v="Travelling Expenses"/>
        <s v="Courier Charges"/>
        <s v="General Expenses"/>
        <s v="Employee Benefits"/>
        <s v="Office Supplies"/>
        <s v="Subscription Fee"/>
        <s v="Telecommunication"/>
        <s v="Headcount Costs"/>
        <s v="Professional &amp; Consultancy Fees"/>
        <s v="Utilities"/>
        <s v="Non-Current Liabilities"/>
        <s v="R&amp;D Contract Services"/>
        <s v="Revenue"/>
        <s v="Other Income"/>
        <s v="Intercompany"/>
        <m/>
        <s v="Rental"/>
        <s v="Internal Fund Transfer"/>
        <s v="Network &amp; Server"/>
        <s v="Accrual"/>
        <s v="Accrual - Expenses of 2025"/>
        <s v="Compliance Costs"/>
        <s v="Tax Expenses (GST/SST/VAT)"/>
        <s v="Corporate Tax Expenses"/>
        <s v="Sales Expenses"/>
        <s v="Lease Liabilities"/>
        <s v="Interest Expenses"/>
        <s v="ERROR"/>
        <s v="Direct Costs"/>
        <s v="Current Asset"/>
        <s v="Upkeep of Office"/>
        <s v="Small Value Assets"/>
        <s v="Non-Current Asset"/>
        <s v="Repair &amp; Maintenance"/>
        <s v="Recruitment Related Fees"/>
        <s v="Marketing Expense"/>
        <s v="Penalty"/>
        <s v="License Fee"/>
        <s v="Bank"/>
        <s v="Current Liabilities"/>
      </sharedItems>
    </cacheField>
    <cacheField name="Department " numFmtId="0">
      <sharedItems count="18">
        <s v="Finance"/>
        <s v="General"/>
        <s v="R&amp;D - China"/>
        <s v="HR"/>
        <s v="Business Operation"/>
        <s v="IT"/>
        <s v="Others"/>
        <s v="General "/>
        <s v="Sales &amp; Pre-Sales"/>
        <s v="DSC"/>
        <s v="R&amp;D - DSC"/>
        <s v="Management"/>
        <s v="Marketing"/>
        <s v="R&amp;D - Team W"/>
        <s v="R&amp;D - Team D"/>
        <s v="R&amp;D - Team P"/>
        <s v="R&amp;D - MY Team" u="1"/>
        <s v="R&amp;D - MY Team - 80%" u="1"/>
      </sharedItems>
    </cacheField>
    <cacheField name="Group" numFmtId="0">
      <sharedItems count="6">
        <s v="General &amp; Administrative"/>
        <s v="Research &amp; Development"/>
        <s v="Sales &amp; Marketing"/>
        <s v="Others"/>
        <s v="DSC"/>
        <s v="ERROR" u="1"/>
      </sharedItems>
    </cacheField>
    <cacheField name="Submitter " numFmtId="0">
      <sharedItems containsBlank="1"/>
    </cacheField>
    <cacheField name="Approval" numFmtId="0">
      <sharedItems containsBlank="1"/>
    </cacheField>
    <cacheField name="Authorisation" numFmtId="0">
      <sharedItems containsBlank="1"/>
    </cacheField>
    <cacheField name="Remarks" numFmtId="0">
      <sharedItems containsBlank="1"/>
    </cacheField>
    <cacheField name="GST Claimable" numFmtId="0">
      <sharedItems containsBlank="1"/>
    </cacheField>
    <cacheField name="Months (Payment Date/ Planned Date )" numFmtId="0" databaseField="0">
      <fieldGroup base="4">
        <rangePr autoEnd="0" groupBy="months" startDate="2026-01-02T00:00:00" endDate="2027-12-31T12:51:04"/>
        <groupItems count="14">
          <s v="&lt;2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7"/>
        </groupItems>
      </fieldGroup>
    </cacheField>
    <cacheField name="Years (Payment Date/ Planned Date )" numFmtId="0" databaseField="0">
      <fieldGroup base="4">
        <rangePr autoEnd="0" groupBy="years" startDate="2026-01-02T00:00:00" endDate="2027-12-31T12:51:04"/>
        <groupItems count="4">
          <s v="&lt;2/1/2026"/>
          <s v="2026"/>
          <s v="2027"/>
          <s v="&gt;31/12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CN"/>
    <x v="0"/>
    <x v="0"/>
    <s v="李世豪"/>
    <s v="CNY"/>
    <n v="24631.25"/>
    <n v="3543.3284687500004"/>
    <s v="Net Pay - January 2026"/>
    <x v="0"/>
    <s v="Headcount Costs"/>
    <x v="0"/>
    <x v="0"/>
  </r>
  <r>
    <s v="CN"/>
    <x v="0"/>
    <x v="0"/>
    <s v="王喜超"/>
    <s v="CNY"/>
    <n v="23075"/>
    <n v="3319.4541250000002"/>
    <s v="Net Pay - January 2026"/>
    <x v="0"/>
    <s v="Headcount Costs"/>
    <x v="0"/>
    <x v="0"/>
  </r>
  <r>
    <s v="CN"/>
    <x v="0"/>
    <x v="0"/>
    <s v="关欣"/>
    <s v="CNY"/>
    <n v="13351.76"/>
    <n v="1920.7174348000001"/>
    <s v="Net Pay - January 2026"/>
    <x v="0"/>
    <s v="Headcount Costs"/>
    <x v="1"/>
    <x v="1"/>
  </r>
  <r>
    <s v="CN"/>
    <x v="0"/>
    <x v="0"/>
    <s v="邓思"/>
    <s v="CNY"/>
    <n v="24308.847999999998"/>
    <n v="3496.9493290400001"/>
    <s v="Net Pay - January 2026"/>
    <x v="0"/>
    <s v="Headcount Costs"/>
    <x v="0"/>
    <x v="0"/>
  </r>
  <r>
    <s v="CN"/>
    <x v="0"/>
    <x v="1"/>
    <s v="李世豪"/>
    <s v="CNY"/>
    <n v="654.38"/>
    <n v="94.135834900000006"/>
    <s v="个税 - January 2026"/>
    <x v="0"/>
    <s v="Headcount Costs"/>
    <x v="0"/>
    <x v="0"/>
  </r>
  <r>
    <s v="CN"/>
    <x v="0"/>
    <x v="1"/>
    <s v="王喜超"/>
    <s v="CNY"/>
    <n v="547.5"/>
    <n v="78.760612500000008"/>
    <s v="个税 - January 2026"/>
    <x v="0"/>
    <s v="Headcount Costs"/>
    <x v="0"/>
    <x v="0"/>
  </r>
  <r>
    <s v="CN"/>
    <x v="0"/>
    <x v="1"/>
    <s v="关欣"/>
    <s v="CNY"/>
    <n v="295.5"/>
    <n v="42.509152500000006"/>
    <s v="个税 - January 2026"/>
    <x v="0"/>
    <s v="Headcount Costs"/>
    <x v="1"/>
    <x v="1"/>
  </r>
  <r>
    <s v="CN"/>
    <x v="0"/>
    <x v="1"/>
    <s v="邓思"/>
    <s v="CNY"/>
    <n v="643.63199999999995"/>
    <n v="92.58968136"/>
    <s v="个税 - January 2026"/>
    <x v="0"/>
    <s v="Headcount Costs"/>
    <x v="0"/>
    <x v="0"/>
  </r>
  <r>
    <s v="CN"/>
    <x v="1"/>
    <x v="1"/>
    <s v="李世豪"/>
    <s v="CNY"/>
    <n v="1526.87"/>
    <n v="222.61306539"/>
    <s v="补扣个税 - 2025"/>
    <x v="1"/>
    <s v="Accrual - Expenses of 2025"/>
    <x v="0"/>
    <x v="0"/>
  </r>
  <r>
    <s v="CN"/>
    <x v="1"/>
    <x v="1"/>
    <s v="王喜超"/>
    <s v="CNY"/>
    <n v="1127.5"/>
    <n v="164.38611750000001"/>
    <s v="补扣个税 - 2025"/>
    <x v="1"/>
    <s v="Accrual - Expenses of 2025"/>
    <x v="0"/>
    <x v="0"/>
  </r>
  <r>
    <s v="CN"/>
    <x v="1"/>
    <x v="1"/>
    <s v="关欣"/>
    <s v="CNY"/>
    <n v="1202.74"/>
    <n v="175.35588378"/>
    <s v="补扣个税 - 2025"/>
    <x v="1"/>
    <s v="Accrual - Expenses of 2025"/>
    <x v="1"/>
    <x v="1"/>
  </r>
  <r>
    <s v="CN"/>
    <x v="1"/>
    <x v="1"/>
    <s v="邓思"/>
    <s v="CNY"/>
    <n v="1501.8"/>
    <n v="218.95793460000002"/>
    <s v="补扣个税 - 2025"/>
    <x v="1"/>
    <s v="Accrual - Expenses of 2025"/>
    <x v="0"/>
    <x v="0"/>
  </r>
  <r>
    <s v="CN"/>
    <x v="0"/>
    <x v="1"/>
    <s v="李世豪"/>
    <s v="CNY"/>
    <n v="11830"/>
    <n v="1701.80465"/>
    <s v="社保公司 &amp; 个人 - January 2026"/>
    <x v="2"/>
    <s v="Headcount Costs"/>
    <x v="0"/>
    <x v="0"/>
  </r>
  <r>
    <s v="CN"/>
    <x v="0"/>
    <x v="1"/>
    <s v="王喜超"/>
    <s v="CNY"/>
    <n v="10920"/>
    <n v="1570.8966"/>
    <s v="社保公司 &amp; 个人 - January 2026"/>
    <x v="2"/>
    <s v="Headcount Costs"/>
    <x v="0"/>
    <x v="0"/>
  </r>
  <r>
    <s v="CN"/>
    <x v="0"/>
    <x v="1"/>
    <s v="关欣"/>
    <s v="CNY"/>
    <n v="6552"/>
    <n v="942.53796000000011"/>
    <s v="社保公司 &amp; 个人 - January 2026"/>
    <x v="2"/>
    <s v="Headcount Costs"/>
    <x v="1"/>
    <x v="1"/>
  </r>
  <r>
    <s v="CN"/>
    <x v="0"/>
    <x v="1"/>
    <s v="李世豪"/>
    <s v="CNY"/>
    <n v="4550"/>
    <n v="654.54025000000001"/>
    <s v="公积金公司 &amp; 个人 - January 2026"/>
    <x v="2"/>
    <s v="Headcount Costs"/>
    <x v="0"/>
    <x v="0"/>
  </r>
  <r>
    <s v="CN"/>
    <x v="0"/>
    <x v="1"/>
    <s v="王喜超"/>
    <s v="CNY"/>
    <n v="4200"/>
    <n v="604.19100000000003"/>
    <s v="公积金公司 &amp; 个人 - January 2026"/>
    <x v="2"/>
    <s v="Headcount Costs"/>
    <x v="0"/>
    <x v="0"/>
  </r>
  <r>
    <s v="CN"/>
    <x v="0"/>
    <x v="1"/>
    <s v="关欣"/>
    <s v="CNY"/>
    <n v="2520"/>
    <n v="362.51460000000003"/>
    <s v="公积金公司 &amp; 个人 - January 2026"/>
    <x v="2"/>
    <s v="Headcount Costs"/>
    <x v="0"/>
    <x v="0"/>
  </r>
  <r>
    <s v="CN"/>
    <x v="0"/>
    <x v="1"/>
    <s v="邓思"/>
    <s v="CNY"/>
    <n v="8331.81"/>
    <n v="1198.5725275499999"/>
    <s v="社保公司 &amp; 个人 - January 2026"/>
    <x v="2"/>
    <s v="Headcount Costs"/>
    <x v="0"/>
    <x v="0"/>
  </r>
  <r>
    <s v="CN"/>
    <x v="0"/>
    <x v="1"/>
    <s v="邓思"/>
    <s v="CNY"/>
    <n v="3000"/>
    <n v="431.56500000000005"/>
    <s v="公积金公司 &amp; 个人 - January 2026"/>
    <x v="2"/>
    <s v="Headcount Costs"/>
    <x v="0"/>
    <x v="0"/>
  </r>
  <r>
    <s v="CN"/>
    <x v="2"/>
    <x v="2"/>
    <s v="李世豪"/>
    <s v="CNY"/>
    <n v="25624.38"/>
    <n v="3735.9577308600005"/>
    <s v="Net Pay - February 2026"/>
    <x v="0"/>
    <s v="Headcount Costs"/>
    <x v="0"/>
    <x v="0"/>
  </r>
  <r>
    <s v="CN"/>
    <x v="2"/>
    <x v="2"/>
    <s v="王喜超"/>
    <s v="CNY"/>
    <n v="24167.5"/>
    <n v="3523.5489975"/>
    <s v="Net Pay - February 2026"/>
    <x v="0"/>
    <s v="Headcount Costs"/>
    <x v="0"/>
    <x v="0"/>
  </r>
  <r>
    <s v="CN"/>
    <x v="2"/>
    <x v="2"/>
    <s v="关欣"/>
    <s v="CNY"/>
    <n v="14554.5"/>
    <n v="2122.0024364999999"/>
    <s v="Net Pay - February 2026"/>
    <x v="0"/>
    <s v="Headcount Costs"/>
    <x v="1"/>
    <x v="1"/>
  </r>
  <r>
    <s v="CN"/>
    <x v="2"/>
    <x v="2"/>
    <s v="邓思"/>
    <s v="CNY"/>
    <n v="25327.05"/>
    <n v="3692.6079088500001"/>
    <s v="Net Pay - February 2026"/>
    <x v="0"/>
    <s v="Headcount Costs"/>
    <x v="0"/>
    <x v="0"/>
  </r>
  <r>
    <s v="CN"/>
    <x v="2"/>
    <x v="2"/>
    <s v="李世豪"/>
    <s v="CNY"/>
    <n v="1188.1199999999999"/>
    <n v="173.22433164"/>
    <s v="个税 - February 2026"/>
    <x v="0"/>
    <s v="Headcount Costs"/>
    <x v="0"/>
    <x v="0"/>
  </r>
  <r>
    <s v="CN"/>
    <x v="2"/>
    <x v="2"/>
    <s v="王喜超"/>
    <s v="CNY"/>
    <n v="582.5"/>
    <n v="84.926752500000006"/>
    <s v="个税 - February 2026"/>
    <x v="0"/>
    <s v="Headcount Costs"/>
    <x v="0"/>
    <x v="0"/>
  </r>
  <r>
    <s v="CN"/>
    <x v="2"/>
    <x v="2"/>
    <s v="关欣"/>
    <s v="CNY"/>
    <n v="295.5"/>
    <n v="43.0830135"/>
    <s v="个税 - February 2026"/>
    <x v="0"/>
    <s v="Headcount Costs"/>
    <x v="1"/>
    <x v="1"/>
  </r>
  <r>
    <s v="CN"/>
    <x v="2"/>
    <x v="2"/>
    <s v="邓思"/>
    <s v="CNY"/>
    <n v="1127.23"/>
    <n v="164.34675231000003"/>
    <s v="个税 - February 2026"/>
    <x v="0"/>
    <s v="Headcount Costs"/>
    <x v="0"/>
    <x v="0"/>
  </r>
  <r>
    <s v="CN"/>
    <x v="2"/>
    <x v="3"/>
    <s v="李世豪"/>
    <s v="CNY"/>
    <n v="11830"/>
    <n v="1724.7785100000001"/>
    <s v="社保公司 &amp; 个人 - February 20262026"/>
    <x v="2"/>
    <s v="Headcount Costs"/>
    <x v="0"/>
    <x v="0"/>
  </r>
  <r>
    <s v="CN"/>
    <x v="2"/>
    <x v="3"/>
    <s v="王喜超"/>
    <s v="CNY"/>
    <n v="10920"/>
    <n v="1592.1032400000001"/>
    <s v="社保公司 &amp; 个人 - February 2026 2026"/>
    <x v="2"/>
    <s v="Headcount Costs"/>
    <x v="0"/>
    <x v="0"/>
  </r>
  <r>
    <s v="CN"/>
    <x v="2"/>
    <x v="3"/>
    <s v="关欣"/>
    <s v="CNY"/>
    <n v="6552"/>
    <n v="955.26194400000008"/>
    <s v="社保公司 &amp; 个人 - February 2026 2026"/>
    <x v="2"/>
    <s v="Headcount Costs"/>
    <x v="1"/>
    <x v="1"/>
  </r>
  <r>
    <s v="CN"/>
    <x v="2"/>
    <x v="3"/>
    <s v="李世豪"/>
    <s v="CNY"/>
    <n v="4550"/>
    <n v="663.37635"/>
    <s v="公积金公司 &amp; 个人 - February 2026"/>
    <x v="2"/>
    <s v="Headcount Costs"/>
    <x v="0"/>
    <x v="0"/>
  </r>
  <r>
    <s v="CN"/>
    <x v="2"/>
    <x v="3"/>
    <s v="王喜超"/>
    <s v="CNY"/>
    <n v="4200"/>
    <n v="612.34739999999999"/>
    <s v="公积金公司 &amp; 个人 - February 2026"/>
    <x v="2"/>
    <s v="Headcount Costs"/>
    <x v="0"/>
    <x v="0"/>
  </r>
  <r>
    <s v="CN"/>
    <x v="2"/>
    <x v="3"/>
    <s v="关欣"/>
    <s v="CNY"/>
    <n v="2520"/>
    <n v="367.40844000000004"/>
    <s v="公积金公司 &amp; 个人 - February 2026"/>
    <x v="2"/>
    <s v="Headcount Costs"/>
    <x v="1"/>
    <x v="1"/>
  </r>
  <r>
    <s v="CN"/>
    <x v="2"/>
    <x v="3"/>
    <s v="邓思"/>
    <s v="CNY"/>
    <n v="8331.81"/>
    <n v="1214.7529025700001"/>
    <s v="社保公司 &amp; 个人 - February 2026 2026"/>
    <x v="2"/>
    <s v="Headcount Costs"/>
    <x v="0"/>
    <x v="0"/>
  </r>
  <r>
    <s v="CN"/>
    <x v="2"/>
    <x v="3"/>
    <s v="邓思"/>
    <s v="CNY"/>
    <n v="3000"/>
    <n v="437.39100000000002"/>
    <s v="公积金公司 &amp; 个人 - February 2026"/>
    <x v="2"/>
    <s v="Headcount Costs"/>
    <x v="0"/>
    <x v="0"/>
  </r>
  <r>
    <s v="CN"/>
    <x v="3"/>
    <x v="4"/>
    <s v="李世豪"/>
    <s v="CNY"/>
    <n v="29538.44"/>
    <n v="4281.86272396"/>
    <s v="Net Pay - March 2026"/>
    <x v="3"/>
    <s v="Headcount Costs"/>
    <x v="0"/>
    <x v="0"/>
  </r>
  <r>
    <s v="CN"/>
    <x v="3"/>
    <x v="4"/>
    <s v="王喜超"/>
    <s v="CNY"/>
    <n v="25352.89"/>
    <n v="3675.1295815100002"/>
    <s v="Net Pay - March 2026"/>
    <x v="3"/>
    <s v="Headcount Costs"/>
    <x v="0"/>
    <x v="0"/>
  </r>
  <r>
    <s v="CN"/>
    <x v="3"/>
    <x v="4"/>
    <s v="关欣"/>
    <s v="CNY"/>
    <n v="14279.37"/>
    <n v="2069.9231958300002"/>
    <s v="Net Pay - March 2026"/>
    <x v="3"/>
    <s v="Headcount Costs"/>
    <x v="1"/>
    <x v="1"/>
  </r>
  <r>
    <s v="CN"/>
    <x v="3"/>
    <x v="4"/>
    <s v="邓思"/>
    <s v="CNY"/>
    <n v="28557.77"/>
    <n v="4139.7057814300006"/>
    <s v="Net Pay - March 2026"/>
    <x v="3"/>
    <s v="Headcount Costs"/>
    <x v="0"/>
    <x v="0"/>
  </r>
  <r>
    <s v="CN"/>
    <x v="3"/>
    <x v="4"/>
    <s v="李世豪"/>
    <s v="CNY"/>
    <n v="24631.25"/>
    <n v="3570.52136875"/>
    <s v="Net Pay - March 2026"/>
    <x v="0"/>
    <s v="Headcount Costs"/>
    <x v="0"/>
    <x v="0"/>
  </r>
  <r>
    <s v="CN"/>
    <x v="3"/>
    <x v="4"/>
    <s v="王喜超"/>
    <s v="CNY"/>
    <n v="22925"/>
    <n v="3323.1850750000003"/>
    <s v="Net Pay - March 2026"/>
    <x v="0"/>
    <s v="Headcount Costs"/>
    <x v="0"/>
    <x v="0"/>
  </r>
  <r>
    <s v="CN"/>
    <x v="3"/>
    <x v="4"/>
    <s v="关欣"/>
    <s v="CNY"/>
    <n v="14554.5"/>
    <n v="2109.8057655000002"/>
    <s v="Net Pay - March 2026"/>
    <x v="0"/>
    <s v="Headcount Costs"/>
    <x v="1"/>
    <x v="1"/>
  </r>
  <r>
    <s v="CN"/>
    <x v="3"/>
    <x v="4"/>
    <s v="邓思"/>
    <s v="CNY"/>
    <n v="24308.86"/>
    <n v="3523.7880367400003"/>
    <s v="Net Pay - March 2026"/>
    <x v="0"/>
    <s v="Headcount Costs"/>
    <x v="0"/>
    <x v="0"/>
  </r>
  <r>
    <s v="CN"/>
    <x v="3"/>
    <x v="5"/>
    <s v="李世豪"/>
    <s v="CNY"/>
    <n v="2181.25"/>
    <n v="316.19181874999998"/>
    <s v="个税 - March 2026"/>
    <x v="0"/>
    <s v="Headcount Costs"/>
    <x v="0"/>
    <x v="0"/>
  </r>
  <r>
    <s v="CN"/>
    <x v="3"/>
    <x v="5"/>
    <s v="王喜超"/>
    <s v="CNY"/>
    <n v="1825"/>
    <n v="264.55017500000002"/>
    <s v="个税 - March 2026"/>
    <x v="0"/>
    <s v="Headcount Costs"/>
    <x v="0"/>
    <x v="0"/>
  </r>
  <r>
    <s v="CN"/>
    <x v="3"/>
    <x v="5"/>
    <s v="关欣"/>
    <s v="CNY"/>
    <n v="295.5"/>
    <n v="42.835384500000004"/>
    <s v="个税 - March 2026"/>
    <x v="0"/>
    <s v="Headcount Costs"/>
    <x v="1"/>
    <x v="1"/>
  </r>
  <r>
    <s v="CN"/>
    <x v="3"/>
    <x v="5"/>
    <s v="邓思"/>
    <s v="CNY"/>
    <n v="2145.42"/>
    <n v="310.99793778000003"/>
    <s v="个税 - March 2026"/>
    <x v="0"/>
    <s v="Headcount Costs"/>
    <x v="0"/>
    <x v="0"/>
  </r>
  <r>
    <s v="CN"/>
    <x v="3"/>
    <x v="5"/>
    <s v="李世豪"/>
    <s v="CNY"/>
    <n v="913.56"/>
    <n v="132.42874404"/>
    <s v="个税 - March 2026"/>
    <x v="3"/>
    <s v="Headcount Costs"/>
    <x v="0"/>
    <x v="0"/>
  </r>
  <r>
    <s v="CN"/>
    <x v="3"/>
    <x v="5"/>
    <s v="王喜超"/>
    <s v="CNY"/>
    <n v="784.11"/>
    <n v="113.66380149000001"/>
    <s v="个税 - March 2026"/>
    <x v="3"/>
    <s v="Headcount Costs"/>
    <x v="0"/>
    <x v="0"/>
  </r>
  <r>
    <s v="CN"/>
    <x v="3"/>
    <x v="5"/>
    <s v="关欣"/>
    <s v="CNY"/>
    <n v="441.63"/>
    <n v="64.018243170000005"/>
    <s v="个税 - March 2026"/>
    <x v="3"/>
    <s v="Headcount Costs"/>
    <x v="1"/>
    <x v="1"/>
  </r>
  <r>
    <s v="CN"/>
    <x v="3"/>
    <x v="5"/>
    <s v="邓思"/>
    <s v="CNY"/>
    <n v="883.23"/>
    <n v="128.03213757"/>
    <s v="个税 - March 2026"/>
    <x v="3"/>
    <s v="Headcount Costs"/>
    <x v="0"/>
    <x v="0"/>
  </r>
  <r>
    <s v="CN"/>
    <x v="4"/>
    <x v="6"/>
    <s v="李世豪"/>
    <s v="CNY"/>
    <n v="24631.25"/>
    <n v="3570.52136875"/>
    <s v="Net Pay - April 2026"/>
    <x v="0"/>
    <s v="Headcount Costs"/>
    <x v="0"/>
    <x v="0"/>
  </r>
  <r>
    <s v="CN"/>
    <x v="4"/>
    <x v="6"/>
    <s v="王喜超"/>
    <s v="CNY"/>
    <n v="22925"/>
    <n v="3323.1850750000003"/>
    <s v="Net Pay - April 2026"/>
    <x v="0"/>
    <s v="Headcount Costs"/>
    <x v="0"/>
    <x v="0"/>
  </r>
  <r>
    <s v="CN"/>
    <x v="4"/>
    <x v="6"/>
    <s v="关欣"/>
    <s v="CNY"/>
    <n v="14316.5"/>
    <n v="2075.3055235000002"/>
    <s v="Net Pay - April 2026"/>
    <x v="0"/>
    <s v="Headcount Costs"/>
    <x v="1"/>
    <x v="1"/>
  </r>
  <r>
    <s v="CN"/>
    <x v="4"/>
    <x v="6"/>
    <s v="邓思"/>
    <s v="CNY"/>
    <n v="24308.85"/>
    <n v="3523.7865871499998"/>
    <s v="Net Pay - April 2026"/>
    <x v="0"/>
    <s v="Headcount Costs"/>
    <x v="0"/>
    <x v="0"/>
  </r>
  <r>
    <s v="CN"/>
    <x v="4"/>
    <x v="7"/>
    <s v="李世豪"/>
    <s v="CNY"/>
    <n v="2181.25"/>
    <n v="316.19181874999998"/>
    <s v="个税 - April 2026"/>
    <x v="0"/>
    <s v="Headcount Costs"/>
    <x v="0"/>
    <x v="0"/>
  </r>
  <r>
    <s v="CN"/>
    <x v="4"/>
    <x v="7"/>
    <s v="王喜超"/>
    <s v="CNY"/>
    <n v="1825"/>
    <n v="264.55017500000002"/>
    <s v="个税 - April 2026"/>
    <x v="0"/>
    <s v="Headcount Costs"/>
    <x v="0"/>
    <x v="0"/>
  </r>
  <r>
    <s v="CN"/>
    <x v="4"/>
    <x v="7"/>
    <s v="关欣"/>
    <s v="CNY"/>
    <n v="533.5"/>
    <n v="77.335626500000004"/>
    <s v="个税 - April 2026"/>
    <x v="0"/>
    <s v="Headcount Costs"/>
    <x v="1"/>
    <x v="1"/>
  </r>
  <r>
    <s v="CN"/>
    <x v="4"/>
    <x v="7"/>
    <s v="邓思"/>
    <s v="CNY"/>
    <n v="2145.4299999999998"/>
    <n v="310.99938736999997"/>
    <s v="个税 - April 2026"/>
    <x v="0"/>
    <s v="Headcount Costs"/>
    <x v="0"/>
    <x v="0"/>
  </r>
  <r>
    <s v="CN"/>
    <x v="4"/>
    <x v="7"/>
    <s v="李世豪"/>
    <s v="CNY"/>
    <n v="11830"/>
    <n v="1714.8649700000001"/>
    <s v="社保公司 &amp; 个人 - April 2026"/>
    <x v="2"/>
    <s v="Headcount Costs"/>
    <x v="0"/>
    <x v="0"/>
  </r>
  <r>
    <s v="CN"/>
    <x v="4"/>
    <x v="7"/>
    <s v="王喜超"/>
    <s v="CNY"/>
    <n v="10920"/>
    <n v="1582.95228"/>
    <s v="社保公司 &amp; 个人 - April 2026"/>
    <x v="2"/>
    <s v="Headcount Costs"/>
    <x v="0"/>
    <x v="0"/>
  </r>
  <r>
    <s v="CN"/>
    <x v="4"/>
    <x v="7"/>
    <s v="关欣"/>
    <s v="CNY"/>
    <n v="6552"/>
    <n v="949.77136800000005"/>
    <s v="社保公司 &amp; 个人 - April 2026"/>
    <x v="2"/>
    <s v="Headcount Costs"/>
    <x v="1"/>
    <x v="1"/>
  </r>
  <r>
    <s v="CN"/>
    <x v="4"/>
    <x v="7"/>
    <s v="李世豪"/>
    <s v="CNY"/>
    <n v="4550"/>
    <n v="659.56344999999999"/>
    <s v="公积金公司 &amp; 个人 - April 2026"/>
    <x v="2"/>
    <s v="Headcount Costs"/>
    <x v="0"/>
    <x v="0"/>
  </r>
  <r>
    <s v="CN"/>
    <x v="4"/>
    <x v="7"/>
    <s v="王喜超"/>
    <s v="CNY"/>
    <n v="4200"/>
    <n v="608.82780000000002"/>
    <s v="公积金公司 &amp; 个人 - April 2026"/>
    <x v="2"/>
    <s v="Headcount Costs"/>
    <x v="0"/>
    <x v="0"/>
  </r>
  <r>
    <s v="CN"/>
    <x v="4"/>
    <x v="7"/>
    <s v="关欣"/>
    <s v="CNY"/>
    <n v="2520"/>
    <n v="365.29668000000004"/>
    <s v="公积金公司 &amp; 个人 - April 2026"/>
    <x v="2"/>
    <s v="Headcount Costs"/>
    <x v="1"/>
    <x v="1"/>
  </r>
  <r>
    <s v="CN"/>
    <x v="4"/>
    <x v="7"/>
    <s v="邓思"/>
    <s v="CNY"/>
    <n v="8331.81"/>
    <n v="1207.7708457900001"/>
    <s v="社保公司 &amp; 个人 - April 2026"/>
    <x v="2"/>
    <s v="Headcount Costs"/>
    <x v="0"/>
    <x v="0"/>
  </r>
  <r>
    <s v="CN"/>
    <x v="4"/>
    <x v="7"/>
    <s v="邓思"/>
    <s v="CNY"/>
    <n v="3000"/>
    <n v="434.87700000000001"/>
    <s v="公积金公司 &amp; 个人 - April 2026"/>
    <x v="2"/>
    <s v="Headcount Costs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">
  <r>
    <s v="MY"/>
    <x v="0"/>
    <x v="0"/>
    <s v="CHAN YIN HOCK"/>
    <s v="MYR"/>
    <n v="18018.849999999999"/>
    <n v="4572.6075267999995"/>
    <s v="Net Pay - January 2026"/>
    <x v="0"/>
    <x v="0"/>
    <x v="0"/>
    <x v="0"/>
  </r>
  <r>
    <s v="MY"/>
    <x v="0"/>
    <x v="0"/>
    <s v="LIM SHU WEN"/>
    <s v="MYR"/>
    <n v="3976.15"/>
    <n v="1009.0196332"/>
    <s v="Net Pay - January 2026"/>
    <x v="0"/>
    <x v="0"/>
    <x v="1"/>
    <x v="1"/>
  </r>
  <r>
    <s v="MY"/>
    <x v="0"/>
    <x v="0"/>
    <s v="YEAP JIA SHUNG"/>
    <s v="MYR"/>
    <n v="8249.15"/>
    <n v="2093.3702971999996"/>
    <s v="Net Pay - January 2026"/>
    <x v="0"/>
    <x v="0"/>
    <x v="0"/>
    <x v="0"/>
  </r>
  <r>
    <s v="MY"/>
    <x v="0"/>
    <x v="0"/>
    <s v="WAN NURUL AMIRA BINTI WAN MOHAMAD"/>
    <s v="MYR"/>
    <n v="4223.05"/>
    <n v="1071.6749523999999"/>
    <s v="Net Pay - January 2026"/>
    <x v="0"/>
    <x v="0"/>
    <x v="0"/>
    <x v="0"/>
  </r>
  <r>
    <s v="MY"/>
    <x v="0"/>
    <x v="0"/>
    <s v="CHEY PUI YAN"/>
    <s v="MYR"/>
    <n v="9273.15"/>
    <n v="2353.2287291999996"/>
    <s v="Net Pay - January 2026"/>
    <x v="0"/>
    <x v="0"/>
    <x v="2"/>
    <x v="2"/>
  </r>
  <r>
    <s v="MY"/>
    <x v="0"/>
    <x v="0"/>
    <s v="LOW LEE CHWIN"/>
    <s v="MYR"/>
    <n v="9469.15"/>
    <n v="2402.9672571999999"/>
    <s v="Net Pay - January 2026"/>
    <x v="0"/>
    <x v="0"/>
    <x v="3"/>
    <x v="2"/>
  </r>
  <r>
    <s v="MY"/>
    <x v="0"/>
    <x v="0"/>
    <s v="GOH AI PING"/>
    <s v="MYR"/>
    <n v="17378.849999999999"/>
    <n v="4410.1960067999999"/>
    <s v="Net Pay - January 2026"/>
    <x v="0"/>
    <x v="0"/>
    <x v="1"/>
    <x v="1"/>
  </r>
  <r>
    <s v="MY"/>
    <x v="0"/>
    <x v="0"/>
    <s v="CHEW KWANG HWEE"/>
    <s v="MYR"/>
    <n v="11426.85"/>
    <n v="2899.7688708000001"/>
    <s v="Net Pay - January 2026"/>
    <x v="0"/>
    <x v="0"/>
    <x v="1"/>
    <x v="1"/>
  </r>
  <r>
    <s v="MY"/>
    <x v="0"/>
    <x v="0"/>
    <s v="NG JIA YONG"/>
    <s v="MYR"/>
    <n v="4781.6499999999996"/>
    <n v="1213.4297571999998"/>
    <s v="Net Pay - January 2026"/>
    <x v="0"/>
    <x v="0"/>
    <x v="1"/>
    <x v="1"/>
  </r>
  <r>
    <s v="MY"/>
    <x v="0"/>
    <x v="0"/>
    <s v="LIN CHAORAN"/>
    <s v="MYR"/>
    <n v="15776.05"/>
    <n v="4003.4566563999997"/>
    <s v="Net Pay - January 2026"/>
    <x v="0"/>
    <x v="0"/>
    <x v="4"/>
    <x v="0"/>
  </r>
  <r>
    <s v="MY"/>
    <x v="0"/>
    <x v="0"/>
    <s v="YU CHEAN FEI"/>
    <s v="MYR"/>
    <n v="21791.85"/>
    <n v="5530.0741907999991"/>
    <s v="Net Pay - January 2026"/>
    <x v="0"/>
    <x v="0"/>
    <x v="1"/>
    <x v="1"/>
  </r>
  <r>
    <s v="MY"/>
    <x v="0"/>
    <x v="0"/>
    <s v="CHEN CHEE KHEN"/>
    <s v="MYR"/>
    <n v="5934.15"/>
    <n v="1505.8973771999999"/>
    <s v="Net Pay - January 2026"/>
    <x v="0"/>
    <x v="0"/>
    <x v="1"/>
    <x v="1"/>
  </r>
  <r>
    <s v="MY"/>
    <x v="0"/>
    <x v="0"/>
    <s v="CHEONG KA MENG"/>
    <s v="MYR"/>
    <n v="5168.8500000000004"/>
    <n v="1311.6887268"/>
    <s v="Net Pay - January 2026"/>
    <x v="0"/>
    <x v="0"/>
    <x v="1"/>
    <x v="1"/>
  </r>
  <r>
    <s v="MY"/>
    <x v="0"/>
    <x v="0"/>
    <s v="BEH YEAN SHIN"/>
    <s v="MYR"/>
    <n v="4852.95"/>
    <n v="1231.5234155999999"/>
    <s v="Net Pay - January 2026"/>
    <x v="0"/>
    <x v="0"/>
    <x v="3"/>
    <x v="2"/>
  </r>
  <r>
    <s v="MY"/>
    <x v="0"/>
    <x v="1"/>
    <s v="CHAN YIN HOCK"/>
    <s v="MYR"/>
    <n v="2827"/>
    <n v="717.40213599999993"/>
    <s v="Employee EPF - January 2026"/>
    <x v="0"/>
    <x v="0"/>
    <x v="0"/>
    <x v="0"/>
  </r>
  <r>
    <s v="MY"/>
    <x v="0"/>
    <x v="1"/>
    <s v="LIM SHU WEN"/>
    <s v="MYR"/>
    <n v="506"/>
    <n v="128.40660800000001"/>
    <s v="Employee EPF - January 2026"/>
    <x v="0"/>
    <x v="0"/>
    <x v="1"/>
    <x v="1"/>
  </r>
  <r>
    <s v="MY"/>
    <x v="0"/>
    <x v="1"/>
    <s v="YEAP JIA SHUNG"/>
    <s v="MYR"/>
    <n v="1155"/>
    <n v="293.10203999999999"/>
    <s v="Employee EPF - January 2026"/>
    <x v="0"/>
    <x v="0"/>
    <x v="0"/>
    <x v="0"/>
  </r>
  <r>
    <s v="MY"/>
    <x v="0"/>
    <x v="1"/>
    <s v="WAN NURUL AMIRA BINTI WAN MOHAMAD"/>
    <s v="MYR"/>
    <n v="539"/>
    <n v="136.78095199999998"/>
    <s v="Employee EPF - January 2026"/>
    <x v="0"/>
    <x v="0"/>
    <x v="0"/>
    <x v="0"/>
  </r>
  <r>
    <s v="MY"/>
    <x v="0"/>
    <x v="1"/>
    <s v="CHEY PUI YAN"/>
    <s v="MYR"/>
    <n v="1331"/>
    <n v="337.76520799999997"/>
    <s v="Employee EPF - January 2026"/>
    <x v="0"/>
    <x v="0"/>
    <x v="2"/>
    <x v="2"/>
  </r>
  <r>
    <s v="MY"/>
    <x v="0"/>
    <x v="1"/>
    <s v="LOW LEE CHWIN"/>
    <s v="MYR"/>
    <n v="1375"/>
    <n v="348.93099999999998"/>
    <s v="Employee EPF - January 2026"/>
    <x v="0"/>
    <x v="0"/>
    <x v="3"/>
    <x v="2"/>
  </r>
  <r>
    <s v="MY"/>
    <x v="0"/>
    <x v="1"/>
    <s v="GOH AI PING"/>
    <s v="MYR"/>
    <n v="2717"/>
    <n v="689.48765600000002"/>
    <s v="Employee EPF - January 2026"/>
    <x v="0"/>
    <x v="0"/>
    <x v="1"/>
    <x v="1"/>
  </r>
  <r>
    <s v="MY"/>
    <x v="0"/>
    <x v="1"/>
    <s v="CHEW KWANG HWEE"/>
    <s v="MYR"/>
    <n v="1694"/>
    <n v="429.882992"/>
    <s v="Employee EPF - January 2026"/>
    <x v="0"/>
    <x v="0"/>
    <x v="1"/>
    <x v="1"/>
  </r>
  <r>
    <s v="MY"/>
    <x v="0"/>
    <x v="1"/>
    <s v="NG JIA YONG"/>
    <s v="MYR"/>
    <n v="616"/>
    <n v="156.321088"/>
    <s v="Employee EPF - January 2026"/>
    <x v="0"/>
    <x v="0"/>
    <x v="1"/>
    <x v="1"/>
  </r>
  <r>
    <s v="MY"/>
    <x v="0"/>
    <x v="1"/>
    <s v="LIN CHAORAN"/>
    <s v="MYR"/>
    <n v="390"/>
    <n v="98.969520000000003"/>
    <s v="Employee EPF - January 2026"/>
    <x v="0"/>
    <x v="0"/>
    <x v="4"/>
    <x v="0"/>
  </r>
  <r>
    <s v="MY"/>
    <x v="0"/>
    <x v="1"/>
    <s v="YU CHEAN FEI"/>
    <s v="MYR"/>
    <n v="3454"/>
    <n v="876.51467200000002"/>
    <s v="Employee EPF - January 2026"/>
    <x v="0"/>
    <x v="0"/>
    <x v="1"/>
    <x v="1"/>
  </r>
  <r>
    <s v="MY"/>
    <x v="0"/>
    <x v="1"/>
    <s v="CHEN CHEE KHEN"/>
    <s v="MYR"/>
    <n v="781"/>
    <n v="198.19280799999999"/>
    <s v="Employee EPF - January 2026"/>
    <x v="0"/>
    <x v="0"/>
    <x v="1"/>
    <x v="1"/>
  </r>
  <r>
    <s v="MY"/>
    <x v="0"/>
    <x v="1"/>
    <s v="CHEONG KA MENG"/>
    <s v="MYR"/>
    <n v="671"/>
    <n v="170.27832799999999"/>
    <s v="Employee EPF - January 2026"/>
    <x v="0"/>
    <x v="0"/>
    <x v="1"/>
    <x v="1"/>
  </r>
  <r>
    <s v="MY"/>
    <x v="0"/>
    <x v="1"/>
    <s v="BEH YEAN SHIN"/>
    <s v="MYR"/>
    <n v="638"/>
    <n v="161.90398400000001"/>
    <s v="Employee EPF - January 2026"/>
    <x v="0"/>
    <x v="0"/>
    <x v="3"/>
    <x v="2"/>
  </r>
  <r>
    <s v="MY"/>
    <x v="0"/>
    <x v="1"/>
    <s v="CHAN YIN HOCK"/>
    <s v="MYR"/>
    <n v="29.75"/>
    <n v="7.5495979999999996"/>
    <s v="Employee SOCSO - January 2026"/>
    <x v="0"/>
    <x v="0"/>
    <x v="0"/>
    <x v="0"/>
  </r>
  <r>
    <s v="MY"/>
    <x v="0"/>
    <x v="1"/>
    <s v="LIM SHU WEN"/>
    <s v="MYR"/>
    <n v="22.75"/>
    <n v="5.7732219999999996"/>
    <s v="Employee SOCSO - January 2026"/>
    <x v="0"/>
    <x v="0"/>
    <x v="1"/>
    <x v="1"/>
  </r>
  <r>
    <s v="MY"/>
    <x v="0"/>
    <x v="1"/>
    <s v="YEAP JIA SHUNG"/>
    <s v="MYR"/>
    <n v="29.75"/>
    <n v="7.5495979999999996"/>
    <s v="Employee SOCSO - January 2026"/>
    <x v="0"/>
    <x v="0"/>
    <x v="0"/>
    <x v="0"/>
  </r>
  <r>
    <s v="MY"/>
    <x v="0"/>
    <x v="1"/>
    <s v="WAN NURUL AMIRA BINTI WAN MOHAMAD"/>
    <s v="MYR"/>
    <n v="24.25"/>
    <n v="6.1538740000000001"/>
    <s v="Employee SOCSO - January 2026"/>
    <x v="0"/>
    <x v="0"/>
    <x v="0"/>
    <x v="0"/>
  </r>
  <r>
    <s v="MY"/>
    <x v="0"/>
    <x v="1"/>
    <s v="CHEY PUI YAN"/>
    <s v="MYR"/>
    <n v="29.75"/>
    <n v="7.5495979999999996"/>
    <s v="Employee SOCSO - January 2026"/>
    <x v="0"/>
    <x v="0"/>
    <x v="2"/>
    <x v="2"/>
  </r>
  <r>
    <s v="MY"/>
    <x v="0"/>
    <x v="1"/>
    <s v="LOW LEE CHWIN"/>
    <s v="MYR"/>
    <n v="29.75"/>
    <n v="7.5495979999999996"/>
    <s v="Employee SOCSO - January 2026"/>
    <x v="0"/>
    <x v="0"/>
    <x v="3"/>
    <x v="2"/>
  </r>
  <r>
    <s v="MY"/>
    <x v="0"/>
    <x v="1"/>
    <s v="GOH AI PING"/>
    <s v="MYR"/>
    <n v="29.75"/>
    <n v="7.5495979999999996"/>
    <s v="Employee SOCSO - January 2026"/>
    <x v="0"/>
    <x v="0"/>
    <x v="1"/>
    <x v="1"/>
  </r>
  <r>
    <s v="MY"/>
    <x v="0"/>
    <x v="1"/>
    <s v="CHEW KWANG HWEE"/>
    <s v="MYR"/>
    <n v="29.75"/>
    <n v="7.5495979999999996"/>
    <s v="Employee SOCSO - January 2026"/>
    <x v="0"/>
    <x v="0"/>
    <x v="1"/>
    <x v="1"/>
  </r>
  <r>
    <s v="MY"/>
    <x v="0"/>
    <x v="1"/>
    <s v="NG JIA YONG"/>
    <s v="MYR"/>
    <n v="27.75"/>
    <n v="7.0420619999999996"/>
    <s v="Employee SOCSO - January 2026"/>
    <x v="0"/>
    <x v="0"/>
    <x v="1"/>
    <x v="1"/>
  </r>
  <r>
    <s v="MY"/>
    <x v="0"/>
    <x v="1"/>
    <s v="LIN CHAORAN"/>
    <s v="MYR"/>
    <n v="29.75"/>
    <n v="7.5495979999999996"/>
    <s v="Employee SOCSO - January 2026"/>
    <x v="0"/>
    <x v="0"/>
    <x v="4"/>
    <x v="0"/>
  </r>
  <r>
    <s v="MY"/>
    <x v="0"/>
    <x v="1"/>
    <s v="YU CHEAN FEI"/>
    <s v="MYR"/>
    <n v="29.75"/>
    <n v="7.5495979999999996"/>
    <s v="Employee SOCSO - January 2026"/>
    <x v="0"/>
    <x v="0"/>
    <x v="1"/>
    <x v="1"/>
  </r>
  <r>
    <s v="MY"/>
    <x v="0"/>
    <x v="1"/>
    <s v="CHEN CHEE KHEN"/>
    <s v="MYR"/>
    <n v="29.75"/>
    <n v="7.5495979999999996"/>
    <s v="Employee SOCSO - January 2026"/>
    <x v="0"/>
    <x v="0"/>
    <x v="1"/>
    <x v="1"/>
  </r>
  <r>
    <s v="MY"/>
    <x v="0"/>
    <x v="1"/>
    <s v="CHEONG KA MENG"/>
    <s v="MYR"/>
    <n v="29.75"/>
    <n v="7.5495979999999996"/>
    <s v="Employee SOCSO - January 2026"/>
    <x v="0"/>
    <x v="0"/>
    <x v="1"/>
    <x v="1"/>
  </r>
  <r>
    <s v="MY"/>
    <x v="0"/>
    <x v="1"/>
    <s v="BEH YEAN SHIN"/>
    <s v="MYR"/>
    <n v="28.75"/>
    <n v="7.2958299999999996"/>
    <s v="Employee SOCSO - January 2026"/>
    <x v="0"/>
    <x v="0"/>
    <x v="3"/>
    <x v="2"/>
  </r>
  <r>
    <s v="MY"/>
    <x v="0"/>
    <x v="1"/>
    <s v="CHAN YIN HOCK"/>
    <s v="MYR"/>
    <n v="11.9"/>
    <n v="3.0198391999999998"/>
    <s v="Employee EIS - January 2026"/>
    <x v="0"/>
    <x v="0"/>
    <x v="0"/>
    <x v="0"/>
  </r>
  <r>
    <s v="MY"/>
    <x v="0"/>
    <x v="1"/>
    <s v="LIM SHU WEN"/>
    <s v="MYR"/>
    <n v="9.1"/>
    <n v="2.3092888"/>
    <s v="Employee EIS - January 2026"/>
    <x v="0"/>
    <x v="0"/>
    <x v="1"/>
    <x v="1"/>
  </r>
  <r>
    <s v="MY"/>
    <x v="0"/>
    <x v="1"/>
    <s v="YEAP JIA SHUNG"/>
    <s v="MYR"/>
    <n v="11.9"/>
    <n v="3.0198391999999998"/>
    <s v="Employee EIS - January 2026"/>
    <x v="0"/>
    <x v="0"/>
    <x v="0"/>
    <x v="0"/>
  </r>
  <r>
    <s v="MY"/>
    <x v="0"/>
    <x v="1"/>
    <s v="WAN NURUL AMIRA BINTI WAN MOHAMAD"/>
    <s v="MYR"/>
    <n v="9.6999999999999993"/>
    <n v="2.4615495999999997"/>
    <s v="Employee EIS - January 2026"/>
    <x v="0"/>
    <x v="0"/>
    <x v="0"/>
    <x v="0"/>
  </r>
  <r>
    <s v="MY"/>
    <x v="0"/>
    <x v="1"/>
    <s v="CHEY PUI YAN"/>
    <s v="MYR"/>
    <n v="11.9"/>
    <n v="3.0198391999999998"/>
    <s v="Employee EIS - January 2026"/>
    <x v="0"/>
    <x v="0"/>
    <x v="2"/>
    <x v="2"/>
  </r>
  <r>
    <s v="MY"/>
    <x v="0"/>
    <x v="1"/>
    <s v="LOW LEE CHWIN"/>
    <s v="MYR"/>
    <n v="11.9"/>
    <n v="3.0198391999999998"/>
    <s v="Employee EIS - January 2026"/>
    <x v="0"/>
    <x v="0"/>
    <x v="3"/>
    <x v="2"/>
  </r>
  <r>
    <s v="MY"/>
    <x v="0"/>
    <x v="1"/>
    <s v="GOH AI PING"/>
    <s v="MYR"/>
    <n v="11.9"/>
    <n v="3.0198391999999998"/>
    <s v="Employee EIS - January 2026"/>
    <x v="0"/>
    <x v="0"/>
    <x v="1"/>
    <x v="1"/>
  </r>
  <r>
    <s v="MY"/>
    <x v="0"/>
    <x v="1"/>
    <s v="CHEW KWANG HWEE"/>
    <s v="MYR"/>
    <n v="11.9"/>
    <n v="3.0198391999999998"/>
    <s v="Employee EIS - January 2026"/>
    <x v="0"/>
    <x v="0"/>
    <x v="1"/>
    <x v="1"/>
  </r>
  <r>
    <s v="MY"/>
    <x v="0"/>
    <x v="1"/>
    <s v="NG JIA YONG"/>
    <s v="MYR"/>
    <n v="11.1"/>
    <n v="2.8168248"/>
    <s v="Employee EIS - January 2026"/>
    <x v="0"/>
    <x v="0"/>
    <x v="1"/>
    <x v="1"/>
  </r>
  <r>
    <s v="MY"/>
    <x v="0"/>
    <x v="1"/>
    <s v="LIN CHAORAN"/>
    <s v="MYR"/>
    <n v="0"/>
    <n v="0"/>
    <s v="Employee EIS - January 2026"/>
    <x v="0"/>
    <x v="0"/>
    <x v="4"/>
    <x v="0"/>
  </r>
  <r>
    <s v="MY"/>
    <x v="0"/>
    <x v="1"/>
    <s v="YU CHEAN FEI"/>
    <s v="MYR"/>
    <n v="11.9"/>
    <n v="3.0198391999999998"/>
    <s v="Employee EIS - January 2026"/>
    <x v="0"/>
    <x v="0"/>
    <x v="1"/>
    <x v="1"/>
  </r>
  <r>
    <s v="MY"/>
    <x v="0"/>
    <x v="1"/>
    <s v="CHEN CHEE KHEN"/>
    <s v="MYR"/>
    <n v="11.9"/>
    <n v="3.0198391999999998"/>
    <s v="Employee EIS - January 2026"/>
    <x v="0"/>
    <x v="0"/>
    <x v="1"/>
    <x v="1"/>
  </r>
  <r>
    <s v="MY"/>
    <x v="0"/>
    <x v="1"/>
    <s v="CHEONG KA MENG"/>
    <s v="MYR"/>
    <n v="11.9"/>
    <n v="3.0198391999999998"/>
    <s v="Employee EIS - January 2026"/>
    <x v="0"/>
    <x v="0"/>
    <x v="1"/>
    <x v="1"/>
  </r>
  <r>
    <s v="MY"/>
    <x v="0"/>
    <x v="1"/>
    <s v="BEH YEAN SHIN"/>
    <s v="MYR"/>
    <n v="11.5"/>
    <n v="2.9183319999999999"/>
    <s v="Employee EIS - January 2026"/>
    <x v="0"/>
    <x v="0"/>
    <x v="3"/>
    <x v="2"/>
  </r>
  <r>
    <s v="MY"/>
    <x v="0"/>
    <x v="2"/>
    <s v="CHAN YIN HOCK"/>
    <s v="MYR"/>
    <n v="4812.5"/>
    <n v="1221.2584999999999"/>
    <s v="PCB - January 2026"/>
    <x v="0"/>
    <x v="0"/>
    <x v="0"/>
    <x v="0"/>
  </r>
  <r>
    <s v="MY"/>
    <x v="0"/>
    <x v="2"/>
    <s v="LIM SHU WEN"/>
    <s v="MYR"/>
    <n v="86"/>
    <n v="21.824047999999998"/>
    <s v="PCB - January 2026"/>
    <x v="0"/>
    <x v="0"/>
    <x v="1"/>
    <x v="1"/>
  </r>
  <r>
    <s v="MY"/>
    <x v="0"/>
    <x v="2"/>
    <s v="YEAP JIA SHUNG"/>
    <s v="MYR"/>
    <n v="1054.2"/>
    <n v="267.52222560000001"/>
    <s v="PCB - January 2026"/>
    <x v="0"/>
    <x v="0"/>
    <x v="0"/>
    <x v="0"/>
  </r>
  <r>
    <s v="MY"/>
    <x v="0"/>
    <x v="2"/>
    <s v="WAN NURUL AMIRA BINTI WAN MOHAMAD"/>
    <s v="MYR"/>
    <n v="104"/>
    <n v="26.391871999999999"/>
    <s v="PCB - January 2026"/>
    <x v="0"/>
    <x v="0"/>
    <x v="0"/>
    <x v="0"/>
  </r>
  <r>
    <s v="MY"/>
    <x v="0"/>
    <x v="2"/>
    <s v="CHEY PUI YAN"/>
    <s v="MYR"/>
    <n v="1454.2"/>
    <n v="369.02942560000002"/>
    <s v="PCB - January 2026"/>
    <x v="0"/>
    <x v="0"/>
    <x v="2"/>
    <x v="2"/>
  </r>
  <r>
    <s v="MY"/>
    <x v="0"/>
    <x v="2"/>
    <s v="LOW LEE CHWIN"/>
    <s v="MYR"/>
    <n v="1534.2"/>
    <n v="389.33086559999998"/>
    <s v="PCB - January 2026"/>
    <x v="0"/>
    <x v="0"/>
    <x v="3"/>
    <x v="2"/>
  </r>
  <r>
    <s v="MY"/>
    <x v="0"/>
    <x v="2"/>
    <s v="GOH AI PING"/>
    <s v="MYR"/>
    <n v="4562.5"/>
    <n v="1157.8164999999999"/>
    <s v="PCB - January 2026"/>
    <x v="0"/>
    <x v="0"/>
    <x v="1"/>
    <x v="1"/>
  </r>
  <r>
    <s v="MY"/>
    <x v="0"/>
    <x v="2"/>
    <s v="CHEW KWANG HWEE"/>
    <s v="MYR"/>
    <n v="2237.5"/>
    <n v="567.80589999999995"/>
    <s v="PCB - January 2026"/>
    <x v="0"/>
    <x v="0"/>
    <x v="1"/>
    <x v="1"/>
  </r>
  <r>
    <s v="MY"/>
    <x v="0"/>
    <x v="2"/>
    <s v="NG JIA YONG"/>
    <s v="MYR"/>
    <n v="163.5"/>
    <n v="41.491067999999999"/>
    <s v="PCB - January 2026"/>
    <x v="0"/>
    <x v="0"/>
    <x v="1"/>
    <x v="1"/>
  </r>
  <r>
    <s v="MY"/>
    <x v="0"/>
    <x v="2"/>
    <s v="LIN CHAORAN"/>
    <s v="MYR"/>
    <n v="3304.2"/>
    <n v="838.50022559999991"/>
    <s v="PCB - January 2026"/>
    <x v="0"/>
    <x v="0"/>
    <x v="4"/>
    <x v="0"/>
  </r>
  <r>
    <s v="MY"/>
    <x v="0"/>
    <x v="2"/>
    <s v="YU CHEAN FEI"/>
    <s v="MYR"/>
    <n v="6112.5"/>
    <n v="1551.1569"/>
    <s v="PCB - January 2026"/>
    <x v="0"/>
    <x v="0"/>
    <x v="1"/>
    <x v="1"/>
  </r>
  <r>
    <s v="MY"/>
    <x v="0"/>
    <x v="2"/>
    <s v="CHEN CHEE KHEN"/>
    <s v="MYR"/>
    <n v="343.2"/>
    <n v="87.09317759999999"/>
    <s v="PCB - January 2026"/>
    <x v="0"/>
    <x v="0"/>
    <x v="1"/>
    <x v="1"/>
  </r>
  <r>
    <s v="MY"/>
    <x v="0"/>
    <x v="2"/>
    <s v="CHEONG KA MENG"/>
    <s v="MYR"/>
    <n v="218.5"/>
    <n v="55.448307999999997"/>
    <s v="PCB - January 2026"/>
    <x v="0"/>
    <x v="0"/>
    <x v="1"/>
    <x v="1"/>
  </r>
  <r>
    <s v="MY"/>
    <x v="0"/>
    <x v="2"/>
    <s v="BEH YEAN SHIN"/>
    <s v="MYR"/>
    <n v="175.25"/>
    <n v="44.472842"/>
    <s v="PCB - January 2026"/>
    <x v="0"/>
    <x v="0"/>
    <x v="3"/>
    <x v="2"/>
  </r>
  <r>
    <s v="MY"/>
    <x v="0"/>
    <x v="1"/>
    <s v="CHAN YIN HOCK"/>
    <s v="MYR"/>
    <n v="257"/>
    <n v="65.218375999999992"/>
    <s v="HRDF - January 2026"/>
    <x v="1"/>
    <x v="0"/>
    <x v="0"/>
    <x v="0"/>
  </r>
  <r>
    <s v="MY"/>
    <x v="0"/>
    <x v="1"/>
    <s v="LIM SHU WEN"/>
    <s v="MYR"/>
    <n v="46"/>
    <n v="11.673328"/>
    <s v="HRDF - January 2026"/>
    <x v="1"/>
    <x v="0"/>
    <x v="1"/>
    <x v="1"/>
  </r>
  <r>
    <s v="MY"/>
    <x v="0"/>
    <x v="1"/>
    <s v="YEAP JIA SHUNG"/>
    <s v="MYR"/>
    <n v="105"/>
    <n v="26.64564"/>
    <s v="HRDF - January 2026"/>
    <x v="1"/>
    <x v="0"/>
    <x v="0"/>
    <x v="0"/>
  </r>
  <r>
    <s v="MY"/>
    <x v="0"/>
    <x v="1"/>
    <s v="WAN NURUL AMIRA BINTI WAN MOHAMAD"/>
    <s v="MYR"/>
    <n v="49"/>
    <n v="12.434632000000001"/>
    <s v="HRDF - January 2026"/>
    <x v="1"/>
    <x v="0"/>
    <x v="0"/>
    <x v="0"/>
  </r>
  <r>
    <s v="MY"/>
    <x v="0"/>
    <x v="1"/>
    <s v="CHEY PUI YAN"/>
    <s v="MYR"/>
    <n v="121"/>
    <n v="30.705928"/>
    <s v="HRDF - January 2026"/>
    <x v="1"/>
    <x v="0"/>
    <x v="2"/>
    <x v="2"/>
  </r>
  <r>
    <s v="MY"/>
    <x v="0"/>
    <x v="1"/>
    <s v="LOW LEE CHWIN"/>
    <s v="MYR"/>
    <n v="124.2"/>
    <n v="31.517985599999999"/>
    <s v="HRDF - January 2026"/>
    <x v="1"/>
    <x v="0"/>
    <x v="3"/>
    <x v="2"/>
  </r>
  <r>
    <s v="MY"/>
    <x v="0"/>
    <x v="1"/>
    <s v="GOH AI PING"/>
    <s v="MYR"/>
    <n v="247"/>
    <n v="62.680695999999998"/>
    <s v="HRDF - January 2026"/>
    <x v="1"/>
    <x v="0"/>
    <x v="1"/>
    <x v="1"/>
  </r>
  <r>
    <s v="MY"/>
    <x v="0"/>
    <x v="1"/>
    <s v="CHEW KWANG HWEE"/>
    <s v="MYR"/>
    <n v="154"/>
    <n v="39.080272000000001"/>
    <s v="HRDF - January 2026"/>
    <x v="1"/>
    <x v="0"/>
    <x v="1"/>
    <x v="1"/>
  </r>
  <r>
    <s v="MY"/>
    <x v="0"/>
    <x v="1"/>
    <s v="NG JIA YONG"/>
    <s v="MYR"/>
    <n v="56"/>
    <n v="14.211008"/>
    <s v="HRDF - January 2026"/>
    <x v="1"/>
    <x v="0"/>
    <x v="1"/>
    <x v="1"/>
  </r>
  <r>
    <s v="MY"/>
    <x v="0"/>
    <x v="1"/>
    <s v="LIN CHAORAN"/>
    <s v="MYR"/>
    <n v="0"/>
    <n v="0"/>
    <s v="HRDF - January 2026"/>
    <x v="1"/>
    <x v="0"/>
    <x v="4"/>
    <x v="0"/>
  </r>
  <r>
    <s v="MY"/>
    <x v="0"/>
    <x v="1"/>
    <s v="YU CHEAN FEI"/>
    <s v="MYR"/>
    <n v="314"/>
    <n v="79.683151999999993"/>
    <s v="HRDF - January 2026"/>
    <x v="1"/>
    <x v="0"/>
    <x v="1"/>
    <x v="1"/>
  </r>
  <r>
    <s v="MY"/>
    <x v="0"/>
    <x v="1"/>
    <s v="CHEN CHEE KHEN"/>
    <s v="MYR"/>
    <n v="71"/>
    <n v="18.017527999999999"/>
    <s v="HRDF - January 2026"/>
    <x v="1"/>
    <x v="0"/>
    <x v="1"/>
    <x v="1"/>
  </r>
  <r>
    <s v="MY"/>
    <x v="0"/>
    <x v="1"/>
    <s v="CHEONG KA MENG"/>
    <s v="MYR"/>
    <n v="61"/>
    <n v="15.479848"/>
    <s v="HRDF - January 2026"/>
    <x v="1"/>
    <x v="0"/>
    <x v="1"/>
    <x v="1"/>
  </r>
  <r>
    <s v="MY"/>
    <x v="0"/>
    <x v="1"/>
    <s v="BEH YEAN SHIN"/>
    <s v="MYR"/>
    <n v="57.06"/>
    <n v="14.48000208"/>
    <s v="HRDF - January 2026"/>
    <x v="1"/>
    <x v="0"/>
    <x v="3"/>
    <x v="2"/>
  </r>
  <r>
    <s v="MY"/>
    <x v="0"/>
    <x v="1"/>
    <s v="CHAN YIN HOCK"/>
    <s v="MYR"/>
    <n v="3341"/>
    <n v="847.838888"/>
    <s v="Employer EPF - January 2026"/>
    <x v="1"/>
    <x v="0"/>
    <x v="0"/>
    <x v="0"/>
  </r>
  <r>
    <s v="MY"/>
    <x v="0"/>
    <x v="1"/>
    <s v="LIM SHU WEN"/>
    <s v="MYR"/>
    <n v="598"/>
    <n v="151.753264"/>
    <s v="Employer EPF - January 2026"/>
    <x v="1"/>
    <x v="0"/>
    <x v="1"/>
    <x v="1"/>
  </r>
  <r>
    <s v="MY"/>
    <x v="0"/>
    <x v="1"/>
    <s v="YEAP JIA SHUNG"/>
    <s v="MYR"/>
    <n v="1365"/>
    <n v="346.39332000000002"/>
    <s v="Employer EPF - January 2026"/>
    <x v="1"/>
    <x v="0"/>
    <x v="0"/>
    <x v="0"/>
  </r>
  <r>
    <s v="MY"/>
    <x v="0"/>
    <x v="1"/>
    <s v="WAN NURUL AMIRA BINTI WAN MOHAMAD"/>
    <s v="MYR"/>
    <n v="637"/>
    <n v="161.650216"/>
    <s v="Employer EPF - January 2026"/>
    <x v="1"/>
    <x v="0"/>
    <x v="0"/>
    <x v="0"/>
  </r>
  <r>
    <s v="MY"/>
    <x v="0"/>
    <x v="1"/>
    <s v="CHEY PUI YAN"/>
    <s v="MYR"/>
    <n v="1573"/>
    <n v="399.17706399999997"/>
    <s v="Employer EPF - January 2026"/>
    <x v="1"/>
    <x v="0"/>
    <x v="2"/>
    <x v="2"/>
  </r>
  <r>
    <s v="MY"/>
    <x v="0"/>
    <x v="1"/>
    <s v="LOW LEE CHWIN"/>
    <s v="MYR"/>
    <n v="1615"/>
    <n v="409.83531999999997"/>
    <s v="Employer EPF - January 2026"/>
    <x v="1"/>
    <x v="0"/>
    <x v="3"/>
    <x v="2"/>
  </r>
  <r>
    <s v="MY"/>
    <x v="0"/>
    <x v="1"/>
    <s v="GOH AI PING"/>
    <s v="MYR"/>
    <n v="3211"/>
    <n v="814.84904799999993"/>
    <s v="Employer EPF - January 2026"/>
    <x v="1"/>
    <x v="0"/>
    <x v="1"/>
    <x v="1"/>
  </r>
  <r>
    <s v="MY"/>
    <x v="0"/>
    <x v="1"/>
    <s v="CHEW KWANG HWEE"/>
    <s v="MYR"/>
    <n v="2002"/>
    <n v="508.04353599999996"/>
    <s v="Employer EPF - January 2026"/>
    <x v="1"/>
    <x v="0"/>
    <x v="1"/>
    <x v="1"/>
  </r>
  <r>
    <s v="MY"/>
    <x v="0"/>
    <x v="1"/>
    <s v="NG JIA YONG"/>
    <s v="MYR"/>
    <n v="728"/>
    <n v="184.74310399999999"/>
    <s v="Employer EPF - January 2026"/>
    <x v="1"/>
    <x v="0"/>
    <x v="1"/>
    <x v="1"/>
  </r>
  <r>
    <s v="MY"/>
    <x v="0"/>
    <x v="1"/>
    <s v="LIN CHAORAN"/>
    <s v="MYR"/>
    <n v="390"/>
    <n v="98.969520000000003"/>
    <s v="Employer EPF - January 2026"/>
    <x v="1"/>
    <x v="0"/>
    <x v="4"/>
    <x v="0"/>
  </r>
  <r>
    <s v="MY"/>
    <x v="0"/>
    <x v="1"/>
    <s v="YU CHEAN FEI"/>
    <s v="MYR"/>
    <n v="4082"/>
    <n v="1035.8809759999999"/>
    <s v="Employer EPF - January 2026"/>
    <x v="1"/>
    <x v="0"/>
    <x v="1"/>
    <x v="1"/>
  </r>
  <r>
    <s v="MY"/>
    <x v="0"/>
    <x v="1"/>
    <s v="CHEN CHEE KHEN"/>
    <s v="MYR"/>
    <n v="923"/>
    <n v="234.22786399999998"/>
    <s v="Employer EPF - January 2026"/>
    <x v="1"/>
    <x v="0"/>
    <x v="1"/>
    <x v="1"/>
  </r>
  <r>
    <s v="MY"/>
    <x v="0"/>
    <x v="1"/>
    <s v="CHEONG KA MENG"/>
    <s v="MYR"/>
    <n v="793"/>
    <n v="201.238024"/>
    <s v="Employer EPF - January 2026"/>
    <x v="1"/>
    <x v="0"/>
    <x v="1"/>
    <x v="1"/>
  </r>
  <r>
    <s v="MY"/>
    <x v="0"/>
    <x v="1"/>
    <s v="BEH YEAN SHIN"/>
    <s v="MYR"/>
    <n v="742"/>
    <n v="188.29585599999999"/>
    <s v="Employer EPF - January 2026"/>
    <x v="1"/>
    <x v="0"/>
    <x v="3"/>
    <x v="2"/>
  </r>
  <r>
    <s v="MY"/>
    <x v="0"/>
    <x v="1"/>
    <s v="CHAN YIN HOCK"/>
    <s v="MYR"/>
    <n v="104.15"/>
    <n v="26.429937200000001"/>
    <s v="Employer SOCSO - January 2026"/>
    <x v="1"/>
    <x v="0"/>
    <x v="0"/>
    <x v="0"/>
  </r>
  <r>
    <s v="MY"/>
    <x v="0"/>
    <x v="1"/>
    <s v="LIM SHU WEN"/>
    <s v="MYR"/>
    <n v="79.650000000000006"/>
    <n v="20.212621200000001"/>
    <s v="Employer SOCSO - January 2026"/>
    <x v="1"/>
    <x v="0"/>
    <x v="1"/>
    <x v="1"/>
  </r>
  <r>
    <s v="MY"/>
    <x v="0"/>
    <x v="1"/>
    <s v="YEAP JIA SHUNG"/>
    <s v="MYR"/>
    <n v="104.15"/>
    <n v="26.429937200000001"/>
    <s v="Employer SOCSO - January 2026"/>
    <x v="1"/>
    <x v="0"/>
    <x v="0"/>
    <x v="0"/>
  </r>
  <r>
    <s v="MY"/>
    <x v="0"/>
    <x v="1"/>
    <s v="WAN NURUL AMIRA BINTI WAN MOHAMAD"/>
    <s v="MYR"/>
    <n v="84.85"/>
    <n v="21.532214799999998"/>
    <s v="Employer SOCSO - January 2026"/>
    <x v="1"/>
    <x v="0"/>
    <x v="0"/>
    <x v="0"/>
  </r>
  <r>
    <s v="MY"/>
    <x v="0"/>
    <x v="1"/>
    <s v="CHEY PUI YAN"/>
    <s v="MYR"/>
    <n v="104.15"/>
    <n v="26.429937200000001"/>
    <s v="Employer SOCSO - January 2026"/>
    <x v="1"/>
    <x v="0"/>
    <x v="2"/>
    <x v="2"/>
  </r>
  <r>
    <s v="MY"/>
    <x v="0"/>
    <x v="1"/>
    <s v="LOW LEE CHWIN"/>
    <s v="MYR"/>
    <n v="104.15"/>
    <n v="26.429937200000001"/>
    <s v="Employer SOCSO - January 2026"/>
    <x v="1"/>
    <x v="0"/>
    <x v="3"/>
    <x v="2"/>
  </r>
  <r>
    <s v="MY"/>
    <x v="0"/>
    <x v="1"/>
    <s v="GOH AI PING"/>
    <s v="MYR"/>
    <n v="104.15"/>
    <n v="26.429937200000001"/>
    <s v="Employer SOCSO - January 2026"/>
    <x v="1"/>
    <x v="0"/>
    <x v="1"/>
    <x v="1"/>
  </r>
  <r>
    <s v="MY"/>
    <x v="0"/>
    <x v="1"/>
    <s v="CHEW KWANG HWEE"/>
    <s v="MYR"/>
    <n v="104.15"/>
    <n v="26.429937200000001"/>
    <s v="Employer SOCSO - January 2026"/>
    <x v="1"/>
    <x v="0"/>
    <x v="1"/>
    <x v="1"/>
  </r>
  <r>
    <s v="MY"/>
    <x v="0"/>
    <x v="1"/>
    <s v="NG JIA YONG"/>
    <s v="MYR"/>
    <n v="97.15"/>
    <n v="24.653561200000002"/>
    <s v="Employer SOCSO - January 2026"/>
    <x v="1"/>
    <x v="0"/>
    <x v="1"/>
    <x v="1"/>
  </r>
  <r>
    <s v="MY"/>
    <x v="0"/>
    <x v="1"/>
    <s v="LIN CHAORAN"/>
    <s v="MYR"/>
    <n v="104.15"/>
    <n v="26.429937200000001"/>
    <s v="Employer SOCSO - January 2026"/>
    <x v="1"/>
    <x v="0"/>
    <x v="4"/>
    <x v="0"/>
  </r>
  <r>
    <s v="MY"/>
    <x v="0"/>
    <x v="1"/>
    <s v="YU CHEAN FEI"/>
    <s v="MYR"/>
    <n v="104.15"/>
    <n v="26.429937200000001"/>
    <s v="Employer SOCSO - January 2026"/>
    <x v="1"/>
    <x v="0"/>
    <x v="1"/>
    <x v="1"/>
  </r>
  <r>
    <s v="MY"/>
    <x v="0"/>
    <x v="1"/>
    <s v="CHEN CHEE KHEN"/>
    <s v="MYR"/>
    <n v="104.15"/>
    <n v="26.429937200000001"/>
    <s v="Employer SOCSO - January 2026"/>
    <x v="1"/>
    <x v="0"/>
    <x v="1"/>
    <x v="1"/>
  </r>
  <r>
    <s v="MY"/>
    <x v="0"/>
    <x v="1"/>
    <s v="CHEONG KA MENG"/>
    <s v="MYR"/>
    <n v="104.15"/>
    <n v="26.429937200000001"/>
    <s v="Employer SOCSO - January 2026"/>
    <x v="1"/>
    <x v="0"/>
    <x v="1"/>
    <x v="1"/>
  </r>
  <r>
    <s v="MY"/>
    <x v="0"/>
    <x v="1"/>
    <s v="BEH YEAN SHIN"/>
    <s v="MYR"/>
    <n v="100.65"/>
    <n v="25.541749200000002"/>
    <s v="Employer SOCSO - January 2026"/>
    <x v="1"/>
    <x v="0"/>
    <x v="3"/>
    <x v="2"/>
  </r>
  <r>
    <s v="MY"/>
    <x v="0"/>
    <x v="1"/>
    <s v="CHAN YIN HOCK"/>
    <s v="MYR"/>
    <n v="11.9"/>
    <n v="3.0198391999999998"/>
    <s v="Employer EIS - January 2026"/>
    <x v="1"/>
    <x v="0"/>
    <x v="0"/>
    <x v="0"/>
  </r>
  <r>
    <s v="MY"/>
    <x v="0"/>
    <x v="1"/>
    <s v="LIM SHU WEN"/>
    <s v="MYR"/>
    <n v="9.1"/>
    <n v="2.3092888"/>
    <s v="Employer EIS - January 2026"/>
    <x v="1"/>
    <x v="0"/>
    <x v="1"/>
    <x v="1"/>
  </r>
  <r>
    <s v="MY"/>
    <x v="0"/>
    <x v="1"/>
    <s v="YEAP JIA SHUNG"/>
    <s v="MYR"/>
    <n v="11.9"/>
    <n v="3.0198391999999998"/>
    <s v="Employer EIS - January 2026"/>
    <x v="1"/>
    <x v="0"/>
    <x v="0"/>
    <x v="0"/>
  </r>
  <r>
    <s v="MY"/>
    <x v="0"/>
    <x v="1"/>
    <s v="WAN NURUL AMIRA BINTI WAN MOHAMAD"/>
    <s v="MYR"/>
    <n v="9.6999999999999993"/>
    <n v="2.4615495999999997"/>
    <s v="Employer EIS - January 2026"/>
    <x v="1"/>
    <x v="0"/>
    <x v="0"/>
    <x v="0"/>
  </r>
  <r>
    <s v="MY"/>
    <x v="0"/>
    <x v="1"/>
    <s v="CHEY PUI YAN"/>
    <s v="MYR"/>
    <n v="11.9"/>
    <n v="3.0198391999999998"/>
    <s v="Employer EIS - January 2026"/>
    <x v="1"/>
    <x v="0"/>
    <x v="2"/>
    <x v="2"/>
  </r>
  <r>
    <s v="MY"/>
    <x v="0"/>
    <x v="1"/>
    <s v="LOW LEE CHWIN"/>
    <s v="MYR"/>
    <n v="11.9"/>
    <n v="3.0198391999999998"/>
    <s v="Employer EIS - January 2026"/>
    <x v="1"/>
    <x v="0"/>
    <x v="3"/>
    <x v="2"/>
  </r>
  <r>
    <s v="MY"/>
    <x v="0"/>
    <x v="1"/>
    <s v="GOH AI PING"/>
    <s v="MYR"/>
    <n v="11.9"/>
    <n v="3.0198391999999998"/>
    <s v="Employer EIS - January 2026"/>
    <x v="1"/>
    <x v="0"/>
    <x v="1"/>
    <x v="1"/>
  </r>
  <r>
    <s v="MY"/>
    <x v="0"/>
    <x v="1"/>
    <s v="CHEW KWANG HWEE"/>
    <s v="MYR"/>
    <n v="11.9"/>
    <n v="3.0198391999999998"/>
    <s v="Employer EIS - January 2026"/>
    <x v="1"/>
    <x v="0"/>
    <x v="1"/>
    <x v="1"/>
  </r>
  <r>
    <s v="MY"/>
    <x v="0"/>
    <x v="1"/>
    <s v="NG JIA YONG"/>
    <s v="MYR"/>
    <n v="11.1"/>
    <n v="2.8168248"/>
    <s v="Employer EIS - January 2026"/>
    <x v="1"/>
    <x v="0"/>
    <x v="1"/>
    <x v="1"/>
  </r>
  <r>
    <s v="MY"/>
    <x v="0"/>
    <x v="1"/>
    <s v="LIN CHAORAN"/>
    <s v="MYR"/>
    <n v="0"/>
    <n v="0"/>
    <s v="Employer EIS - January 2026"/>
    <x v="1"/>
    <x v="0"/>
    <x v="4"/>
    <x v="0"/>
  </r>
  <r>
    <s v="MY"/>
    <x v="0"/>
    <x v="1"/>
    <s v="YU CHEAN FEI"/>
    <s v="MYR"/>
    <n v="11.9"/>
    <n v="3.0198391999999998"/>
    <s v="Employer EIS - January 2026"/>
    <x v="1"/>
    <x v="0"/>
    <x v="1"/>
    <x v="1"/>
  </r>
  <r>
    <s v="MY"/>
    <x v="0"/>
    <x v="1"/>
    <s v="CHEN CHEE KHEN"/>
    <s v="MYR"/>
    <n v="11.9"/>
    <n v="3.0198391999999998"/>
    <s v="Employer EIS - January 2026"/>
    <x v="1"/>
    <x v="0"/>
    <x v="1"/>
    <x v="1"/>
  </r>
  <r>
    <s v="MY"/>
    <x v="0"/>
    <x v="1"/>
    <s v="CHEONG KA MENG"/>
    <s v="MYR"/>
    <n v="11.9"/>
    <n v="3.0198391999999998"/>
    <s v="Employer EIS - January 2026"/>
    <x v="1"/>
    <x v="0"/>
    <x v="1"/>
    <x v="1"/>
  </r>
  <r>
    <s v="MY"/>
    <x v="0"/>
    <x v="1"/>
    <s v="BEH YEAN SHIN"/>
    <s v="MYR"/>
    <n v="11.5"/>
    <n v="2.9183319999999999"/>
    <s v="Employer EIS - January 2026"/>
    <x v="1"/>
    <x v="0"/>
    <x v="3"/>
    <x v="2"/>
  </r>
  <r>
    <s v="MY"/>
    <x v="1"/>
    <x v="3"/>
    <s v="CHAN YIN HOCK"/>
    <s v="MYR"/>
    <n v="18018.849999999999"/>
    <n v="4629.258791199999"/>
    <s v="Net Pay - February 2026"/>
    <x v="0"/>
    <x v="0"/>
    <x v="0"/>
    <x v="0"/>
  </r>
  <r>
    <s v="MY"/>
    <x v="1"/>
    <x v="3"/>
    <s v="LIM SHU WEN"/>
    <s v="MYR"/>
    <n v="3976.15"/>
    <n v="1021.5206487999999"/>
    <s v="Net Pay - February 2026"/>
    <x v="0"/>
    <x v="0"/>
    <x v="1"/>
    <x v="1"/>
  </r>
  <r>
    <s v="MY"/>
    <x v="1"/>
    <x v="3"/>
    <s v="YEAP JIA SHUNG"/>
    <s v="MYR"/>
    <n v="8249.15"/>
    <n v="2119.3056247999998"/>
    <s v="Net Pay - February 2026"/>
    <x v="0"/>
    <x v="0"/>
    <x v="0"/>
    <x v="0"/>
  </r>
  <r>
    <s v="MY"/>
    <x v="1"/>
    <x v="3"/>
    <s v="WAN NURUL AMIRA BINTI WAN MOHAMAD"/>
    <s v="MYR"/>
    <n v="4223.05"/>
    <n v="1084.9522216"/>
    <s v="Net Pay - February 2026"/>
    <x v="0"/>
    <x v="0"/>
    <x v="0"/>
    <x v="0"/>
  </r>
  <r>
    <s v="MY"/>
    <x v="1"/>
    <x v="3"/>
    <s v="CHEY PUI YAN"/>
    <s v="MYR"/>
    <n v="9273.15"/>
    <n v="2382.3835127999996"/>
    <s v="Net Pay - February 2026"/>
    <x v="0"/>
    <x v="0"/>
    <x v="2"/>
    <x v="2"/>
  </r>
  <r>
    <s v="MY"/>
    <x v="1"/>
    <x v="3"/>
    <s v="LOW LEE CHWIN"/>
    <s v="MYR"/>
    <n v="9469.15"/>
    <n v="2432.7382647999998"/>
    <s v="Net Pay - February 2026"/>
    <x v="0"/>
    <x v="0"/>
    <x v="3"/>
    <x v="2"/>
  </r>
  <r>
    <s v="MY"/>
    <x v="1"/>
    <x v="3"/>
    <s v="GOH AI PING"/>
    <s v="MYR"/>
    <n v="17378.849999999999"/>
    <n v="4464.8351111999991"/>
    <s v="Net Pay - February 2026"/>
    <x v="0"/>
    <x v="0"/>
    <x v="1"/>
    <x v="1"/>
  </r>
  <r>
    <s v="MY"/>
    <x v="1"/>
    <x v="3"/>
    <s v="CHEW KWANG HWEE"/>
    <s v="MYR"/>
    <n v="11426.85"/>
    <n v="2935.6948871999998"/>
    <s v="Net Pay - February 2026"/>
    <x v="0"/>
    <x v="0"/>
    <x v="1"/>
    <x v="1"/>
  </r>
  <r>
    <s v="MY"/>
    <x v="1"/>
    <x v="3"/>
    <s v="NG JIA YONG"/>
    <s v="MYR"/>
    <n v="4781.6499999999996"/>
    <n v="1228.4632647999997"/>
    <s v="Net Pay - February 2026"/>
    <x v="0"/>
    <x v="0"/>
    <x v="1"/>
    <x v="1"/>
  </r>
  <r>
    <s v="MY"/>
    <x v="1"/>
    <x v="3"/>
    <s v="LIN CHAORAN"/>
    <s v="MYR"/>
    <n v="15776.05"/>
    <n v="4053.0565575999995"/>
    <s v="Net Pay - February 2026"/>
    <x v="0"/>
    <x v="0"/>
    <x v="4"/>
    <x v="0"/>
  </r>
  <r>
    <s v="MY"/>
    <x v="1"/>
    <x v="3"/>
    <s v="YU CHEAN FEI"/>
    <s v="MYR"/>
    <n v="21791.85"/>
    <n v="5598.5877671999988"/>
    <s v="Net Pay - February 2026"/>
    <x v="0"/>
    <x v="0"/>
    <x v="1"/>
    <x v="1"/>
  </r>
  <r>
    <s v="MY"/>
    <x v="1"/>
    <x v="3"/>
    <s v="CHEN CHEE KHEN"/>
    <s v="MYR"/>
    <n v="5934.15"/>
    <n v="1524.5543447999999"/>
    <s v="Net Pay - February 2026"/>
    <x v="0"/>
    <x v="0"/>
    <x v="1"/>
    <x v="1"/>
  </r>
  <r>
    <s v="MY"/>
    <x v="1"/>
    <x v="3"/>
    <s v="CHEONG KA MENG"/>
    <s v="MYR"/>
    <n v="5168.8500000000004"/>
    <n v="1327.9395912"/>
    <s v="Net Pay - February 2026"/>
    <x v="0"/>
    <x v="0"/>
    <x v="1"/>
    <x v="1"/>
  </r>
  <r>
    <s v="MY"/>
    <x v="1"/>
    <x v="3"/>
    <s v="BEH YEAN SHIN"/>
    <s v="MYR"/>
    <n v="5168.8500000000004"/>
    <n v="1327.9395912"/>
    <s v="Net Pay - February 2026"/>
    <x v="0"/>
    <x v="0"/>
    <x v="3"/>
    <x v="2"/>
  </r>
  <r>
    <s v="MY"/>
    <x v="1"/>
    <x v="4"/>
    <s v="CHAN YIN HOCK"/>
    <s v="MYR"/>
    <n v="2827"/>
    <n v="726.29022399999997"/>
    <s v="Employee EPF - February 2026"/>
    <x v="1"/>
    <x v="0"/>
    <x v="0"/>
    <x v="0"/>
  </r>
  <r>
    <s v="MY"/>
    <x v="1"/>
    <x v="4"/>
    <s v="LIM SHU WEN"/>
    <s v="MYR"/>
    <n v="506"/>
    <n v="129.99747199999999"/>
    <s v="Employee EPF - February 2026"/>
    <x v="1"/>
    <x v="0"/>
    <x v="1"/>
    <x v="1"/>
  </r>
  <r>
    <s v="MY"/>
    <x v="1"/>
    <x v="4"/>
    <s v="YEAP JIA SHUNG"/>
    <s v="MYR"/>
    <n v="1155"/>
    <n v="296.73335999999995"/>
    <s v="Employee EPF - February 2026"/>
    <x v="1"/>
    <x v="0"/>
    <x v="0"/>
    <x v="0"/>
  </r>
  <r>
    <s v="MY"/>
    <x v="1"/>
    <x v="4"/>
    <s v="WAN NURUL AMIRA BINTI WAN MOHAMAD"/>
    <s v="MYR"/>
    <n v="539"/>
    <n v="138.47556799999998"/>
    <s v="Employee EPF - February 2026"/>
    <x v="1"/>
    <x v="0"/>
    <x v="0"/>
    <x v="0"/>
  </r>
  <r>
    <s v="MY"/>
    <x v="1"/>
    <x v="4"/>
    <s v="CHEY PUI YAN"/>
    <s v="MYR"/>
    <n v="1331"/>
    <n v="341.94987199999997"/>
    <s v="Employee EPF - February 2026"/>
    <x v="1"/>
    <x v="0"/>
    <x v="2"/>
    <x v="2"/>
  </r>
  <r>
    <s v="MY"/>
    <x v="1"/>
    <x v="4"/>
    <s v="LOW LEE CHWIN"/>
    <s v="MYR"/>
    <n v="1375"/>
    <n v="353.25399999999996"/>
    <s v="Employee EPF - February 2026"/>
    <x v="1"/>
    <x v="0"/>
    <x v="3"/>
    <x v="2"/>
  </r>
  <r>
    <s v="MY"/>
    <x v="1"/>
    <x v="4"/>
    <s v="GOH AI PING"/>
    <s v="MYR"/>
    <n v="2717"/>
    <n v="698.02990399999987"/>
    <s v="Employee EPF - February 2026"/>
    <x v="1"/>
    <x v="0"/>
    <x v="1"/>
    <x v="1"/>
  </r>
  <r>
    <s v="MY"/>
    <x v="1"/>
    <x v="4"/>
    <s v="CHEW KWANG HWEE"/>
    <s v="MYR"/>
    <n v="1694"/>
    <n v="435.20892799999996"/>
    <s v="Employee EPF - February 2026"/>
    <x v="1"/>
    <x v="0"/>
    <x v="1"/>
    <x v="1"/>
  </r>
  <r>
    <s v="MY"/>
    <x v="1"/>
    <x v="4"/>
    <s v="NG JIA YONG"/>
    <s v="MYR"/>
    <n v="616"/>
    <n v="158.25779199999999"/>
    <s v="Employee EPF - February 2026"/>
    <x v="1"/>
    <x v="0"/>
    <x v="1"/>
    <x v="1"/>
  </r>
  <r>
    <s v="MY"/>
    <x v="1"/>
    <x v="4"/>
    <s v="LIN CHAORAN"/>
    <s v="MYR"/>
    <n v="390"/>
    <n v="100.19568"/>
    <s v="Employee EPF - February 2026"/>
    <x v="1"/>
    <x v="0"/>
    <x v="4"/>
    <x v="0"/>
  </r>
  <r>
    <s v="MY"/>
    <x v="1"/>
    <x v="4"/>
    <s v="YU CHEAN FEI"/>
    <s v="MYR"/>
    <n v="3454"/>
    <n v="887.3740479999999"/>
    <s v="Employee EPF - February 2026"/>
    <x v="1"/>
    <x v="0"/>
    <x v="1"/>
    <x v="1"/>
  </r>
  <r>
    <s v="MY"/>
    <x v="1"/>
    <x v="4"/>
    <s v="CHEN CHEE KHEN"/>
    <s v="MYR"/>
    <n v="781"/>
    <n v="200.64827199999999"/>
    <s v="Employee EPF - February 2026"/>
    <x v="1"/>
    <x v="0"/>
    <x v="1"/>
    <x v="1"/>
  </r>
  <r>
    <s v="MY"/>
    <x v="1"/>
    <x v="4"/>
    <s v="CHEONG KA MENG"/>
    <s v="MYR"/>
    <n v="671"/>
    <n v="172.38795199999998"/>
    <s v="Employee EPF - February 2026"/>
    <x v="1"/>
    <x v="0"/>
    <x v="1"/>
    <x v="1"/>
  </r>
  <r>
    <s v="MY"/>
    <x v="1"/>
    <x v="4"/>
    <s v="BEH YEAN SHIN"/>
    <s v="MYR"/>
    <n v="671"/>
    <n v="172.38795199999998"/>
    <s v="Employee EPF - February 2026"/>
    <x v="1"/>
    <x v="0"/>
    <x v="3"/>
    <x v="2"/>
  </r>
  <r>
    <s v="MY"/>
    <x v="1"/>
    <x v="4"/>
    <s v="CHAN YIN HOCK"/>
    <s v="MYR"/>
    <n v="29.75"/>
    <n v="7.6431319999999996"/>
    <s v="Employee SOCSO - February 2026"/>
    <x v="1"/>
    <x v="0"/>
    <x v="0"/>
    <x v="0"/>
  </r>
  <r>
    <s v="MY"/>
    <x v="1"/>
    <x v="4"/>
    <s v="LIM SHU WEN"/>
    <s v="MYR"/>
    <n v="22.75"/>
    <n v="5.8447479999999992"/>
    <s v="Employee SOCSO - February 2026"/>
    <x v="1"/>
    <x v="0"/>
    <x v="1"/>
    <x v="1"/>
  </r>
  <r>
    <s v="MY"/>
    <x v="1"/>
    <x v="4"/>
    <s v="YEAP JIA SHUNG"/>
    <s v="MYR"/>
    <n v="29.75"/>
    <n v="7.6431319999999996"/>
    <s v="Employee SOCSO - February 2026"/>
    <x v="1"/>
    <x v="0"/>
    <x v="0"/>
    <x v="0"/>
  </r>
  <r>
    <s v="MY"/>
    <x v="1"/>
    <x v="4"/>
    <s v="WAN NURUL AMIRA BINTI WAN MOHAMAD"/>
    <s v="MYR"/>
    <n v="24.25"/>
    <n v="6.2301159999999998"/>
    <s v="Employee SOCSO - February 2026"/>
    <x v="1"/>
    <x v="0"/>
    <x v="0"/>
    <x v="0"/>
  </r>
  <r>
    <s v="MY"/>
    <x v="1"/>
    <x v="4"/>
    <s v="CHEY PUI YAN"/>
    <s v="MYR"/>
    <n v="29.75"/>
    <n v="7.6431319999999996"/>
    <s v="Employee SOCSO - February 2026"/>
    <x v="1"/>
    <x v="0"/>
    <x v="2"/>
    <x v="2"/>
  </r>
  <r>
    <s v="MY"/>
    <x v="1"/>
    <x v="4"/>
    <s v="LOW LEE CHWIN"/>
    <s v="MYR"/>
    <n v="29.75"/>
    <n v="7.6431319999999996"/>
    <s v="Employee SOCSO - February 2026"/>
    <x v="1"/>
    <x v="0"/>
    <x v="3"/>
    <x v="2"/>
  </r>
  <r>
    <s v="MY"/>
    <x v="1"/>
    <x v="4"/>
    <s v="GOH AI PING"/>
    <s v="MYR"/>
    <n v="29.75"/>
    <n v="7.6431319999999996"/>
    <s v="Employee SOCSO - February 2026"/>
    <x v="1"/>
    <x v="0"/>
    <x v="1"/>
    <x v="1"/>
  </r>
  <r>
    <s v="MY"/>
    <x v="1"/>
    <x v="4"/>
    <s v="CHEW KWANG HWEE"/>
    <s v="MYR"/>
    <n v="29.75"/>
    <n v="7.6431319999999996"/>
    <s v="Employee SOCSO - February 2026"/>
    <x v="1"/>
    <x v="0"/>
    <x v="1"/>
    <x v="1"/>
  </r>
  <r>
    <s v="MY"/>
    <x v="1"/>
    <x v="4"/>
    <s v="NG JIA YONG"/>
    <s v="MYR"/>
    <n v="27.75"/>
    <n v="7.1293079999999991"/>
    <s v="Employee SOCSO - February 2026"/>
    <x v="1"/>
    <x v="0"/>
    <x v="1"/>
    <x v="1"/>
  </r>
  <r>
    <s v="MY"/>
    <x v="1"/>
    <x v="4"/>
    <s v="LIN CHAORAN"/>
    <s v="MYR"/>
    <n v="29.75"/>
    <n v="7.6431319999999996"/>
    <s v="Employee SOCSO - February 2026"/>
    <x v="1"/>
    <x v="0"/>
    <x v="4"/>
    <x v="0"/>
  </r>
  <r>
    <s v="MY"/>
    <x v="1"/>
    <x v="4"/>
    <s v="YU CHEAN FEI"/>
    <s v="MYR"/>
    <n v="29.75"/>
    <n v="7.6431319999999996"/>
    <s v="Employee SOCSO - February 2026"/>
    <x v="1"/>
    <x v="0"/>
    <x v="1"/>
    <x v="1"/>
  </r>
  <r>
    <s v="MY"/>
    <x v="1"/>
    <x v="4"/>
    <s v="CHEN CHEE KHEN"/>
    <s v="MYR"/>
    <n v="29.75"/>
    <n v="7.6431319999999996"/>
    <s v="Employee SOCSO - February 2026"/>
    <x v="1"/>
    <x v="0"/>
    <x v="1"/>
    <x v="1"/>
  </r>
  <r>
    <s v="MY"/>
    <x v="1"/>
    <x v="4"/>
    <s v="CHEONG KA MENG"/>
    <s v="MYR"/>
    <n v="29.75"/>
    <n v="7.6431319999999996"/>
    <s v="Employee SOCSO - February 2026"/>
    <x v="1"/>
    <x v="0"/>
    <x v="1"/>
    <x v="1"/>
  </r>
  <r>
    <s v="MY"/>
    <x v="1"/>
    <x v="4"/>
    <s v="BEH YEAN SHIN"/>
    <s v="MYR"/>
    <n v="29.75"/>
    <n v="7.6431319999999996"/>
    <s v="Employee SOCSO - February 2026"/>
    <x v="1"/>
    <x v="0"/>
    <x v="3"/>
    <x v="2"/>
  </r>
  <r>
    <s v="MY"/>
    <x v="1"/>
    <x v="4"/>
    <s v="CHAN YIN HOCK"/>
    <s v="MYR"/>
    <n v="11.9"/>
    <n v="3.0572527999999997"/>
    <s v="Employee EIS - February 2026"/>
    <x v="1"/>
    <x v="0"/>
    <x v="0"/>
    <x v="0"/>
  </r>
  <r>
    <s v="MY"/>
    <x v="1"/>
    <x v="4"/>
    <s v="LIM SHU WEN"/>
    <s v="MYR"/>
    <n v="9.1"/>
    <n v="2.3378991999999998"/>
    <s v="Employee EIS - February 2026"/>
    <x v="1"/>
    <x v="0"/>
    <x v="1"/>
    <x v="1"/>
  </r>
  <r>
    <s v="MY"/>
    <x v="1"/>
    <x v="4"/>
    <s v="YEAP JIA SHUNG"/>
    <s v="MYR"/>
    <n v="11.9"/>
    <n v="3.0572527999999997"/>
    <s v="Employee EIS - February 2026"/>
    <x v="1"/>
    <x v="0"/>
    <x v="0"/>
    <x v="0"/>
  </r>
  <r>
    <s v="MY"/>
    <x v="1"/>
    <x v="4"/>
    <s v="WAN NURUL AMIRA BINTI WAN MOHAMAD"/>
    <s v="MYR"/>
    <n v="9.6999999999999993"/>
    <n v="2.4920463999999996"/>
    <s v="Employee EIS - February 2026"/>
    <x v="1"/>
    <x v="0"/>
    <x v="0"/>
    <x v="0"/>
  </r>
  <r>
    <s v="MY"/>
    <x v="1"/>
    <x v="4"/>
    <s v="CHEY PUI YAN"/>
    <s v="MYR"/>
    <n v="11.9"/>
    <n v="3.0572527999999997"/>
    <s v="Employee EIS - February 2026"/>
    <x v="1"/>
    <x v="0"/>
    <x v="2"/>
    <x v="2"/>
  </r>
  <r>
    <s v="MY"/>
    <x v="1"/>
    <x v="4"/>
    <s v="LOW LEE CHWIN"/>
    <s v="MYR"/>
    <n v="11.9"/>
    <n v="3.0572527999999997"/>
    <s v="Employee EIS - February 2026"/>
    <x v="1"/>
    <x v="0"/>
    <x v="3"/>
    <x v="2"/>
  </r>
  <r>
    <s v="MY"/>
    <x v="1"/>
    <x v="4"/>
    <s v="GOH AI PING"/>
    <s v="MYR"/>
    <n v="11.9"/>
    <n v="3.0572527999999997"/>
    <s v="Employee EIS - February 2026"/>
    <x v="1"/>
    <x v="0"/>
    <x v="1"/>
    <x v="1"/>
  </r>
  <r>
    <s v="MY"/>
    <x v="1"/>
    <x v="4"/>
    <s v="CHEW KWANG HWEE"/>
    <s v="MYR"/>
    <n v="11.9"/>
    <n v="3.0572527999999997"/>
    <s v="Employee EIS - February 2026"/>
    <x v="1"/>
    <x v="0"/>
    <x v="1"/>
    <x v="1"/>
  </r>
  <r>
    <s v="MY"/>
    <x v="1"/>
    <x v="4"/>
    <s v="NG JIA YONG"/>
    <s v="MYR"/>
    <n v="11.1"/>
    <n v="2.8517231999999995"/>
    <s v="Employee EIS - February 2026"/>
    <x v="1"/>
    <x v="0"/>
    <x v="1"/>
    <x v="1"/>
  </r>
  <r>
    <s v="MY"/>
    <x v="1"/>
    <x v="4"/>
    <s v="LIN CHAORAN"/>
    <s v="MYR"/>
    <n v="0"/>
    <n v="0"/>
    <s v="Employee EIS - February 2026"/>
    <x v="1"/>
    <x v="0"/>
    <x v="4"/>
    <x v="0"/>
  </r>
  <r>
    <s v="MY"/>
    <x v="1"/>
    <x v="4"/>
    <s v="YU CHEAN FEI"/>
    <s v="MYR"/>
    <n v="11.9"/>
    <n v="3.0572527999999997"/>
    <s v="Employee EIS - February 2026"/>
    <x v="1"/>
    <x v="0"/>
    <x v="1"/>
    <x v="1"/>
  </r>
  <r>
    <s v="MY"/>
    <x v="1"/>
    <x v="4"/>
    <s v="CHEN CHEE KHEN"/>
    <s v="MYR"/>
    <n v="11.9"/>
    <n v="3.0572527999999997"/>
    <s v="Employee EIS - February 2026"/>
    <x v="1"/>
    <x v="0"/>
    <x v="1"/>
    <x v="1"/>
  </r>
  <r>
    <s v="MY"/>
    <x v="1"/>
    <x v="4"/>
    <s v="CHEONG KA MENG"/>
    <s v="MYR"/>
    <n v="11.9"/>
    <n v="3.0572527999999997"/>
    <s v="Employee EIS - February 2026"/>
    <x v="1"/>
    <x v="0"/>
    <x v="1"/>
    <x v="1"/>
  </r>
  <r>
    <s v="MY"/>
    <x v="1"/>
    <x v="4"/>
    <s v="BEH YEAN SHIN"/>
    <s v="MYR"/>
    <n v="11.9"/>
    <n v="3.0572527999999997"/>
    <s v="Employee EIS - February 2026"/>
    <x v="1"/>
    <x v="0"/>
    <x v="3"/>
    <x v="2"/>
  </r>
  <r>
    <s v="MY"/>
    <x v="1"/>
    <x v="4"/>
    <s v="CHAN YIN HOCK"/>
    <s v="MYR"/>
    <n v="4812.5"/>
    <n v="1236.3889999999999"/>
    <s v="PCB - February 2026"/>
    <x v="1"/>
    <x v="0"/>
    <x v="0"/>
    <x v="0"/>
  </r>
  <r>
    <s v="MY"/>
    <x v="1"/>
    <x v="4"/>
    <s v="LIM SHU WEN"/>
    <s v="MYR"/>
    <n v="86"/>
    <n v="22.094431999999998"/>
    <s v="PCB - February 2026"/>
    <x v="1"/>
    <x v="0"/>
    <x v="1"/>
    <x v="1"/>
  </r>
  <r>
    <s v="MY"/>
    <x v="1"/>
    <x v="4"/>
    <s v="YEAP JIA SHUNG"/>
    <s v="MYR"/>
    <n v="1054.2"/>
    <n v="270.83663039999999"/>
    <s v="PCB - February 2026"/>
    <x v="1"/>
    <x v="0"/>
    <x v="0"/>
    <x v="0"/>
  </r>
  <r>
    <s v="MY"/>
    <x v="1"/>
    <x v="4"/>
    <s v="WAN NURUL AMIRA BINTI WAN MOHAMAD"/>
    <s v="MYR"/>
    <n v="104"/>
    <n v="26.718847999999998"/>
    <s v="PCB - February 2026"/>
    <x v="1"/>
    <x v="0"/>
    <x v="0"/>
    <x v="0"/>
  </r>
  <r>
    <s v="MY"/>
    <x v="1"/>
    <x v="4"/>
    <s v="CHEY PUI YAN"/>
    <s v="MYR"/>
    <n v="1454.2"/>
    <n v="373.60143039999997"/>
    <s v="PCB - February 2026"/>
    <x v="1"/>
    <x v="0"/>
    <x v="2"/>
    <x v="2"/>
  </r>
  <r>
    <s v="MY"/>
    <x v="1"/>
    <x v="4"/>
    <s v="LOW LEE CHWIN"/>
    <s v="MYR"/>
    <n v="1534.2"/>
    <n v="394.15439039999995"/>
    <s v="PCB - February 2026"/>
    <x v="1"/>
    <x v="0"/>
    <x v="3"/>
    <x v="2"/>
  </r>
  <r>
    <s v="MY"/>
    <x v="1"/>
    <x v="4"/>
    <s v="GOH AI PING"/>
    <s v="MYR"/>
    <n v="4562.5"/>
    <n v="1172.1609999999998"/>
    <s v="PCB - February 2026"/>
    <x v="1"/>
    <x v="0"/>
    <x v="1"/>
    <x v="1"/>
  </r>
  <r>
    <s v="MY"/>
    <x v="1"/>
    <x v="4"/>
    <s v="CHEW KWANG HWEE"/>
    <s v="MYR"/>
    <n v="2237.5"/>
    <n v="574.84059999999999"/>
    <s v="PCB - February 2026"/>
    <x v="1"/>
    <x v="0"/>
    <x v="1"/>
    <x v="1"/>
  </r>
  <r>
    <s v="MY"/>
    <x v="1"/>
    <x v="4"/>
    <s v="NG JIA YONG"/>
    <s v="MYR"/>
    <n v="163.5"/>
    <n v="42.005111999999997"/>
    <s v="PCB - February 2026"/>
    <x v="1"/>
    <x v="0"/>
    <x v="1"/>
    <x v="1"/>
  </r>
  <r>
    <s v="MY"/>
    <x v="1"/>
    <x v="4"/>
    <s v="LIN CHAORAN"/>
    <s v="MYR"/>
    <n v="3304.2"/>
    <n v="848.8886303999999"/>
    <s v="PCB - February 2026"/>
    <x v="1"/>
    <x v="0"/>
    <x v="4"/>
    <x v="0"/>
  </r>
  <r>
    <s v="MY"/>
    <x v="1"/>
    <x v="4"/>
    <s v="YU CHEAN FEI"/>
    <s v="MYR"/>
    <n v="6112.5"/>
    <n v="1570.3745999999999"/>
    <s v="PCB - February 2026"/>
    <x v="1"/>
    <x v="0"/>
    <x v="1"/>
    <x v="1"/>
  </r>
  <r>
    <s v="MY"/>
    <x v="1"/>
    <x v="4"/>
    <s v="CHEN CHEE KHEN"/>
    <s v="MYR"/>
    <n v="343.2"/>
    <n v="88.172198399999985"/>
    <s v="PCB - February 2026"/>
    <x v="1"/>
    <x v="0"/>
    <x v="1"/>
    <x v="1"/>
  </r>
  <r>
    <s v="MY"/>
    <x v="1"/>
    <x v="4"/>
    <s v="CHEONG KA MENG"/>
    <s v="MYR"/>
    <n v="218.5"/>
    <n v="56.135271999999993"/>
    <s v="PCB - February 2026"/>
    <x v="1"/>
    <x v="0"/>
    <x v="1"/>
    <x v="1"/>
  </r>
  <r>
    <s v="MY"/>
    <x v="1"/>
    <x v="4"/>
    <s v="BEH YEAN SHIN"/>
    <s v="MYR"/>
    <n v="218.5"/>
    <n v="56.135271999999993"/>
    <s v="PCB - February 2026"/>
    <x v="1"/>
    <x v="0"/>
    <x v="3"/>
    <x v="2"/>
  </r>
  <r>
    <s v="MY"/>
    <x v="1"/>
    <x v="4"/>
    <s v="CHAN YIN HOCK"/>
    <s v="MYR"/>
    <n v="3341"/>
    <n v="858.34299199999987"/>
    <s v="Employer EPF - February 2026"/>
    <x v="1"/>
    <x v="0"/>
    <x v="0"/>
    <x v="0"/>
  </r>
  <r>
    <s v="MY"/>
    <x v="1"/>
    <x v="4"/>
    <s v="LIM SHU WEN"/>
    <s v="MYR"/>
    <n v="598"/>
    <n v="153.633376"/>
    <s v="Employer EPF - February 2026"/>
    <x v="1"/>
    <x v="0"/>
    <x v="1"/>
    <x v="1"/>
  </r>
  <r>
    <s v="MY"/>
    <x v="1"/>
    <x v="4"/>
    <s v="YEAP JIA SHUNG"/>
    <s v="MYR"/>
    <n v="1365"/>
    <n v="350.68487999999996"/>
    <s v="Employer EPF - February 2026"/>
    <x v="1"/>
    <x v="0"/>
    <x v="0"/>
    <x v="0"/>
  </r>
  <r>
    <s v="MY"/>
    <x v="1"/>
    <x v="4"/>
    <s v="WAN NURUL AMIRA BINTI WAN MOHAMAD"/>
    <s v="MYR"/>
    <n v="637"/>
    <n v="163.65294399999999"/>
    <s v="Employer EPF - February 2026"/>
    <x v="1"/>
    <x v="0"/>
    <x v="0"/>
    <x v="0"/>
  </r>
  <r>
    <s v="MY"/>
    <x v="1"/>
    <x v="4"/>
    <s v="CHEY PUI YAN"/>
    <s v="MYR"/>
    <n v="1573"/>
    <n v="404.12257599999998"/>
    <s v="Employer EPF - February 2026"/>
    <x v="1"/>
    <x v="0"/>
    <x v="2"/>
    <x v="2"/>
  </r>
  <r>
    <s v="MY"/>
    <x v="1"/>
    <x v="4"/>
    <s v="LOW LEE CHWIN"/>
    <s v="MYR"/>
    <n v="1615"/>
    <n v="414.91287999999997"/>
    <s v="Employer EPF - February 2026"/>
    <x v="1"/>
    <x v="0"/>
    <x v="3"/>
    <x v="2"/>
  </r>
  <r>
    <s v="MY"/>
    <x v="1"/>
    <x v="4"/>
    <s v="GOH AI PING"/>
    <s v="MYR"/>
    <n v="3211"/>
    <n v="824.94443199999989"/>
    <s v="Employer EPF - February 2026"/>
    <x v="1"/>
    <x v="0"/>
    <x v="1"/>
    <x v="1"/>
  </r>
  <r>
    <s v="MY"/>
    <x v="1"/>
    <x v="4"/>
    <s v="CHEW KWANG HWEE"/>
    <s v="MYR"/>
    <n v="2002"/>
    <n v="514.33782399999996"/>
    <s v="Employer EPF - February 2026"/>
    <x v="1"/>
    <x v="0"/>
    <x v="1"/>
    <x v="1"/>
  </r>
  <r>
    <s v="MY"/>
    <x v="1"/>
    <x v="4"/>
    <s v="NG JIA YONG"/>
    <s v="MYR"/>
    <n v="728"/>
    <n v="187.03193599999997"/>
    <s v="Employer EPF - February 2026"/>
    <x v="1"/>
    <x v="0"/>
    <x v="1"/>
    <x v="1"/>
  </r>
  <r>
    <s v="MY"/>
    <x v="1"/>
    <x v="4"/>
    <s v="LIN CHAORAN"/>
    <s v="MYR"/>
    <n v="390"/>
    <n v="100.19568"/>
    <s v="Employer EPF - February 2026"/>
    <x v="1"/>
    <x v="0"/>
    <x v="4"/>
    <x v="0"/>
  </r>
  <r>
    <s v="MY"/>
    <x v="1"/>
    <x v="4"/>
    <s v="YU CHEAN FEI"/>
    <s v="MYR"/>
    <n v="4082"/>
    <n v="1048.7147839999998"/>
    <s v="Employer EPF - February 2026"/>
    <x v="1"/>
    <x v="0"/>
    <x v="1"/>
    <x v="1"/>
  </r>
  <r>
    <s v="MY"/>
    <x v="1"/>
    <x v="4"/>
    <s v="CHEN CHEE KHEN"/>
    <s v="MYR"/>
    <n v="923"/>
    <n v="237.12977599999996"/>
    <s v="Employer EPF - February 2026"/>
    <x v="1"/>
    <x v="0"/>
    <x v="1"/>
    <x v="1"/>
  </r>
  <r>
    <s v="MY"/>
    <x v="1"/>
    <x v="4"/>
    <s v="CHEONG KA MENG"/>
    <s v="MYR"/>
    <n v="793"/>
    <n v="203.73121599999999"/>
    <s v="Employer EPF - February 2026"/>
    <x v="1"/>
    <x v="0"/>
    <x v="1"/>
    <x v="1"/>
  </r>
  <r>
    <s v="MY"/>
    <x v="1"/>
    <x v="4"/>
    <s v="BEH YEAN SHIN"/>
    <s v="MYR"/>
    <n v="793"/>
    <n v="203.73121599999999"/>
    <s v="Employer EPF - February 2026"/>
    <x v="1"/>
    <x v="0"/>
    <x v="3"/>
    <x v="2"/>
  </r>
  <r>
    <s v="MY"/>
    <x v="1"/>
    <x v="4"/>
    <s v="CHAN YIN HOCK"/>
    <s v="MYR"/>
    <n v="104.15"/>
    <n v="26.757384799999997"/>
    <s v="Employer SOCSO - February 2026"/>
    <x v="1"/>
    <x v="0"/>
    <x v="0"/>
    <x v="0"/>
  </r>
  <r>
    <s v="MY"/>
    <x v="1"/>
    <x v="4"/>
    <s v="LIM SHU WEN"/>
    <s v="MYR"/>
    <n v="79.650000000000006"/>
    <n v="20.463040799999998"/>
    <s v="Employer SOCSO - February 2026"/>
    <x v="1"/>
    <x v="0"/>
    <x v="1"/>
    <x v="1"/>
  </r>
  <r>
    <s v="MY"/>
    <x v="1"/>
    <x v="4"/>
    <s v="YEAP JIA SHUNG"/>
    <s v="MYR"/>
    <n v="104.15"/>
    <n v="26.757384799999997"/>
    <s v="Employer SOCSO - February 2026"/>
    <x v="1"/>
    <x v="0"/>
    <x v="0"/>
    <x v="0"/>
  </r>
  <r>
    <s v="MY"/>
    <x v="1"/>
    <x v="4"/>
    <s v="WAN NURUL AMIRA BINTI WAN MOHAMAD"/>
    <s v="MYR"/>
    <n v="84.85"/>
    <n v="21.798983199999995"/>
    <s v="Employer SOCSO - February 2026"/>
    <x v="1"/>
    <x v="0"/>
    <x v="0"/>
    <x v="0"/>
  </r>
  <r>
    <s v="MY"/>
    <x v="1"/>
    <x v="4"/>
    <s v="CHEY PUI YAN"/>
    <s v="MYR"/>
    <n v="104.15"/>
    <n v="26.757384799999997"/>
    <s v="Employer SOCSO - February 2026"/>
    <x v="1"/>
    <x v="0"/>
    <x v="2"/>
    <x v="2"/>
  </r>
  <r>
    <s v="MY"/>
    <x v="1"/>
    <x v="4"/>
    <s v="LOW LEE CHWIN"/>
    <s v="MYR"/>
    <n v="104.15"/>
    <n v="26.757384799999997"/>
    <s v="Employer SOCSO - February 2026"/>
    <x v="1"/>
    <x v="0"/>
    <x v="3"/>
    <x v="2"/>
  </r>
  <r>
    <s v="MY"/>
    <x v="1"/>
    <x v="4"/>
    <s v="GOH AI PING"/>
    <s v="MYR"/>
    <n v="104.15"/>
    <n v="26.757384799999997"/>
    <s v="Employer SOCSO - February 2026"/>
    <x v="1"/>
    <x v="0"/>
    <x v="1"/>
    <x v="1"/>
  </r>
  <r>
    <s v="MY"/>
    <x v="1"/>
    <x v="4"/>
    <s v="CHEW KWANG HWEE"/>
    <s v="MYR"/>
    <n v="104.15"/>
    <n v="26.757384799999997"/>
    <s v="Employer SOCSO - February 2026"/>
    <x v="1"/>
    <x v="0"/>
    <x v="1"/>
    <x v="1"/>
  </r>
  <r>
    <s v="MY"/>
    <x v="1"/>
    <x v="4"/>
    <s v="NG JIA YONG"/>
    <s v="MYR"/>
    <n v="97.15"/>
    <n v="24.959000799999998"/>
    <s v="Employer SOCSO - February 2026"/>
    <x v="1"/>
    <x v="0"/>
    <x v="1"/>
    <x v="1"/>
  </r>
  <r>
    <s v="MY"/>
    <x v="1"/>
    <x v="4"/>
    <s v="LIN CHAORAN"/>
    <s v="MYR"/>
    <n v="104.15"/>
    <n v="26.757384799999997"/>
    <s v="Employer SOCSO - February 2026"/>
    <x v="1"/>
    <x v="0"/>
    <x v="4"/>
    <x v="0"/>
  </r>
  <r>
    <s v="MY"/>
    <x v="1"/>
    <x v="4"/>
    <s v="YU CHEAN FEI"/>
    <s v="MYR"/>
    <n v="104.15"/>
    <n v="26.757384799999997"/>
    <s v="Employer SOCSO - February 2026"/>
    <x v="1"/>
    <x v="0"/>
    <x v="1"/>
    <x v="1"/>
  </r>
  <r>
    <s v="MY"/>
    <x v="1"/>
    <x v="4"/>
    <s v="CHEN CHEE KHEN"/>
    <s v="MYR"/>
    <n v="104.15"/>
    <n v="26.757384799999997"/>
    <s v="Employer SOCSO - February 2026"/>
    <x v="1"/>
    <x v="0"/>
    <x v="1"/>
    <x v="1"/>
  </r>
  <r>
    <s v="MY"/>
    <x v="1"/>
    <x v="4"/>
    <s v="CHEONG KA MENG"/>
    <s v="MYR"/>
    <n v="104.15"/>
    <n v="26.757384799999997"/>
    <s v="Employer SOCSO - February 2026"/>
    <x v="1"/>
    <x v="0"/>
    <x v="1"/>
    <x v="1"/>
  </r>
  <r>
    <s v="MY"/>
    <x v="1"/>
    <x v="4"/>
    <s v="BEH YEAN SHIN"/>
    <s v="MYR"/>
    <n v="104.15"/>
    <n v="26.757384799999997"/>
    <s v="Employer SOCSO - February 2026"/>
    <x v="1"/>
    <x v="0"/>
    <x v="3"/>
    <x v="2"/>
  </r>
  <r>
    <s v="MY"/>
    <x v="1"/>
    <x v="4"/>
    <s v="CHAN YIN HOCK"/>
    <s v="MYR"/>
    <n v="11.9"/>
    <n v="3.0572527999999997"/>
    <s v="Employer EIS - February 2026"/>
    <x v="1"/>
    <x v="0"/>
    <x v="0"/>
    <x v="0"/>
  </r>
  <r>
    <s v="MY"/>
    <x v="1"/>
    <x v="4"/>
    <s v="LIM SHU WEN"/>
    <s v="MYR"/>
    <n v="9.1"/>
    <n v="2.3378991999999998"/>
    <s v="Employer EIS - February 2026"/>
    <x v="1"/>
    <x v="0"/>
    <x v="1"/>
    <x v="1"/>
  </r>
  <r>
    <s v="MY"/>
    <x v="1"/>
    <x v="4"/>
    <s v="YEAP JIA SHUNG"/>
    <s v="MYR"/>
    <n v="11.9"/>
    <n v="3.0572527999999997"/>
    <s v="Employer EIS - February 2026"/>
    <x v="1"/>
    <x v="0"/>
    <x v="0"/>
    <x v="0"/>
  </r>
  <r>
    <s v="MY"/>
    <x v="1"/>
    <x v="4"/>
    <s v="WAN NURUL AMIRA BINTI WAN MOHAMAD"/>
    <s v="MYR"/>
    <n v="9.6999999999999993"/>
    <n v="2.4920463999999996"/>
    <s v="Employer EIS - February 2026"/>
    <x v="1"/>
    <x v="0"/>
    <x v="0"/>
    <x v="0"/>
  </r>
  <r>
    <s v="MY"/>
    <x v="1"/>
    <x v="4"/>
    <s v="CHEY PUI YAN"/>
    <s v="MYR"/>
    <n v="11.9"/>
    <n v="3.0572527999999997"/>
    <s v="Employer EIS - February 2026"/>
    <x v="1"/>
    <x v="0"/>
    <x v="2"/>
    <x v="2"/>
  </r>
  <r>
    <s v="MY"/>
    <x v="1"/>
    <x v="4"/>
    <s v="LOW LEE CHWIN"/>
    <s v="MYR"/>
    <n v="11.9"/>
    <n v="3.0572527999999997"/>
    <s v="Employer EIS - February 2026"/>
    <x v="1"/>
    <x v="0"/>
    <x v="3"/>
    <x v="2"/>
  </r>
  <r>
    <s v="MY"/>
    <x v="1"/>
    <x v="4"/>
    <s v="GOH AI PING"/>
    <s v="MYR"/>
    <n v="11.9"/>
    <n v="3.0572527999999997"/>
    <s v="Employer EIS - February 2026"/>
    <x v="1"/>
    <x v="0"/>
    <x v="1"/>
    <x v="1"/>
  </r>
  <r>
    <s v="MY"/>
    <x v="1"/>
    <x v="4"/>
    <s v="CHEW KWANG HWEE"/>
    <s v="MYR"/>
    <n v="11.9"/>
    <n v="3.0572527999999997"/>
    <s v="Employer EIS - February 2026"/>
    <x v="1"/>
    <x v="0"/>
    <x v="1"/>
    <x v="1"/>
  </r>
  <r>
    <s v="MY"/>
    <x v="1"/>
    <x v="4"/>
    <s v="NG JIA YONG"/>
    <s v="MYR"/>
    <n v="11.1"/>
    <n v="2.8517231999999995"/>
    <s v="Employer EIS - February 2026"/>
    <x v="1"/>
    <x v="0"/>
    <x v="1"/>
    <x v="1"/>
  </r>
  <r>
    <s v="MY"/>
    <x v="1"/>
    <x v="4"/>
    <s v="LIN CHAORAN"/>
    <s v="MYR"/>
    <n v="0"/>
    <n v="0"/>
    <s v="Employer EIS - February 2026"/>
    <x v="1"/>
    <x v="0"/>
    <x v="4"/>
    <x v="0"/>
  </r>
  <r>
    <s v="MY"/>
    <x v="1"/>
    <x v="4"/>
    <s v="YU CHEAN FEI"/>
    <s v="MYR"/>
    <n v="11.9"/>
    <n v="3.0572527999999997"/>
    <s v="Employer EIS - February 2026"/>
    <x v="1"/>
    <x v="0"/>
    <x v="1"/>
    <x v="1"/>
  </r>
  <r>
    <s v="MY"/>
    <x v="1"/>
    <x v="4"/>
    <s v="CHEN CHEE KHEN"/>
    <s v="MYR"/>
    <n v="11.9"/>
    <n v="3.0572527999999997"/>
    <s v="Employer EIS - February 2026"/>
    <x v="1"/>
    <x v="0"/>
    <x v="1"/>
    <x v="1"/>
  </r>
  <r>
    <s v="MY"/>
    <x v="1"/>
    <x v="4"/>
    <s v="CHEONG KA MENG"/>
    <s v="MYR"/>
    <n v="11.9"/>
    <n v="3.0572527999999997"/>
    <s v="Employer EIS - February 2026"/>
    <x v="1"/>
    <x v="0"/>
    <x v="1"/>
    <x v="1"/>
  </r>
  <r>
    <s v="MY"/>
    <x v="1"/>
    <x v="4"/>
    <s v="BEH YEAN SHIN"/>
    <s v="MYR"/>
    <n v="11.9"/>
    <n v="3.0572527999999997"/>
    <s v="Employer EIS - February 2026"/>
    <x v="1"/>
    <x v="0"/>
    <x v="3"/>
    <x v="2"/>
  </r>
  <r>
    <s v="MY"/>
    <x v="2"/>
    <x v="5"/>
    <s v="CHAN YIN HOCK"/>
    <s v="MYR"/>
    <n v="18018.849999999999"/>
    <n v="4450.7460442499996"/>
    <s v="Net Pay - March 2026"/>
    <x v="0"/>
    <x v="0"/>
    <x v="0"/>
    <x v="0"/>
  </r>
  <r>
    <s v="MY"/>
    <x v="2"/>
    <x v="5"/>
    <s v="LIM SHU WEN"/>
    <s v="MYR"/>
    <n v="3588.1499999999996"/>
    <n v="886.29099074999988"/>
    <s v="Net Pay - March 2026"/>
    <x v="0"/>
    <x v="0"/>
    <x v="1"/>
    <x v="1"/>
  </r>
  <r>
    <s v="MY"/>
    <x v="2"/>
    <x v="5"/>
    <s v="LIM SHU WEN"/>
    <s v="MYR"/>
    <n v="2250"/>
    <n v="555.76125000000002"/>
    <s v="Staff Bonus 2025"/>
    <x v="2"/>
    <x v="0"/>
    <x v="1"/>
    <x v="1"/>
  </r>
  <r>
    <s v="MY"/>
    <x v="2"/>
    <x v="5"/>
    <s v="WAN NURUL AMIRA BINTI WAN MOHAMAD"/>
    <s v="MYR"/>
    <n v="5687.9"/>
    <n v="1404.9397394999999"/>
    <s v="Net Pay - March 2026"/>
    <x v="0"/>
    <x v="0"/>
    <x v="0"/>
    <x v="0"/>
  </r>
  <r>
    <s v="MY"/>
    <x v="2"/>
    <x v="5"/>
    <s v="WAN NURUL AMIRA BINTI WAN MOHAMAD"/>
    <s v="MYR"/>
    <n v="1769"/>
    <n v="436.95184499999999"/>
    <s v="Staff Bonus 2025"/>
    <x v="2"/>
    <x v="0"/>
    <x v="0"/>
    <x v="0"/>
  </r>
  <r>
    <s v="MY"/>
    <x v="2"/>
    <x v="5"/>
    <s v="CHEY PUI YAN"/>
    <s v="MYR"/>
    <n v="9273.15"/>
    <n v="2290.5144157499999"/>
    <s v="Net Pay - March 2026"/>
    <x v="0"/>
    <x v="0"/>
    <x v="2"/>
    <x v="2"/>
  </r>
  <r>
    <s v="MY"/>
    <x v="2"/>
    <x v="5"/>
    <s v="LOW LEE CHWIN"/>
    <s v="MYR"/>
    <n v="6200.9"/>
    <n v="1531.6533044999999"/>
    <s v="Net Pay - March 2026"/>
    <x v="0"/>
    <x v="0"/>
    <x v="3"/>
    <x v="2"/>
  </r>
  <r>
    <s v="MY"/>
    <x v="2"/>
    <x v="5"/>
    <s v="LOW LEE CHWIN"/>
    <s v="MYR"/>
    <n v="6101"/>
    <n v="1506.9775050000001"/>
    <s v="Staff Bonus 2025"/>
    <x v="2"/>
    <x v="0"/>
    <x v="3"/>
    <x v="2"/>
  </r>
  <r>
    <s v="MY"/>
    <x v="2"/>
    <x v="5"/>
    <s v="LOW LEE CHWIN"/>
    <s v="MYR"/>
    <n v="3000"/>
    <n v="741.01499999999999"/>
    <s v="Spot Award 2025"/>
    <x v="2"/>
    <x v="0"/>
    <x v="3"/>
    <x v="2"/>
  </r>
  <r>
    <s v="MY"/>
    <x v="2"/>
    <x v="5"/>
    <s v="GOH AI PING"/>
    <s v="MYR"/>
    <n v="10258.349999999999"/>
    <n v="2533.8637417499995"/>
    <s v="Net Pay - March 2026"/>
    <x v="0"/>
    <x v="0"/>
    <x v="1"/>
    <x v="1"/>
  </r>
  <r>
    <s v="MY"/>
    <x v="2"/>
    <x v="5"/>
    <s v="GOH AI PING"/>
    <s v="MYR"/>
    <n v="13778"/>
    <n v="3403.2348900000002"/>
    <s v="Staff Bonus 2025"/>
    <x v="2"/>
    <x v="0"/>
    <x v="1"/>
    <x v="1"/>
  </r>
  <r>
    <s v="MY"/>
    <x v="2"/>
    <x v="5"/>
    <s v="GOH AI PING"/>
    <s v="MYR"/>
    <n v="6000"/>
    <n v="1482.03"/>
    <s v="Spot Award 2025"/>
    <x v="2"/>
    <x v="0"/>
    <x v="1"/>
    <x v="1"/>
  </r>
  <r>
    <s v="MY"/>
    <x v="2"/>
    <x v="5"/>
    <s v="CHEW KWANG HWEE"/>
    <s v="MYR"/>
    <n v="9488.35"/>
    <n v="2343.6698917500003"/>
    <s v="Net Pay - March 2026"/>
    <x v="0"/>
    <x v="0"/>
    <x v="1"/>
    <x v="1"/>
  </r>
  <r>
    <s v="MY"/>
    <x v="2"/>
    <x v="5"/>
    <s v="CHEW KWANG HWEE"/>
    <s v="MYR"/>
    <n v="5382"/>
    <n v="1329.3809100000001"/>
    <s v="Staff Bonus 2025"/>
    <x v="2"/>
    <x v="0"/>
    <x v="1"/>
    <x v="1"/>
  </r>
  <r>
    <s v="MY"/>
    <x v="2"/>
    <x v="5"/>
    <s v="NG JIA YONG"/>
    <s v="MYR"/>
    <n v="4348.8"/>
    <n v="1074.175344"/>
    <s v="Net Pay - March 2026"/>
    <x v="0"/>
    <x v="0"/>
    <x v="1"/>
    <x v="1"/>
  </r>
  <r>
    <s v="MY"/>
    <x v="2"/>
    <x v="5"/>
    <s v="NG JIA YONG"/>
    <s v="MYR"/>
    <n v="1935"/>
    <n v="477.95467500000001"/>
    <s v="Staff Bonus 2025"/>
    <x v="2"/>
    <x v="0"/>
    <x v="1"/>
    <x v="1"/>
  </r>
  <r>
    <s v="MY"/>
    <x v="2"/>
    <x v="5"/>
    <s v="LIN CHAORAN"/>
    <s v="MYR"/>
    <n v="13424.55"/>
    <n v="3315.9309727499999"/>
    <s v="Net Pay - March 2026"/>
    <x v="0"/>
    <x v="0"/>
    <x v="4"/>
    <x v="0"/>
  </r>
  <r>
    <s v="MY"/>
    <x v="2"/>
    <x v="5"/>
    <s v="LIN CHAORAN"/>
    <s v="MYR"/>
    <n v="8706"/>
    <n v="2150.42553"/>
    <s v="Staff Bonus 2025"/>
    <x v="2"/>
    <x v="0"/>
    <x v="4"/>
    <x v="0"/>
  </r>
  <r>
    <s v="MY"/>
    <x v="2"/>
    <x v="5"/>
    <s v="YU CHEAN FEI"/>
    <s v="MYR"/>
    <n v="21791.85"/>
    <n v="5382.6959092500001"/>
    <s v="Net Pay - March 2026"/>
    <x v="0"/>
    <x v="0"/>
    <x v="1"/>
    <x v="1"/>
  </r>
  <r>
    <s v="MY"/>
    <x v="2"/>
    <x v="5"/>
    <s v="CHEN CHEE KHEN"/>
    <s v="MYR"/>
    <n v="5934.15"/>
    <n v="1465.7647207499999"/>
    <s v="Net Pay - March 2026"/>
    <x v="0"/>
    <x v="0"/>
    <x v="1"/>
    <x v="1"/>
  </r>
  <r>
    <s v="MY"/>
    <x v="2"/>
    <x v="5"/>
    <s v="CHEONG KA MENG"/>
    <s v="MYR"/>
    <n v="5168.8500000000004"/>
    <n v="1276.7317942500001"/>
    <s v="Net Pay - March 2026"/>
    <x v="0"/>
    <x v="0"/>
    <x v="1"/>
    <x v="1"/>
  </r>
  <r>
    <s v="MY"/>
    <x v="2"/>
    <x v="5"/>
    <s v="BEH YEAN SHIN"/>
    <s v="MYR"/>
    <n v="5168.8500000000004"/>
    <n v="1276.7317942500001"/>
    <s v="Net Pay - March 2026"/>
    <x v="0"/>
    <x v="0"/>
    <x v="3"/>
    <x v="2"/>
  </r>
  <r>
    <s v="MY"/>
    <x v="2"/>
    <x v="6"/>
    <s v="CHAN YIN HOCK"/>
    <s v="MYR"/>
    <n v="2827"/>
    <n v="698.28313500000002"/>
    <s v="Employee EPF - March 2026"/>
    <x v="0"/>
    <x v="0"/>
    <x v="0"/>
    <x v="0"/>
  </r>
  <r>
    <s v="MY"/>
    <x v="2"/>
    <x v="6"/>
    <s v="LIM SHU WEN"/>
    <s v="MYR"/>
    <n v="759"/>
    <n v="187.47679500000001"/>
    <s v="Employee EPF - March 2026"/>
    <x v="0"/>
    <x v="0"/>
    <x v="1"/>
    <x v="1"/>
  </r>
  <r>
    <s v="MY"/>
    <x v="2"/>
    <x v="6"/>
    <s v="WAN NURUL AMIRA BINTI WAN MOHAMAD"/>
    <s v="MYR"/>
    <n v="737"/>
    <n v="182.04268500000001"/>
    <s v="Employee EPF - March 2026"/>
    <x v="0"/>
    <x v="0"/>
    <x v="0"/>
    <x v="0"/>
  </r>
  <r>
    <s v="MY"/>
    <x v="2"/>
    <x v="6"/>
    <s v="CHEY PUI YAN"/>
    <s v="MYR"/>
    <n v="1331"/>
    <n v="328.76365500000003"/>
    <s v="Employee EPF - March 2026"/>
    <x v="0"/>
    <x v="0"/>
    <x v="2"/>
    <x v="2"/>
  </r>
  <r>
    <s v="MY"/>
    <x v="2"/>
    <x v="6"/>
    <s v="LOW LEE CHWIN"/>
    <s v="MYR"/>
    <n v="2368"/>
    <n v="584.90783999999996"/>
    <s v="Employee EPF - March 2026"/>
    <x v="0"/>
    <x v="0"/>
    <x v="3"/>
    <x v="2"/>
  </r>
  <r>
    <s v="MY"/>
    <x v="2"/>
    <x v="6"/>
    <s v="GOH AI PING"/>
    <s v="MYR"/>
    <n v="4893"/>
    <n v="1208.5954650000001"/>
    <s v="Employee EPF - March 2026"/>
    <x v="0"/>
    <x v="0"/>
    <x v="1"/>
    <x v="1"/>
  </r>
  <r>
    <s v="MY"/>
    <x v="2"/>
    <x v="6"/>
    <s v="CHEW KWANG HWEE"/>
    <s v="MYR"/>
    <n v="2287"/>
    <n v="564.90043500000002"/>
    <s v="Employee EPF - March 2026"/>
    <x v="0"/>
    <x v="0"/>
    <x v="1"/>
    <x v="1"/>
  </r>
  <r>
    <s v="MY"/>
    <x v="2"/>
    <x v="6"/>
    <s v="NG JIA YONG"/>
    <s v="MYR"/>
    <n v="836"/>
    <n v="206.49618000000001"/>
    <s v="Employee EPF - March 2026"/>
    <x v="0"/>
    <x v="0"/>
    <x v="1"/>
    <x v="1"/>
  </r>
  <r>
    <s v="MY"/>
    <x v="2"/>
    <x v="6"/>
    <s v="LIN CHAORAN"/>
    <s v="MYR"/>
    <n v="565"/>
    <n v="139.55782500000001"/>
    <s v="Employee EPF - March 2026"/>
    <x v="0"/>
    <x v="0"/>
    <x v="4"/>
    <x v="0"/>
  </r>
  <r>
    <s v="MY"/>
    <x v="2"/>
    <x v="6"/>
    <s v="YU CHEAN FEI"/>
    <s v="MYR"/>
    <n v="3454"/>
    <n v="853.15526999999997"/>
    <s v="Employee EPF - March 2026"/>
    <x v="0"/>
    <x v="0"/>
    <x v="1"/>
    <x v="1"/>
  </r>
  <r>
    <s v="MY"/>
    <x v="2"/>
    <x v="6"/>
    <s v="CHEN CHEE KHEN"/>
    <s v="MYR"/>
    <n v="781"/>
    <n v="192.91090500000001"/>
    <s v="Employee EPF - March 2026"/>
    <x v="0"/>
    <x v="0"/>
    <x v="1"/>
    <x v="1"/>
  </r>
  <r>
    <s v="MY"/>
    <x v="2"/>
    <x v="6"/>
    <s v="CHEONG KA MENG"/>
    <s v="MYR"/>
    <n v="671"/>
    <n v="165.74035499999999"/>
    <s v="Employee EPF - March 2026"/>
    <x v="0"/>
    <x v="0"/>
    <x v="1"/>
    <x v="1"/>
  </r>
  <r>
    <s v="MY"/>
    <x v="2"/>
    <x v="6"/>
    <s v="BEH YEAN SHIN"/>
    <s v="MYR"/>
    <n v="671"/>
    <n v="165.74035499999999"/>
    <s v="Employee EPF - March 2026"/>
    <x v="0"/>
    <x v="0"/>
    <x v="3"/>
    <x v="2"/>
  </r>
  <r>
    <s v="MY"/>
    <x v="2"/>
    <x v="6"/>
    <s v="CHAN YIN HOCK"/>
    <s v="MYR"/>
    <n v="29.75"/>
    <n v="7.3483987500000003"/>
    <s v="Employee SOCSO - March 2026"/>
    <x v="0"/>
    <x v="0"/>
    <x v="0"/>
    <x v="0"/>
  </r>
  <r>
    <s v="MY"/>
    <x v="2"/>
    <x v="6"/>
    <s v="LIM SHU WEN"/>
    <s v="MYR"/>
    <n v="22.75"/>
    <n v="5.6193637499999998"/>
    <s v="Employee SOCSO - March 2026"/>
    <x v="0"/>
    <x v="0"/>
    <x v="1"/>
    <x v="1"/>
  </r>
  <r>
    <s v="MY"/>
    <x v="2"/>
    <x v="6"/>
    <s v="WAN NURUL AMIRA BINTI WAN MOHAMAD"/>
    <s v="MYR"/>
    <n v="24.25"/>
    <n v="5.9898712500000002"/>
    <s v="Employee SOCSO - March 2026"/>
    <x v="0"/>
    <x v="0"/>
    <x v="0"/>
    <x v="0"/>
  </r>
  <r>
    <s v="MY"/>
    <x v="2"/>
    <x v="6"/>
    <s v="CHEY PUI YAN"/>
    <s v="MYR"/>
    <n v="29.75"/>
    <n v="7.3483987500000003"/>
    <s v="Employee SOCSO - March 2026"/>
    <x v="0"/>
    <x v="0"/>
    <x v="2"/>
    <x v="2"/>
  </r>
  <r>
    <s v="MY"/>
    <x v="2"/>
    <x v="6"/>
    <s v="LOW LEE CHWIN"/>
    <s v="MYR"/>
    <n v="29.75"/>
    <n v="7.3483987500000003"/>
    <s v="Employee SOCSO - March 2026"/>
    <x v="0"/>
    <x v="0"/>
    <x v="3"/>
    <x v="2"/>
  </r>
  <r>
    <s v="MY"/>
    <x v="2"/>
    <x v="6"/>
    <s v="GOH AI PING"/>
    <s v="MYR"/>
    <n v="29.75"/>
    <n v="7.3483987500000003"/>
    <s v="Employee SOCSO - March 2026"/>
    <x v="0"/>
    <x v="0"/>
    <x v="1"/>
    <x v="1"/>
  </r>
  <r>
    <s v="MY"/>
    <x v="2"/>
    <x v="6"/>
    <s v="CHEW KWANG HWEE"/>
    <s v="MYR"/>
    <n v="29.75"/>
    <n v="7.3483987500000003"/>
    <s v="Employee SOCSO - March 2026"/>
    <x v="0"/>
    <x v="0"/>
    <x v="1"/>
    <x v="1"/>
  </r>
  <r>
    <s v="MY"/>
    <x v="2"/>
    <x v="6"/>
    <s v="NG JIA YONG"/>
    <s v="MYR"/>
    <n v="27.75"/>
    <n v="6.85438875"/>
    <s v="Employee SOCSO - March 2026"/>
    <x v="0"/>
    <x v="0"/>
    <x v="1"/>
    <x v="1"/>
  </r>
  <r>
    <s v="MY"/>
    <x v="2"/>
    <x v="6"/>
    <s v="LIN CHAORAN"/>
    <s v="MYR"/>
    <n v="29.75"/>
    <n v="7.3483987500000003"/>
    <s v="Employee SOCSO - March 2026"/>
    <x v="0"/>
    <x v="0"/>
    <x v="4"/>
    <x v="0"/>
  </r>
  <r>
    <s v="MY"/>
    <x v="2"/>
    <x v="6"/>
    <s v="YU CHEAN FEI"/>
    <s v="MYR"/>
    <n v="29.75"/>
    <n v="7.3483987500000003"/>
    <s v="Employee SOCSO - March 2026"/>
    <x v="0"/>
    <x v="0"/>
    <x v="1"/>
    <x v="1"/>
  </r>
  <r>
    <s v="MY"/>
    <x v="2"/>
    <x v="6"/>
    <s v="CHEN CHEE KHEN"/>
    <s v="MYR"/>
    <n v="29.75"/>
    <n v="7.3483987500000003"/>
    <s v="Employee SOCSO - March 2026"/>
    <x v="0"/>
    <x v="0"/>
    <x v="1"/>
    <x v="1"/>
  </r>
  <r>
    <s v="MY"/>
    <x v="2"/>
    <x v="6"/>
    <s v="CHEONG KA MENG"/>
    <s v="MYR"/>
    <n v="29.75"/>
    <n v="7.3483987500000003"/>
    <s v="Employee SOCSO - March 2026"/>
    <x v="0"/>
    <x v="0"/>
    <x v="1"/>
    <x v="1"/>
  </r>
  <r>
    <s v="MY"/>
    <x v="2"/>
    <x v="6"/>
    <s v="BEH YEAN SHIN"/>
    <s v="MYR"/>
    <n v="29.75"/>
    <n v="7.3483987500000003"/>
    <s v="Employee SOCSO - March 2026"/>
    <x v="0"/>
    <x v="0"/>
    <x v="3"/>
    <x v="2"/>
  </r>
  <r>
    <s v="MY"/>
    <x v="2"/>
    <x v="6"/>
    <s v="CHAN YIN HOCK"/>
    <s v="MYR"/>
    <n v="11.9"/>
    <n v="2.9393595000000001"/>
    <s v="Employee EIS - March 2026"/>
    <x v="0"/>
    <x v="0"/>
    <x v="0"/>
    <x v="0"/>
  </r>
  <r>
    <s v="MY"/>
    <x v="2"/>
    <x v="6"/>
    <s v="LIM SHU WEN"/>
    <s v="MYR"/>
    <n v="9.1"/>
    <n v="2.2477454999999997"/>
    <s v="Employee EIS - March 2026"/>
    <x v="0"/>
    <x v="0"/>
    <x v="1"/>
    <x v="1"/>
  </r>
  <r>
    <s v="MY"/>
    <x v="2"/>
    <x v="6"/>
    <s v="WAN NURUL AMIRA BINTI WAN MOHAMAD"/>
    <s v="MYR"/>
    <n v="9.6999999999999993"/>
    <n v="2.3959484999999998"/>
    <s v="Employee EIS - March 2026"/>
    <x v="0"/>
    <x v="0"/>
    <x v="0"/>
    <x v="0"/>
  </r>
  <r>
    <s v="MY"/>
    <x v="2"/>
    <x v="6"/>
    <s v="CHEY PUI YAN"/>
    <s v="MYR"/>
    <n v="11.9"/>
    <n v="2.9393595000000001"/>
    <s v="Employee EIS - March 2026"/>
    <x v="0"/>
    <x v="0"/>
    <x v="2"/>
    <x v="2"/>
  </r>
  <r>
    <s v="MY"/>
    <x v="2"/>
    <x v="6"/>
    <s v="LOW LEE CHWIN"/>
    <s v="MYR"/>
    <n v="11.9"/>
    <n v="2.9393595000000001"/>
    <s v="Employee EIS - March 2026"/>
    <x v="0"/>
    <x v="0"/>
    <x v="3"/>
    <x v="2"/>
  </r>
  <r>
    <s v="MY"/>
    <x v="2"/>
    <x v="6"/>
    <s v="GOH AI PING"/>
    <s v="MYR"/>
    <n v="11.9"/>
    <n v="2.9393595000000001"/>
    <s v="Employee EIS - March 2026"/>
    <x v="0"/>
    <x v="0"/>
    <x v="1"/>
    <x v="1"/>
  </r>
  <r>
    <s v="MY"/>
    <x v="2"/>
    <x v="6"/>
    <s v="CHEW KWANG HWEE"/>
    <s v="MYR"/>
    <n v="11.9"/>
    <n v="2.9393595000000001"/>
    <s v="Employee EIS - March 2026"/>
    <x v="0"/>
    <x v="0"/>
    <x v="1"/>
    <x v="1"/>
  </r>
  <r>
    <s v="MY"/>
    <x v="2"/>
    <x v="6"/>
    <s v="NG JIA YONG"/>
    <s v="MYR"/>
    <n v="11.1"/>
    <n v="2.7417555"/>
    <s v="Employee EIS - March 2026"/>
    <x v="0"/>
    <x v="0"/>
    <x v="1"/>
    <x v="1"/>
  </r>
  <r>
    <s v="MY"/>
    <x v="2"/>
    <x v="6"/>
    <s v="LIN CHAORAN"/>
    <s v="MYR"/>
    <n v="0"/>
    <n v="0"/>
    <s v="Employee EIS - March 2026"/>
    <x v="0"/>
    <x v="0"/>
    <x v="4"/>
    <x v="0"/>
  </r>
  <r>
    <s v="MY"/>
    <x v="2"/>
    <x v="6"/>
    <s v="YU CHEAN FEI"/>
    <s v="MYR"/>
    <n v="11.9"/>
    <n v="2.9393595000000001"/>
    <s v="Employee EIS - March 2026"/>
    <x v="0"/>
    <x v="0"/>
    <x v="1"/>
    <x v="1"/>
  </r>
  <r>
    <s v="MY"/>
    <x v="2"/>
    <x v="6"/>
    <s v="CHEN CHEE KHEN"/>
    <s v="MYR"/>
    <n v="11.9"/>
    <n v="2.9393595000000001"/>
    <s v="Employee EIS - March 2026"/>
    <x v="0"/>
    <x v="0"/>
    <x v="1"/>
    <x v="1"/>
  </r>
  <r>
    <s v="MY"/>
    <x v="2"/>
    <x v="6"/>
    <s v="CHEONG KA MENG"/>
    <s v="MYR"/>
    <n v="11.9"/>
    <n v="2.9393595000000001"/>
    <s v="Employee EIS - March 2026"/>
    <x v="0"/>
    <x v="0"/>
    <x v="1"/>
    <x v="1"/>
  </r>
  <r>
    <s v="MY"/>
    <x v="2"/>
    <x v="6"/>
    <s v="BEH YEAN SHIN"/>
    <s v="MYR"/>
    <n v="11.9"/>
    <n v="2.9393595000000001"/>
    <s v="Employee EIS - March 2026"/>
    <x v="0"/>
    <x v="0"/>
    <x v="3"/>
    <x v="2"/>
  </r>
  <r>
    <s v="MY"/>
    <x v="2"/>
    <x v="6"/>
    <s v="CHAN YIN HOCK"/>
    <s v="MYR"/>
    <n v="4812.5"/>
    <n v="1188.7115624999999"/>
    <s v="PCB - March 2026"/>
    <x v="0"/>
    <x v="0"/>
    <x v="0"/>
    <x v="0"/>
  </r>
  <r>
    <s v="MY"/>
    <x v="2"/>
    <x v="6"/>
    <s v="LIM SHU WEN"/>
    <s v="MYR"/>
    <n v="221"/>
    <n v="54.588104999999999"/>
    <s v="PCB - March 2026"/>
    <x v="0"/>
    <x v="0"/>
    <x v="1"/>
    <x v="1"/>
  </r>
  <r>
    <s v="MY"/>
    <x v="2"/>
    <x v="6"/>
    <s v="WAN NURUL AMIRA BINTI WAN MOHAMAD"/>
    <s v="MYR"/>
    <n v="210.15"/>
    <n v="51.908100750000003"/>
    <s v="PCB - March 2026"/>
    <x v="0"/>
    <x v="0"/>
    <x v="0"/>
    <x v="0"/>
  </r>
  <r>
    <s v="MY"/>
    <x v="2"/>
    <x v="6"/>
    <s v="CHEY PUI YAN"/>
    <s v="MYR"/>
    <n v="1454.2"/>
    <n v="359.19467100000003"/>
    <s v="PCB - March 2026"/>
    <x v="0"/>
    <x v="0"/>
    <x v="2"/>
    <x v="2"/>
  </r>
  <r>
    <s v="MY"/>
    <x v="2"/>
    <x v="6"/>
    <s v="LOW LEE CHWIN"/>
    <s v="MYR"/>
    <n v="3809.45"/>
    <n v="940.95319725000002"/>
    <s v="PCB - March 2026"/>
    <x v="0"/>
    <x v="0"/>
    <x v="3"/>
    <x v="2"/>
  </r>
  <r>
    <s v="MY"/>
    <x v="2"/>
    <x v="6"/>
    <s v="GOH AI PING"/>
    <s v="MYR"/>
    <n v="9507"/>
    <n v="2348.276535"/>
    <s v="PCB - March 2026"/>
    <x v="0"/>
    <x v="0"/>
    <x v="1"/>
    <x v="1"/>
  </r>
  <r>
    <s v="MY"/>
    <x v="2"/>
    <x v="6"/>
    <s v="CHEW KWANG HWEE"/>
    <s v="MYR"/>
    <n v="3583"/>
    <n v="885.01891499999999"/>
    <s v="PCB - March 2026"/>
    <x v="0"/>
    <x v="0"/>
    <x v="1"/>
    <x v="1"/>
  </r>
  <r>
    <s v="MY"/>
    <x v="2"/>
    <x v="6"/>
    <s v="NG JIA YONG"/>
    <s v="MYR"/>
    <n v="376.35"/>
    <n v="92.960331750000009"/>
    <s v="PCB - March 2026"/>
    <x v="0"/>
    <x v="0"/>
    <x v="1"/>
    <x v="1"/>
  </r>
  <r>
    <s v="MY"/>
    <x v="2"/>
    <x v="6"/>
    <s v="LIN CHAORAN"/>
    <s v="MYR"/>
    <n v="5480.7"/>
    <n v="1353.7603035"/>
    <s v="PCB - March 2026"/>
    <x v="0"/>
    <x v="0"/>
    <x v="4"/>
    <x v="0"/>
  </r>
  <r>
    <s v="MY"/>
    <x v="2"/>
    <x v="6"/>
    <s v="YU CHEAN FEI"/>
    <s v="MYR"/>
    <n v="6112.5"/>
    <n v="1509.8180625"/>
    <s v="PCB - March 2026"/>
    <x v="0"/>
    <x v="0"/>
    <x v="1"/>
    <x v="1"/>
  </r>
  <r>
    <s v="MY"/>
    <x v="2"/>
    <x v="6"/>
    <s v="CHEN CHEE KHEN"/>
    <s v="MYR"/>
    <n v="343.2"/>
    <n v="84.772115999999997"/>
    <s v="PCB - March 2026"/>
    <x v="0"/>
    <x v="0"/>
    <x v="1"/>
    <x v="1"/>
  </r>
  <r>
    <s v="MY"/>
    <x v="2"/>
    <x v="6"/>
    <s v="CHEONG KA MENG"/>
    <s v="MYR"/>
    <n v="218.5"/>
    <n v="53.970592500000002"/>
    <s v="PCB - March 2026"/>
    <x v="0"/>
    <x v="0"/>
    <x v="1"/>
    <x v="1"/>
  </r>
  <r>
    <s v="MY"/>
    <x v="2"/>
    <x v="6"/>
    <s v="BEH YEAN SHIN"/>
    <s v="MYR"/>
    <n v="218.5"/>
    <n v="53.970592500000002"/>
    <s v="PCB - March 2026"/>
    <x v="0"/>
    <x v="0"/>
    <x v="3"/>
    <x v="2"/>
  </r>
  <r>
    <s v="MY"/>
    <x v="2"/>
    <x v="6"/>
    <s v="CHAN YIN HOCK"/>
    <s v="MYR"/>
    <n v="3341"/>
    <n v="825.24370499999998"/>
    <s v="Employer EPF - March 2026"/>
    <x v="1"/>
    <x v="0"/>
    <x v="0"/>
    <x v="0"/>
  </r>
  <r>
    <s v="MY"/>
    <x v="2"/>
    <x v="6"/>
    <s v="LIM SHU WEN"/>
    <s v="MYR"/>
    <n v="891"/>
    <n v="220.08145500000001"/>
    <s v="Employer EPF - March 2026"/>
    <x v="1"/>
    <x v="0"/>
    <x v="1"/>
    <x v="1"/>
  </r>
  <r>
    <s v="MY"/>
    <x v="2"/>
    <x v="6"/>
    <s v="WAN NURUL AMIRA BINTI WAN MOHAMAD"/>
    <s v="MYR"/>
    <n v="867"/>
    <n v="214.153335"/>
    <s v="Employer EPF - March 2026"/>
    <x v="1"/>
    <x v="0"/>
    <x v="0"/>
    <x v="0"/>
  </r>
  <r>
    <s v="MY"/>
    <x v="2"/>
    <x v="6"/>
    <s v="CHEY PUI YAN"/>
    <s v="MYR"/>
    <n v="1573"/>
    <n v="388.53886499999999"/>
    <s v="Employer EPF - March 2026"/>
    <x v="1"/>
    <x v="0"/>
    <x v="2"/>
    <x v="2"/>
  </r>
  <r>
    <s v="MY"/>
    <x v="2"/>
    <x v="6"/>
    <s v="LOW LEE CHWIN"/>
    <s v="MYR"/>
    <n v="2798"/>
    <n v="691.11999000000003"/>
    <s v="Employer EPF - March 2026"/>
    <x v="1"/>
    <x v="0"/>
    <x v="3"/>
    <x v="2"/>
  </r>
  <r>
    <s v="MY"/>
    <x v="2"/>
    <x v="6"/>
    <s v="GOH AI PING"/>
    <s v="MYR"/>
    <n v="5783"/>
    <n v="1428.4299149999999"/>
    <s v="Employer EPF - March 2026"/>
    <x v="1"/>
    <x v="0"/>
    <x v="1"/>
    <x v="1"/>
  </r>
  <r>
    <s v="MY"/>
    <x v="2"/>
    <x v="6"/>
    <s v="CHEW KWANG HWEE"/>
    <s v="MYR"/>
    <n v="2702"/>
    <n v="667.40751"/>
    <s v="Employer EPF - March 2026"/>
    <x v="1"/>
    <x v="0"/>
    <x v="1"/>
    <x v="1"/>
  </r>
  <r>
    <s v="MY"/>
    <x v="2"/>
    <x v="6"/>
    <s v="NG JIA YONG"/>
    <s v="MYR"/>
    <n v="980"/>
    <n v="242.06489999999999"/>
    <s v="Employer EPF - March 2026"/>
    <x v="1"/>
    <x v="0"/>
    <x v="1"/>
    <x v="1"/>
  </r>
  <r>
    <s v="MY"/>
    <x v="2"/>
    <x v="6"/>
    <s v="LIN CHAORAN"/>
    <s v="MYR"/>
    <n v="565"/>
    <n v="139.55782500000001"/>
    <s v="Employer EPF - March 2026"/>
    <x v="1"/>
    <x v="0"/>
    <x v="4"/>
    <x v="0"/>
  </r>
  <r>
    <s v="MY"/>
    <x v="2"/>
    <x v="6"/>
    <s v="YU CHEAN FEI"/>
    <s v="MYR"/>
    <n v="4082"/>
    <n v="1008.27441"/>
    <s v="Employer EPF - March 2026"/>
    <x v="1"/>
    <x v="0"/>
    <x v="1"/>
    <x v="1"/>
  </r>
  <r>
    <s v="MY"/>
    <x v="2"/>
    <x v="6"/>
    <s v="CHEN CHEE KHEN"/>
    <s v="MYR"/>
    <n v="923"/>
    <n v="227.985615"/>
    <s v="Employer EPF - March 2026"/>
    <x v="1"/>
    <x v="0"/>
    <x v="1"/>
    <x v="1"/>
  </r>
  <r>
    <s v="MY"/>
    <x v="2"/>
    <x v="6"/>
    <s v="CHEONG KA MENG"/>
    <s v="MYR"/>
    <n v="793"/>
    <n v="195.874965"/>
    <s v="Employer EPF - March 2026"/>
    <x v="1"/>
    <x v="0"/>
    <x v="1"/>
    <x v="1"/>
  </r>
  <r>
    <s v="MY"/>
    <x v="2"/>
    <x v="6"/>
    <s v="BEH YEAN SHIN"/>
    <s v="MYR"/>
    <n v="793"/>
    <n v="195.874965"/>
    <s v="Employer EPF - March 2026"/>
    <x v="1"/>
    <x v="0"/>
    <x v="3"/>
    <x v="2"/>
  </r>
  <r>
    <s v="MY"/>
    <x v="2"/>
    <x v="6"/>
    <s v="CHAN YIN HOCK"/>
    <s v="MYR"/>
    <n v="104.15"/>
    <n v="25.725570750000003"/>
    <s v="Employer SOCSO - March 2026"/>
    <x v="1"/>
    <x v="0"/>
    <x v="0"/>
    <x v="0"/>
  </r>
  <r>
    <s v="MY"/>
    <x v="2"/>
    <x v="6"/>
    <s v="LIM SHU WEN"/>
    <s v="MYR"/>
    <n v="79.650000000000006"/>
    <n v="19.673948250000002"/>
    <s v="Employer SOCSO - March 2026"/>
    <x v="1"/>
    <x v="0"/>
    <x v="1"/>
    <x v="1"/>
  </r>
  <r>
    <s v="MY"/>
    <x v="2"/>
    <x v="6"/>
    <s v="WAN NURUL AMIRA BINTI WAN MOHAMAD"/>
    <s v="MYR"/>
    <n v="84.85"/>
    <n v="20.958374249999999"/>
    <s v="Employer SOCSO - March 2026"/>
    <x v="1"/>
    <x v="0"/>
    <x v="0"/>
    <x v="0"/>
  </r>
  <r>
    <s v="MY"/>
    <x v="2"/>
    <x v="6"/>
    <s v="CHEY PUI YAN"/>
    <s v="MYR"/>
    <n v="104.15"/>
    <n v="25.725570750000003"/>
    <s v="Employer SOCSO - March 2026"/>
    <x v="1"/>
    <x v="0"/>
    <x v="2"/>
    <x v="2"/>
  </r>
  <r>
    <s v="MY"/>
    <x v="2"/>
    <x v="6"/>
    <s v="LOW LEE CHWIN"/>
    <s v="MYR"/>
    <n v="104.15"/>
    <n v="25.725570750000003"/>
    <s v="Employer SOCSO - March 2026"/>
    <x v="1"/>
    <x v="0"/>
    <x v="3"/>
    <x v="2"/>
  </r>
  <r>
    <s v="MY"/>
    <x v="2"/>
    <x v="6"/>
    <s v="GOH AI PING"/>
    <s v="MYR"/>
    <n v="104.15"/>
    <n v="25.725570750000003"/>
    <s v="Employer SOCSO - March 2026"/>
    <x v="1"/>
    <x v="0"/>
    <x v="1"/>
    <x v="1"/>
  </r>
  <r>
    <s v="MY"/>
    <x v="2"/>
    <x v="6"/>
    <s v="CHEW KWANG HWEE"/>
    <s v="MYR"/>
    <n v="104.15"/>
    <n v="25.725570750000003"/>
    <s v="Employer SOCSO - March 2026"/>
    <x v="1"/>
    <x v="0"/>
    <x v="1"/>
    <x v="1"/>
  </r>
  <r>
    <s v="MY"/>
    <x v="2"/>
    <x v="6"/>
    <s v="NG JIA YONG"/>
    <s v="MYR"/>
    <n v="97.15"/>
    <n v="23.996535750000003"/>
    <s v="Employer SOCSO - March 2026"/>
    <x v="1"/>
    <x v="0"/>
    <x v="1"/>
    <x v="1"/>
  </r>
  <r>
    <s v="MY"/>
    <x v="2"/>
    <x v="6"/>
    <s v="LIN CHAORAN"/>
    <s v="MYR"/>
    <n v="104.15"/>
    <n v="25.725570750000003"/>
    <s v="Employer SOCSO - March 2026"/>
    <x v="1"/>
    <x v="0"/>
    <x v="4"/>
    <x v="0"/>
  </r>
  <r>
    <s v="MY"/>
    <x v="2"/>
    <x v="6"/>
    <s v="YU CHEAN FEI"/>
    <s v="MYR"/>
    <n v="104.15"/>
    <n v="25.725570750000003"/>
    <s v="Employer SOCSO - March 2026"/>
    <x v="1"/>
    <x v="0"/>
    <x v="1"/>
    <x v="1"/>
  </r>
  <r>
    <s v="MY"/>
    <x v="2"/>
    <x v="6"/>
    <s v="CHEN CHEE KHEN"/>
    <s v="MYR"/>
    <n v="104.15"/>
    <n v="25.725570750000003"/>
    <s v="Employer SOCSO - March 2026"/>
    <x v="1"/>
    <x v="0"/>
    <x v="1"/>
    <x v="1"/>
  </r>
  <r>
    <s v="MY"/>
    <x v="2"/>
    <x v="6"/>
    <s v="CHEONG KA MENG"/>
    <s v="MYR"/>
    <n v="104.15"/>
    <n v="25.725570750000003"/>
    <s v="Employer SOCSO - March 2026"/>
    <x v="1"/>
    <x v="0"/>
    <x v="1"/>
    <x v="1"/>
  </r>
  <r>
    <s v="MY"/>
    <x v="2"/>
    <x v="6"/>
    <s v="BEH YEAN SHIN"/>
    <s v="MYR"/>
    <n v="104.15"/>
    <n v="25.725570750000003"/>
    <s v="Employer SOCSO - March 2026"/>
    <x v="1"/>
    <x v="0"/>
    <x v="3"/>
    <x v="2"/>
  </r>
  <r>
    <s v="MY"/>
    <x v="2"/>
    <x v="6"/>
    <s v="CHAN YIN HOCK"/>
    <s v="MYR"/>
    <n v="11.9"/>
    <n v="2.9393595000000001"/>
    <s v="Employer EIS - March 2026"/>
    <x v="1"/>
    <x v="0"/>
    <x v="0"/>
    <x v="0"/>
  </r>
  <r>
    <s v="MY"/>
    <x v="2"/>
    <x v="6"/>
    <s v="LIM SHU WEN"/>
    <s v="MYR"/>
    <n v="9.1"/>
    <n v="2.2477454999999997"/>
    <s v="Employer EIS - March 2026"/>
    <x v="1"/>
    <x v="0"/>
    <x v="1"/>
    <x v="1"/>
  </r>
  <r>
    <s v="MY"/>
    <x v="2"/>
    <x v="6"/>
    <s v="WAN NURUL AMIRA BINTI WAN MOHAMAD"/>
    <s v="MYR"/>
    <n v="9.6999999999999993"/>
    <n v="2.3959484999999998"/>
    <s v="Employer EIS - March 2026"/>
    <x v="1"/>
    <x v="0"/>
    <x v="0"/>
    <x v="0"/>
  </r>
  <r>
    <s v="MY"/>
    <x v="2"/>
    <x v="6"/>
    <s v="CHEY PUI YAN"/>
    <s v="MYR"/>
    <n v="11.9"/>
    <n v="2.9393595000000001"/>
    <s v="Employer EIS - March 2026"/>
    <x v="1"/>
    <x v="0"/>
    <x v="2"/>
    <x v="2"/>
  </r>
  <r>
    <s v="MY"/>
    <x v="2"/>
    <x v="6"/>
    <s v="LOW LEE CHWIN"/>
    <s v="MYR"/>
    <n v="11.9"/>
    <n v="2.9393595000000001"/>
    <s v="Employer EIS - March 2026"/>
    <x v="1"/>
    <x v="0"/>
    <x v="3"/>
    <x v="2"/>
  </r>
  <r>
    <s v="MY"/>
    <x v="2"/>
    <x v="6"/>
    <s v="GOH AI PING"/>
    <s v="MYR"/>
    <n v="11.9"/>
    <n v="2.9393595000000001"/>
    <s v="Employer EIS - March 2026"/>
    <x v="1"/>
    <x v="0"/>
    <x v="1"/>
    <x v="1"/>
  </r>
  <r>
    <s v="MY"/>
    <x v="2"/>
    <x v="6"/>
    <s v="CHEW KWANG HWEE"/>
    <s v="MYR"/>
    <n v="11.9"/>
    <n v="2.9393595000000001"/>
    <s v="Employer EIS - March 2026"/>
    <x v="1"/>
    <x v="0"/>
    <x v="1"/>
    <x v="1"/>
  </r>
  <r>
    <s v="MY"/>
    <x v="2"/>
    <x v="6"/>
    <s v="NG JIA YONG"/>
    <s v="MYR"/>
    <n v="11.1"/>
    <n v="2.7417555"/>
    <s v="Employer EIS - March 2026"/>
    <x v="1"/>
    <x v="0"/>
    <x v="1"/>
    <x v="1"/>
  </r>
  <r>
    <s v="MY"/>
    <x v="2"/>
    <x v="6"/>
    <s v="LIN CHAORAN"/>
    <s v="MYR"/>
    <n v="0"/>
    <n v="0"/>
    <s v="Employer EIS - March 2026"/>
    <x v="1"/>
    <x v="0"/>
    <x v="4"/>
    <x v="0"/>
  </r>
  <r>
    <s v="MY"/>
    <x v="2"/>
    <x v="6"/>
    <s v="YU CHEAN FEI"/>
    <s v="MYR"/>
    <n v="11.9"/>
    <n v="2.9393595000000001"/>
    <s v="Employer EIS - March 2026"/>
    <x v="1"/>
    <x v="0"/>
    <x v="1"/>
    <x v="1"/>
  </r>
  <r>
    <s v="MY"/>
    <x v="2"/>
    <x v="6"/>
    <s v="CHEN CHEE KHEN"/>
    <s v="MYR"/>
    <n v="11.9"/>
    <n v="2.9393595000000001"/>
    <s v="Employer EIS - March 2026"/>
    <x v="1"/>
    <x v="0"/>
    <x v="1"/>
    <x v="1"/>
  </r>
  <r>
    <s v="MY"/>
    <x v="2"/>
    <x v="6"/>
    <s v="CHEONG KA MENG"/>
    <s v="MYR"/>
    <n v="11.9"/>
    <n v="2.9393595000000001"/>
    <s v="Employer EIS - March 2026"/>
    <x v="1"/>
    <x v="0"/>
    <x v="1"/>
    <x v="1"/>
  </r>
  <r>
    <s v="MY"/>
    <x v="2"/>
    <x v="6"/>
    <s v="BEH YEAN SHIN"/>
    <s v="MYR"/>
    <n v="11.9"/>
    <n v="2.9393595000000001"/>
    <s v="Employer EIS - March 2026"/>
    <x v="1"/>
    <x v="0"/>
    <x v="3"/>
    <x v="2"/>
  </r>
  <r>
    <s v="MY"/>
    <x v="2"/>
    <x v="6"/>
    <s v="CHAN YIN HOCK"/>
    <s v="MYR"/>
    <n v="246"/>
    <n v="60.76323"/>
    <s v="HRDF - March 2026"/>
    <x v="1"/>
    <x v="0"/>
    <x v="0"/>
    <x v="0"/>
  </r>
  <r>
    <s v="MY"/>
    <x v="2"/>
    <x v="6"/>
    <s v="LIM SHU WEN"/>
    <s v="MYR"/>
    <n v="46"/>
    <n v="11.36223"/>
    <s v="HRDF - March 2026"/>
    <x v="1"/>
    <x v="0"/>
    <x v="1"/>
    <x v="1"/>
  </r>
  <r>
    <s v="MY"/>
    <x v="2"/>
    <x v="6"/>
    <s v="WAN NURUL AMIRA BINTI WAN MOHAMAD"/>
    <s v="MYR"/>
    <n v="49"/>
    <n v="12.103244999999999"/>
    <s v="HRDF - March 2026"/>
    <x v="1"/>
    <x v="0"/>
    <x v="0"/>
    <x v="0"/>
  </r>
  <r>
    <s v="MY"/>
    <x v="2"/>
    <x v="6"/>
    <s v="CHEY PUI YAN"/>
    <s v="MYR"/>
    <n v="121"/>
    <n v="29.887605000000001"/>
    <s v="HRDF - March 2026"/>
    <x v="1"/>
    <x v="0"/>
    <x v="2"/>
    <x v="2"/>
  </r>
  <r>
    <s v="MY"/>
    <x v="2"/>
    <x v="6"/>
    <s v="LOW LEE CHWIN"/>
    <s v="MYR"/>
    <n v="124.2"/>
    <n v="30.678021000000001"/>
    <s v="HRDF - March 2026"/>
    <x v="1"/>
    <x v="0"/>
    <x v="3"/>
    <x v="2"/>
  </r>
  <r>
    <s v="MY"/>
    <x v="2"/>
    <x v="6"/>
    <s v="GOH AI PING"/>
    <s v="MYR"/>
    <n v="236"/>
    <n v="58.29318"/>
    <s v="HRDF - March 2026"/>
    <x v="1"/>
    <x v="0"/>
    <x v="1"/>
    <x v="1"/>
  </r>
  <r>
    <s v="MY"/>
    <x v="2"/>
    <x v="6"/>
    <s v="CHEW KWANG HWEE"/>
    <s v="MYR"/>
    <n v="154"/>
    <n v="38.03877"/>
    <s v="HRDF - March 2026"/>
    <x v="1"/>
    <x v="0"/>
    <x v="1"/>
    <x v="1"/>
  </r>
  <r>
    <s v="MY"/>
    <x v="2"/>
    <x v="6"/>
    <s v="NG JIA YONG"/>
    <s v="MYR"/>
    <n v="56"/>
    <n v="13.832280000000001"/>
    <s v="HRDF - March 2026"/>
    <x v="1"/>
    <x v="0"/>
    <x v="1"/>
    <x v="1"/>
  </r>
  <r>
    <s v="MY"/>
    <x v="2"/>
    <x v="6"/>
    <s v="LIN CHAORAN"/>
    <s v="MYR"/>
    <n v="0"/>
    <n v="0"/>
    <s v="HRDF - March 2026"/>
    <x v="1"/>
    <x v="0"/>
    <x v="4"/>
    <x v="0"/>
  </r>
  <r>
    <s v="MY"/>
    <x v="2"/>
    <x v="6"/>
    <s v="YU CHEAN FEI"/>
    <s v="MYR"/>
    <n v="303"/>
    <n v="74.842515000000006"/>
    <s v="HRDF - March 2026"/>
    <x v="1"/>
    <x v="0"/>
    <x v="1"/>
    <x v="1"/>
  </r>
  <r>
    <s v="MY"/>
    <x v="2"/>
    <x v="6"/>
    <s v="CHEN CHEE KHEN"/>
    <s v="MYR"/>
    <n v="71"/>
    <n v="17.537355000000002"/>
    <s v="HRDF - March 2026"/>
    <x v="1"/>
    <x v="0"/>
    <x v="1"/>
    <x v="1"/>
  </r>
  <r>
    <s v="MY"/>
    <x v="2"/>
    <x v="6"/>
    <s v="CHEONG KA MENG"/>
    <s v="MYR"/>
    <n v="61"/>
    <n v="15.067304999999999"/>
    <s v="HRDF - March 2026"/>
    <x v="1"/>
    <x v="0"/>
    <x v="1"/>
    <x v="1"/>
  </r>
  <r>
    <s v="MY"/>
    <x v="2"/>
    <x v="6"/>
    <s v="BEH YEAN SHIN"/>
    <s v="MYR"/>
    <n v="61"/>
    <n v="15.067304999999999"/>
    <s v="HRDF - March 2026"/>
    <x v="1"/>
    <x v="0"/>
    <x v="3"/>
    <x v="2"/>
  </r>
  <r>
    <s v="MY"/>
    <x v="3"/>
    <x v="7"/>
    <s v="CHAN YIN HOCK"/>
    <s v="MYR"/>
    <n v="18018.849999999999"/>
    <n v="4450.7460442499996"/>
    <s v="Net Pay - April 2026"/>
    <x v="0"/>
    <x v="0"/>
    <x v="0"/>
    <x v="0"/>
  </r>
  <r>
    <s v="MY"/>
    <x v="3"/>
    <x v="7"/>
    <s v="LIM SHU WEN"/>
    <s v="MYR"/>
    <n v="4049.05"/>
    <n v="1000.1355952500001"/>
    <s v="Net Pay - April 2026"/>
    <x v="0"/>
    <x v="0"/>
    <x v="1"/>
    <x v="1"/>
  </r>
  <r>
    <s v="MY"/>
    <x v="3"/>
    <x v="7"/>
    <s v="WAN NURUL AMIRA BINTI WAN MOHAMAD"/>
    <s v="MYR"/>
    <n v="4301.6000000000004"/>
    <n v="1062.5167080000001"/>
    <s v="Net Pay - April 2026"/>
    <x v="0"/>
    <x v="0"/>
    <x v="0"/>
    <x v="0"/>
  </r>
  <r>
    <s v="MY"/>
    <x v="3"/>
    <x v="7"/>
    <s v="CHEY PUI YAN"/>
    <s v="MYR"/>
    <n v="9273.2000000000007"/>
    <n v="2290.5267660000004"/>
    <s v="Net Pay - April 2026"/>
    <x v="0"/>
    <x v="0"/>
    <x v="2"/>
    <x v="2"/>
  </r>
  <r>
    <s v="MY"/>
    <x v="3"/>
    <x v="7"/>
    <s v="LOW LEE CHWIN"/>
    <s v="MYR"/>
    <n v="9865.2000000000007"/>
    <n v="2436.7537260000004"/>
    <s v="Net Pay - April 2026"/>
    <x v="0"/>
    <x v="0"/>
    <x v="3"/>
    <x v="2"/>
  </r>
  <r>
    <s v="MY"/>
    <x v="3"/>
    <x v="7"/>
    <s v="GOH AI PING"/>
    <s v="MYR"/>
    <n v="18581.849999999999"/>
    <n v="4589.80985925"/>
    <s v="Net Pay - April 2026"/>
    <x v="0"/>
    <x v="0"/>
    <x v="1"/>
    <x v="1"/>
  </r>
  <r>
    <s v="MY"/>
    <x v="3"/>
    <x v="7"/>
    <s v="CHEW KWANG HWEE"/>
    <s v="MYR"/>
    <n v="12895.1"/>
    <n v="3185.1541755000003"/>
    <s v="Net Pay - April 2026"/>
    <x v="0"/>
    <x v="0"/>
    <x v="1"/>
    <x v="1"/>
  </r>
  <r>
    <s v="MY"/>
    <x v="3"/>
    <x v="7"/>
    <s v="NG JIA YONG"/>
    <s v="MYR"/>
    <n v="4905.1000000000004"/>
    <n v="1211.5842255"/>
    <s v="Net Pay - April 2026"/>
    <x v="0"/>
    <x v="0"/>
    <x v="1"/>
    <x v="1"/>
  </r>
  <r>
    <s v="MY"/>
    <x v="3"/>
    <x v="7"/>
    <s v="LIN CHAORAN"/>
    <s v="MYR"/>
    <n v="15776.1"/>
    <n v="3896.7755805000002"/>
    <s v="Net Pay - April 2026"/>
    <x v="0"/>
    <x v="0"/>
    <x v="4"/>
    <x v="0"/>
  </r>
  <r>
    <s v="MY"/>
    <x v="3"/>
    <x v="7"/>
    <s v="YU CHEAN FEI"/>
    <s v="MYR"/>
    <n v="22757.35"/>
    <n v="5621.1792367499993"/>
    <s v="Net Pay - April 2026"/>
    <x v="0"/>
    <x v="0"/>
    <x v="1"/>
    <x v="1"/>
  </r>
  <r>
    <s v="MY"/>
    <x v="3"/>
    <x v="7"/>
    <s v="CHEN CHEE KHEN"/>
    <s v="MYR"/>
    <n v="5934.2"/>
    <n v="1465.777071"/>
    <s v="Net Pay - April 2026"/>
    <x v="0"/>
    <x v="0"/>
    <x v="1"/>
    <x v="1"/>
  </r>
  <r>
    <s v="MY"/>
    <x v="3"/>
    <x v="7"/>
    <s v="CHEONG KA MENG"/>
    <s v="MYR"/>
    <n v="5168.8500000000004"/>
    <n v="1276.7317942500001"/>
    <s v="Net Pay - April 2026"/>
    <x v="0"/>
    <x v="0"/>
    <x v="1"/>
    <x v="1"/>
  </r>
  <r>
    <s v="MY"/>
    <x v="3"/>
    <x v="8"/>
    <s v="CHAN YIN HOCK"/>
    <s v="MYR"/>
    <n v="2827"/>
    <n v="698.28313500000002"/>
    <s v="Employee EPF - April 2026"/>
    <x v="0"/>
    <x v="0"/>
    <x v="0"/>
    <x v="0"/>
  </r>
  <r>
    <s v="MY"/>
    <x v="3"/>
    <x v="8"/>
    <s v="LIM SHU WEN"/>
    <s v="MYR"/>
    <n v="517"/>
    <n v="127.70158499999999"/>
    <s v="Employee EPF - April 2026"/>
    <x v="0"/>
    <x v="0"/>
    <x v="1"/>
    <x v="1"/>
  </r>
  <r>
    <s v="MY"/>
    <x v="3"/>
    <x v="8"/>
    <s v="WAN NURUL AMIRA BINTI WAN MOHAMAD"/>
    <s v="MYR"/>
    <n v="550"/>
    <n v="135.85275000000001"/>
    <s v="Employee EPF - April 2026"/>
    <x v="0"/>
    <x v="0"/>
    <x v="0"/>
    <x v="0"/>
  </r>
  <r>
    <s v="MY"/>
    <x v="3"/>
    <x v="8"/>
    <s v="CHEY PUI YAN"/>
    <s v="MYR"/>
    <n v="1331"/>
    <n v="328.76365500000003"/>
    <s v="Employee EPF - April 2026"/>
    <x v="0"/>
    <x v="0"/>
    <x v="2"/>
    <x v="2"/>
  </r>
  <r>
    <s v="MY"/>
    <x v="3"/>
    <x v="8"/>
    <s v="LOW LEE CHWIN"/>
    <s v="MYR"/>
    <n v="1441"/>
    <n v="355.93420500000002"/>
    <s v="Employee EPF - April 2026"/>
    <x v="0"/>
    <x v="0"/>
    <x v="3"/>
    <x v="2"/>
  </r>
  <r>
    <s v="MY"/>
    <x v="3"/>
    <x v="8"/>
    <s v="GOH AI PING"/>
    <s v="MYR"/>
    <n v="2924"/>
    <n v="722.24261999999999"/>
    <s v="Employee EPF - April 2026"/>
    <x v="0"/>
    <x v="0"/>
    <x v="1"/>
    <x v="1"/>
  </r>
  <r>
    <s v="MY"/>
    <x v="3"/>
    <x v="8"/>
    <s v="CHEW KWANG HWEE"/>
    <s v="MYR"/>
    <n v="1947"/>
    <n v="480.91873500000003"/>
    <s v="Employee EPF - April 2026"/>
    <x v="0"/>
    <x v="0"/>
    <x v="1"/>
    <x v="1"/>
  </r>
  <r>
    <s v="MY"/>
    <x v="3"/>
    <x v="8"/>
    <s v="NG JIA YONG"/>
    <s v="MYR"/>
    <n v="638"/>
    <n v="157.58919"/>
    <s v="Employee EPF - April 2026"/>
    <x v="0"/>
    <x v="0"/>
    <x v="1"/>
    <x v="1"/>
  </r>
  <r>
    <s v="MY"/>
    <x v="3"/>
    <x v="8"/>
    <s v="LIN CHAORAN"/>
    <s v="MYR"/>
    <n v="390"/>
    <n v="96.331950000000006"/>
    <s v="Employee EPF - April 2026"/>
    <x v="0"/>
    <x v="0"/>
    <x v="4"/>
    <x v="0"/>
  </r>
  <r>
    <s v="MY"/>
    <x v="3"/>
    <x v="8"/>
    <s v="YU CHEAN FEI"/>
    <s v="MYR"/>
    <n v="3621"/>
    <n v="894.40510500000005"/>
    <s v="Employee EPF - April 2026"/>
    <x v="0"/>
    <x v="0"/>
    <x v="1"/>
    <x v="1"/>
  </r>
  <r>
    <s v="MY"/>
    <x v="3"/>
    <x v="8"/>
    <s v="CHEN CHEE KHEN"/>
    <s v="MYR"/>
    <n v="781"/>
    <n v="192.91090500000001"/>
    <s v="Employee EPF - April 2026"/>
    <x v="0"/>
    <x v="0"/>
    <x v="1"/>
    <x v="1"/>
  </r>
  <r>
    <s v="MY"/>
    <x v="3"/>
    <x v="8"/>
    <s v="CHEONG KA MENG"/>
    <s v="MYR"/>
    <n v="671"/>
    <n v="165.74035499999999"/>
    <s v="Employee EPF - April 2026"/>
    <x v="0"/>
    <x v="0"/>
    <x v="1"/>
    <x v="1"/>
  </r>
  <r>
    <s v="MY"/>
    <x v="3"/>
    <x v="8"/>
    <s v="CHAN YIN HOCK"/>
    <s v="MYR"/>
    <n v="29.75"/>
    <n v="7.3483987500000003"/>
    <s v="Employee SOCSO- April 2026"/>
    <x v="0"/>
    <x v="0"/>
    <x v="0"/>
    <x v="0"/>
  </r>
  <r>
    <s v="MY"/>
    <x v="3"/>
    <x v="8"/>
    <s v="LIM SHU WEN"/>
    <s v="MYR"/>
    <n v="23.25"/>
    <n v="5.7428662499999996"/>
    <s v="Employee SOCSO- April 2026"/>
    <x v="0"/>
    <x v="0"/>
    <x v="1"/>
    <x v="1"/>
  </r>
  <r>
    <s v="MY"/>
    <x v="3"/>
    <x v="8"/>
    <s v="WAN NURUL AMIRA BINTI WAN MOHAMAD"/>
    <s v="MYR"/>
    <n v="24.75"/>
    <n v="6.1133737500000001"/>
    <s v="Employee SOCSO- April 2026"/>
    <x v="0"/>
    <x v="0"/>
    <x v="0"/>
    <x v="0"/>
  </r>
  <r>
    <s v="MY"/>
    <x v="3"/>
    <x v="8"/>
    <s v="CHEY PUI YAN"/>
    <s v="MYR"/>
    <n v="29.75"/>
    <n v="7.3483987500000003"/>
    <s v="Employee SOCSO- April 2026"/>
    <x v="0"/>
    <x v="0"/>
    <x v="2"/>
    <x v="2"/>
  </r>
  <r>
    <s v="MY"/>
    <x v="3"/>
    <x v="8"/>
    <s v="LOW LEE CHWIN"/>
    <s v="MYR"/>
    <n v="29.75"/>
    <n v="7.3483987500000003"/>
    <s v="Employee SOCSO- April 2026"/>
    <x v="0"/>
    <x v="0"/>
    <x v="3"/>
    <x v="2"/>
  </r>
  <r>
    <s v="MY"/>
    <x v="3"/>
    <x v="8"/>
    <s v="GOH AI PING"/>
    <s v="MYR"/>
    <n v="29.75"/>
    <n v="7.3483987500000003"/>
    <s v="Employee SOCSO- April 2026"/>
    <x v="0"/>
    <x v="0"/>
    <x v="1"/>
    <x v="1"/>
  </r>
  <r>
    <s v="MY"/>
    <x v="3"/>
    <x v="8"/>
    <s v="CHEW KWANG HWEE"/>
    <s v="MYR"/>
    <n v="29.75"/>
    <n v="7.3483987500000003"/>
    <s v="Employee SOCSO- April 2026"/>
    <x v="0"/>
    <x v="0"/>
    <x v="1"/>
    <x v="1"/>
  </r>
  <r>
    <s v="MY"/>
    <x v="3"/>
    <x v="8"/>
    <s v="NG JIA YONG"/>
    <s v="MYR"/>
    <n v="28.75"/>
    <n v="7.1013937499999997"/>
    <s v="Employee SOCSO- April 2026"/>
    <x v="0"/>
    <x v="0"/>
    <x v="1"/>
    <x v="1"/>
  </r>
  <r>
    <s v="MY"/>
    <x v="3"/>
    <x v="8"/>
    <s v="LIN CHAORAN"/>
    <s v="MYR"/>
    <n v="29.75"/>
    <n v="7.3483987500000003"/>
    <s v="Employee SOCSO- April 2026"/>
    <x v="0"/>
    <x v="0"/>
    <x v="4"/>
    <x v="0"/>
  </r>
  <r>
    <s v="MY"/>
    <x v="3"/>
    <x v="8"/>
    <s v="YU CHEAN FEI"/>
    <s v="MYR"/>
    <n v="29.75"/>
    <n v="7.3483987500000003"/>
    <s v="Employee SOCSO- April 2026"/>
    <x v="0"/>
    <x v="0"/>
    <x v="1"/>
    <x v="1"/>
  </r>
  <r>
    <s v="MY"/>
    <x v="3"/>
    <x v="8"/>
    <s v="CHEN CHEE KHEN"/>
    <s v="MYR"/>
    <n v="29.75"/>
    <n v="7.3483987500000003"/>
    <s v="Employee SOCSO- April 2026"/>
    <x v="0"/>
    <x v="0"/>
    <x v="1"/>
    <x v="1"/>
  </r>
  <r>
    <s v="MY"/>
    <x v="3"/>
    <x v="8"/>
    <s v="CHEONG KA MENG"/>
    <s v="MYR"/>
    <n v="29.75"/>
    <n v="7.3483987500000003"/>
    <s v="Employee SOCSO- April 2026"/>
    <x v="0"/>
    <x v="0"/>
    <x v="1"/>
    <x v="1"/>
  </r>
  <r>
    <s v="MY"/>
    <x v="3"/>
    <x v="8"/>
    <s v="CHAN YIN HOCK"/>
    <s v="MYR"/>
    <n v="11.9"/>
    <n v="2.9393595000000001"/>
    <s v="Employee EIS - April 2026"/>
    <x v="0"/>
    <x v="0"/>
    <x v="0"/>
    <x v="0"/>
  </r>
  <r>
    <s v="MY"/>
    <x v="3"/>
    <x v="8"/>
    <s v="LIM SHU WEN"/>
    <s v="MYR"/>
    <n v="9.3000000000000007"/>
    <n v="2.2971465000000002"/>
    <s v="Employee EIS - April 2026"/>
    <x v="0"/>
    <x v="0"/>
    <x v="1"/>
    <x v="1"/>
  </r>
  <r>
    <s v="MY"/>
    <x v="3"/>
    <x v="8"/>
    <s v="WAN NURUL AMIRA BINTI WAN MOHAMAD"/>
    <s v="MYR"/>
    <n v="9.9"/>
    <n v="2.4453495000000003"/>
    <s v="Employee EIS - April 2026"/>
    <x v="0"/>
    <x v="0"/>
    <x v="0"/>
    <x v="0"/>
  </r>
  <r>
    <s v="MY"/>
    <x v="3"/>
    <x v="8"/>
    <s v="CHEY PUI YAN"/>
    <s v="MYR"/>
    <n v="11.9"/>
    <n v="2.9393595000000001"/>
    <s v="Employee EIS - April 2026"/>
    <x v="0"/>
    <x v="0"/>
    <x v="2"/>
    <x v="2"/>
  </r>
  <r>
    <s v="MY"/>
    <x v="3"/>
    <x v="8"/>
    <s v="LOW LEE CHWIN"/>
    <s v="MYR"/>
    <n v="11.9"/>
    <n v="2.9393595000000001"/>
    <s v="Employee EIS - April 2026"/>
    <x v="0"/>
    <x v="0"/>
    <x v="3"/>
    <x v="2"/>
  </r>
  <r>
    <s v="MY"/>
    <x v="3"/>
    <x v="8"/>
    <s v="GOH AI PING"/>
    <s v="MYR"/>
    <n v="11.9"/>
    <n v="2.9393595000000001"/>
    <s v="Employee EIS - April 2026"/>
    <x v="0"/>
    <x v="0"/>
    <x v="1"/>
    <x v="1"/>
  </r>
  <r>
    <s v="MY"/>
    <x v="3"/>
    <x v="8"/>
    <s v="CHEW KWANG HWEE"/>
    <s v="MYR"/>
    <n v="11.9"/>
    <n v="2.9393595000000001"/>
    <s v="Employee EIS - April 2026"/>
    <x v="0"/>
    <x v="0"/>
    <x v="1"/>
    <x v="1"/>
  </r>
  <r>
    <s v="MY"/>
    <x v="3"/>
    <x v="8"/>
    <s v="NG JIA YONG"/>
    <s v="MYR"/>
    <n v="11.5"/>
    <n v="2.8405575000000001"/>
    <s v="Employee EIS - April 2026"/>
    <x v="0"/>
    <x v="0"/>
    <x v="1"/>
    <x v="1"/>
  </r>
  <r>
    <s v="MY"/>
    <x v="3"/>
    <x v="8"/>
    <s v="LIN CHAORAN"/>
    <s v="MYR"/>
    <n v="0"/>
    <n v="0"/>
    <s v="Employee EIS - April 2026"/>
    <x v="0"/>
    <x v="0"/>
    <x v="4"/>
    <x v="0"/>
  </r>
  <r>
    <s v="MY"/>
    <x v="3"/>
    <x v="8"/>
    <s v="YU CHEAN FEI"/>
    <s v="MYR"/>
    <n v="11.9"/>
    <n v="2.9393595000000001"/>
    <s v="Employee EIS - April 2026"/>
    <x v="0"/>
    <x v="0"/>
    <x v="1"/>
    <x v="1"/>
  </r>
  <r>
    <s v="MY"/>
    <x v="3"/>
    <x v="8"/>
    <s v="CHEN CHEE KHEN"/>
    <s v="MYR"/>
    <n v="11.9"/>
    <n v="2.9393595000000001"/>
    <s v="Employee EIS - April 2026"/>
    <x v="0"/>
    <x v="0"/>
    <x v="1"/>
    <x v="1"/>
  </r>
  <r>
    <s v="MY"/>
    <x v="3"/>
    <x v="8"/>
    <s v="CHEONG KA MENG"/>
    <s v="MYR"/>
    <n v="11.9"/>
    <n v="2.9393595000000001"/>
    <s v="Employee EIS - April 2026"/>
    <x v="0"/>
    <x v="0"/>
    <x v="1"/>
    <x v="1"/>
  </r>
  <r>
    <s v="MY"/>
    <x v="3"/>
    <x v="8"/>
    <s v="CHAN YIN HOCK"/>
    <s v="MYR"/>
    <n v="4812.5"/>
    <n v="1188.7115624999999"/>
    <s v="PCB - April 2026"/>
    <x v="0"/>
    <x v="0"/>
    <x v="0"/>
    <x v="0"/>
  </r>
  <r>
    <s v="MY"/>
    <x v="3"/>
    <x v="8"/>
    <s v="LIM SHU WEN"/>
    <s v="MYR"/>
    <n v="91.4"/>
    <n v="22.576257000000002"/>
    <s v="PCB - April 2026"/>
    <x v="0"/>
    <x v="0"/>
    <x v="1"/>
    <x v="1"/>
  </r>
  <r>
    <s v="MY"/>
    <x v="3"/>
    <x v="8"/>
    <s v="WAN NURUL AMIRA BINTI WAN MOHAMAD"/>
    <s v="MYR"/>
    <n v="109.75"/>
    <n v="27.108798750000002"/>
    <s v="PCB - April 2026"/>
    <x v="0"/>
    <x v="0"/>
    <x v="0"/>
    <x v="0"/>
  </r>
  <r>
    <s v="MY"/>
    <x v="3"/>
    <x v="8"/>
    <s v="CHEY PUI YAN"/>
    <s v="MYR"/>
    <n v="1454.15"/>
    <n v="359.18232075000003"/>
    <s v="PCB - April 2026"/>
    <x v="0"/>
    <x v="0"/>
    <x v="2"/>
    <x v="2"/>
  </r>
  <r>
    <s v="MY"/>
    <x v="3"/>
    <x v="8"/>
    <s v="LOW LEE CHWIN"/>
    <s v="MYR"/>
    <n v="1688.15"/>
    <n v="416.98149075000003"/>
    <s v="PCB - April 2026"/>
    <x v="0"/>
    <x v="0"/>
    <x v="3"/>
    <x v="2"/>
  </r>
  <r>
    <s v="MY"/>
    <x v="3"/>
    <x v="8"/>
    <s v="GOH AI PING"/>
    <s v="MYR"/>
    <n v="5032.5"/>
    <n v="1243.0526625"/>
    <s v="PCB - April 2026"/>
    <x v="0"/>
    <x v="0"/>
    <x v="1"/>
    <x v="1"/>
  </r>
  <r>
    <s v="MY"/>
    <x v="3"/>
    <x v="8"/>
    <s v="CHEW KWANG HWEE"/>
    <s v="MYR"/>
    <n v="2811.25"/>
    <n v="694.39280625000004"/>
    <s v="PCB - April 2026"/>
    <x v="0"/>
    <x v="0"/>
    <x v="1"/>
    <x v="1"/>
  </r>
  <r>
    <s v="MY"/>
    <x v="3"/>
    <x v="8"/>
    <s v="NG JIA YONG"/>
    <s v="MYR"/>
    <n v="181.65"/>
    <n v="44.868458250000003"/>
    <s v="PCB - April 2026"/>
    <x v="0"/>
    <x v="0"/>
    <x v="1"/>
    <x v="1"/>
  </r>
  <r>
    <s v="MY"/>
    <x v="3"/>
    <x v="8"/>
    <s v="LIN CHAORAN"/>
    <s v="MYR"/>
    <n v="3304.15"/>
    <n v="816.14157075000003"/>
    <s v="PCB - April 2026"/>
    <x v="0"/>
    <x v="0"/>
    <x v="4"/>
    <x v="0"/>
  </r>
  <r>
    <s v="MY"/>
    <x v="3"/>
    <x v="8"/>
    <s v="YU CHEAN FEI"/>
    <s v="MYR"/>
    <n v="6490"/>
    <n v="1603.0624500000001"/>
    <s v="PCB - April 2026"/>
    <x v="0"/>
    <x v="0"/>
    <x v="1"/>
    <x v="1"/>
  </r>
  <r>
    <s v="MY"/>
    <x v="3"/>
    <x v="8"/>
    <s v="CHEN CHEE KHEN"/>
    <s v="MYR"/>
    <n v="343.15"/>
    <n v="84.75976575"/>
    <s v="PCB - April 2026"/>
    <x v="0"/>
    <x v="0"/>
    <x v="1"/>
    <x v="1"/>
  </r>
  <r>
    <s v="MY"/>
    <x v="3"/>
    <x v="8"/>
    <s v="CHEONG KA MENG"/>
    <s v="MYR"/>
    <n v="218.5"/>
    <n v="53.970592500000002"/>
    <s v="PCB - April 2026"/>
    <x v="0"/>
    <x v="0"/>
    <x v="1"/>
    <x v="1"/>
  </r>
  <r>
    <s v="MY"/>
    <x v="3"/>
    <x v="8"/>
    <s v="CHAN YIN HOCK"/>
    <s v="MYR"/>
    <n v="3341"/>
    <n v="825.24370499999998"/>
    <s v="Employer EPF - April 2026"/>
    <x v="1"/>
    <x v="0"/>
    <x v="0"/>
    <x v="0"/>
  </r>
  <r>
    <s v="MY"/>
    <x v="3"/>
    <x v="8"/>
    <s v="LIM SHU WEN"/>
    <s v="MYR"/>
    <n v="611"/>
    <n v="150.92005499999999"/>
    <s v="Employer EPF - April 2026"/>
    <x v="1"/>
    <x v="0"/>
    <x v="1"/>
    <x v="1"/>
  </r>
  <r>
    <s v="MY"/>
    <x v="3"/>
    <x v="8"/>
    <s v="WAN NURUL AMIRA BINTI WAN MOHAMAD"/>
    <s v="MYR"/>
    <n v="650"/>
    <n v="160.55324999999999"/>
    <s v="Employer EPF - April 2026"/>
    <x v="1"/>
    <x v="0"/>
    <x v="0"/>
    <x v="0"/>
  </r>
  <r>
    <s v="MY"/>
    <x v="3"/>
    <x v="8"/>
    <s v="CHEY PUI YAN"/>
    <s v="MYR"/>
    <n v="1573"/>
    <n v="388.53886499999999"/>
    <s v="Employer EPF - April 2026"/>
    <x v="1"/>
    <x v="0"/>
    <x v="2"/>
    <x v="2"/>
  </r>
  <r>
    <s v="MY"/>
    <x v="3"/>
    <x v="8"/>
    <s v="LOW LEE CHWIN"/>
    <s v="MYR"/>
    <n v="1695"/>
    <n v="418.673475"/>
    <s v="Employer EPF - April 2026"/>
    <x v="1"/>
    <x v="0"/>
    <x v="3"/>
    <x v="2"/>
  </r>
  <r>
    <s v="MY"/>
    <x v="3"/>
    <x v="8"/>
    <s v="GOH AI PING"/>
    <s v="MYR"/>
    <n v="3456"/>
    <n v="853.64927999999998"/>
    <s v="Employer EPF - April 2026"/>
    <x v="1"/>
    <x v="0"/>
    <x v="1"/>
    <x v="1"/>
  </r>
  <r>
    <s v="MY"/>
    <x v="3"/>
    <x v="8"/>
    <s v="CHEW KWANG HWEE"/>
    <s v="MYR"/>
    <n v="2301"/>
    <n v="568.35850500000004"/>
    <s v="Employer EPF - April 2026"/>
    <x v="1"/>
    <x v="0"/>
    <x v="1"/>
    <x v="1"/>
  </r>
  <r>
    <s v="MY"/>
    <x v="3"/>
    <x v="8"/>
    <s v="NG JIA YONG"/>
    <s v="MYR"/>
    <n v="750"/>
    <n v="185.25375"/>
    <s v="Employer EPF - April 2026"/>
    <x v="1"/>
    <x v="0"/>
    <x v="1"/>
    <x v="1"/>
  </r>
  <r>
    <s v="MY"/>
    <x v="3"/>
    <x v="8"/>
    <s v="LIN CHAORAN"/>
    <s v="MYR"/>
    <n v="390"/>
    <n v="96.331950000000006"/>
    <s v="Employer EPF - April 2026"/>
    <x v="1"/>
    <x v="0"/>
    <x v="4"/>
    <x v="0"/>
  </r>
  <r>
    <s v="MY"/>
    <x v="3"/>
    <x v="8"/>
    <s v="YU CHEAN FEI"/>
    <s v="MYR"/>
    <n v="4279"/>
    <n v="1056.934395"/>
    <s v="Employer EPF - April 2026"/>
    <x v="1"/>
    <x v="0"/>
    <x v="1"/>
    <x v="1"/>
  </r>
  <r>
    <s v="MY"/>
    <x v="3"/>
    <x v="8"/>
    <s v="CHEN CHEE KHEN"/>
    <s v="MYR"/>
    <n v="923"/>
    <n v="227.985615"/>
    <s v="Employer EPF - April 2026"/>
    <x v="1"/>
    <x v="0"/>
    <x v="1"/>
    <x v="1"/>
  </r>
  <r>
    <s v="MY"/>
    <x v="3"/>
    <x v="8"/>
    <s v="CHEONG KA MENG"/>
    <s v="MYR"/>
    <n v="793"/>
    <n v="195.874965"/>
    <s v="Employer EPF - April 2026"/>
    <x v="1"/>
    <x v="0"/>
    <x v="1"/>
    <x v="1"/>
  </r>
  <r>
    <s v="MY"/>
    <x v="3"/>
    <x v="8"/>
    <s v="CHAN YIN HOCK"/>
    <s v="MYR"/>
    <n v="104.15"/>
    <n v="25.725570750000003"/>
    <s v="Employer SOCSO- April 2026"/>
    <x v="1"/>
    <x v="0"/>
    <x v="0"/>
    <x v="0"/>
  </r>
  <r>
    <s v="MY"/>
    <x v="3"/>
    <x v="8"/>
    <s v="LIM SHU WEN"/>
    <s v="MYR"/>
    <n v="81.349999999999994"/>
    <n v="20.09385675"/>
    <s v="Employer SOCSO- April 2026"/>
    <x v="1"/>
    <x v="0"/>
    <x v="1"/>
    <x v="1"/>
  </r>
  <r>
    <s v="MY"/>
    <x v="3"/>
    <x v="8"/>
    <s v="WAN NURUL AMIRA BINTI WAN MOHAMAD"/>
    <s v="MYR"/>
    <n v="86.65"/>
    <n v="21.402983250000002"/>
    <s v="Employer SOCSO- April 2026"/>
    <x v="1"/>
    <x v="0"/>
    <x v="0"/>
    <x v="0"/>
  </r>
  <r>
    <s v="MY"/>
    <x v="3"/>
    <x v="8"/>
    <s v="CHEY PUI YAN"/>
    <s v="MYR"/>
    <n v="104.15"/>
    <n v="25.725570750000003"/>
    <s v="Employer SOCSO- April 2026"/>
    <x v="1"/>
    <x v="0"/>
    <x v="2"/>
    <x v="2"/>
  </r>
  <r>
    <s v="MY"/>
    <x v="3"/>
    <x v="8"/>
    <s v="LOW LEE CHWIN"/>
    <s v="MYR"/>
    <n v="104.15"/>
    <n v="25.725570750000003"/>
    <s v="Employer SOCSO- April 2026"/>
    <x v="1"/>
    <x v="0"/>
    <x v="3"/>
    <x v="2"/>
  </r>
  <r>
    <s v="MY"/>
    <x v="3"/>
    <x v="8"/>
    <s v="GOH AI PING"/>
    <s v="MYR"/>
    <n v="104.15"/>
    <n v="25.725570750000003"/>
    <s v="Employer SOCSO- April 2026"/>
    <x v="1"/>
    <x v="0"/>
    <x v="1"/>
    <x v="1"/>
  </r>
  <r>
    <s v="MY"/>
    <x v="3"/>
    <x v="8"/>
    <s v="CHEW KWANG HWEE"/>
    <s v="MYR"/>
    <n v="104.15"/>
    <n v="25.725570750000003"/>
    <s v="Employer SOCSO- April 2026"/>
    <x v="1"/>
    <x v="0"/>
    <x v="1"/>
    <x v="1"/>
  </r>
  <r>
    <s v="MY"/>
    <x v="3"/>
    <x v="8"/>
    <s v="NG JIA YONG"/>
    <s v="MYR"/>
    <n v="100.65"/>
    <n v="24.861053250000001"/>
    <s v="Employer SOCSO- April 2026"/>
    <x v="1"/>
    <x v="0"/>
    <x v="1"/>
    <x v="1"/>
  </r>
  <r>
    <s v="MY"/>
    <x v="3"/>
    <x v="8"/>
    <s v="LIN CHAORAN"/>
    <s v="MYR"/>
    <n v="104.15"/>
    <n v="25.725570750000003"/>
    <s v="Employer SOCSO- April 2026"/>
    <x v="1"/>
    <x v="0"/>
    <x v="4"/>
    <x v="0"/>
  </r>
  <r>
    <s v="MY"/>
    <x v="3"/>
    <x v="8"/>
    <s v="YU CHEAN FEI"/>
    <s v="MYR"/>
    <n v="104.15"/>
    <n v="25.725570750000003"/>
    <s v="Employer SOCSO- April 2026"/>
    <x v="1"/>
    <x v="0"/>
    <x v="1"/>
    <x v="1"/>
  </r>
  <r>
    <s v="MY"/>
    <x v="3"/>
    <x v="8"/>
    <s v="CHEN CHEE KHEN"/>
    <s v="MYR"/>
    <n v="104.15"/>
    <n v="25.725570750000003"/>
    <s v="Employer SOCSO- April 2026"/>
    <x v="1"/>
    <x v="0"/>
    <x v="1"/>
    <x v="1"/>
  </r>
  <r>
    <s v="MY"/>
    <x v="3"/>
    <x v="8"/>
    <s v="CHEONG KA MENG"/>
    <s v="MYR"/>
    <n v="104.15"/>
    <n v="25.725570750000003"/>
    <s v="Employer SOCSO- April 2026"/>
    <x v="1"/>
    <x v="0"/>
    <x v="1"/>
    <x v="1"/>
  </r>
  <r>
    <s v="MY"/>
    <x v="3"/>
    <x v="8"/>
    <s v="CHAN YIN HOCK"/>
    <s v="MYR"/>
    <n v="11.9"/>
    <n v="2.9393595000000001"/>
    <s v="Employer EIS - April 2026"/>
    <x v="1"/>
    <x v="0"/>
    <x v="0"/>
    <x v="0"/>
  </r>
  <r>
    <s v="MY"/>
    <x v="3"/>
    <x v="8"/>
    <s v="LIM SHU WEN"/>
    <s v="MYR"/>
    <n v="9.3000000000000007"/>
    <n v="2.2971465000000002"/>
    <s v="Employer EIS - April 2026"/>
    <x v="1"/>
    <x v="0"/>
    <x v="1"/>
    <x v="1"/>
  </r>
  <r>
    <s v="MY"/>
    <x v="3"/>
    <x v="8"/>
    <s v="WAN NURUL AMIRA BINTI WAN MOHAMAD"/>
    <s v="MYR"/>
    <n v="9.9"/>
    <n v="2.4453495000000003"/>
    <s v="Employer EIS - April 2026"/>
    <x v="1"/>
    <x v="0"/>
    <x v="0"/>
    <x v="0"/>
  </r>
  <r>
    <s v="MY"/>
    <x v="3"/>
    <x v="8"/>
    <s v="CHEY PUI YAN"/>
    <s v="MYR"/>
    <n v="11.9"/>
    <n v="2.9393595000000001"/>
    <s v="Employer EIS - April 2026"/>
    <x v="1"/>
    <x v="0"/>
    <x v="2"/>
    <x v="2"/>
  </r>
  <r>
    <s v="MY"/>
    <x v="3"/>
    <x v="8"/>
    <s v="LOW LEE CHWIN"/>
    <s v="MYR"/>
    <n v="11.9"/>
    <n v="2.9393595000000001"/>
    <s v="Employer EIS - April 2026"/>
    <x v="1"/>
    <x v="0"/>
    <x v="3"/>
    <x v="2"/>
  </r>
  <r>
    <s v="MY"/>
    <x v="3"/>
    <x v="8"/>
    <s v="GOH AI PING"/>
    <s v="MYR"/>
    <n v="11.9"/>
    <n v="2.9393595000000001"/>
    <s v="Employer EIS - April 2026"/>
    <x v="1"/>
    <x v="0"/>
    <x v="1"/>
    <x v="1"/>
  </r>
  <r>
    <s v="MY"/>
    <x v="3"/>
    <x v="8"/>
    <s v="CHEW KWANG HWEE"/>
    <s v="MYR"/>
    <n v="11.9"/>
    <n v="2.9393595000000001"/>
    <s v="Employer EIS - April 2026"/>
    <x v="1"/>
    <x v="0"/>
    <x v="1"/>
    <x v="1"/>
  </r>
  <r>
    <s v="MY"/>
    <x v="3"/>
    <x v="8"/>
    <s v="NG JIA YONG"/>
    <s v="MYR"/>
    <n v="11.5"/>
    <n v="2.8405575000000001"/>
    <s v="Employer EIS - April 2026"/>
    <x v="1"/>
    <x v="0"/>
    <x v="1"/>
    <x v="1"/>
  </r>
  <r>
    <s v="MY"/>
    <x v="3"/>
    <x v="8"/>
    <s v="LIN CHAORAN"/>
    <s v="MYR"/>
    <n v="0"/>
    <n v="0"/>
    <s v="Employer EIS - April 2026"/>
    <x v="1"/>
    <x v="0"/>
    <x v="4"/>
    <x v="0"/>
  </r>
  <r>
    <s v="MY"/>
    <x v="3"/>
    <x v="8"/>
    <s v="YU CHEAN FEI"/>
    <s v="MYR"/>
    <n v="11.9"/>
    <n v="2.9393595000000001"/>
    <s v="Employer EIS - April 2026"/>
    <x v="1"/>
    <x v="0"/>
    <x v="1"/>
    <x v="1"/>
  </r>
  <r>
    <s v="MY"/>
    <x v="3"/>
    <x v="8"/>
    <s v="CHEN CHEE KHEN"/>
    <s v="MYR"/>
    <n v="11.9"/>
    <n v="2.9393595000000001"/>
    <s v="Employer EIS - April 2026"/>
    <x v="1"/>
    <x v="0"/>
    <x v="1"/>
    <x v="1"/>
  </r>
  <r>
    <s v="MY"/>
    <x v="3"/>
    <x v="8"/>
    <s v="CHEONG KA MENG"/>
    <s v="MYR"/>
    <n v="11.9"/>
    <n v="2.9393595000000001"/>
    <s v="Employer EIS - April 2026"/>
    <x v="1"/>
    <x v="0"/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s v="SG"/>
    <x v="0"/>
    <x v="0"/>
    <s v="CHEN LIFENG"/>
    <s v="SGD"/>
    <n v="32550"/>
    <n v="25627.298550000003"/>
    <s v="Net Pay - January 2026"/>
    <x v="0"/>
    <s v="Headcount Costs"/>
    <x v="0"/>
    <x v="0"/>
  </r>
  <r>
    <s v="SG"/>
    <x v="0"/>
    <x v="0"/>
    <s v="CHAN JI WEI"/>
    <s v="SGD"/>
    <n v="6632"/>
    <n v="5221.5128720000002"/>
    <s v="Net Pay - January 2026"/>
    <x v="0"/>
    <s v="Headcount Costs"/>
    <x v="1"/>
    <x v="1"/>
  </r>
  <r>
    <s v="SG"/>
    <x v="0"/>
    <x v="0"/>
    <s v="LI FAN"/>
    <s v="SGD"/>
    <n v="23550"/>
    <n v="18541.40955"/>
    <s v="Net Pay - January 2026"/>
    <x v="0"/>
    <s v="Headcount Costs"/>
    <x v="0"/>
    <x v="0"/>
  </r>
  <r>
    <s v="SG"/>
    <x v="0"/>
    <x v="0"/>
    <s v="KOH MEI INN"/>
    <s v="SGD"/>
    <n v="5066"/>
    <n v="3988.5681860000004"/>
    <s v="Net Pay - January 2026"/>
    <x v="0"/>
    <s v="Headcount Costs"/>
    <x v="2"/>
    <x v="1"/>
  </r>
  <r>
    <s v="SG"/>
    <x v="0"/>
    <x v="0"/>
    <s v="THAM SOK WAN"/>
    <s v="SGD"/>
    <n v="12207"/>
    <n v="9610.8274470000015"/>
    <s v="Net Pay - January 2026"/>
    <x v="0"/>
    <s v="Headcount Costs"/>
    <x v="3"/>
    <x v="1"/>
  </r>
  <r>
    <s v="SG"/>
    <x v="0"/>
    <x v="0"/>
    <s v="CHUA HUAI CHAI"/>
    <s v="SGD"/>
    <n v="10147"/>
    <n v="7988.9461870000005"/>
    <s v="Net Pay - January 2026"/>
    <x v="0"/>
    <s v="Headcount Costs"/>
    <x v="3"/>
    <x v="1"/>
  </r>
  <r>
    <s v="SG"/>
    <x v="0"/>
    <x v="0"/>
    <s v="NG KOK LOON"/>
    <s v="SGD"/>
    <n v="6782"/>
    <n v="5339.611022"/>
    <s v="Net Pay - January 2026"/>
    <x v="0"/>
    <s v="Headcount Costs"/>
    <x v="4"/>
    <x v="2"/>
  </r>
  <r>
    <s v="SG"/>
    <x v="0"/>
    <x v="0"/>
    <s v="YO MENG GI"/>
    <s v="SGD"/>
    <n v="5635"/>
    <n v="4436.5538350000006"/>
    <s v="Net Pay - January 2026"/>
    <x v="0"/>
    <s v="Headcount Costs"/>
    <x v="5"/>
    <x v="3"/>
  </r>
  <r>
    <s v="SG"/>
    <x v="0"/>
    <x v="0"/>
    <s v="WU WENLONG"/>
    <s v="SGD"/>
    <n v="15340"/>
    <n v="12077.504140000001"/>
    <s v="Net Pay - January 2026"/>
    <x v="0"/>
    <s v="Headcount Costs"/>
    <x v="6"/>
    <x v="3"/>
  </r>
  <r>
    <s v="SG"/>
    <x v="0"/>
    <x v="0"/>
    <s v="DANNY KWOK CHING YUN"/>
    <s v="SGD"/>
    <n v="11132"/>
    <n v="8764.4573720000008"/>
    <s v="Net Pay - January 2026"/>
    <x v="0"/>
    <s v="Headcount Costs"/>
    <x v="5"/>
    <x v="3"/>
  </r>
  <r>
    <s v="SG"/>
    <x v="0"/>
    <x v="0"/>
    <s v="JIN CHAO"/>
    <s v="SGD"/>
    <n v="14925"/>
    <n v="11750.765925000002"/>
    <s v="Net Pay - January 2026"/>
    <x v="0"/>
    <s v="Headcount Costs"/>
    <x v="6"/>
    <x v="3"/>
  </r>
  <r>
    <s v="SG"/>
    <x v="0"/>
    <x v="0"/>
    <s v="PHILIPPE JEAN FELIX LEDUC"/>
    <s v="SGD"/>
    <n v="16635"/>
    <n v="13097.084835000001"/>
    <s v="Net Pay - January 2026"/>
    <x v="0"/>
    <s v="Headcount Costs"/>
    <x v="7"/>
    <x v="3"/>
  </r>
  <r>
    <s v="SG"/>
    <x v="0"/>
    <x v="0"/>
    <s v="KEE SHIN YUAN"/>
    <s v="SGD"/>
    <n v="3866.5"/>
    <n v="3044.1766465000001"/>
    <s v="Net Pay - January 2026"/>
    <x v="0"/>
    <s v="Headcount Costs"/>
    <x v="5"/>
    <x v="3"/>
  </r>
  <r>
    <s v="SG"/>
    <x v="0"/>
    <x v="0"/>
    <s v="HE CAIFENG THERESA"/>
    <s v="SGD"/>
    <n v="4746"/>
    <n v="3736.6254660000004"/>
    <s v="Net Pay - January 2026"/>
    <x v="0"/>
    <s v="Headcount Costs"/>
    <x v="5"/>
    <x v="3"/>
  </r>
  <r>
    <s v="SG"/>
    <x v="0"/>
    <x v="0"/>
    <s v="QIU JIE"/>
    <s v="SGD"/>
    <n v="13364"/>
    <n v="10521.757844"/>
    <s v="Net Pay - January 2026"/>
    <x v="0"/>
    <s v="Headcount Costs"/>
    <x v="8"/>
    <x v="0"/>
  </r>
  <r>
    <s v="SG"/>
    <x v="0"/>
    <x v="0"/>
    <s v="WU XIAOLI"/>
    <s v="SGD"/>
    <n v="9132"/>
    <n v="7189.815372"/>
    <s v="Net Pay - January 2026"/>
    <x v="0"/>
    <s v="Headcount Costs"/>
    <x v="4"/>
    <x v="2"/>
  </r>
  <r>
    <s v="SG"/>
    <x v="0"/>
    <x v="0"/>
    <s v="CALVEN OOI JIA WEI"/>
    <s v="SGD"/>
    <n v="5085"/>
    <n v="4003.5272850000001"/>
    <s v="Net Pay - January 2026"/>
    <x v="0"/>
    <s v="Headcount Costs"/>
    <x v="4"/>
    <x v="2"/>
  </r>
  <r>
    <s v="SG"/>
    <x v="0"/>
    <x v="0"/>
    <s v="STEPHANIE LING WAN QING"/>
    <s v="SGD"/>
    <n v="5878"/>
    <n v="4627.8728380000002"/>
    <s v="Net Pay - January 2026"/>
    <x v="0"/>
    <s v="Headcount Costs"/>
    <x v="8"/>
    <x v="0"/>
  </r>
  <r>
    <s v="SG"/>
    <x v="0"/>
    <x v="0"/>
    <s v="GUO BEITING"/>
    <s v="SGD"/>
    <n v="5080.2700000000004"/>
    <n v="3999.8032566700008"/>
    <s v="Net Pay - January 2026"/>
    <x v="0"/>
    <s v="Headcount Costs"/>
    <x v="4"/>
    <x v="2"/>
  </r>
  <r>
    <s v="SG"/>
    <x v="0"/>
    <x v="1"/>
    <s v="CHEN LIFENG"/>
    <s v="SGD"/>
    <m/>
    <n v="0"/>
    <s v="CDAC - January 2026"/>
    <x v="0"/>
    <s v="Headcount Costs"/>
    <x v="0"/>
    <x v="0"/>
  </r>
  <r>
    <s v="SG"/>
    <x v="0"/>
    <x v="1"/>
    <s v="CHAN JI WEI"/>
    <s v="SGD"/>
    <n v="3"/>
    <n v="2.3619630000000003"/>
    <s v="CDAC - January 2026"/>
    <x v="0"/>
    <s v="Headcount Costs"/>
    <x v="1"/>
    <x v="1"/>
  </r>
  <r>
    <s v="SG"/>
    <x v="0"/>
    <x v="1"/>
    <s v="LI FAN"/>
    <s v="SGD"/>
    <m/>
    <n v="0"/>
    <s v="CDAC - January 2026"/>
    <x v="0"/>
    <s v="Headcount Costs"/>
    <x v="0"/>
    <x v="0"/>
  </r>
  <r>
    <s v="SG"/>
    <x v="0"/>
    <x v="1"/>
    <s v="KOH MEI INN"/>
    <s v="SGD"/>
    <n v="2"/>
    <n v="1.5746420000000001"/>
    <s v="CDAC - January 2026"/>
    <x v="0"/>
    <s v="Headcount Costs"/>
    <x v="2"/>
    <x v="1"/>
  </r>
  <r>
    <s v="SG"/>
    <x v="0"/>
    <x v="1"/>
    <s v="THAM SOK WAN"/>
    <s v="SGD"/>
    <n v="3"/>
    <n v="2.3619630000000003"/>
    <s v="CDAC - January 2026"/>
    <x v="0"/>
    <s v="Headcount Costs"/>
    <x v="3"/>
    <x v="1"/>
  </r>
  <r>
    <s v="SG"/>
    <x v="0"/>
    <x v="1"/>
    <s v="CHUA HUAI CHAI"/>
    <s v="SGD"/>
    <n v="3"/>
    <n v="2.3619630000000003"/>
    <s v="CDAC - January 2026"/>
    <x v="0"/>
    <s v="Headcount Costs"/>
    <x v="3"/>
    <x v="1"/>
  </r>
  <r>
    <s v="SG"/>
    <x v="0"/>
    <x v="1"/>
    <s v="NG KOK LOON"/>
    <s v="SGD"/>
    <n v="3"/>
    <n v="2.3619630000000003"/>
    <s v="CDAC - January 2026"/>
    <x v="0"/>
    <s v="Headcount Costs"/>
    <x v="4"/>
    <x v="2"/>
  </r>
  <r>
    <s v="SG"/>
    <x v="0"/>
    <x v="1"/>
    <s v="YO MENG GI"/>
    <s v="SGD"/>
    <m/>
    <n v="0"/>
    <s v="CDAC - January 2026"/>
    <x v="0"/>
    <s v="Headcount Costs"/>
    <x v="5"/>
    <x v="3"/>
  </r>
  <r>
    <s v="SG"/>
    <x v="0"/>
    <x v="1"/>
    <s v="WU WENLONG"/>
    <s v="SGD"/>
    <m/>
    <n v="0"/>
    <s v="CDAC - January 2026"/>
    <x v="0"/>
    <s v="Headcount Costs"/>
    <x v="6"/>
    <x v="3"/>
  </r>
  <r>
    <s v="SG"/>
    <x v="0"/>
    <x v="1"/>
    <s v="DANNY KWOK CHING YUN"/>
    <s v="SGD"/>
    <n v="3"/>
    <n v="2.3619630000000003"/>
    <s v="CDAC - January 2026"/>
    <x v="0"/>
    <s v="Headcount Costs"/>
    <x v="5"/>
    <x v="3"/>
  </r>
  <r>
    <s v="SG"/>
    <x v="0"/>
    <x v="1"/>
    <s v="JIN CHAO"/>
    <s v="SGD"/>
    <m/>
    <n v="0"/>
    <s v="CDAC - January 2026"/>
    <x v="0"/>
    <s v="Headcount Costs"/>
    <x v="6"/>
    <x v="3"/>
  </r>
  <r>
    <s v="SG"/>
    <x v="0"/>
    <x v="1"/>
    <s v="PHILIPPE JEAN FELIX LEDUC"/>
    <s v="SGD"/>
    <m/>
    <n v="0"/>
    <s v="CDAC - January 2026"/>
    <x v="0"/>
    <s v="Headcount Costs"/>
    <x v="7"/>
    <x v="3"/>
  </r>
  <r>
    <s v="SG"/>
    <x v="0"/>
    <x v="1"/>
    <s v="KEE SHIN YUAN"/>
    <s v="SGD"/>
    <n v="1.5"/>
    <n v="1.1809815000000001"/>
    <s v="CDAC - January 2026"/>
    <x v="0"/>
    <s v="Headcount Costs"/>
    <x v="5"/>
    <x v="3"/>
  </r>
  <r>
    <s v="SG"/>
    <x v="0"/>
    <x v="1"/>
    <s v="HE CAIFENG THERESA"/>
    <s v="SGD"/>
    <n v="2"/>
    <n v="1.5746420000000001"/>
    <s v="CDAC - January 2026"/>
    <x v="0"/>
    <s v="Headcount Costs"/>
    <x v="5"/>
    <x v="3"/>
  </r>
  <r>
    <s v="SG"/>
    <x v="0"/>
    <x v="1"/>
    <s v="QIU JIE"/>
    <s v="SGD"/>
    <n v="3"/>
    <n v="2.3619630000000003"/>
    <s v="CDAC - January 2026"/>
    <x v="0"/>
    <s v="Headcount Costs"/>
    <x v="8"/>
    <x v="0"/>
  </r>
  <r>
    <s v="SG"/>
    <x v="0"/>
    <x v="1"/>
    <s v="WU XIAOLI"/>
    <s v="SGD"/>
    <n v="3"/>
    <n v="2.3619630000000003"/>
    <s v="CDAC - January 2026"/>
    <x v="0"/>
    <s v="Headcount Costs"/>
    <x v="4"/>
    <x v="2"/>
  </r>
  <r>
    <s v="SG"/>
    <x v="0"/>
    <x v="1"/>
    <s v="CALVEN OOI JIA WEI"/>
    <s v="SGD"/>
    <m/>
    <n v="0"/>
    <s v="CDAC - January 2026"/>
    <x v="0"/>
    <s v="Headcount Costs"/>
    <x v="4"/>
    <x v="2"/>
  </r>
  <r>
    <s v="SG"/>
    <x v="0"/>
    <x v="1"/>
    <s v="STEPHANIE LING WAN QING"/>
    <s v="SGD"/>
    <n v="2"/>
    <n v="1.5746420000000001"/>
    <s v="CDAC - January 2026"/>
    <x v="0"/>
    <s v="Headcount Costs"/>
    <x v="8"/>
    <x v="0"/>
  </r>
  <r>
    <s v="SG"/>
    <x v="0"/>
    <x v="1"/>
    <s v="GUO BEITING"/>
    <s v="SGD"/>
    <n v="2"/>
    <n v="1.5746420000000001"/>
    <s v="CDAC - January 2026"/>
    <x v="0"/>
    <s v="Headcount Costs"/>
    <x v="4"/>
    <x v="2"/>
  </r>
  <r>
    <s v="SG"/>
    <x v="0"/>
    <x v="1"/>
    <s v="CHEN LIFENG"/>
    <s v="SGD"/>
    <n v="0"/>
    <n v="0"/>
    <s v="CPF Employee - January 2026"/>
    <x v="0"/>
    <s v="Headcount Costs"/>
    <x v="0"/>
    <x v="0"/>
  </r>
  <r>
    <s v="SG"/>
    <x v="0"/>
    <x v="1"/>
    <s v="CHAN JI WEI"/>
    <s v="SGD"/>
    <n v="1600"/>
    <n v="1259.7136"/>
    <s v="CPF Employee - January 2026"/>
    <x v="0"/>
    <s v="Headcount Costs"/>
    <x v="1"/>
    <x v="1"/>
  </r>
  <r>
    <s v="SG"/>
    <x v="0"/>
    <x v="1"/>
    <s v="LI FAN"/>
    <s v="SGD"/>
    <n v="0"/>
    <n v="0"/>
    <s v="CPF Employee - January 2026"/>
    <x v="0"/>
    <s v="Headcount Costs"/>
    <x v="0"/>
    <x v="0"/>
  </r>
  <r>
    <s v="SG"/>
    <x v="0"/>
    <x v="1"/>
    <s v="KOH MEI INN"/>
    <s v="SGD"/>
    <n v="1267"/>
    <n v="997.53570700000012"/>
    <s v="CPF Employee - January 2026"/>
    <x v="0"/>
    <s v="Headcount Costs"/>
    <x v="2"/>
    <x v="1"/>
  </r>
  <r>
    <s v="SG"/>
    <x v="0"/>
    <x v="1"/>
    <s v="THAM SOK WAN"/>
    <s v="SGD"/>
    <n v="1440"/>
    <n v="1133.74224"/>
    <s v="CPF Employee - January 2026"/>
    <x v="0"/>
    <s v="Headcount Costs"/>
    <x v="3"/>
    <x v="1"/>
  </r>
  <r>
    <s v="SG"/>
    <x v="0"/>
    <x v="1"/>
    <s v="CHUA HUAI CHAI"/>
    <s v="SGD"/>
    <n v="1000"/>
    <n v="787.32100000000003"/>
    <s v="CPF Employee - January 2026"/>
    <x v="0"/>
    <s v="Headcount Costs"/>
    <x v="3"/>
    <x v="1"/>
  </r>
  <r>
    <s v="SG"/>
    <x v="0"/>
    <x v="1"/>
    <s v="NG KOK LOON"/>
    <s v="SGD"/>
    <n v="1600"/>
    <n v="1259.7136"/>
    <s v="CPF Employee - January 2026"/>
    <x v="0"/>
    <s v="Headcount Costs"/>
    <x v="4"/>
    <x v="2"/>
  </r>
  <r>
    <s v="SG"/>
    <x v="0"/>
    <x v="1"/>
    <s v="YO MENG GI"/>
    <s v="SGD"/>
    <n v="0"/>
    <n v="0"/>
    <s v="CPF Employee - January 2026"/>
    <x v="0"/>
    <s v="Headcount Costs"/>
    <x v="5"/>
    <x v="3"/>
  </r>
  <r>
    <s v="SG"/>
    <x v="0"/>
    <x v="1"/>
    <s v="WU WENLONG"/>
    <s v="SGD"/>
    <n v="0"/>
    <n v="0"/>
    <s v="CPF Employee - January 2026"/>
    <x v="0"/>
    <s v="Headcount Costs"/>
    <x v="6"/>
    <x v="3"/>
  </r>
  <r>
    <s v="SG"/>
    <x v="0"/>
    <x v="1"/>
    <s v="DANNY KWOK CHING YUN"/>
    <s v="SGD"/>
    <n v="1600"/>
    <n v="1259.7136"/>
    <s v="CPF Employee - January 2026"/>
    <x v="0"/>
    <s v="Headcount Costs"/>
    <x v="5"/>
    <x v="3"/>
  </r>
  <r>
    <s v="SG"/>
    <x v="0"/>
    <x v="1"/>
    <s v="JIN CHAO"/>
    <s v="SGD"/>
    <n v="0"/>
    <n v="0"/>
    <s v="CPF Employee - January 2026"/>
    <x v="0"/>
    <s v="Headcount Costs"/>
    <x v="6"/>
    <x v="3"/>
  </r>
  <r>
    <s v="SG"/>
    <x v="0"/>
    <x v="1"/>
    <s v="PHILIPPE JEAN FELIX LEDUC"/>
    <s v="SGD"/>
    <n v="0"/>
    <n v="0"/>
    <s v="CPF Employee - January 2026"/>
    <x v="0"/>
    <s v="Headcount Costs"/>
    <x v="7"/>
    <x v="3"/>
  </r>
  <r>
    <s v="SG"/>
    <x v="0"/>
    <x v="1"/>
    <s v="KEE SHIN YUAN"/>
    <s v="SGD"/>
    <n v="967"/>
    <n v="761.33940700000005"/>
    <s v="CPF Employee - January 2026"/>
    <x v="0"/>
    <s v="Headcount Costs"/>
    <x v="5"/>
    <x v="3"/>
  </r>
  <r>
    <s v="SG"/>
    <x v="0"/>
    <x v="1"/>
    <s v="HE CAIFENG THERESA"/>
    <s v="SGD"/>
    <n v="1187"/>
    <n v="934.55002700000011"/>
    <s v="CPF Employee - January 2026"/>
    <x v="0"/>
    <s v="Headcount Costs"/>
    <x v="5"/>
    <x v="3"/>
  </r>
  <r>
    <s v="SG"/>
    <x v="0"/>
    <x v="1"/>
    <s v="QIU JIE"/>
    <s v="SGD"/>
    <n v="1600"/>
    <n v="1259.7136"/>
    <s v="CPF Employee - January 2026"/>
    <x v="0"/>
    <s v="Headcount Costs"/>
    <x v="8"/>
    <x v="0"/>
  </r>
  <r>
    <s v="SG"/>
    <x v="0"/>
    <x v="1"/>
    <s v="WU XIAOLI"/>
    <s v="SGD"/>
    <n v="1000"/>
    <n v="787.32100000000003"/>
    <s v="CPF Employee - January 2026"/>
    <x v="0"/>
    <s v="Headcount Costs"/>
    <x v="4"/>
    <x v="2"/>
  </r>
  <r>
    <s v="SG"/>
    <x v="0"/>
    <x v="1"/>
    <s v="CALVEN OOI JIA WEI"/>
    <s v="SGD"/>
    <n v="0"/>
    <n v="0"/>
    <s v="CPF Employee - January 2026"/>
    <x v="0"/>
    <s v="Headcount Costs"/>
    <x v="4"/>
    <x v="2"/>
  </r>
  <r>
    <s v="SG"/>
    <x v="0"/>
    <x v="1"/>
    <s v="STEPHANIE LING WAN QING"/>
    <s v="SGD"/>
    <n v="1470"/>
    <n v="1157.3618700000002"/>
    <s v="CPF Employee - January 2026"/>
    <x v="0"/>
    <s v="Headcount Costs"/>
    <x v="8"/>
    <x v="0"/>
  </r>
  <r>
    <s v="SG"/>
    <x v="0"/>
    <x v="1"/>
    <s v="GUO BEITING"/>
    <s v="SGD"/>
    <n v="1270"/>
    <n v="999.89767000000006"/>
    <s v="CPF Employee - January 2026"/>
    <x v="0"/>
    <s v="Headcount Costs"/>
    <x v="4"/>
    <x v="2"/>
  </r>
  <r>
    <s v="SG"/>
    <x v="0"/>
    <x v="1"/>
    <s v="CHEN LIFENG"/>
    <s v="SGD"/>
    <n v="11.25"/>
    <n v="8.8573612500000003"/>
    <s v="SDF - January 2026"/>
    <x v="1"/>
    <s v="Headcount Costs"/>
    <x v="0"/>
    <x v="0"/>
  </r>
  <r>
    <s v="SG"/>
    <x v="0"/>
    <x v="1"/>
    <s v="CHAN JI WEI"/>
    <s v="SGD"/>
    <n v="11.25"/>
    <n v="8.8573612500000003"/>
    <s v="SDF - January 2026"/>
    <x v="1"/>
    <s v="Headcount Costs"/>
    <x v="1"/>
    <x v="1"/>
  </r>
  <r>
    <s v="SG"/>
    <x v="0"/>
    <x v="1"/>
    <s v="LI FAN"/>
    <s v="SGD"/>
    <n v="11.25"/>
    <n v="8.8573612500000003"/>
    <s v="SDF - January 2026"/>
    <x v="1"/>
    <s v="Headcount Costs"/>
    <x v="0"/>
    <x v="0"/>
  </r>
  <r>
    <s v="SG"/>
    <x v="0"/>
    <x v="1"/>
    <s v="KOH MEI INN"/>
    <s v="SGD"/>
    <n v="11.25"/>
    <n v="8.8573612500000003"/>
    <s v="SDF - January 2026"/>
    <x v="1"/>
    <s v="Headcount Costs"/>
    <x v="2"/>
    <x v="1"/>
  </r>
  <r>
    <s v="SG"/>
    <x v="0"/>
    <x v="1"/>
    <s v="THAM SOK WAN"/>
    <s v="SGD"/>
    <n v="11.25"/>
    <n v="8.8573612500000003"/>
    <s v="SDF - January 2026"/>
    <x v="1"/>
    <s v="Headcount Costs"/>
    <x v="3"/>
    <x v="1"/>
  </r>
  <r>
    <s v="SG"/>
    <x v="0"/>
    <x v="1"/>
    <s v="CHUA HUAI CHAI"/>
    <s v="SGD"/>
    <n v="11.25"/>
    <n v="8.8573612500000003"/>
    <s v="SDF - January 2026"/>
    <x v="1"/>
    <s v="Headcount Costs"/>
    <x v="3"/>
    <x v="1"/>
  </r>
  <r>
    <s v="SG"/>
    <x v="0"/>
    <x v="1"/>
    <s v="NG KOK LOON"/>
    <s v="SGD"/>
    <n v="11.25"/>
    <n v="8.8573612500000003"/>
    <s v="SDF - January 2026"/>
    <x v="1"/>
    <s v="Headcount Costs"/>
    <x v="4"/>
    <x v="2"/>
  </r>
  <r>
    <s v="SG"/>
    <x v="0"/>
    <x v="1"/>
    <s v="YO MENG GI"/>
    <s v="SGD"/>
    <n v="11.25"/>
    <n v="8.8573612500000003"/>
    <s v="SDF - January 2026"/>
    <x v="1"/>
    <s v="Headcount Costs"/>
    <x v="5"/>
    <x v="3"/>
  </r>
  <r>
    <s v="SG"/>
    <x v="0"/>
    <x v="1"/>
    <s v="WU WENLONG"/>
    <s v="SGD"/>
    <n v="11.25"/>
    <n v="8.8573612500000003"/>
    <s v="SDF - January 2026"/>
    <x v="1"/>
    <s v="Headcount Costs"/>
    <x v="6"/>
    <x v="3"/>
  </r>
  <r>
    <s v="SG"/>
    <x v="0"/>
    <x v="1"/>
    <s v="DANNY KWOK CHING YUN"/>
    <s v="SGD"/>
    <n v="11.25"/>
    <n v="8.8573612500000003"/>
    <s v="SDF - January 2026"/>
    <x v="1"/>
    <s v="Headcount Costs"/>
    <x v="5"/>
    <x v="3"/>
  </r>
  <r>
    <s v="SG"/>
    <x v="0"/>
    <x v="1"/>
    <s v="JIN CHAO"/>
    <s v="SGD"/>
    <n v="11.25"/>
    <n v="8.8573612500000003"/>
    <s v="SDF - January 2026"/>
    <x v="1"/>
    <s v="Headcount Costs"/>
    <x v="6"/>
    <x v="3"/>
  </r>
  <r>
    <s v="SG"/>
    <x v="0"/>
    <x v="1"/>
    <s v="PHILIPPE JEAN FELIX LEDUC"/>
    <s v="SGD"/>
    <n v="11.25"/>
    <n v="8.8573612500000003"/>
    <s v="SDF - January 2026"/>
    <x v="1"/>
    <s v="Headcount Costs"/>
    <x v="7"/>
    <x v="3"/>
  </r>
  <r>
    <s v="SG"/>
    <x v="0"/>
    <x v="1"/>
    <s v="KEE SHIN YUAN"/>
    <s v="SGD"/>
    <n v="11.25"/>
    <n v="8.8573612500000003"/>
    <s v="SDF - January 2026"/>
    <x v="1"/>
    <s v="Headcount Costs"/>
    <x v="5"/>
    <x v="3"/>
  </r>
  <r>
    <s v="SG"/>
    <x v="0"/>
    <x v="1"/>
    <s v="HE CAIFENG THERESA"/>
    <s v="SGD"/>
    <n v="11.25"/>
    <n v="8.8573612500000003"/>
    <s v="SDF - January 2026"/>
    <x v="1"/>
    <s v="Headcount Costs"/>
    <x v="5"/>
    <x v="3"/>
  </r>
  <r>
    <s v="SG"/>
    <x v="0"/>
    <x v="1"/>
    <s v="QIU JIE"/>
    <s v="SGD"/>
    <n v="11.25"/>
    <n v="8.8573612500000003"/>
    <s v="SDF - January 2026"/>
    <x v="1"/>
    <s v="Headcount Costs"/>
    <x v="8"/>
    <x v="0"/>
  </r>
  <r>
    <s v="SG"/>
    <x v="0"/>
    <x v="1"/>
    <s v="WU XIAOLI"/>
    <s v="SGD"/>
    <n v="11.25"/>
    <n v="8.8573612500000003"/>
    <s v="SDF - January 2026"/>
    <x v="1"/>
    <s v="Headcount Costs"/>
    <x v="4"/>
    <x v="2"/>
  </r>
  <r>
    <s v="SG"/>
    <x v="0"/>
    <x v="1"/>
    <s v="CALVEN OOI JIA WEI"/>
    <s v="SGD"/>
    <n v="11.25"/>
    <n v="8.8573612500000003"/>
    <s v="SDF - January 2026"/>
    <x v="1"/>
    <s v="Headcount Costs"/>
    <x v="4"/>
    <x v="2"/>
  </r>
  <r>
    <s v="SG"/>
    <x v="0"/>
    <x v="1"/>
    <s v="STEPHANIE LING WAN QING"/>
    <s v="SGD"/>
    <n v="11.25"/>
    <n v="8.8573612500000003"/>
    <s v="SDF - January 2026"/>
    <x v="1"/>
    <s v="Headcount Costs"/>
    <x v="8"/>
    <x v="0"/>
  </r>
  <r>
    <s v="SG"/>
    <x v="0"/>
    <x v="1"/>
    <s v="GUO BEITING"/>
    <s v="SGD"/>
    <n v="11.25"/>
    <n v="8.8573612500000003"/>
    <s v="SDF - January 2026"/>
    <x v="1"/>
    <s v="Headcount Costs"/>
    <x v="4"/>
    <x v="2"/>
  </r>
  <r>
    <s v="SG"/>
    <x v="0"/>
    <x v="1"/>
    <s v="CHEN LIFENG"/>
    <s v="SGD"/>
    <n v="0"/>
    <n v="0"/>
    <s v="CPF Employer - January 2026"/>
    <x v="1"/>
    <s v="Headcount Costs"/>
    <x v="0"/>
    <x v="0"/>
  </r>
  <r>
    <s v="SG"/>
    <x v="0"/>
    <x v="1"/>
    <s v="CHAN JI WEI"/>
    <s v="SGD"/>
    <n v="1360"/>
    <n v="1070.75656"/>
    <s v="CPF Employer - January 2026"/>
    <x v="1"/>
    <s v="Headcount Costs"/>
    <x v="1"/>
    <x v="1"/>
  </r>
  <r>
    <s v="SG"/>
    <x v="0"/>
    <x v="1"/>
    <s v="LI FAN"/>
    <s v="SGD"/>
    <n v="0"/>
    <n v="0"/>
    <s v="CPF Employer - January 2026"/>
    <x v="1"/>
    <s v="Headcount Costs"/>
    <x v="0"/>
    <x v="0"/>
  </r>
  <r>
    <s v="SG"/>
    <x v="0"/>
    <x v="1"/>
    <s v="KOH MEI INN"/>
    <s v="SGD"/>
    <n v="1077"/>
    <n v="847.94471700000008"/>
    <s v="CPF Employer - January 2026"/>
    <x v="1"/>
    <s v="Headcount Costs"/>
    <x v="2"/>
    <x v="1"/>
  </r>
  <r>
    <s v="SG"/>
    <x v="0"/>
    <x v="1"/>
    <s v="THAM SOK WAN"/>
    <s v="SGD"/>
    <n v="1280"/>
    <n v="1007.77088"/>
    <s v="CPF Employer - January 2026"/>
    <x v="1"/>
    <s v="Headcount Costs"/>
    <x v="3"/>
    <x v="1"/>
  </r>
  <r>
    <s v="SG"/>
    <x v="0"/>
    <x v="1"/>
    <s v="CHUA HUAI CHAI"/>
    <s v="SGD"/>
    <n v="1000"/>
    <n v="787.32100000000003"/>
    <s v="CPF Employer - January 2026"/>
    <x v="1"/>
    <s v="Headcount Costs"/>
    <x v="3"/>
    <x v="1"/>
  </r>
  <r>
    <s v="SG"/>
    <x v="0"/>
    <x v="1"/>
    <s v="NG KOK LOON"/>
    <s v="SGD"/>
    <n v="1360"/>
    <n v="1070.75656"/>
    <s v="CPF Employer - January 2026"/>
    <x v="1"/>
    <s v="Headcount Costs"/>
    <x v="4"/>
    <x v="2"/>
  </r>
  <r>
    <s v="SG"/>
    <x v="0"/>
    <x v="1"/>
    <s v="YO MENG GI"/>
    <s v="SGD"/>
    <n v="0"/>
    <n v="0"/>
    <s v="CPF Employer - January 2026"/>
    <x v="1"/>
    <s v="Headcount Costs"/>
    <x v="5"/>
    <x v="3"/>
  </r>
  <r>
    <s v="SG"/>
    <x v="0"/>
    <x v="1"/>
    <s v="WU WENLONG"/>
    <s v="SGD"/>
    <n v="0"/>
    <n v="0"/>
    <s v="CPF Employer - January 2026"/>
    <x v="1"/>
    <s v="Headcount Costs"/>
    <x v="6"/>
    <x v="3"/>
  </r>
  <r>
    <s v="SG"/>
    <x v="0"/>
    <x v="1"/>
    <s v="DANNY KWOK CHING YUN"/>
    <s v="SGD"/>
    <n v="1360"/>
    <n v="1070.75656"/>
    <s v="CPF Employer - January 2026"/>
    <x v="1"/>
    <s v="Headcount Costs"/>
    <x v="5"/>
    <x v="3"/>
  </r>
  <r>
    <s v="SG"/>
    <x v="0"/>
    <x v="1"/>
    <s v="JIN CHAO"/>
    <s v="SGD"/>
    <n v="0"/>
    <n v="0"/>
    <s v="CPF Employer - January 2026"/>
    <x v="1"/>
    <s v="Headcount Costs"/>
    <x v="6"/>
    <x v="3"/>
  </r>
  <r>
    <s v="SG"/>
    <x v="0"/>
    <x v="1"/>
    <s v="PHILIPPE JEAN FELIX LEDUC"/>
    <s v="SGD"/>
    <n v="0"/>
    <n v="0"/>
    <s v="CPF Employer - January 2026"/>
    <x v="1"/>
    <s v="Headcount Costs"/>
    <x v="7"/>
    <x v="3"/>
  </r>
  <r>
    <s v="SG"/>
    <x v="0"/>
    <x v="1"/>
    <s v="KEE SHIN YUAN"/>
    <s v="SGD"/>
    <n v="822"/>
    <n v="647.177862"/>
    <s v="CPF Employer - January 2026"/>
    <x v="1"/>
    <s v="Headcount Costs"/>
    <x v="5"/>
    <x v="3"/>
  </r>
  <r>
    <s v="SG"/>
    <x v="0"/>
    <x v="1"/>
    <s v="HE CAIFENG THERESA"/>
    <s v="SGD"/>
    <n v="1009"/>
    <n v="794.40688900000009"/>
    <s v="CPF Employer - January 2026"/>
    <x v="1"/>
    <s v="Headcount Costs"/>
    <x v="5"/>
    <x v="3"/>
  </r>
  <r>
    <s v="SG"/>
    <x v="0"/>
    <x v="1"/>
    <s v="QIU JIE"/>
    <s v="SGD"/>
    <n v="1360"/>
    <n v="1070.75656"/>
    <s v="CPF Employer - January 2026"/>
    <x v="1"/>
    <s v="Headcount Costs"/>
    <x v="8"/>
    <x v="0"/>
  </r>
  <r>
    <s v="SG"/>
    <x v="0"/>
    <x v="1"/>
    <s v="WU XIAOLI"/>
    <s v="SGD"/>
    <n v="1000"/>
    <n v="787.32100000000003"/>
    <s v="CPF Employer - January 2026"/>
    <x v="1"/>
    <s v="Headcount Costs"/>
    <x v="4"/>
    <x v="2"/>
  </r>
  <r>
    <s v="SG"/>
    <x v="0"/>
    <x v="1"/>
    <s v="CALVEN OOI JIA WEI"/>
    <s v="SGD"/>
    <n v="0"/>
    <n v="0"/>
    <s v="CPF Employer - January 2026"/>
    <x v="1"/>
    <s v="Headcount Costs"/>
    <x v="4"/>
    <x v="2"/>
  </r>
  <r>
    <s v="SG"/>
    <x v="0"/>
    <x v="1"/>
    <s v="STEPHANIE LING WAN QING"/>
    <s v="SGD"/>
    <n v="1250"/>
    <n v="984.15125"/>
    <s v="CPF Employer - January 2026"/>
    <x v="1"/>
    <s v="Headcount Costs"/>
    <x v="8"/>
    <x v="0"/>
  </r>
  <r>
    <s v="SG"/>
    <x v="0"/>
    <x v="1"/>
    <s v="GUO BEITING"/>
    <s v="SGD"/>
    <n v="1080"/>
    <n v="850.30668000000003"/>
    <s v="CPF Employer - January 2026"/>
    <x v="1"/>
    <s v="Headcount Costs"/>
    <x v="4"/>
    <x v="2"/>
  </r>
  <r>
    <s v="SG"/>
    <x v="1"/>
    <x v="2"/>
    <s v="CHEN LIFENG"/>
    <s v="SGD"/>
    <n v="32550"/>
    <n v="25734.485700000001"/>
    <s v="Net Pay - February 2026"/>
    <x v="0"/>
    <s v="Headcount Costs"/>
    <x v="0"/>
    <x v="0"/>
  </r>
  <r>
    <s v="SG"/>
    <x v="1"/>
    <x v="2"/>
    <s v="CHAN JI WEI"/>
    <s v="SGD"/>
    <n v="6632"/>
    <n v="5243.3520480000007"/>
    <s v="Net Pay - February 2026"/>
    <x v="0"/>
    <s v="Headcount Costs"/>
    <x v="1"/>
    <x v="1"/>
  </r>
  <r>
    <s v="SG"/>
    <x v="1"/>
    <x v="2"/>
    <s v="LI FAN"/>
    <s v="SGD"/>
    <n v="23550"/>
    <n v="18618.959699999999"/>
    <s v="Net Pay - February 2026"/>
    <x v="0"/>
    <s v="Headcount Costs"/>
    <x v="0"/>
    <x v="0"/>
  </r>
  <r>
    <s v="SG"/>
    <x v="1"/>
    <x v="2"/>
    <s v="KOH MEI INN"/>
    <s v="SGD"/>
    <n v="5066"/>
    <n v="4005.250524"/>
    <s v="Net Pay - February 2026"/>
    <x v="0"/>
    <s v="Headcount Costs"/>
    <x v="2"/>
    <x v="1"/>
  </r>
  <r>
    <s v="SG"/>
    <x v="1"/>
    <x v="2"/>
    <s v="THAM SOK WAN"/>
    <s v="SGD"/>
    <n v="12207"/>
    <n v="9651.0250980000001"/>
    <s v="Net Pay - February 2026"/>
    <x v="0"/>
    <s v="Headcount Costs"/>
    <x v="3"/>
    <x v="1"/>
  </r>
  <r>
    <s v="SG"/>
    <x v="1"/>
    <x v="2"/>
    <s v="NG KOK LOON"/>
    <s v="SGD"/>
    <n v="6782"/>
    <n v="5361.9441480000005"/>
    <s v="Net Pay - February 2026"/>
    <x v="0"/>
    <s v="Headcount Costs"/>
    <x v="4"/>
    <x v="2"/>
  </r>
  <r>
    <s v="SG"/>
    <x v="1"/>
    <x v="2"/>
    <s v="YO MENG GI"/>
    <s v="SGD"/>
    <n v="5635"/>
    <n v="4455.1098900000006"/>
    <s v="Net Pay - February 2026"/>
    <x v="0"/>
    <s v="Headcount Costs"/>
    <x v="5"/>
    <x v="3"/>
  </r>
  <r>
    <s v="SG"/>
    <x v="1"/>
    <x v="2"/>
    <s v="WU WENLONG"/>
    <s v="SGD"/>
    <n v="15340"/>
    <n v="12128.018760000001"/>
    <s v="Net Pay - February 2026"/>
    <x v="0"/>
    <s v="Headcount Costs"/>
    <x v="6"/>
    <x v="3"/>
  </r>
  <r>
    <s v="SG"/>
    <x v="1"/>
    <x v="2"/>
    <s v="DANNY KWOK CHING YUN"/>
    <s v="SGD"/>
    <n v="11132"/>
    <n v="8801.1150479999997"/>
    <s v="Net Pay - February 2026"/>
    <x v="0"/>
    <s v="Headcount Costs"/>
    <x v="5"/>
    <x v="3"/>
  </r>
  <r>
    <s v="SG"/>
    <x v="1"/>
    <x v="2"/>
    <s v="JIN CHAO"/>
    <s v="SGD"/>
    <n v="14925"/>
    <n v="11799.91395"/>
    <s v="Net Pay - February 2026"/>
    <x v="0"/>
    <s v="Headcount Costs"/>
    <x v="6"/>
    <x v="3"/>
  </r>
  <r>
    <s v="SG"/>
    <x v="1"/>
    <x v="2"/>
    <s v="PHILIPPE JEAN FELIX LEDUC"/>
    <s v="SGD"/>
    <n v="16635"/>
    <n v="13151.863890000001"/>
    <s v="Net Pay - February 2026"/>
    <x v="0"/>
    <s v="Headcount Costs"/>
    <x v="7"/>
    <x v="3"/>
  </r>
  <r>
    <s v="SG"/>
    <x v="1"/>
    <x v="2"/>
    <s v="KEE SHIN YUAN"/>
    <s v="SGD"/>
    <n v="3866.5"/>
    <n v="3056.9090310000001"/>
    <s v="Net Pay - February 2026"/>
    <x v="0"/>
    <s v="Headcount Costs"/>
    <x v="5"/>
    <x v="3"/>
  </r>
  <r>
    <s v="SG"/>
    <x v="1"/>
    <x v="2"/>
    <s v="QIU JIE"/>
    <s v="SGD"/>
    <n v="13364"/>
    <n v="10565.765496"/>
    <s v="Net Pay - February 2026"/>
    <x v="0"/>
    <s v="Headcount Costs"/>
    <x v="8"/>
    <x v="0"/>
  </r>
  <r>
    <s v="SG"/>
    <x v="1"/>
    <x v="2"/>
    <s v="WU XIAOLI"/>
    <s v="SGD"/>
    <n v="9132"/>
    <n v="7219.8870480000005"/>
    <s v="Net Pay - February 2026"/>
    <x v="0"/>
    <s v="Headcount Costs"/>
    <x v="4"/>
    <x v="2"/>
  </r>
  <r>
    <s v="SG"/>
    <x v="1"/>
    <x v="2"/>
    <s v="CALVEN OOI JIA WEI"/>
    <s v="SGD"/>
    <n v="5085"/>
    <n v="4020.2721900000001"/>
    <s v="Net Pay - February 2026"/>
    <x v="0"/>
    <s v="Headcount Costs"/>
    <x v="4"/>
    <x v="2"/>
  </r>
  <r>
    <s v="SG"/>
    <x v="1"/>
    <x v="2"/>
    <s v="STEPHANIE LING WAN QING"/>
    <s v="SGD"/>
    <n v="5878"/>
    <n v="4647.2290920000005"/>
    <s v="Net Pay - February 2026"/>
    <x v="0"/>
    <s v="Headcount Costs"/>
    <x v="8"/>
    <x v="0"/>
  </r>
  <r>
    <s v="SG"/>
    <x v="1"/>
    <x v="2"/>
    <s v="GUO BEITING"/>
    <s v="SGD"/>
    <n v="5198"/>
    <n v="4109.6115719999998"/>
    <s v="Net Pay - February 2026"/>
    <x v="0"/>
    <s v="Headcount Costs"/>
    <x v="4"/>
    <x v="2"/>
  </r>
  <r>
    <s v="SG"/>
    <x v="1"/>
    <x v="3"/>
    <s v="CHEN LIFENG"/>
    <s v="SGD"/>
    <m/>
    <n v="0"/>
    <s v="CDAC - February 2026"/>
    <x v="1"/>
    <s v="Headcount Costs"/>
    <x v="0"/>
    <x v="0"/>
  </r>
  <r>
    <s v="SG"/>
    <x v="1"/>
    <x v="3"/>
    <s v="CHAN JI WEI"/>
    <s v="SGD"/>
    <n v="3"/>
    <n v="2.371842"/>
    <s v="CDAC - February 2026"/>
    <x v="1"/>
    <s v="Headcount Costs"/>
    <x v="1"/>
    <x v="1"/>
  </r>
  <r>
    <s v="SG"/>
    <x v="1"/>
    <x v="3"/>
    <s v="LI FAN"/>
    <s v="SGD"/>
    <m/>
    <n v="0"/>
    <s v="CDAC - February 2026"/>
    <x v="1"/>
    <s v="Headcount Costs"/>
    <x v="0"/>
    <x v="0"/>
  </r>
  <r>
    <s v="SG"/>
    <x v="1"/>
    <x v="3"/>
    <s v="KOH MEI INN"/>
    <s v="SGD"/>
    <n v="2"/>
    <n v="1.5812280000000001"/>
    <s v="CDAC - February 2026"/>
    <x v="1"/>
    <s v="Headcount Costs"/>
    <x v="2"/>
    <x v="1"/>
  </r>
  <r>
    <s v="SG"/>
    <x v="1"/>
    <x v="3"/>
    <s v="THAM SOK WAN"/>
    <s v="SGD"/>
    <n v="3"/>
    <n v="2.371842"/>
    <s v="CDAC - February 2026"/>
    <x v="1"/>
    <s v="Headcount Costs"/>
    <x v="3"/>
    <x v="1"/>
  </r>
  <r>
    <s v="SG"/>
    <x v="1"/>
    <x v="3"/>
    <s v="NG KOK LOON"/>
    <s v="SGD"/>
    <n v="3"/>
    <n v="2.371842"/>
    <s v="CDAC - February 2026"/>
    <x v="1"/>
    <s v="Headcount Costs"/>
    <x v="4"/>
    <x v="2"/>
  </r>
  <r>
    <s v="SG"/>
    <x v="1"/>
    <x v="3"/>
    <s v="YO MENG GI"/>
    <s v="SGD"/>
    <m/>
    <n v="0"/>
    <s v="CDAC - February 2026"/>
    <x v="1"/>
    <s v="Headcount Costs"/>
    <x v="5"/>
    <x v="3"/>
  </r>
  <r>
    <s v="SG"/>
    <x v="1"/>
    <x v="3"/>
    <s v="WU WENLONG"/>
    <s v="SGD"/>
    <m/>
    <n v="0"/>
    <s v="CDAC - February 2026"/>
    <x v="1"/>
    <s v="Headcount Costs"/>
    <x v="6"/>
    <x v="3"/>
  </r>
  <r>
    <s v="SG"/>
    <x v="1"/>
    <x v="3"/>
    <s v="DANNY KWOK CHING YUN"/>
    <s v="SGD"/>
    <n v="3"/>
    <n v="2.371842"/>
    <s v="CDAC - February 2026"/>
    <x v="1"/>
    <s v="Headcount Costs"/>
    <x v="5"/>
    <x v="3"/>
  </r>
  <r>
    <s v="SG"/>
    <x v="1"/>
    <x v="3"/>
    <s v="JIN CHAO"/>
    <s v="SGD"/>
    <m/>
    <n v="0"/>
    <s v="CDAC - February 2026"/>
    <x v="1"/>
    <s v="Headcount Costs"/>
    <x v="6"/>
    <x v="3"/>
  </r>
  <r>
    <s v="SG"/>
    <x v="1"/>
    <x v="3"/>
    <s v="PHILIPPE JEAN FELIX LEDUC"/>
    <s v="SGD"/>
    <m/>
    <n v="0"/>
    <s v="CDAC - February 2026"/>
    <x v="1"/>
    <s v="Headcount Costs"/>
    <x v="7"/>
    <x v="3"/>
  </r>
  <r>
    <s v="SG"/>
    <x v="1"/>
    <x v="3"/>
    <s v="KEE SHIN YUAN"/>
    <s v="SGD"/>
    <n v="1.5"/>
    <n v="1.185921"/>
    <s v="CDAC - February 2026"/>
    <x v="1"/>
    <s v="Headcount Costs"/>
    <x v="5"/>
    <x v="3"/>
  </r>
  <r>
    <s v="SG"/>
    <x v="1"/>
    <x v="3"/>
    <s v="QIU JIE"/>
    <s v="SGD"/>
    <n v="-3"/>
    <n v="-2.371842"/>
    <s v="CDAC - February 2026"/>
    <x v="1"/>
    <s v="Headcount Costs"/>
    <x v="8"/>
    <x v="0"/>
  </r>
  <r>
    <s v="SG"/>
    <x v="1"/>
    <x v="3"/>
    <s v="WU XIAOLI"/>
    <s v="SGD"/>
    <n v="-3"/>
    <n v="-2.371842"/>
    <s v="CDAC - February 2026"/>
    <x v="1"/>
    <s v="Headcount Costs"/>
    <x v="4"/>
    <x v="2"/>
  </r>
  <r>
    <s v="SG"/>
    <x v="1"/>
    <x v="3"/>
    <s v="CALVEN OOI JIA WEI"/>
    <s v="SGD"/>
    <m/>
    <n v="0"/>
    <s v="CDAC - February 2026"/>
    <x v="1"/>
    <s v="Headcount Costs"/>
    <x v="4"/>
    <x v="2"/>
  </r>
  <r>
    <s v="SG"/>
    <x v="1"/>
    <x v="3"/>
    <s v="STEPHANIE LING WAN QING"/>
    <s v="SGD"/>
    <n v="-2"/>
    <n v="-1.5812280000000001"/>
    <s v="CDAC - February 2026"/>
    <x v="1"/>
    <s v="Headcount Costs"/>
    <x v="8"/>
    <x v="0"/>
  </r>
  <r>
    <s v="SG"/>
    <x v="1"/>
    <x v="3"/>
    <s v="GUO BEITING"/>
    <s v="SGD"/>
    <n v="-2"/>
    <n v="-1.5812280000000001"/>
    <s v="CDAC - February 2026"/>
    <x v="1"/>
    <s v="Headcount Costs"/>
    <x v="4"/>
    <x v="2"/>
  </r>
  <r>
    <s v="SG"/>
    <x v="1"/>
    <x v="3"/>
    <s v="CHEN LIFENG"/>
    <s v="SGD"/>
    <n v="0"/>
    <n v="0"/>
    <s v="CPF Employee - February 2026"/>
    <x v="1"/>
    <s v="Headcount Costs"/>
    <x v="0"/>
    <x v="0"/>
  </r>
  <r>
    <s v="SG"/>
    <x v="1"/>
    <x v="3"/>
    <s v="CHAN JI WEI"/>
    <s v="SGD"/>
    <n v="-1600"/>
    <n v="-1264.9824000000001"/>
    <s v="CPF Employee - February 2026"/>
    <x v="1"/>
    <s v="Headcount Costs"/>
    <x v="1"/>
    <x v="1"/>
  </r>
  <r>
    <s v="SG"/>
    <x v="1"/>
    <x v="3"/>
    <s v="LI FAN"/>
    <s v="SGD"/>
    <n v="0"/>
    <n v="0"/>
    <s v="CPF Employee - February 2026"/>
    <x v="1"/>
    <s v="Headcount Costs"/>
    <x v="0"/>
    <x v="0"/>
  </r>
  <r>
    <s v="SG"/>
    <x v="1"/>
    <x v="3"/>
    <s v="KOH MEI INN"/>
    <s v="SGD"/>
    <n v="-1267"/>
    <n v="-1001.707938"/>
    <s v="CPF Employee - February 2026"/>
    <x v="1"/>
    <s v="Headcount Costs"/>
    <x v="2"/>
    <x v="1"/>
  </r>
  <r>
    <s v="SG"/>
    <x v="1"/>
    <x v="3"/>
    <s v="THAM SOK WAN"/>
    <s v="SGD"/>
    <n v="-1440"/>
    <n v="-1138.48416"/>
    <s v="CPF Employee - February 2026"/>
    <x v="1"/>
    <s v="Headcount Costs"/>
    <x v="3"/>
    <x v="1"/>
  </r>
  <r>
    <s v="SG"/>
    <x v="1"/>
    <x v="3"/>
    <s v="NG KOK LOON"/>
    <s v="SGD"/>
    <n v="-1600"/>
    <n v="-1264.9824000000001"/>
    <s v="CPF Employee - February 2026"/>
    <x v="1"/>
    <s v="Headcount Costs"/>
    <x v="4"/>
    <x v="2"/>
  </r>
  <r>
    <s v="SG"/>
    <x v="1"/>
    <x v="3"/>
    <s v="YO MENG GI"/>
    <s v="SGD"/>
    <n v="0"/>
    <n v="0"/>
    <s v="CPF Employee - February 2026"/>
    <x v="1"/>
    <s v="Headcount Costs"/>
    <x v="5"/>
    <x v="3"/>
  </r>
  <r>
    <s v="SG"/>
    <x v="1"/>
    <x v="3"/>
    <s v="WU WENLONG"/>
    <s v="SGD"/>
    <n v="0"/>
    <n v="0"/>
    <s v="CPF Employee - February 2026"/>
    <x v="1"/>
    <s v="Headcount Costs"/>
    <x v="6"/>
    <x v="3"/>
  </r>
  <r>
    <s v="SG"/>
    <x v="1"/>
    <x v="3"/>
    <s v="DANNY KWOK CHING YUN"/>
    <s v="SGD"/>
    <n v="-1600"/>
    <n v="-1264.9824000000001"/>
    <s v="CPF Employee - February 2026"/>
    <x v="1"/>
    <s v="Headcount Costs"/>
    <x v="5"/>
    <x v="3"/>
  </r>
  <r>
    <s v="SG"/>
    <x v="1"/>
    <x v="3"/>
    <s v="JIN CHAO"/>
    <s v="SGD"/>
    <n v="0"/>
    <n v="0"/>
    <s v="CPF Employee - February 2026"/>
    <x v="1"/>
    <s v="Headcount Costs"/>
    <x v="6"/>
    <x v="3"/>
  </r>
  <r>
    <s v="SG"/>
    <x v="1"/>
    <x v="3"/>
    <s v="PHILIPPE JEAN FELIX LEDUC"/>
    <s v="SGD"/>
    <n v="0"/>
    <n v="0"/>
    <s v="CPF Employee - February 2026"/>
    <x v="1"/>
    <s v="Headcount Costs"/>
    <x v="7"/>
    <x v="3"/>
  </r>
  <r>
    <s v="SG"/>
    <x v="1"/>
    <x v="3"/>
    <s v="KEE SHIN YUAN"/>
    <s v="SGD"/>
    <n v="-967"/>
    <n v="-764.52373800000009"/>
    <s v="CPF Employee - February 2026"/>
    <x v="1"/>
    <s v="Headcount Costs"/>
    <x v="5"/>
    <x v="3"/>
  </r>
  <r>
    <s v="SG"/>
    <x v="1"/>
    <x v="3"/>
    <s v="QIU JIE"/>
    <s v="SGD"/>
    <n v="-1600"/>
    <n v="-1264.9824000000001"/>
    <s v="CPF Employee - February 2026"/>
    <x v="1"/>
    <s v="Headcount Costs"/>
    <x v="8"/>
    <x v="0"/>
  </r>
  <r>
    <s v="SG"/>
    <x v="1"/>
    <x v="3"/>
    <s v="WU XIAOLI"/>
    <s v="SGD"/>
    <n v="-1000"/>
    <n v="-790.61400000000003"/>
    <s v="CPF Employee - February 2026"/>
    <x v="1"/>
    <s v="Headcount Costs"/>
    <x v="4"/>
    <x v="2"/>
  </r>
  <r>
    <s v="SG"/>
    <x v="1"/>
    <x v="3"/>
    <s v="CALVEN OOI JIA WEI"/>
    <s v="SGD"/>
    <n v="0"/>
    <n v="0"/>
    <s v="CPF Employee - February 2026"/>
    <x v="1"/>
    <s v="Headcount Costs"/>
    <x v="4"/>
    <x v="2"/>
  </r>
  <r>
    <s v="SG"/>
    <x v="1"/>
    <x v="3"/>
    <s v="STEPHANIE LING WAN QING"/>
    <s v="SGD"/>
    <n v="-1470"/>
    <n v="-1162.2025800000001"/>
    <s v="CPF Employee - February 2026"/>
    <x v="1"/>
    <s v="Headcount Costs"/>
    <x v="8"/>
    <x v="0"/>
  </r>
  <r>
    <s v="SG"/>
    <x v="1"/>
    <x v="3"/>
    <s v="GUO BEITING"/>
    <s v="SGD"/>
    <n v="-1300"/>
    <n v="-1027.7982"/>
    <s v="CPF Employee - February 2026"/>
    <x v="1"/>
    <s v="Headcount Costs"/>
    <x v="4"/>
    <x v="2"/>
  </r>
  <r>
    <s v="SG"/>
    <x v="1"/>
    <x v="3"/>
    <s v="CHEN LIFENG"/>
    <s v="SGD"/>
    <n v="11.25"/>
    <n v="8.8944074999999998"/>
    <s v="SDF - February 2026"/>
    <x v="1"/>
    <s v="Headcount Costs"/>
    <x v="0"/>
    <x v="0"/>
  </r>
  <r>
    <s v="SG"/>
    <x v="1"/>
    <x v="3"/>
    <s v="CHAN JI WEI"/>
    <s v="SGD"/>
    <n v="11.25"/>
    <n v="8.8944074999999998"/>
    <s v="SDF - February 2026"/>
    <x v="1"/>
    <s v="Headcount Costs"/>
    <x v="1"/>
    <x v="1"/>
  </r>
  <r>
    <s v="SG"/>
    <x v="1"/>
    <x v="3"/>
    <s v="LI FAN"/>
    <s v="SGD"/>
    <n v="11.25"/>
    <n v="8.8944074999999998"/>
    <s v="SDF - February 2026"/>
    <x v="1"/>
    <s v="Headcount Costs"/>
    <x v="0"/>
    <x v="0"/>
  </r>
  <r>
    <s v="SG"/>
    <x v="1"/>
    <x v="3"/>
    <s v="KOH MEI INN"/>
    <s v="SGD"/>
    <n v="11.25"/>
    <n v="8.8944074999999998"/>
    <s v="SDF - February 2026"/>
    <x v="1"/>
    <s v="Headcount Costs"/>
    <x v="2"/>
    <x v="1"/>
  </r>
  <r>
    <s v="SG"/>
    <x v="1"/>
    <x v="3"/>
    <s v="THAM SOK WAN"/>
    <s v="SGD"/>
    <n v="11.25"/>
    <n v="8.8944074999999998"/>
    <s v="SDF - February 2026"/>
    <x v="1"/>
    <s v="Headcount Costs"/>
    <x v="3"/>
    <x v="1"/>
  </r>
  <r>
    <s v="SG"/>
    <x v="1"/>
    <x v="3"/>
    <s v="NG KOK LOON"/>
    <s v="SGD"/>
    <n v="11.25"/>
    <n v="8.8944074999999998"/>
    <s v="SDF - February 2026"/>
    <x v="1"/>
    <s v="Headcount Costs"/>
    <x v="4"/>
    <x v="2"/>
  </r>
  <r>
    <s v="SG"/>
    <x v="1"/>
    <x v="3"/>
    <s v="YO MENG GI"/>
    <s v="SGD"/>
    <n v="11.25"/>
    <n v="8.8944074999999998"/>
    <s v="SDF - February 2026"/>
    <x v="1"/>
    <s v="Headcount Costs"/>
    <x v="5"/>
    <x v="3"/>
  </r>
  <r>
    <s v="SG"/>
    <x v="1"/>
    <x v="3"/>
    <s v="WU WENLONG"/>
    <s v="SGD"/>
    <n v="11.25"/>
    <n v="8.8944074999999998"/>
    <s v="SDF - February 2026"/>
    <x v="1"/>
    <s v="Headcount Costs"/>
    <x v="6"/>
    <x v="3"/>
  </r>
  <r>
    <s v="SG"/>
    <x v="1"/>
    <x v="3"/>
    <s v="DANNY KWOK CHING YUN"/>
    <s v="SGD"/>
    <n v="11.25"/>
    <n v="8.8944074999999998"/>
    <s v="SDF - February 2026"/>
    <x v="1"/>
    <s v="Headcount Costs"/>
    <x v="5"/>
    <x v="3"/>
  </r>
  <r>
    <s v="SG"/>
    <x v="1"/>
    <x v="3"/>
    <s v="JIN CHAO"/>
    <s v="SGD"/>
    <n v="11.25"/>
    <n v="8.8944074999999998"/>
    <s v="SDF - February 2026"/>
    <x v="1"/>
    <s v="Headcount Costs"/>
    <x v="6"/>
    <x v="3"/>
  </r>
  <r>
    <s v="SG"/>
    <x v="1"/>
    <x v="3"/>
    <s v="PHILIPPE JEAN FELIX LEDUC"/>
    <s v="SGD"/>
    <n v="11.25"/>
    <n v="8.8944074999999998"/>
    <s v="SDF - February 2026"/>
    <x v="1"/>
    <s v="Headcount Costs"/>
    <x v="7"/>
    <x v="3"/>
  </r>
  <r>
    <s v="SG"/>
    <x v="1"/>
    <x v="3"/>
    <s v="KEE SHIN YUAN"/>
    <s v="SGD"/>
    <n v="11.25"/>
    <n v="8.8944074999999998"/>
    <s v="SDF - February 2026"/>
    <x v="1"/>
    <s v="Headcount Costs"/>
    <x v="5"/>
    <x v="3"/>
  </r>
  <r>
    <s v="SG"/>
    <x v="1"/>
    <x v="3"/>
    <s v="QIU JIE"/>
    <s v="SGD"/>
    <n v="11.25"/>
    <n v="8.8944074999999998"/>
    <s v="SDF - February 2026"/>
    <x v="1"/>
    <s v="Headcount Costs"/>
    <x v="8"/>
    <x v="0"/>
  </r>
  <r>
    <s v="SG"/>
    <x v="1"/>
    <x v="3"/>
    <s v="WU XIAOLI"/>
    <s v="SGD"/>
    <n v="11.25"/>
    <n v="8.8944074999999998"/>
    <s v="SDF - February 2026"/>
    <x v="1"/>
    <s v="Headcount Costs"/>
    <x v="4"/>
    <x v="2"/>
  </r>
  <r>
    <s v="SG"/>
    <x v="1"/>
    <x v="3"/>
    <s v="CALVEN OOI JIA WEI"/>
    <s v="SGD"/>
    <n v="11.25"/>
    <n v="8.8944074999999998"/>
    <s v="SDF - February 2026"/>
    <x v="1"/>
    <s v="Headcount Costs"/>
    <x v="4"/>
    <x v="2"/>
  </r>
  <r>
    <s v="SG"/>
    <x v="1"/>
    <x v="3"/>
    <s v="STEPHANIE LING WAN QING"/>
    <s v="SGD"/>
    <n v="11.25"/>
    <n v="8.8944074999999998"/>
    <s v="SDF - February 2026"/>
    <x v="1"/>
    <s v="Headcount Costs"/>
    <x v="8"/>
    <x v="0"/>
  </r>
  <r>
    <s v="SG"/>
    <x v="1"/>
    <x v="3"/>
    <s v="GUO BEITING"/>
    <s v="SGD"/>
    <n v="11.25"/>
    <n v="8.8944074999999998"/>
    <s v="SDF - February 2026"/>
    <x v="1"/>
    <s v="Headcount Costs"/>
    <x v="4"/>
    <x v="2"/>
  </r>
  <r>
    <s v="SG"/>
    <x v="1"/>
    <x v="3"/>
    <s v="CHEN LIFENG"/>
    <s v="SGD"/>
    <n v="0"/>
    <n v="0"/>
    <s v="CPF Employer - February 2026"/>
    <x v="1"/>
    <s v="Headcount Costs"/>
    <x v="0"/>
    <x v="0"/>
  </r>
  <r>
    <s v="SG"/>
    <x v="1"/>
    <x v="3"/>
    <s v="CHAN JI WEI"/>
    <s v="SGD"/>
    <n v="1360"/>
    <n v="1075.23504"/>
    <s v="CPF Employer - February 2026"/>
    <x v="1"/>
    <s v="Headcount Costs"/>
    <x v="1"/>
    <x v="1"/>
  </r>
  <r>
    <s v="SG"/>
    <x v="1"/>
    <x v="3"/>
    <s v="LI FAN"/>
    <s v="SGD"/>
    <n v="0"/>
    <n v="0"/>
    <s v="CPF Employer - February 2026"/>
    <x v="1"/>
    <s v="Headcount Costs"/>
    <x v="0"/>
    <x v="0"/>
  </r>
  <r>
    <s v="SG"/>
    <x v="1"/>
    <x v="3"/>
    <s v="KOH MEI INN"/>
    <s v="SGD"/>
    <n v="1077"/>
    <n v="851.49127800000008"/>
    <s v="CPF Employer - February 2026"/>
    <x v="1"/>
    <s v="Headcount Costs"/>
    <x v="2"/>
    <x v="1"/>
  </r>
  <r>
    <s v="SG"/>
    <x v="1"/>
    <x v="3"/>
    <s v="THAM SOK WAN"/>
    <s v="SGD"/>
    <n v="1280"/>
    <n v="1011.9859200000001"/>
    <s v="CPF Employer - February 2026"/>
    <x v="1"/>
    <s v="Headcount Costs"/>
    <x v="3"/>
    <x v="1"/>
  </r>
  <r>
    <s v="SG"/>
    <x v="1"/>
    <x v="3"/>
    <s v="NG KOK LOON"/>
    <s v="SGD"/>
    <n v="1360"/>
    <n v="1075.23504"/>
    <s v="CPF Employer - February 2026"/>
    <x v="1"/>
    <s v="Headcount Costs"/>
    <x v="4"/>
    <x v="2"/>
  </r>
  <r>
    <s v="SG"/>
    <x v="1"/>
    <x v="3"/>
    <s v="YO MENG GI"/>
    <s v="SGD"/>
    <n v="0"/>
    <n v="0"/>
    <s v="CPF Employer - February 2026"/>
    <x v="1"/>
    <s v="Headcount Costs"/>
    <x v="5"/>
    <x v="3"/>
  </r>
  <r>
    <s v="SG"/>
    <x v="1"/>
    <x v="3"/>
    <s v="WU WENLONG"/>
    <s v="SGD"/>
    <n v="0"/>
    <n v="0"/>
    <s v="CPF Employer - February 2026"/>
    <x v="1"/>
    <s v="Headcount Costs"/>
    <x v="6"/>
    <x v="3"/>
  </r>
  <r>
    <s v="SG"/>
    <x v="1"/>
    <x v="3"/>
    <s v="DANNY KWOK CHING YUN"/>
    <s v="SGD"/>
    <n v="1360"/>
    <n v="1075.23504"/>
    <s v="CPF Employer - February 2026"/>
    <x v="1"/>
    <s v="Headcount Costs"/>
    <x v="5"/>
    <x v="3"/>
  </r>
  <r>
    <s v="SG"/>
    <x v="1"/>
    <x v="3"/>
    <s v="JIN CHAO"/>
    <s v="SGD"/>
    <n v="0"/>
    <n v="0"/>
    <s v="CPF Employer - February 2026"/>
    <x v="1"/>
    <s v="Headcount Costs"/>
    <x v="6"/>
    <x v="3"/>
  </r>
  <r>
    <s v="SG"/>
    <x v="1"/>
    <x v="3"/>
    <s v="PHILIPPE JEAN FELIX LEDUC"/>
    <s v="SGD"/>
    <n v="0"/>
    <n v="0"/>
    <s v="CPF Employer - February 2026"/>
    <x v="1"/>
    <s v="Headcount Costs"/>
    <x v="7"/>
    <x v="3"/>
  </r>
  <r>
    <s v="SG"/>
    <x v="1"/>
    <x v="3"/>
    <s v="KEE SHIN YUAN"/>
    <s v="SGD"/>
    <n v="822"/>
    <n v="649.88470800000005"/>
    <s v="CPF Employer - February 2026"/>
    <x v="1"/>
    <s v="Headcount Costs"/>
    <x v="5"/>
    <x v="3"/>
  </r>
  <r>
    <s v="SG"/>
    <x v="1"/>
    <x v="3"/>
    <s v="QIU JIE"/>
    <s v="SGD"/>
    <n v="1360"/>
    <n v="1075.23504"/>
    <s v="CPF Employer - February 2026"/>
    <x v="1"/>
    <s v="Headcount Costs"/>
    <x v="8"/>
    <x v="0"/>
  </r>
  <r>
    <s v="SG"/>
    <x v="1"/>
    <x v="3"/>
    <s v="WU XIAOLI"/>
    <s v="SGD"/>
    <n v="1000"/>
    <n v="790.61400000000003"/>
    <s v="CPF Employer - February 2026"/>
    <x v="1"/>
    <s v="Headcount Costs"/>
    <x v="4"/>
    <x v="2"/>
  </r>
  <r>
    <s v="SG"/>
    <x v="1"/>
    <x v="3"/>
    <s v="CALVEN OOI JIA WEI"/>
    <s v="SGD"/>
    <n v="0"/>
    <n v="0"/>
    <s v="CPF Employer - February 2026"/>
    <x v="1"/>
    <s v="Headcount Costs"/>
    <x v="4"/>
    <x v="2"/>
  </r>
  <r>
    <s v="SG"/>
    <x v="1"/>
    <x v="3"/>
    <s v="STEPHANIE LING WAN QING"/>
    <s v="SGD"/>
    <n v="1250"/>
    <n v="988.26750000000004"/>
    <s v="CPF Employer - February 2026"/>
    <x v="1"/>
    <s v="Headcount Costs"/>
    <x v="8"/>
    <x v="0"/>
  </r>
  <r>
    <s v="SG"/>
    <x v="1"/>
    <x v="3"/>
    <s v="GUO BEITING"/>
    <s v="SGD"/>
    <n v="1105"/>
    <n v="873.62846999999999"/>
    <s v="CPF Employer - February 2026"/>
    <x v="1"/>
    <s v="Headcount Costs"/>
    <x v="4"/>
    <x v="2"/>
  </r>
  <r>
    <s v="SG"/>
    <x v="2"/>
    <x v="4"/>
    <s v="WU XIAOLI"/>
    <s v="SGD"/>
    <n v="805.87"/>
    <n v="624.66690702000005"/>
    <s v="Net Pay - March 2026"/>
    <x v="0"/>
    <s v="Headcount Costs"/>
    <x v="4"/>
    <x v="2"/>
  </r>
  <r>
    <s v="SG"/>
    <x v="2"/>
    <x v="4"/>
    <s v="WU XIAOLI"/>
    <s v="SGD"/>
    <n v="0.5"/>
    <n v="0.387573"/>
    <s v="CDAC - March 2026"/>
    <x v="0"/>
    <s v="Headcount Costs"/>
    <x v="4"/>
    <x v="2"/>
  </r>
  <r>
    <s v="SG"/>
    <x v="2"/>
    <x v="5"/>
    <s v="WU XIAOLI"/>
    <s v="SGD"/>
    <n v="115"/>
    <n v="89.14179"/>
    <s v="CPF Employee - March 2026"/>
    <x v="0"/>
    <s v="Headcount Costs"/>
    <x v="4"/>
    <x v="2"/>
  </r>
  <r>
    <s v="SG"/>
    <x v="2"/>
    <x v="5"/>
    <s v="WU XIAOLI"/>
    <s v="SGD"/>
    <n v="2.2999999999999998"/>
    <n v="1.7828358"/>
    <s v="SDF - March 2026"/>
    <x v="1"/>
    <s v="Headcount Costs"/>
    <x v="4"/>
    <x v="2"/>
  </r>
  <r>
    <s v="SG"/>
    <x v="2"/>
    <x v="5"/>
    <s v="WU XIAOLI"/>
    <s v="SGD"/>
    <n v="115"/>
    <n v="89.14179"/>
    <s v="CPF Employer - March 2026"/>
    <x v="1"/>
    <s v="Headcount Costs"/>
    <x v="4"/>
    <x v="2"/>
  </r>
  <r>
    <s v="SG"/>
    <x v="3"/>
    <x v="6"/>
    <s v="PHILIPPE JEAN FELIX LEDUC"/>
    <s v="SGD"/>
    <n v="13902.65"/>
    <n v="10776.5835369"/>
    <s v="Net Pay - March 2026"/>
    <x v="0"/>
    <s v="Headcount Costs"/>
    <x v="7"/>
    <x v="3"/>
  </r>
  <r>
    <s v="SG"/>
    <x v="3"/>
    <x v="4"/>
    <s v="PHILIPPE JEAN FELIX LEDUC"/>
    <s v="SGD"/>
    <n v="11422.09"/>
    <n v="8853.7873751400002"/>
    <s v="Net Pay - March 2026 (IR21)"/>
    <x v="0"/>
    <s v="Headcount Costs"/>
    <x v="7"/>
    <x v="3"/>
  </r>
  <r>
    <s v="SG"/>
    <x v="3"/>
    <x v="5"/>
    <s v="PHILIPPE JEAN FELIX LEDUC"/>
    <s v="SGD"/>
    <n v="11.25"/>
    <n v="8.7203925000000009"/>
    <s v="SDF - March 2026"/>
    <x v="1"/>
    <s v="Headcount Costs"/>
    <x v="7"/>
    <x v="3"/>
  </r>
  <r>
    <s v="SG"/>
    <x v="4"/>
    <x v="7"/>
    <s v="CHEN LIFENG"/>
    <s v="SGD"/>
    <n v="32550"/>
    <n v="25231.0023"/>
    <s v="Net Pay - March 2026"/>
    <x v="0"/>
    <s v="Headcount Costs"/>
    <x v="0"/>
    <x v="0"/>
  </r>
  <r>
    <s v="SG"/>
    <x v="4"/>
    <x v="7"/>
    <s v="CHAN JI WEI"/>
    <s v="SGD"/>
    <n v="9632"/>
    <n v="7466.2062720000004"/>
    <s v="Net Pay - March 2026"/>
    <x v="0"/>
    <s v="Headcount Costs"/>
    <x v="1"/>
    <x v="1"/>
  </r>
  <r>
    <s v="SG"/>
    <x v="4"/>
    <x v="7"/>
    <s v="CHAN JI WEI"/>
    <s v="SGD"/>
    <n v="1200"/>
    <n v="930.17520000000002"/>
    <s v="Spot Award 2025"/>
    <x v="2"/>
    <s v="Headcount Costs"/>
    <x v="1"/>
    <x v="1"/>
  </r>
  <r>
    <s v="SG"/>
    <x v="4"/>
    <x v="7"/>
    <s v="LI FAN"/>
    <s v="SGD"/>
    <n v="23550"/>
    <n v="18254.688300000002"/>
    <s v="Net Pay - March 2026"/>
    <x v="0"/>
    <s v="Headcount Costs"/>
    <x v="0"/>
    <x v="0"/>
  </r>
  <r>
    <s v="SG"/>
    <x v="4"/>
    <x v="7"/>
    <s v="KOH MEI INN"/>
    <s v="SGD"/>
    <n v="7345"/>
    <n v="5693.4473699999999"/>
    <s v="Net Pay - March 2026"/>
    <x v="0"/>
    <s v="Headcount Costs"/>
    <x v="2"/>
    <x v="1"/>
  </r>
  <r>
    <s v="SG"/>
    <x v="4"/>
    <x v="7"/>
    <s v="THAM SOK WAN"/>
    <s v="SGD"/>
    <n v="12207"/>
    <n v="9462.2072220000009"/>
    <s v="Net Pay - March 2026"/>
    <x v="0"/>
    <s v="Headcount Costs"/>
    <x v="3"/>
    <x v="1"/>
  </r>
  <r>
    <s v="SG"/>
    <x v="4"/>
    <x v="7"/>
    <s v="NG KOK LOON"/>
    <s v="SGD"/>
    <n v="6782"/>
    <n v="5257.040172"/>
    <s v="Net Pay - March 2026"/>
    <x v="0"/>
    <s v="Headcount Costs"/>
    <x v="4"/>
    <x v="2"/>
  </r>
  <r>
    <s v="SG"/>
    <x v="4"/>
    <x v="7"/>
    <s v="YO MENG GI"/>
    <s v="SGD"/>
    <n v="7865"/>
    <n v="6096.5232900000001"/>
    <s v="Net Pay - March 2026"/>
    <x v="0"/>
    <s v="Headcount Costs"/>
    <x v="5"/>
    <x v="3"/>
  </r>
  <r>
    <s v="SG"/>
    <x v="4"/>
    <x v="7"/>
    <s v="WU WENLONG"/>
    <s v="SGD"/>
    <n v="15340"/>
    <n v="11890.73964"/>
    <s v="Net Pay - March 2026"/>
    <x v="0"/>
    <s v="Headcount Costs"/>
    <x v="6"/>
    <x v="3"/>
  </r>
  <r>
    <s v="SG"/>
    <x v="4"/>
    <x v="7"/>
    <s v="DANNY KWOK CHING YUN"/>
    <s v="SGD"/>
    <n v="21324"/>
    <n v="16529.213304000001"/>
    <s v="Net Pay - March 2026"/>
    <x v="0"/>
    <s v="Headcount Costs"/>
    <x v="5"/>
    <x v="3"/>
  </r>
  <r>
    <s v="SG"/>
    <x v="4"/>
    <x v="7"/>
    <s v="DANNY KWOK CHING YUN"/>
    <s v="SGD"/>
    <n v="2000"/>
    <n v="1550.2919999999999"/>
    <s v="Spot Award 2025"/>
    <x v="2"/>
    <s v="Headcount Costs"/>
    <x v="5"/>
    <x v="3"/>
  </r>
  <r>
    <s v="SG"/>
    <x v="4"/>
    <x v="7"/>
    <s v="JIN CHAO"/>
    <s v="SGD"/>
    <n v="27339"/>
    <n v="21191.716494"/>
    <s v="Net Pay - March 2026"/>
    <x v="0"/>
    <s v="Headcount Costs"/>
    <x v="6"/>
    <x v="3"/>
  </r>
  <r>
    <s v="SG"/>
    <x v="4"/>
    <x v="7"/>
    <s v="KEE SHIN YUAN"/>
    <s v="SGD"/>
    <n v="2636.59"/>
    <n v="2043.74219214"/>
    <s v="Net Pay - March 2026"/>
    <x v="0"/>
    <s v="Headcount Costs"/>
    <x v="5"/>
    <x v="3"/>
  </r>
  <r>
    <s v="SG"/>
    <x v="4"/>
    <x v="7"/>
    <s v="QIU JIE"/>
    <s v="SGD"/>
    <n v="13164"/>
    <n v="10204.021944"/>
    <s v="Net Pay - March 2026"/>
    <x v="0"/>
    <s v="Headcount Costs"/>
    <x v="8"/>
    <x v="0"/>
  </r>
  <r>
    <s v="SG"/>
    <x v="4"/>
    <x v="7"/>
    <s v="QIU JIE"/>
    <s v="SGD"/>
    <n v="1000"/>
    <n v="775.14599999999996"/>
    <s v="Spot Award 2025"/>
    <x v="2"/>
    <s v="Headcount Costs"/>
    <x v="8"/>
    <x v="0"/>
  </r>
  <r>
    <s v="SG"/>
    <x v="4"/>
    <x v="7"/>
    <s v="CALVEN OOI JIA WEI"/>
    <s v="SGD"/>
    <n v="5085"/>
    <n v="3941.6174099999998"/>
    <s v="Net Pay - March 2026"/>
    <x v="0"/>
    <s v="Headcount Costs"/>
    <x v="4"/>
    <x v="2"/>
  </r>
  <r>
    <s v="SG"/>
    <x v="4"/>
    <x v="7"/>
    <s v="STEPHANIE LING WAN QING"/>
    <s v="SGD"/>
    <n v="5677"/>
    <n v="4400.5038420000001"/>
    <s v="Net Pay - March 2026"/>
    <x v="0"/>
    <s v="Headcount Costs"/>
    <x v="8"/>
    <x v="0"/>
  </r>
  <r>
    <s v="SG"/>
    <x v="4"/>
    <x v="7"/>
    <s v="STEPHANIE LING WAN QING"/>
    <s v="SGD"/>
    <n v="1000"/>
    <n v="775.14599999999996"/>
    <s v="Spot Award 2025"/>
    <x v="2"/>
    <s v="Headcount Costs"/>
    <x v="8"/>
    <x v="0"/>
  </r>
  <r>
    <s v="SG"/>
    <x v="4"/>
    <x v="7"/>
    <s v="GUO BEITING"/>
    <s v="SGD"/>
    <n v="5198"/>
    <n v="4029.2089080000001"/>
    <s v="Net Pay - March 2026"/>
    <x v="0"/>
    <s v="Headcount Costs"/>
    <x v="4"/>
    <x v="2"/>
  </r>
  <r>
    <s v="SG"/>
    <x v="4"/>
    <x v="7"/>
    <s v="LYNN CHAN WAI YIN"/>
    <s v="SGD"/>
    <n v="3307.86"/>
    <n v="2564.07444756"/>
    <s v="Net Pay - March 2026"/>
    <x v="0"/>
    <s v="Headcount Costs"/>
    <x v="3"/>
    <x v="1"/>
  </r>
  <r>
    <s v="SG"/>
    <x v="4"/>
    <x v="7"/>
    <s v="CHENG YI YANG"/>
    <s v="SGD"/>
    <n v="3566.58"/>
    <n v="2764.6202206799999"/>
    <s v="Net Pay - March 2026"/>
    <x v="0"/>
    <s v="Headcount Costs"/>
    <x v="4"/>
    <x v="2"/>
  </r>
  <r>
    <s v="SG"/>
    <x v="4"/>
    <x v="7"/>
    <s v="TANG KIN LEUNG"/>
    <s v="SGD"/>
    <n v="1272.4100000000001"/>
    <n v="986.30352186000005"/>
    <s v="Net Pay - March 2026"/>
    <x v="0"/>
    <s v="Headcount Costs"/>
    <x v="9"/>
    <x v="0"/>
  </r>
  <r>
    <s v="SG"/>
    <x v="4"/>
    <x v="5"/>
    <s v="CHEN LIFENG"/>
    <s v="SGD"/>
    <m/>
    <n v="0"/>
    <s v="CDAC - March 2026"/>
    <x v="0"/>
    <s v="Headcount Costs"/>
    <x v="0"/>
    <x v="0"/>
  </r>
  <r>
    <s v="SG"/>
    <x v="4"/>
    <x v="5"/>
    <s v="CHAN JI WEI"/>
    <s v="SGD"/>
    <n v="3"/>
    <n v="2.3254380000000001"/>
    <s v="CDAC - March 2026"/>
    <x v="0"/>
    <s v="Headcount Costs"/>
    <x v="1"/>
    <x v="1"/>
  </r>
  <r>
    <s v="SG"/>
    <x v="4"/>
    <x v="5"/>
    <s v="LI FAN"/>
    <s v="SGD"/>
    <m/>
    <n v="0"/>
    <s v="CDAC - March 2026"/>
    <x v="0"/>
    <s v="Headcount Costs"/>
    <x v="0"/>
    <x v="0"/>
  </r>
  <r>
    <s v="SG"/>
    <x v="4"/>
    <x v="5"/>
    <s v="KOH MEI INN"/>
    <s v="SGD"/>
    <n v="3"/>
    <n v="2.3254380000000001"/>
    <s v="CDAC - March 2026"/>
    <x v="0"/>
    <s v="Headcount Costs"/>
    <x v="2"/>
    <x v="1"/>
  </r>
  <r>
    <s v="SG"/>
    <x v="4"/>
    <x v="5"/>
    <s v="THAM SOK WAN"/>
    <s v="SGD"/>
    <n v="3"/>
    <n v="2.3254380000000001"/>
    <s v="CDAC - March 2026"/>
    <x v="0"/>
    <s v="Headcount Costs"/>
    <x v="3"/>
    <x v="1"/>
  </r>
  <r>
    <s v="SG"/>
    <x v="4"/>
    <x v="5"/>
    <s v="NG KOK LOON"/>
    <s v="SGD"/>
    <n v="3"/>
    <n v="2.3254380000000001"/>
    <s v="CDAC - March 2026"/>
    <x v="0"/>
    <s v="Headcount Costs"/>
    <x v="4"/>
    <x v="2"/>
  </r>
  <r>
    <s v="SG"/>
    <x v="4"/>
    <x v="5"/>
    <s v="YO MENG GI"/>
    <s v="SGD"/>
    <m/>
    <n v="0"/>
    <s v="CDAC - March 2026"/>
    <x v="0"/>
    <s v="Headcount Costs"/>
    <x v="5"/>
    <x v="3"/>
  </r>
  <r>
    <s v="SG"/>
    <x v="4"/>
    <x v="5"/>
    <s v="WU WENLONG"/>
    <s v="SGD"/>
    <m/>
    <n v="0"/>
    <s v="CDAC - March 2026"/>
    <x v="0"/>
    <s v="Headcount Costs"/>
    <x v="6"/>
    <x v="3"/>
  </r>
  <r>
    <s v="SG"/>
    <x v="4"/>
    <x v="5"/>
    <s v="DANNY KWOK CHING YUN"/>
    <s v="SGD"/>
    <n v="3"/>
    <n v="2.3254380000000001"/>
    <s v="CDAC - March 2026"/>
    <x v="0"/>
    <s v="Headcount Costs"/>
    <x v="5"/>
    <x v="3"/>
  </r>
  <r>
    <s v="SG"/>
    <x v="4"/>
    <x v="5"/>
    <s v="JIN CHAO"/>
    <s v="SGD"/>
    <m/>
    <n v="0"/>
    <s v="CDAC - March 2026"/>
    <x v="0"/>
    <s v="Headcount Costs"/>
    <x v="6"/>
    <x v="3"/>
  </r>
  <r>
    <s v="SG"/>
    <x v="4"/>
    <x v="5"/>
    <s v="KEE SHIN YUAN"/>
    <s v="SGD"/>
    <n v="1"/>
    <n v="0.775146"/>
    <s v="CDAC - March 2026"/>
    <x v="0"/>
    <s v="Headcount Costs"/>
    <x v="5"/>
    <x v="3"/>
  </r>
  <r>
    <s v="SG"/>
    <x v="4"/>
    <x v="5"/>
    <s v="QIU JIE"/>
    <s v="SGD"/>
    <n v="3"/>
    <n v="2.3254380000000001"/>
    <s v="CDAC - March 2026"/>
    <x v="0"/>
    <s v="Headcount Costs"/>
    <x v="8"/>
    <x v="0"/>
  </r>
  <r>
    <s v="SG"/>
    <x v="4"/>
    <x v="5"/>
    <s v="CALVEN OOI JIA WEI"/>
    <s v="SGD"/>
    <m/>
    <n v="0"/>
    <s v="CDAC - March 2026"/>
    <x v="0"/>
    <s v="Headcount Costs"/>
    <x v="4"/>
    <x v="2"/>
  </r>
  <r>
    <s v="SG"/>
    <x v="4"/>
    <x v="5"/>
    <s v="STEPHANIE LING WAN QING"/>
    <s v="SGD"/>
    <n v="3"/>
    <n v="2.3254380000000001"/>
    <s v="CDAC - March 2026"/>
    <x v="0"/>
    <s v="Headcount Costs"/>
    <x v="8"/>
    <x v="0"/>
  </r>
  <r>
    <s v="SG"/>
    <x v="4"/>
    <x v="5"/>
    <s v="GUO BEITING"/>
    <s v="SGD"/>
    <n v="2"/>
    <n v="1.550292"/>
    <s v="CDAC - March 2026"/>
    <x v="0"/>
    <s v="Headcount Costs"/>
    <x v="4"/>
    <x v="2"/>
  </r>
  <r>
    <s v="SG"/>
    <x v="4"/>
    <x v="5"/>
    <s v="LYNN CHAN WAI YIN"/>
    <s v="SGD"/>
    <n v="1.5"/>
    <n v="1.1627190000000001"/>
    <s v="CDAC - March 2026"/>
    <x v="0"/>
    <s v="Headcount Costs"/>
    <x v="3"/>
    <x v="1"/>
  </r>
  <r>
    <s v="SG"/>
    <x v="4"/>
    <x v="5"/>
    <s v="CHENG YI YANG"/>
    <s v="SGD"/>
    <n v="1.5"/>
    <n v="1.1627190000000001"/>
    <s v="CDAC - March 2026"/>
    <x v="0"/>
    <s v="Headcount Costs"/>
    <x v="4"/>
    <x v="2"/>
  </r>
  <r>
    <s v="SG"/>
    <x v="4"/>
    <x v="5"/>
    <s v="TANG KIN LEUNG"/>
    <s v="SGD"/>
    <n v="0.5"/>
    <n v="0.387573"/>
    <s v="CDAC - March 2026"/>
    <x v="0"/>
    <s v="Headcount Costs"/>
    <x v="9"/>
    <x v="0"/>
  </r>
  <r>
    <s v="SG"/>
    <x v="4"/>
    <x v="5"/>
    <s v="CHEN LIFENG"/>
    <s v="SGD"/>
    <n v="0"/>
    <n v="0"/>
    <s v="CPF Employee - March 2026"/>
    <x v="1"/>
    <s v="Headcount Costs"/>
    <x v="0"/>
    <x v="0"/>
  </r>
  <r>
    <s v="SG"/>
    <x v="4"/>
    <x v="5"/>
    <s v="CHAN JI WEI"/>
    <s v="SGD"/>
    <n v="2650"/>
    <n v="2054.1369"/>
    <s v="CPF Employee - March 2026"/>
    <x v="1"/>
    <s v="Headcount Costs"/>
    <x v="1"/>
    <x v="1"/>
  </r>
  <r>
    <s v="SG"/>
    <x v="4"/>
    <x v="5"/>
    <s v="LI FAN"/>
    <s v="SGD"/>
    <n v="0"/>
    <n v="0"/>
    <s v="CPF Employee - March 2026"/>
    <x v="1"/>
    <s v="Headcount Costs"/>
    <x v="0"/>
    <x v="0"/>
  </r>
  <r>
    <s v="SG"/>
    <x v="4"/>
    <x v="5"/>
    <s v="KOH MEI INN"/>
    <s v="SGD"/>
    <n v="1837"/>
    <n v="1423.9432019999999"/>
    <s v="CPF Employee - March 2026"/>
    <x v="1"/>
    <s v="Headcount Costs"/>
    <x v="2"/>
    <x v="1"/>
  </r>
  <r>
    <s v="SG"/>
    <x v="4"/>
    <x v="5"/>
    <s v="THAM SOK WAN"/>
    <s v="SGD"/>
    <n v="1440"/>
    <n v="1116.2102400000001"/>
    <s v="CPF Employee - March 2026"/>
    <x v="1"/>
    <s v="Headcount Costs"/>
    <x v="3"/>
    <x v="1"/>
  </r>
  <r>
    <s v="SG"/>
    <x v="4"/>
    <x v="5"/>
    <s v="NG KOK LOON"/>
    <s v="SGD"/>
    <n v="1600"/>
    <n v="1240.2336"/>
    <s v="CPF Employee - March 2026"/>
    <x v="1"/>
    <s v="Headcount Costs"/>
    <x v="4"/>
    <x v="2"/>
  </r>
  <r>
    <s v="SG"/>
    <x v="4"/>
    <x v="5"/>
    <s v="YO MENG GI"/>
    <s v="SGD"/>
    <n v="0"/>
    <n v="0"/>
    <s v="CPF Employee - March 2026"/>
    <x v="1"/>
    <s v="Headcount Costs"/>
    <x v="5"/>
    <x v="3"/>
  </r>
  <r>
    <s v="SG"/>
    <x v="4"/>
    <x v="5"/>
    <s v="WU WENLONG"/>
    <s v="SGD"/>
    <n v="0"/>
    <n v="0"/>
    <s v="CPF Employee - March 2026"/>
    <x v="1"/>
    <s v="Headcount Costs"/>
    <x v="6"/>
    <x v="3"/>
  </r>
  <r>
    <s v="SG"/>
    <x v="4"/>
    <x v="5"/>
    <s v="DANNY KWOK CHING YUN"/>
    <s v="SGD"/>
    <n v="2800"/>
    <n v="2170.4088000000002"/>
    <s v="CPF Employee - March 2026"/>
    <x v="1"/>
    <s v="Headcount Costs"/>
    <x v="5"/>
    <x v="3"/>
  </r>
  <r>
    <s v="SG"/>
    <x v="4"/>
    <x v="5"/>
    <s v="JIN CHAO"/>
    <s v="SGD"/>
    <n v="0"/>
    <n v="0"/>
    <s v="CPF Employee - March 2026"/>
    <x v="1"/>
    <s v="Headcount Costs"/>
    <x v="6"/>
    <x v="3"/>
  </r>
  <r>
    <s v="SG"/>
    <x v="4"/>
    <x v="5"/>
    <s v="KEE SHIN YUAN"/>
    <s v="SGD"/>
    <n v="659"/>
    <n v="510.821214"/>
    <s v="CPF Employee - March 2026"/>
    <x v="1"/>
    <s v="Headcount Costs"/>
    <x v="5"/>
    <x v="3"/>
  </r>
  <r>
    <s v="SG"/>
    <x v="4"/>
    <x v="5"/>
    <s v="QIU JIE"/>
    <s v="SGD"/>
    <n v="1800"/>
    <n v="1395.2628"/>
    <s v="CPF Employee - March 2026"/>
    <x v="1"/>
    <s v="Headcount Costs"/>
    <x v="8"/>
    <x v="0"/>
  </r>
  <r>
    <s v="SG"/>
    <x v="4"/>
    <x v="5"/>
    <s v="CALVEN OOI JIA WEI"/>
    <s v="SGD"/>
    <n v="0"/>
    <n v="0"/>
    <s v="CPF Employee - March 2026"/>
    <x v="1"/>
    <s v="Headcount Costs"/>
    <x v="4"/>
    <x v="2"/>
  </r>
  <r>
    <s v="SG"/>
    <x v="4"/>
    <x v="5"/>
    <s v="STEPHANIE LING WAN QING"/>
    <s v="SGD"/>
    <n v="1670"/>
    <n v="1294.4938199999999"/>
    <s v="CPF Employee - March 2026"/>
    <x v="1"/>
    <s v="Headcount Costs"/>
    <x v="8"/>
    <x v="0"/>
  </r>
  <r>
    <s v="SG"/>
    <x v="4"/>
    <x v="5"/>
    <s v="GUO BEITING"/>
    <s v="SGD"/>
    <n v="1300"/>
    <n v="1007.6898"/>
    <s v="CPF Employee - March 2026"/>
    <x v="1"/>
    <s v="Headcount Costs"/>
    <x v="4"/>
    <x v="2"/>
  </r>
  <r>
    <s v="SG"/>
    <x v="4"/>
    <x v="5"/>
    <s v="LYNN CHAN WAI YIN"/>
    <s v="SGD"/>
    <n v="827"/>
    <n v="641.04574200000002"/>
    <s v="CPF Employee - March 2026"/>
    <x v="1"/>
    <s v="Headcount Costs"/>
    <x v="3"/>
    <x v="1"/>
  </r>
  <r>
    <s v="SG"/>
    <x v="4"/>
    <x v="5"/>
    <s v="CHENG YI YANG"/>
    <s v="SGD"/>
    <n v="891"/>
    <n v="690.65508599999998"/>
    <s v="CPF Employee - March 2026"/>
    <x v="1"/>
    <s v="Headcount Costs"/>
    <x v="4"/>
    <x v="2"/>
  </r>
  <r>
    <s v="SG"/>
    <x v="4"/>
    <x v="5"/>
    <s v="TANG KIN LEUNG"/>
    <s v="SGD"/>
    <n v="318"/>
    <n v="246.49642800000001"/>
    <s v="CPF Employee - March 2026"/>
    <x v="1"/>
    <s v="Headcount Costs"/>
    <x v="9"/>
    <x v="0"/>
  </r>
  <r>
    <s v="SG"/>
    <x v="4"/>
    <x v="5"/>
    <s v="CHEN LIFENG"/>
    <s v="SGD"/>
    <n v="11.25"/>
    <n v="8.7203925000000009"/>
    <s v="SDF - March 2026"/>
    <x v="1"/>
    <s v="Headcount Costs"/>
    <x v="0"/>
    <x v="0"/>
  </r>
  <r>
    <s v="SG"/>
    <x v="4"/>
    <x v="5"/>
    <s v="CHAN JI WEI"/>
    <s v="SGD"/>
    <n v="11.25"/>
    <n v="8.7203925000000009"/>
    <s v="SDF - March 2026"/>
    <x v="1"/>
    <s v="Headcount Costs"/>
    <x v="1"/>
    <x v="1"/>
  </r>
  <r>
    <s v="SG"/>
    <x v="4"/>
    <x v="5"/>
    <s v="LI FAN"/>
    <s v="SGD"/>
    <n v="11.25"/>
    <n v="8.7203925000000009"/>
    <s v="SDF - March 2026"/>
    <x v="1"/>
    <s v="Headcount Costs"/>
    <x v="0"/>
    <x v="0"/>
  </r>
  <r>
    <s v="SG"/>
    <x v="4"/>
    <x v="5"/>
    <s v="KOH MEI INN"/>
    <s v="SGD"/>
    <n v="11.25"/>
    <n v="8.7203925000000009"/>
    <s v="SDF - March 2026"/>
    <x v="1"/>
    <s v="Headcount Costs"/>
    <x v="2"/>
    <x v="1"/>
  </r>
  <r>
    <s v="SG"/>
    <x v="4"/>
    <x v="5"/>
    <s v="THAM SOK WAN"/>
    <s v="SGD"/>
    <n v="11.25"/>
    <n v="8.7203925000000009"/>
    <s v="SDF - March 2026"/>
    <x v="1"/>
    <s v="Headcount Costs"/>
    <x v="3"/>
    <x v="1"/>
  </r>
  <r>
    <s v="SG"/>
    <x v="4"/>
    <x v="5"/>
    <s v="NG KOK LOON"/>
    <s v="SGD"/>
    <n v="11.25"/>
    <n v="8.7203925000000009"/>
    <s v="SDF - March 2026"/>
    <x v="1"/>
    <s v="Headcount Costs"/>
    <x v="4"/>
    <x v="2"/>
  </r>
  <r>
    <s v="SG"/>
    <x v="4"/>
    <x v="5"/>
    <s v="YO MENG GI"/>
    <s v="SGD"/>
    <n v="11.25"/>
    <n v="8.7203925000000009"/>
    <s v="SDF - March 2026"/>
    <x v="1"/>
    <s v="Headcount Costs"/>
    <x v="5"/>
    <x v="3"/>
  </r>
  <r>
    <s v="SG"/>
    <x v="4"/>
    <x v="5"/>
    <s v="WU WENLONG"/>
    <s v="SGD"/>
    <n v="11.25"/>
    <n v="8.7203925000000009"/>
    <s v="SDF - March 2026"/>
    <x v="1"/>
    <s v="Headcount Costs"/>
    <x v="6"/>
    <x v="3"/>
  </r>
  <r>
    <s v="SG"/>
    <x v="4"/>
    <x v="5"/>
    <s v="DANNY KWOK CHING YUN"/>
    <s v="SGD"/>
    <n v="11.25"/>
    <n v="8.7203925000000009"/>
    <s v="SDF - March 2026"/>
    <x v="1"/>
    <s v="Headcount Costs"/>
    <x v="5"/>
    <x v="3"/>
  </r>
  <r>
    <s v="SG"/>
    <x v="4"/>
    <x v="5"/>
    <s v="JIN CHAO"/>
    <s v="SGD"/>
    <n v="11.25"/>
    <n v="8.7203925000000009"/>
    <s v="SDF - March 2026"/>
    <x v="1"/>
    <s v="Headcount Costs"/>
    <x v="6"/>
    <x v="3"/>
  </r>
  <r>
    <s v="SG"/>
    <x v="4"/>
    <x v="5"/>
    <s v="KEE SHIN YUAN"/>
    <s v="SGD"/>
    <n v="8.24"/>
    <n v="6.3872030400000002"/>
    <s v="SDF - March 2026"/>
    <x v="1"/>
    <s v="Headcount Costs"/>
    <x v="5"/>
    <x v="3"/>
  </r>
  <r>
    <s v="SG"/>
    <x v="4"/>
    <x v="5"/>
    <s v="QIU JIE"/>
    <s v="SGD"/>
    <n v="11.25"/>
    <n v="8.7203925000000009"/>
    <s v="SDF - March 2026"/>
    <x v="1"/>
    <s v="Headcount Costs"/>
    <x v="8"/>
    <x v="0"/>
  </r>
  <r>
    <s v="SG"/>
    <x v="4"/>
    <x v="5"/>
    <s v="CALVEN OOI JIA WEI"/>
    <s v="SGD"/>
    <n v="11.25"/>
    <n v="8.7203925000000009"/>
    <s v="SDF - March 2026"/>
    <x v="1"/>
    <s v="Headcount Costs"/>
    <x v="4"/>
    <x v="2"/>
  </r>
  <r>
    <s v="SG"/>
    <x v="4"/>
    <x v="5"/>
    <s v="STEPHANIE LING WAN QING"/>
    <s v="SGD"/>
    <n v="11.25"/>
    <n v="8.7203925000000009"/>
    <s v="SDF - March 2026"/>
    <x v="1"/>
    <s v="Headcount Costs"/>
    <x v="8"/>
    <x v="0"/>
  </r>
  <r>
    <s v="SG"/>
    <x v="4"/>
    <x v="5"/>
    <s v="GUO BEITING"/>
    <s v="SGD"/>
    <n v="11.25"/>
    <n v="8.7203925000000009"/>
    <s v="SDF - March 2026"/>
    <x v="1"/>
    <s v="Headcount Costs"/>
    <x v="4"/>
    <x v="2"/>
  </r>
  <r>
    <s v="SG"/>
    <x v="4"/>
    <x v="5"/>
    <s v="LYNN CHAN WAI YIN"/>
    <s v="SGD"/>
    <n v="10.34"/>
    <n v="8.0150096400000006"/>
    <s v="SDF - March 2026"/>
    <x v="1"/>
    <s v="Headcount Costs"/>
    <x v="3"/>
    <x v="1"/>
  </r>
  <r>
    <s v="SG"/>
    <x v="4"/>
    <x v="5"/>
    <s v="CHENG YI YANG"/>
    <s v="SGD"/>
    <n v="11.15"/>
    <n v="8.6428779000000002"/>
    <s v="SDF - March 2026"/>
    <x v="1"/>
    <s v="Headcount Costs"/>
    <x v="4"/>
    <x v="2"/>
  </r>
  <r>
    <s v="SG"/>
    <x v="4"/>
    <x v="5"/>
    <s v="TANG KIN LEUNG"/>
    <s v="SGD"/>
    <n v="3.98"/>
    <n v="3.0850810800000001"/>
    <s v="SDF - March 2026"/>
    <x v="1"/>
    <s v="Headcount Costs"/>
    <x v="9"/>
    <x v="0"/>
  </r>
  <r>
    <s v="SG"/>
    <x v="4"/>
    <x v="5"/>
    <s v="CHEN LIFENG"/>
    <s v="SGD"/>
    <n v="0"/>
    <n v="0"/>
    <s v="CPF Employer - March 2026"/>
    <x v="1"/>
    <s v="Headcount Costs"/>
    <x v="0"/>
    <x v="0"/>
  </r>
  <r>
    <s v="SG"/>
    <x v="4"/>
    <x v="5"/>
    <s v="CHAN JI WEI"/>
    <s v="SGD"/>
    <n v="2253"/>
    <n v="1746.4039379999999"/>
    <s v="CPF Employer - March 2026"/>
    <x v="1"/>
    <s v="Headcount Costs"/>
    <x v="1"/>
    <x v="1"/>
  </r>
  <r>
    <s v="SG"/>
    <x v="4"/>
    <x v="5"/>
    <s v="LI FAN"/>
    <s v="SGD"/>
    <n v="0"/>
    <n v="0"/>
    <s v="CPF Employer - March 2026"/>
    <x v="1"/>
    <s v="Headcount Costs"/>
    <x v="0"/>
    <x v="0"/>
  </r>
  <r>
    <s v="SG"/>
    <x v="4"/>
    <x v="5"/>
    <s v="KOH MEI INN"/>
    <s v="SGD"/>
    <n v="1561"/>
    <n v="1210.0029059999999"/>
    <s v="CPF Employer - March 2026"/>
    <x v="1"/>
    <s v="Headcount Costs"/>
    <x v="2"/>
    <x v="1"/>
  </r>
  <r>
    <s v="SG"/>
    <x v="4"/>
    <x v="5"/>
    <s v="THAM SOK WAN"/>
    <s v="SGD"/>
    <n v="1280"/>
    <n v="992.18687999999997"/>
    <s v="CPF Employer - March 2026"/>
    <x v="1"/>
    <s v="Headcount Costs"/>
    <x v="3"/>
    <x v="1"/>
  </r>
  <r>
    <s v="SG"/>
    <x v="4"/>
    <x v="5"/>
    <s v="NG KOK LOON"/>
    <s v="SGD"/>
    <n v="1360"/>
    <n v="1054.19856"/>
    <s v="CPF Employer - March 2026"/>
    <x v="1"/>
    <s v="Headcount Costs"/>
    <x v="4"/>
    <x v="2"/>
  </r>
  <r>
    <s v="SG"/>
    <x v="4"/>
    <x v="5"/>
    <s v="YO MENG GI"/>
    <s v="SGD"/>
    <n v="0"/>
    <n v="0"/>
    <s v="CPF Employer - March 2026"/>
    <x v="1"/>
    <s v="Headcount Costs"/>
    <x v="5"/>
    <x v="3"/>
  </r>
  <r>
    <s v="SG"/>
    <x v="4"/>
    <x v="5"/>
    <s v="WU WENLONG"/>
    <s v="SGD"/>
    <n v="0"/>
    <n v="0"/>
    <s v="CPF Employer - March 2026"/>
    <x v="1"/>
    <s v="Headcount Costs"/>
    <x v="6"/>
    <x v="3"/>
  </r>
  <r>
    <s v="SG"/>
    <x v="4"/>
    <x v="5"/>
    <s v="DANNY KWOK CHING YUN"/>
    <s v="SGD"/>
    <n v="2380"/>
    <n v="1844.8474799999999"/>
    <s v="CPF Employer - March 2026"/>
    <x v="1"/>
    <s v="Headcount Costs"/>
    <x v="5"/>
    <x v="3"/>
  </r>
  <r>
    <s v="SG"/>
    <x v="4"/>
    <x v="5"/>
    <s v="JIN CHAO"/>
    <s v="SGD"/>
    <n v="0"/>
    <n v="0"/>
    <s v="CPF Employer - March 2026"/>
    <x v="1"/>
    <s v="Headcount Costs"/>
    <x v="6"/>
    <x v="3"/>
  </r>
  <r>
    <s v="SG"/>
    <x v="4"/>
    <x v="5"/>
    <s v="KEE SHIN YUAN"/>
    <s v="SGD"/>
    <n v="561"/>
    <n v="434.85690599999998"/>
    <s v="CPF Employer - March 2026"/>
    <x v="1"/>
    <s v="Headcount Costs"/>
    <x v="5"/>
    <x v="3"/>
  </r>
  <r>
    <s v="SG"/>
    <x v="4"/>
    <x v="5"/>
    <s v="QIU JIE"/>
    <s v="SGD"/>
    <n v="1530"/>
    <n v="1185.9733799999999"/>
    <s v="CPF Employer - March 2026"/>
    <x v="1"/>
    <s v="Headcount Costs"/>
    <x v="8"/>
    <x v="0"/>
  </r>
  <r>
    <s v="SG"/>
    <x v="4"/>
    <x v="5"/>
    <s v="CALVEN OOI JIA WEI"/>
    <s v="SGD"/>
    <n v="0"/>
    <n v="0"/>
    <s v="CPF Employer - March 2026"/>
    <x v="1"/>
    <s v="Headcount Costs"/>
    <x v="4"/>
    <x v="2"/>
  </r>
  <r>
    <s v="SG"/>
    <x v="4"/>
    <x v="5"/>
    <s v="STEPHANIE LING WAN QING"/>
    <s v="SGD"/>
    <n v="1420"/>
    <n v="1100.70732"/>
    <s v="CPF Employer - March 2026"/>
    <x v="1"/>
    <s v="Headcount Costs"/>
    <x v="8"/>
    <x v="0"/>
  </r>
  <r>
    <s v="SG"/>
    <x v="4"/>
    <x v="5"/>
    <s v="GUO BEITING"/>
    <s v="SGD"/>
    <n v="1105"/>
    <n v="856.53633000000002"/>
    <s v="CPF Employer - March 2026"/>
    <x v="1"/>
    <s v="Headcount Costs"/>
    <x v="4"/>
    <x v="2"/>
  </r>
  <r>
    <s v="SG"/>
    <x v="4"/>
    <x v="5"/>
    <s v="LYNN CHAN WAI YIN"/>
    <s v="SGD"/>
    <n v="703"/>
    <n v="544.927638"/>
    <s v="CPF Employer - March 2026"/>
    <x v="1"/>
    <s v="Headcount Costs"/>
    <x v="3"/>
    <x v="1"/>
  </r>
  <r>
    <s v="SG"/>
    <x v="4"/>
    <x v="5"/>
    <s v="CHENG YI YANG"/>
    <s v="SGD"/>
    <n v="759"/>
    <n v="588.33581400000003"/>
    <s v="CPF Employer - March 2026"/>
    <x v="1"/>
    <s v="Headcount Costs"/>
    <x v="4"/>
    <x v="2"/>
  </r>
  <r>
    <s v="SG"/>
    <x v="4"/>
    <x v="5"/>
    <s v="TANG KIN LEUNG"/>
    <s v="SGD"/>
    <n v="271"/>
    <n v="210.06456600000001"/>
    <s v="CPF Employer - March 2026"/>
    <x v="1"/>
    <s v="Headcount Costs"/>
    <x v="9"/>
    <x v="0"/>
  </r>
  <r>
    <s v="SG"/>
    <x v="5"/>
    <x v="8"/>
    <s v="CHEN LIFENG"/>
    <s v="SGD"/>
    <n v="32825"/>
    <n v="25763.546128833492"/>
    <s v="Net Pay - April 2026"/>
    <x v="0"/>
    <s v="Headcount Costs"/>
    <x v="0"/>
    <x v="0"/>
  </r>
  <r>
    <s v="SG"/>
    <x v="5"/>
    <x v="8"/>
    <s v="CHAN JI WEI"/>
    <s v="SGD"/>
    <n v="6713"/>
    <n v="5268.8708351213781"/>
    <s v="Net Pay - April 2026"/>
    <x v="0"/>
    <s v="Headcount Costs"/>
    <x v="1"/>
    <x v="1"/>
  </r>
  <r>
    <s v="SG"/>
    <x v="5"/>
    <x v="8"/>
    <s v="LI FAN"/>
    <s v="SGD"/>
    <n v="23750"/>
    <n v="18640.79879847054"/>
    <s v="Net Pay - April 2026"/>
    <x v="0"/>
    <s v="Headcount Costs"/>
    <x v="0"/>
    <x v="0"/>
  </r>
  <r>
    <s v="SG"/>
    <x v="5"/>
    <x v="8"/>
    <s v="KOH MEI INN"/>
    <s v="SGD"/>
    <n v="5112"/>
    <n v="4012.2847771697429"/>
    <s v="Net Pay - April 2026"/>
    <x v="0"/>
    <s v="Headcount Costs"/>
    <x v="2"/>
    <x v="1"/>
  </r>
  <r>
    <s v="SG"/>
    <x v="5"/>
    <x v="8"/>
    <s v="THAM SOK WAN"/>
    <s v="SGD"/>
    <n v="12207"/>
    <n v="9580.978144544415"/>
    <s v="Net Pay - April 2026"/>
    <x v="0"/>
    <s v="Headcount Costs"/>
    <x v="3"/>
    <x v="1"/>
  </r>
  <r>
    <s v="SG"/>
    <x v="5"/>
    <x v="8"/>
    <s v="NG KOK LOON"/>
    <s v="SGD"/>
    <n v="6782"/>
    <n v="5323.0272611043029"/>
    <s v="Net Pay - April 2026"/>
    <x v="0"/>
    <s v="Headcount Costs"/>
    <x v="4"/>
    <x v="2"/>
  </r>
  <r>
    <s v="SG"/>
    <x v="5"/>
    <x v="8"/>
    <s v="YO MENG GI"/>
    <s v="SGD"/>
    <n v="5745"/>
    <n v="4509.1111198826629"/>
    <s v="Net Pay - April 2026"/>
    <x v="0"/>
    <s v="Headcount Costs"/>
    <x v="5"/>
    <x v="3"/>
  </r>
  <r>
    <s v="SG"/>
    <x v="5"/>
    <x v="8"/>
    <s v="WU WENLONG"/>
    <s v="SGD"/>
    <n v="15340"/>
    <n v="12039.99383446476"/>
    <s v="Net Pay - April 2026"/>
    <x v="0"/>
    <s v="Headcount Costs"/>
    <x v="6"/>
    <x v="3"/>
  </r>
  <r>
    <s v="SG"/>
    <x v="5"/>
    <x v="8"/>
    <s v="DANNY KWOK CHING YUN"/>
    <s v="SGD"/>
    <n v="11321"/>
    <n v="8885.5782398941028"/>
    <s v="Net Pay - April 2026"/>
    <x v="0"/>
    <s v="Headcount Costs"/>
    <x v="5"/>
    <x v="3"/>
  </r>
  <r>
    <s v="SG"/>
    <x v="5"/>
    <x v="8"/>
    <s v="JIN CHAO"/>
    <s v="SGD"/>
    <n v="14925"/>
    <n v="11714.270402828328"/>
    <s v="Net Pay - April 2026"/>
    <x v="0"/>
    <s v="Headcount Costs"/>
    <x v="6"/>
    <x v="3"/>
  </r>
  <r>
    <s v="SG"/>
    <x v="5"/>
    <x v="8"/>
    <s v="QIU JIE"/>
    <s v="SGD"/>
    <n v="24724"/>
    <n v="19405.267768142552"/>
    <s v="Net Pay - April 2026"/>
    <x v="0"/>
    <s v="Headcount Costs"/>
    <x v="8"/>
    <x v="0"/>
  </r>
  <r>
    <s v="SG"/>
    <x v="5"/>
    <x v="8"/>
    <s v="CALVEN OOI JIA WEI"/>
    <s v="SGD"/>
    <n v="5085"/>
    <n v="3991.0931322199026"/>
    <s v="Net Pay - April 2026"/>
    <x v="0"/>
    <s v="Headcount Costs"/>
    <x v="4"/>
    <x v="2"/>
  </r>
  <r>
    <s v="SG"/>
    <x v="5"/>
    <x v="8"/>
    <s v="STEPHANIE LING WAN QING"/>
    <s v="SGD"/>
    <n v="5878"/>
    <n v="4613.499593154098"/>
    <s v="Net Pay - April 2026"/>
    <x v="0"/>
    <s v="Headcount Costs"/>
    <x v="8"/>
    <x v="0"/>
  </r>
  <r>
    <s v="SG"/>
    <x v="5"/>
    <x v="8"/>
    <s v="GUO BEITING"/>
    <s v="SGD"/>
    <n v="5198"/>
    <n v="4079.7840907136783"/>
    <s v="Net Pay - April 2026"/>
    <x v="0"/>
    <s v="Headcount Costs"/>
    <x v="4"/>
    <x v="2"/>
  </r>
  <r>
    <s v="SG"/>
    <x v="5"/>
    <x v="8"/>
    <s v="LYNN CHAN WAI YIN"/>
    <s v="SGD"/>
    <n v="2481.2600000000002"/>
    <n v="1947.4807758607583"/>
    <s v="Net Pay - April 2026"/>
    <x v="0"/>
    <s v="Headcount Costs"/>
    <x v="3"/>
    <x v="1"/>
  </r>
  <r>
    <s v="SG"/>
    <x v="5"/>
    <x v="8"/>
    <s v="CHENG YI YANG"/>
    <s v="SGD"/>
    <n v="4358"/>
    <n v="3420.4884700519833"/>
    <s v="Net Pay - April 2026"/>
    <x v="0"/>
    <s v="Headcount Costs"/>
    <x v="4"/>
    <x v="2"/>
  </r>
  <r>
    <s v="SG"/>
    <x v="5"/>
    <x v="8"/>
    <s v="TANG KIN LEUNG"/>
    <s v="SGD"/>
    <n v="3817.23"/>
    <n v="2996.0512167362394"/>
    <s v="Net Pay - April 2026"/>
    <x v="0"/>
    <s v="Headcount Costs"/>
    <x v="9"/>
    <x v="0"/>
  </r>
  <r>
    <s v="SG"/>
    <x v="5"/>
    <x v="8"/>
    <s v="PHI CHEE LING"/>
    <s v="SGD"/>
    <n v="2417.46"/>
    <n v="1897.4057037200248"/>
    <s v="Net Pay - April 2026"/>
    <x v="0"/>
    <s v="Headcount Costs"/>
    <x v="10"/>
    <x v="0"/>
  </r>
  <r>
    <s v="SG"/>
    <x v="5"/>
    <x v="8"/>
    <s v="PAN ZHENGYAN"/>
    <s v="SGD"/>
    <n v="2061.2800000000002"/>
    <n v="1617.8486630446887"/>
    <s v="Net Pay - April 2026"/>
    <x v="0"/>
    <s v="Headcount Costs"/>
    <x v="3"/>
    <x v="1"/>
  </r>
  <r>
    <s v="SG"/>
    <x v="5"/>
    <x v="9"/>
    <s v="CHEN LIFENG"/>
    <s v="SGD"/>
    <m/>
    <n v="0"/>
    <s v="CDAC - April 2026"/>
    <x v="0"/>
    <s v="Headcount Costs"/>
    <x v="0"/>
    <x v="0"/>
  </r>
  <r>
    <s v="SG"/>
    <x v="5"/>
    <x v="9"/>
    <s v="CHAN JI WEI"/>
    <s v="SGD"/>
    <n v="3"/>
    <n v="2.3546272166489102"/>
    <s v="CDAC - April 2026"/>
    <x v="0"/>
    <s v="Headcount Costs"/>
    <x v="1"/>
    <x v="1"/>
  </r>
  <r>
    <s v="SG"/>
    <x v="5"/>
    <x v="9"/>
    <s v="LI FAN"/>
    <s v="SGD"/>
    <m/>
    <n v="0"/>
    <s v="CDAC - April 2026"/>
    <x v="0"/>
    <s v="Headcount Costs"/>
    <x v="0"/>
    <x v="0"/>
  </r>
  <r>
    <s v="SG"/>
    <x v="5"/>
    <x v="9"/>
    <s v="KOH MEI INN"/>
    <s v="SGD"/>
    <n v="2"/>
    <n v="1.56975147776594"/>
    <s v="CDAC - April 2026"/>
    <x v="0"/>
    <s v="Headcount Costs"/>
    <x v="2"/>
    <x v="1"/>
  </r>
  <r>
    <s v="SG"/>
    <x v="5"/>
    <x v="9"/>
    <s v="THAM SOK WAN"/>
    <s v="SGD"/>
    <n v="3"/>
    <n v="2.3546272166489102"/>
    <s v="CDAC - April 2026"/>
    <x v="0"/>
    <s v="Headcount Costs"/>
    <x v="3"/>
    <x v="1"/>
  </r>
  <r>
    <s v="SG"/>
    <x v="5"/>
    <x v="9"/>
    <s v="NG KOK LOON"/>
    <s v="SGD"/>
    <n v="3"/>
    <n v="2.3546272166489102"/>
    <s v="CDAC - April 2026"/>
    <x v="0"/>
    <s v="Headcount Costs"/>
    <x v="4"/>
    <x v="2"/>
  </r>
  <r>
    <s v="SG"/>
    <x v="5"/>
    <x v="9"/>
    <s v="YO MENG GI"/>
    <s v="SGD"/>
    <m/>
    <n v="0"/>
    <s v="CDAC - April 2026"/>
    <x v="0"/>
    <s v="Headcount Costs"/>
    <x v="5"/>
    <x v="3"/>
  </r>
  <r>
    <s v="SG"/>
    <x v="5"/>
    <x v="9"/>
    <s v="WU WENLONG"/>
    <s v="SGD"/>
    <m/>
    <n v="0"/>
    <s v="CDAC - April 2026"/>
    <x v="0"/>
    <s v="Headcount Costs"/>
    <x v="6"/>
    <x v="3"/>
  </r>
  <r>
    <s v="SG"/>
    <x v="5"/>
    <x v="9"/>
    <s v="DANNY KWOK CHING YUN"/>
    <s v="SGD"/>
    <n v="3"/>
    <n v="2.3546272166489102"/>
    <s v="CDAC - April 2026"/>
    <x v="0"/>
    <s v="Headcount Costs"/>
    <x v="5"/>
    <x v="3"/>
  </r>
  <r>
    <s v="SG"/>
    <x v="5"/>
    <x v="9"/>
    <s v="JIN CHAO"/>
    <s v="SGD"/>
    <m/>
    <n v="0"/>
    <s v="CDAC - April 2026"/>
    <x v="0"/>
    <s v="Headcount Costs"/>
    <x v="6"/>
    <x v="3"/>
  </r>
  <r>
    <s v="SG"/>
    <x v="5"/>
    <x v="9"/>
    <s v="QIU JIE"/>
    <s v="SGD"/>
    <n v="3"/>
    <n v="2.3546272166489102"/>
    <s v="CDAC - April 2026"/>
    <x v="0"/>
    <s v="Headcount Costs"/>
    <x v="8"/>
    <x v="0"/>
  </r>
  <r>
    <s v="SG"/>
    <x v="5"/>
    <x v="9"/>
    <s v="CALVEN OOI JIA WEI"/>
    <s v="SGD"/>
    <m/>
    <n v="0"/>
    <s v="CDAC - April 2026"/>
    <x v="0"/>
    <s v="Headcount Costs"/>
    <x v="4"/>
    <x v="2"/>
  </r>
  <r>
    <s v="SG"/>
    <x v="5"/>
    <x v="9"/>
    <s v="STEPHANIE LING WAN QING"/>
    <s v="SGD"/>
    <n v="2"/>
    <n v="1.56975147776594"/>
    <s v="CDAC - April 2026"/>
    <x v="0"/>
    <s v="Headcount Costs"/>
    <x v="8"/>
    <x v="0"/>
  </r>
  <r>
    <s v="SG"/>
    <x v="5"/>
    <x v="9"/>
    <s v="GUO BEITING"/>
    <s v="SGD"/>
    <n v="2"/>
    <n v="1.56975147776594"/>
    <s v="CDAC - April 2026"/>
    <x v="0"/>
    <s v="Headcount Costs"/>
    <x v="4"/>
    <x v="2"/>
  </r>
  <r>
    <s v="SG"/>
    <x v="5"/>
    <x v="9"/>
    <s v="LYNN CHAN WAI YIN"/>
    <s v="SGD"/>
    <n v="1"/>
    <n v="0.78487573888297002"/>
    <s v="CDAC - April 2026"/>
    <x v="0"/>
    <s v="Headcount Costs"/>
    <x v="3"/>
    <x v="1"/>
  </r>
  <r>
    <s v="SG"/>
    <x v="5"/>
    <x v="9"/>
    <s v="CHENG YI YANG"/>
    <s v="SGD"/>
    <n v="2"/>
    <n v="1.56975147776594"/>
    <s v="CDAC - April 2026"/>
    <x v="0"/>
    <s v="Headcount Costs"/>
    <x v="4"/>
    <x v="2"/>
  </r>
  <r>
    <s v="SG"/>
    <x v="5"/>
    <x v="9"/>
    <s v="TANG KIN LEUNG"/>
    <s v="SGD"/>
    <n v="1.5"/>
    <n v="1.1773136083244551"/>
    <s v="CDAC - April 2026"/>
    <x v="0"/>
    <s v="Headcount Costs"/>
    <x v="9"/>
    <x v="0"/>
  </r>
  <r>
    <s v="SG"/>
    <x v="5"/>
    <x v="9"/>
    <s v="PHI CHEE LING"/>
    <s v="SGD"/>
    <n v="1"/>
    <n v="0.78487573888297002"/>
    <s v="CDAC - April 2026"/>
    <x v="0"/>
    <s v="Headcount Costs"/>
    <x v="10"/>
    <x v="0"/>
  </r>
  <r>
    <s v="SG"/>
    <x v="5"/>
    <x v="9"/>
    <s v="PAN ZHENGYAN"/>
    <s v="SGD"/>
    <n v="1"/>
    <n v="0.78487573888297002"/>
    <s v="CDAC - April 2026"/>
    <x v="0"/>
    <s v="Headcount Costs"/>
    <x v="3"/>
    <x v="1"/>
  </r>
  <r>
    <s v="SG"/>
    <x v="5"/>
    <x v="9"/>
    <s v="CHEN LIFENG"/>
    <s v="SGD"/>
    <n v="0"/>
    <n v="0"/>
    <s v="CPF Employee - April 2026"/>
    <x v="1"/>
    <s v="Headcount Costs"/>
    <x v="0"/>
    <x v="0"/>
  </r>
  <r>
    <s v="SG"/>
    <x v="5"/>
    <x v="9"/>
    <s v="CHAN JI WEI"/>
    <s v="SGD"/>
    <n v="1600"/>
    <n v="1255.8011822127521"/>
    <s v="CPF Employee - April 2026"/>
    <x v="1"/>
    <s v="Headcount Costs"/>
    <x v="1"/>
    <x v="1"/>
  </r>
  <r>
    <s v="SG"/>
    <x v="5"/>
    <x v="9"/>
    <s v="LI FAN"/>
    <s v="SGD"/>
    <n v="0"/>
    <n v="0"/>
    <s v="CPF Employee - April 2026"/>
    <x v="1"/>
    <s v="Headcount Costs"/>
    <x v="0"/>
    <x v="0"/>
  </r>
  <r>
    <s v="SG"/>
    <x v="5"/>
    <x v="9"/>
    <s v="KOH MEI INN"/>
    <s v="SGD"/>
    <n v="1278"/>
    <n v="1003.0711942924357"/>
    <s v="CPF Employee - April 2026"/>
    <x v="1"/>
    <s v="Headcount Costs"/>
    <x v="2"/>
    <x v="1"/>
  </r>
  <r>
    <s v="SG"/>
    <x v="5"/>
    <x v="9"/>
    <s v="THAM SOK WAN"/>
    <s v="SGD"/>
    <n v="1440"/>
    <n v="1130.2210639914767"/>
    <s v="CPF Employee - April 2026"/>
    <x v="1"/>
    <s v="Headcount Costs"/>
    <x v="3"/>
    <x v="1"/>
  </r>
  <r>
    <s v="SG"/>
    <x v="5"/>
    <x v="9"/>
    <s v="NG KOK LOON"/>
    <s v="SGD"/>
    <n v="1600"/>
    <n v="1255.8011822127521"/>
    <s v="CPF Employee - April 2026"/>
    <x v="1"/>
    <s v="Headcount Costs"/>
    <x v="4"/>
    <x v="2"/>
  </r>
  <r>
    <s v="SG"/>
    <x v="5"/>
    <x v="9"/>
    <s v="YO MENG GI"/>
    <s v="SGD"/>
    <n v="0"/>
    <n v="0"/>
    <s v="CPF Employee - April 2026"/>
    <x v="1"/>
    <s v="Headcount Costs"/>
    <x v="5"/>
    <x v="3"/>
  </r>
  <r>
    <s v="SG"/>
    <x v="5"/>
    <x v="9"/>
    <s v="WU WENLONG"/>
    <s v="SGD"/>
    <n v="0"/>
    <n v="0"/>
    <s v="CPF Employee - April 2026"/>
    <x v="1"/>
    <s v="Headcount Costs"/>
    <x v="6"/>
    <x v="3"/>
  </r>
  <r>
    <s v="SG"/>
    <x v="5"/>
    <x v="9"/>
    <s v="DANNY KWOK CHING YUN"/>
    <s v="SGD"/>
    <n v="1600"/>
    <n v="1255.8011822127521"/>
    <s v="CPF Employee - April 2026"/>
    <x v="1"/>
    <s v="Headcount Costs"/>
    <x v="5"/>
    <x v="3"/>
  </r>
  <r>
    <s v="SG"/>
    <x v="5"/>
    <x v="9"/>
    <s v="JIN CHAO"/>
    <s v="SGD"/>
    <n v="0"/>
    <n v="0"/>
    <s v="CPF Employee - April 2026"/>
    <x v="1"/>
    <s v="Headcount Costs"/>
    <x v="6"/>
    <x v="3"/>
  </r>
  <r>
    <s v="SG"/>
    <x v="5"/>
    <x v="9"/>
    <s v="QIU JIE"/>
    <s v="SGD"/>
    <n v="2600"/>
    <n v="2040.676921095722"/>
    <s v="CPF Employee - April 2026"/>
    <x v="1"/>
    <s v="Headcount Costs"/>
    <x v="8"/>
    <x v="0"/>
  </r>
  <r>
    <s v="SG"/>
    <x v="5"/>
    <x v="9"/>
    <s v="CALVEN OOI JIA WEI"/>
    <s v="SGD"/>
    <n v="0"/>
    <n v="0"/>
    <s v="CPF Employee - April 2026"/>
    <x v="1"/>
    <s v="Headcount Costs"/>
    <x v="4"/>
    <x v="2"/>
  </r>
  <r>
    <s v="SG"/>
    <x v="5"/>
    <x v="9"/>
    <s v="STEPHANIE LING WAN QING"/>
    <s v="SGD"/>
    <n v="1470"/>
    <n v="1153.7673361579659"/>
    <s v="CPF Employee - April 2026"/>
    <x v="1"/>
    <s v="Headcount Costs"/>
    <x v="8"/>
    <x v="0"/>
  </r>
  <r>
    <s v="SG"/>
    <x v="5"/>
    <x v="9"/>
    <s v="GUO BEITING"/>
    <s v="SGD"/>
    <n v="1300"/>
    <n v="1020.338460547861"/>
    <s v="CPF Employee - April 2026"/>
    <x v="1"/>
    <s v="Headcount Costs"/>
    <x v="4"/>
    <x v="2"/>
  </r>
  <r>
    <s v="SG"/>
    <x v="5"/>
    <x v="9"/>
    <s v="LYNN CHAN WAI YIN"/>
    <s v="SGD"/>
    <n v="620"/>
    <n v="486.62295810744143"/>
    <s v="CPF Employee - April 2026"/>
    <x v="1"/>
    <s v="Headcount Costs"/>
    <x v="3"/>
    <x v="1"/>
  </r>
  <r>
    <s v="SG"/>
    <x v="5"/>
    <x v="9"/>
    <s v="CHENG YI YANG"/>
    <s v="SGD"/>
    <n v="1090"/>
    <n v="855.51455538243727"/>
    <s v="CPF Employee - April 2026"/>
    <x v="1"/>
    <s v="Headcount Costs"/>
    <x v="4"/>
    <x v="2"/>
  </r>
  <r>
    <s v="SG"/>
    <x v="5"/>
    <x v="9"/>
    <s v="TANG KIN LEUNG"/>
    <s v="SGD"/>
    <n v="954"/>
    <n v="748.77145489435338"/>
    <s v="CPF Employee - April 2026"/>
    <x v="1"/>
    <s v="Headcount Costs"/>
    <x v="9"/>
    <x v="0"/>
  </r>
  <r>
    <s v="SG"/>
    <x v="5"/>
    <x v="9"/>
    <s v="PHI CHEE LING"/>
    <s v="SGD"/>
    <n v="127"/>
    <n v="99.679218838137189"/>
    <s v="CPF Employee - April 2026"/>
    <x v="1"/>
    <s v="Headcount Costs"/>
    <x v="10"/>
    <x v="0"/>
  </r>
  <r>
    <s v="SG"/>
    <x v="5"/>
    <x v="9"/>
    <s v="PAN ZHENGYAN"/>
    <s v="SGD"/>
    <n v="515"/>
    <n v="404.21100552472956"/>
    <s v="CPF Employee - April 2026"/>
    <x v="1"/>
    <s v="Headcount Costs"/>
    <x v="3"/>
    <x v="1"/>
  </r>
  <r>
    <s v="SG"/>
    <x v="5"/>
    <x v="9"/>
    <s v="CHEN LIFENG"/>
    <s v="SGD"/>
    <n v="11.25"/>
    <n v="8.829852062433412"/>
    <s v="SDF - April 2026"/>
    <x v="1"/>
    <s v="Headcount Costs"/>
    <x v="0"/>
    <x v="0"/>
  </r>
  <r>
    <s v="SG"/>
    <x v="5"/>
    <x v="9"/>
    <s v="CHAN JI WEI"/>
    <s v="SGD"/>
    <n v="11.25"/>
    <n v="8.829852062433412"/>
    <s v="SDF - April 2026"/>
    <x v="1"/>
    <s v="Headcount Costs"/>
    <x v="1"/>
    <x v="1"/>
  </r>
  <r>
    <s v="SG"/>
    <x v="5"/>
    <x v="9"/>
    <s v="LI FAN"/>
    <s v="SGD"/>
    <n v="11.25"/>
    <n v="8.829852062433412"/>
    <s v="SDF - April 2026"/>
    <x v="1"/>
    <s v="Headcount Costs"/>
    <x v="0"/>
    <x v="0"/>
  </r>
  <r>
    <s v="SG"/>
    <x v="5"/>
    <x v="9"/>
    <s v="KOH MEI INN"/>
    <s v="SGD"/>
    <n v="11.25"/>
    <n v="8.829852062433412"/>
    <s v="SDF - April 2026"/>
    <x v="1"/>
    <s v="Headcount Costs"/>
    <x v="2"/>
    <x v="1"/>
  </r>
  <r>
    <s v="SG"/>
    <x v="5"/>
    <x v="9"/>
    <s v="THAM SOK WAN"/>
    <s v="SGD"/>
    <n v="11.25"/>
    <n v="8.829852062433412"/>
    <s v="SDF - April 2026"/>
    <x v="1"/>
    <s v="Headcount Costs"/>
    <x v="3"/>
    <x v="1"/>
  </r>
  <r>
    <s v="SG"/>
    <x v="5"/>
    <x v="9"/>
    <s v="NG KOK LOON"/>
    <s v="SGD"/>
    <n v="11.25"/>
    <n v="8.829852062433412"/>
    <s v="SDF - April 2026"/>
    <x v="1"/>
    <s v="Headcount Costs"/>
    <x v="4"/>
    <x v="2"/>
  </r>
  <r>
    <s v="SG"/>
    <x v="5"/>
    <x v="9"/>
    <s v="YO MENG GI"/>
    <s v="SGD"/>
    <n v="11.25"/>
    <n v="8.829852062433412"/>
    <s v="SDF - April 2026"/>
    <x v="1"/>
    <s v="Headcount Costs"/>
    <x v="5"/>
    <x v="3"/>
  </r>
  <r>
    <s v="SG"/>
    <x v="5"/>
    <x v="9"/>
    <s v="WU WENLONG"/>
    <s v="SGD"/>
    <n v="11.25"/>
    <n v="8.829852062433412"/>
    <s v="SDF - April 2026"/>
    <x v="1"/>
    <s v="Headcount Costs"/>
    <x v="6"/>
    <x v="3"/>
  </r>
  <r>
    <s v="SG"/>
    <x v="5"/>
    <x v="9"/>
    <s v="DANNY KWOK CHING YUN"/>
    <s v="SGD"/>
    <n v="11.25"/>
    <n v="8.829852062433412"/>
    <s v="SDF - April 2026"/>
    <x v="1"/>
    <s v="Headcount Costs"/>
    <x v="5"/>
    <x v="3"/>
  </r>
  <r>
    <s v="SG"/>
    <x v="5"/>
    <x v="9"/>
    <s v="JIN CHAO"/>
    <s v="SGD"/>
    <n v="11.25"/>
    <n v="8.829852062433412"/>
    <s v="SDF - April 2026"/>
    <x v="1"/>
    <s v="Headcount Costs"/>
    <x v="6"/>
    <x v="3"/>
  </r>
  <r>
    <s v="SG"/>
    <x v="5"/>
    <x v="9"/>
    <s v="QIU JIE"/>
    <s v="SGD"/>
    <n v="11.25"/>
    <n v="8.829852062433412"/>
    <s v="SDF - April 2026"/>
    <x v="1"/>
    <s v="Headcount Costs"/>
    <x v="8"/>
    <x v="0"/>
  </r>
  <r>
    <s v="SG"/>
    <x v="5"/>
    <x v="9"/>
    <s v="CALVEN OOI JIA WEI"/>
    <s v="SGD"/>
    <n v="11.25"/>
    <n v="8.829852062433412"/>
    <s v="SDF - April 2026"/>
    <x v="1"/>
    <s v="Headcount Costs"/>
    <x v="4"/>
    <x v="2"/>
  </r>
  <r>
    <s v="SG"/>
    <x v="5"/>
    <x v="9"/>
    <s v="STEPHANIE LING WAN QING"/>
    <s v="SGD"/>
    <n v="11.25"/>
    <n v="8.829852062433412"/>
    <s v="SDF - April 2026"/>
    <x v="1"/>
    <s v="Headcount Costs"/>
    <x v="8"/>
    <x v="0"/>
  </r>
  <r>
    <s v="SG"/>
    <x v="5"/>
    <x v="9"/>
    <s v="GUO BEITING"/>
    <s v="SGD"/>
    <n v="11.25"/>
    <n v="8.829852062433412"/>
    <s v="SDF - April 2026"/>
    <x v="1"/>
    <s v="Headcount Costs"/>
    <x v="4"/>
    <x v="2"/>
  </r>
  <r>
    <s v="SG"/>
    <x v="5"/>
    <x v="9"/>
    <s v="LYNN CHAN WAI YIN"/>
    <s v="SGD"/>
    <n v="7.76"/>
    <n v="6.0906357337318475"/>
    <s v="SDF - April 2026"/>
    <x v="1"/>
    <s v="Headcount Costs"/>
    <x v="3"/>
    <x v="1"/>
  </r>
  <r>
    <s v="SG"/>
    <x v="5"/>
    <x v="9"/>
    <s v="CHENG YI YANG"/>
    <s v="SGD"/>
    <n v="11.25"/>
    <n v="8.829852062433412"/>
    <s v="SDF - April 2026"/>
    <x v="1"/>
    <s v="Headcount Costs"/>
    <x v="4"/>
    <x v="2"/>
  </r>
  <r>
    <s v="SG"/>
    <x v="5"/>
    <x v="9"/>
    <s v="TANG KIN LEUNG"/>
    <s v="SGD"/>
    <n v="11.25"/>
    <n v="8.829852062433412"/>
    <s v="SDF - April 2026"/>
    <x v="1"/>
    <s v="Headcount Costs"/>
    <x v="9"/>
    <x v="0"/>
  </r>
  <r>
    <s v="SG"/>
    <x v="5"/>
    <x v="9"/>
    <s v="PHI CHEE LING"/>
    <s v="SGD"/>
    <n v="6.36"/>
    <n v="4.9918096992956897"/>
    <s v="SDF - April 2026"/>
    <x v="1"/>
    <s v="Headcount Costs"/>
    <x v="10"/>
    <x v="0"/>
  </r>
  <r>
    <s v="SG"/>
    <x v="5"/>
    <x v="9"/>
    <s v="PAN ZHENGYAN"/>
    <s v="SGD"/>
    <n v="6.44"/>
    <n v="5.0545997584063276"/>
    <s v="SDF - April 2026"/>
    <x v="1"/>
    <s v="Headcount Costs"/>
    <x v="3"/>
    <x v="1"/>
  </r>
  <r>
    <s v="SG"/>
    <x v="5"/>
    <x v="9"/>
    <s v="CHEN LIFENG"/>
    <s v="SGD"/>
    <n v="0"/>
    <n v="0"/>
    <s v="CPF Employer - April 2026"/>
    <x v="1"/>
    <s v="Headcount Costs"/>
    <x v="0"/>
    <x v="0"/>
  </r>
  <r>
    <s v="SG"/>
    <x v="5"/>
    <x v="9"/>
    <s v="CHAN JI WEI"/>
    <s v="SGD"/>
    <n v="1360"/>
    <n v="1067.4310048808393"/>
    <s v="CPF Employer - April 2026"/>
    <x v="1"/>
    <s v="Headcount Costs"/>
    <x v="1"/>
    <x v="1"/>
  </r>
  <r>
    <s v="SG"/>
    <x v="5"/>
    <x v="9"/>
    <s v="LI FAN"/>
    <s v="SGD"/>
    <n v="0"/>
    <n v="0"/>
    <s v="CPF Employer - April 2026"/>
    <x v="1"/>
    <s v="Headcount Costs"/>
    <x v="0"/>
    <x v="0"/>
  </r>
  <r>
    <s v="SG"/>
    <x v="5"/>
    <x v="9"/>
    <s v="KOH MEI INN"/>
    <s v="SGD"/>
    <n v="1087"/>
    <n v="853.15992816578841"/>
    <s v="CPF Employer - April 2026"/>
    <x v="1"/>
    <s v="Headcount Costs"/>
    <x v="2"/>
    <x v="1"/>
  </r>
  <r>
    <s v="SG"/>
    <x v="5"/>
    <x v="9"/>
    <s v="THAM SOK WAN"/>
    <s v="SGD"/>
    <n v="1280"/>
    <n v="1004.6409457702016"/>
    <s v="CPF Employer - April 2026"/>
    <x v="1"/>
    <s v="Headcount Costs"/>
    <x v="3"/>
    <x v="1"/>
  </r>
  <r>
    <s v="SG"/>
    <x v="5"/>
    <x v="9"/>
    <s v="NG KOK LOON"/>
    <s v="SGD"/>
    <n v="1360"/>
    <n v="1067.4310048808393"/>
    <s v="CPF Employer - April 2026"/>
    <x v="1"/>
    <s v="Headcount Costs"/>
    <x v="4"/>
    <x v="2"/>
  </r>
  <r>
    <s v="SG"/>
    <x v="5"/>
    <x v="9"/>
    <s v="YO MENG GI"/>
    <s v="SGD"/>
    <n v="0"/>
    <n v="0"/>
    <s v="CPF Employer - April 2026"/>
    <x v="1"/>
    <s v="Headcount Costs"/>
    <x v="5"/>
    <x v="3"/>
  </r>
  <r>
    <s v="SG"/>
    <x v="5"/>
    <x v="9"/>
    <s v="WU WENLONG"/>
    <s v="SGD"/>
    <n v="0"/>
    <n v="0"/>
    <s v="CPF Employer - April 2026"/>
    <x v="1"/>
    <s v="Headcount Costs"/>
    <x v="6"/>
    <x v="3"/>
  </r>
  <r>
    <s v="SG"/>
    <x v="5"/>
    <x v="9"/>
    <s v="DANNY KWOK CHING YUN"/>
    <s v="SGD"/>
    <n v="1360"/>
    <n v="1067.4310048808393"/>
    <s v="CPF Employer - April 2026"/>
    <x v="1"/>
    <s v="Headcount Costs"/>
    <x v="5"/>
    <x v="3"/>
  </r>
  <r>
    <s v="SG"/>
    <x v="5"/>
    <x v="9"/>
    <s v="JIN CHAO"/>
    <s v="SGD"/>
    <n v="0"/>
    <n v="0"/>
    <s v="CPF Employer - April 2026"/>
    <x v="1"/>
    <s v="Headcount Costs"/>
    <x v="6"/>
    <x v="3"/>
  </r>
  <r>
    <s v="SG"/>
    <x v="5"/>
    <x v="9"/>
    <s v="QIU JIE"/>
    <s v="SGD"/>
    <n v="2210"/>
    <n v="1734.5753829313637"/>
    <s v="CPF Employer - April 2026"/>
    <x v="1"/>
    <s v="Headcount Costs"/>
    <x v="8"/>
    <x v="0"/>
  </r>
  <r>
    <s v="SG"/>
    <x v="5"/>
    <x v="9"/>
    <s v="CALVEN OOI JIA WEI"/>
    <s v="SGD"/>
    <n v="0"/>
    <n v="0"/>
    <s v="CPF Employer - April 2026"/>
    <x v="1"/>
    <s v="Headcount Costs"/>
    <x v="4"/>
    <x v="2"/>
  </r>
  <r>
    <s v="SG"/>
    <x v="5"/>
    <x v="9"/>
    <s v="STEPHANIE LING WAN QING"/>
    <s v="SGD"/>
    <n v="1250"/>
    <n v="981.09467360371252"/>
    <s v="CPF Employer - April 2026"/>
    <x v="1"/>
    <s v="Headcount Costs"/>
    <x v="8"/>
    <x v="0"/>
  </r>
  <r>
    <s v="SG"/>
    <x v="5"/>
    <x v="9"/>
    <s v="GUO BEITING"/>
    <s v="SGD"/>
    <n v="1105"/>
    <n v="867.28769146568186"/>
    <s v="CPF Employer - April 2026"/>
    <x v="1"/>
    <s v="Headcount Costs"/>
    <x v="4"/>
    <x v="2"/>
  </r>
  <r>
    <s v="SG"/>
    <x v="5"/>
    <x v="9"/>
    <s v="LYNN CHAN WAI YIN"/>
    <s v="SGD"/>
    <n v="528"/>
    <n v="414.41439013020818"/>
    <s v="CPF Employer - April 2026"/>
    <x v="1"/>
    <s v="Headcount Costs"/>
    <x v="3"/>
    <x v="1"/>
  </r>
  <r>
    <s v="SG"/>
    <x v="5"/>
    <x v="9"/>
    <s v="CHENG YI YANG"/>
    <s v="SGD"/>
    <n v="927"/>
    <n v="727.57980994451316"/>
    <s v="CPF Employer - April 2026"/>
    <x v="1"/>
    <s v="Headcount Costs"/>
    <x v="4"/>
    <x v="2"/>
  </r>
  <r>
    <s v="SG"/>
    <x v="5"/>
    <x v="9"/>
    <s v="TANG KIN LEUNG"/>
    <s v="SGD"/>
    <n v="812"/>
    <n v="637.31909997297169"/>
    <s v="CPF Employer - April 2026"/>
    <x v="1"/>
    <s v="Headcount Costs"/>
    <x v="9"/>
    <x v="0"/>
  </r>
  <r>
    <s v="SG"/>
    <x v="5"/>
    <x v="9"/>
    <s v="PHI CHEE LING"/>
    <s v="SGD"/>
    <n v="102"/>
    <n v="80.05732536606294"/>
    <s v="CPF Employer - April 2026"/>
    <x v="1"/>
    <s v="Headcount Costs"/>
    <x v="10"/>
    <x v="0"/>
  </r>
  <r>
    <s v="SG"/>
    <x v="5"/>
    <x v="9"/>
    <s v="PAN ZHENGYAN"/>
    <s v="SGD"/>
    <n v="439"/>
    <n v="344.56044936962383"/>
    <s v="CPF Employer - April 2026"/>
    <x v="1"/>
    <s v="Headcount Costs"/>
    <x v="3"/>
    <x v="1"/>
  </r>
  <r>
    <s v="SG"/>
    <x v="6"/>
    <x v="10"/>
    <s v="LYNN CHAN WAI YIN"/>
    <s v="SGD"/>
    <n v="2532.83"/>
    <n v="1963.31304318"/>
    <s v="Net Pay - May 2026"/>
    <x v="0"/>
    <s v="Headcount Costs"/>
    <x v="3"/>
    <x v="1"/>
  </r>
  <r>
    <s v="SG"/>
    <x v="6"/>
    <x v="11"/>
    <s v="LYNN CHAN WAI YIN"/>
    <s v="SGD"/>
    <n v="0.5"/>
    <n v="0.387573"/>
    <s v="CDAC - May 2026"/>
    <x v="0"/>
    <s v="Headcount Costs"/>
    <x v="3"/>
    <x v="1"/>
  </r>
  <r>
    <s v="SG"/>
    <x v="6"/>
    <x v="11"/>
    <s v="LYNN CHAN WAI YIN"/>
    <s v="SGD"/>
    <n v="2"/>
    <n v="1.550292"/>
    <s v="SDF - May 2026"/>
    <x v="1"/>
    <s v="Headcount Costs"/>
    <x v="3"/>
    <x v="1"/>
  </r>
  <r>
    <s v="SG"/>
    <x v="6"/>
    <x v="11"/>
    <s v="LYNN CHAN WAI YIN"/>
    <s v="SGD"/>
    <n v="74"/>
    <n v="57.360804000000002"/>
    <s v="CPF Employer - May 2026"/>
    <x v="1"/>
    <s v="Headcount Costs"/>
    <x v="3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x v="0"/>
    <s v="USD"/>
    <n v="825438.09"/>
    <n v="825438.09"/>
  </r>
  <r>
    <x v="0"/>
    <x v="1"/>
    <x v="1"/>
    <s v="USD"/>
    <n v="57825.83"/>
    <n v="57825.83"/>
  </r>
  <r>
    <x v="0"/>
    <x v="1"/>
    <x v="2"/>
    <s v="SGD"/>
    <n v="173074.36"/>
    <n v="136265.07818956001"/>
  </r>
  <r>
    <x v="0"/>
    <x v="1"/>
    <x v="3"/>
    <s v="CNY"/>
    <n v="14245.44"/>
    <n v="2049.2777712000002"/>
  </r>
  <r>
    <x v="0"/>
    <x v="2"/>
    <x v="4"/>
    <s v="USD"/>
    <n v="11798.62"/>
    <n v="11798.62"/>
  </r>
  <r>
    <x v="0"/>
    <x v="2"/>
    <x v="5"/>
    <s v="MYR"/>
    <n v="351069.83"/>
    <n v="89090.288619440005"/>
  </r>
  <r>
    <x v="0"/>
    <x v="3"/>
    <x v="6"/>
    <s v="CNY"/>
    <n v="139733.88"/>
    <n v="20101.417307400003"/>
  </r>
  <r>
    <x v="0"/>
    <x v="3"/>
    <x v="7"/>
    <s v="CNY"/>
    <n v="301052.42"/>
    <n v="43307.895879100004"/>
  </r>
  <r>
    <x v="1"/>
    <x v="0"/>
    <x v="0"/>
    <s v="USD"/>
    <n v="525417.86"/>
    <n v="525417.86"/>
  </r>
  <r>
    <x v="1"/>
    <x v="1"/>
    <x v="1"/>
    <s v="USD"/>
    <n v="12669.950000000012"/>
    <n v="12669.950000000012"/>
  </r>
  <r>
    <x v="1"/>
    <x v="1"/>
    <x v="2"/>
    <s v="SGD"/>
    <n v="107296.56000000003"/>
    <n v="84476.834915760031"/>
  </r>
  <r>
    <x v="1"/>
    <x v="1"/>
    <x v="3"/>
    <s v="CNY"/>
    <n v="14245.44"/>
    <n v="2049.2777712000002"/>
  </r>
  <r>
    <x v="1"/>
    <x v="2"/>
    <x v="4"/>
    <s v="USD"/>
    <n v="199.26999999999848"/>
    <n v="199.26999999999848"/>
  </r>
  <r>
    <x v="1"/>
    <x v="2"/>
    <x v="5"/>
    <s v="MYR"/>
    <n v="175590.15000000002"/>
    <n v="44559.161185200006"/>
  </r>
  <r>
    <x v="1"/>
    <x v="3"/>
    <x v="6"/>
    <s v="CNY"/>
    <n v="139733.88"/>
    <n v="20101.417307400003"/>
  </r>
  <r>
    <x v="1"/>
    <x v="3"/>
    <x v="7"/>
    <s v="CNY"/>
    <n v="557338.68999999994"/>
    <n v="80175.957249949992"/>
  </r>
  <r>
    <x v="2"/>
    <x v="0"/>
    <x v="0"/>
    <s v="USD"/>
    <n v="525421.94999999995"/>
    <n v="525421.94999999995"/>
  </r>
  <r>
    <x v="2"/>
    <x v="1"/>
    <x v="1"/>
    <s v="USD"/>
    <n v="12669.950000000012"/>
    <n v="12669.950000000012"/>
  </r>
  <r>
    <x v="2"/>
    <x v="1"/>
    <x v="2"/>
    <s v="SGD"/>
    <n v="85042.200000000041"/>
    <n v="67235.553910800038"/>
  </r>
  <r>
    <x v="2"/>
    <x v="1"/>
    <x v="3"/>
    <s v="CNY"/>
    <n v="14245.44"/>
    <n v="2076.9424156800001"/>
  </r>
  <r>
    <x v="2"/>
    <x v="2"/>
    <x v="4"/>
    <s v="USD"/>
    <n v="199.26999999999848"/>
    <n v="199.26999999999848"/>
  </r>
  <r>
    <x v="2"/>
    <x v="2"/>
    <x v="5"/>
    <s v="MYR"/>
    <n v="1010053.5800000001"/>
    <n v="259494.88534496"/>
  </r>
  <r>
    <x v="2"/>
    <x v="3"/>
    <x v="6"/>
    <s v="CNY"/>
    <n v="139733.88"/>
    <n v="20372.780502360001"/>
  </r>
  <r>
    <x v="2"/>
    <x v="3"/>
    <x v="7"/>
    <s v="CNY"/>
    <n v="408961.52999999991"/>
    <n v="59625.364189409993"/>
  </r>
  <r>
    <x v="3"/>
    <x v="0"/>
    <x v="0"/>
    <s v="USD"/>
    <n v="675398.52999999991"/>
    <n v="675398.52999999991"/>
  </r>
  <r>
    <x v="3"/>
    <x v="1"/>
    <x v="1"/>
    <s v="USD"/>
    <n v="66399.969999999972"/>
    <n v="66399.969999999972"/>
  </r>
  <r>
    <x v="3"/>
    <x v="1"/>
    <x v="2"/>
    <s v="SGD"/>
    <n v="99091.40660000006"/>
    <n v="76810.307460363649"/>
  </r>
  <r>
    <x v="3"/>
    <x v="1"/>
    <x v="3"/>
    <s v="CNY"/>
    <n v="2245.44"/>
    <n v="325.49673696000002"/>
  </r>
  <r>
    <x v="3"/>
    <x v="2"/>
    <x v="4"/>
    <s v="USD"/>
    <n v="172.50999999999848"/>
    <n v="172.50999999999848"/>
  </r>
  <r>
    <x v="3"/>
    <x v="2"/>
    <x v="5"/>
    <s v="MYR"/>
    <n v="532919.67000000004"/>
    <n v="131633.82308835001"/>
  </r>
  <r>
    <x v="3"/>
    <x v="3"/>
    <x v="6"/>
    <s v="CNY"/>
    <n v="139751.35"/>
    <n v="20258.215944650001"/>
  </r>
  <r>
    <x v="3"/>
    <x v="3"/>
    <x v="7"/>
    <s v="CNY"/>
    <n v="115612.58999999991"/>
    <n v="16759.085433809989"/>
  </r>
  <r>
    <x v="4"/>
    <x v="0"/>
    <x v="0"/>
    <s v="USD"/>
    <n v="425377.11999999988"/>
    <n v="425377.11999999988"/>
  </r>
  <r>
    <x v="4"/>
    <x v="1"/>
    <x v="1"/>
    <s v="USD"/>
    <n v="124366.29999999996"/>
    <n v="124366.29999999996"/>
  </r>
  <r>
    <x v="4"/>
    <x v="1"/>
    <x v="2"/>
    <s v="SGD"/>
    <n v="121074.25660000002"/>
    <n v="95028.246608631322"/>
  </r>
  <r>
    <x v="4"/>
    <x v="1"/>
    <x v="3"/>
    <s v="CNY"/>
    <n v="2245.44"/>
    <n v="328.80724076056646"/>
  </r>
  <r>
    <x v="4"/>
    <x v="2"/>
    <x v="4"/>
    <s v="USD"/>
    <n v="172.50999999999848"/>
    <n v="172.50999999999848"/>
  </r>
  <r>
    <x v="4"/>
    <x v="2"/>
    <x v="5"/>
    <s v="MYR"/>
    <n v="537094.84000000008"/>
    <n v="135285.04275582649"/>
  </r>
  <r>
    <x v="4"/>
    <x v="3"/>
    <x v="6"/>
    <s v="CNY"/>
    <n v="46884.57"/>
    <n v="6865.4633817628755"/>
  </r>
  <r>
    <x v="4"/>
    <x v="3"/>
    <x v="7"/>
    <s v="CNY"/>
    <n v="44486.279999999897"/>
    <n v="6572.9813288399846"/>
  </r>
  <r>
    <x v="5"/>
    <x v="0"/>
    <x v="0"/>
    <s v="USD"/>
    <n v="425380.77999999985"/>
    <n v="425380.77999999985"/>
  </r>
  <r>
    <x v="5"/>
    <x v="1"/>
    <x v="1"/>
    <s v="USD"/>
    <n v="12350.959999999963"/>
    <n v="12350.959999999963"/>
  </r>
  <r>
    <x v="5"/>
    <x v="1"/>
    <x v="2"/>
    <s v="SGD"/>
    <n v="122067.7266000001"/>
    <n v="95603.443473120074"/>
  </r>
  <r>
    <x v="5"/>
    <x v="1"/>
    <x v="3"/>
    <s v="CNY"/>
    <n v="2245.44"/>
    <n v="331.77049632000001"/>
  </r>
  <r>
    <x v="5"/>
    <x v="2"/>
    <x v="4"/>
    <s v="USD"/>
    <n v="172.50999999999848"/>
    <n v="172.50999999999848"/>
  </r>
  <r>
    <x v="5"/>
    <x v="2"/>
    <x v="5"/>
    <s v="MYR"/>
    <n v="284781.85000000003"/>
    <n v="71769.297927750013"/>
  </r>
  <r>
    <x v="5"/>
    <x v="3"/>
    <x v="6"/>
    <s v="CNY"/>
    <n v="0"/>
    <n v="0"/>
  </r>
  <r>
    <x v="5"/>
    <x v="3"/>
    <x v="7"/>
    <s v="CNY"/>
    <n v="390217.13"/>
    <n v="57655.751608890001"/>
  </r>
  <r>
    <x v="6"/>
    <x v="0"/>
    <x v="0"/>
    <s v="USD"/>
    <n v="225380.77999999985"/>
    <n v="225380.77999999985"/>
  </r>
  <r>
    <x v="7"/>
    <x v="0"/>
    <x v="0"/>
    <s v="USD"/>
    <n v="225380.77999999985"/>
    <n v="225380.77999999985"/>
  </r>
  <r>
    <x v="8"/>
    <x v="0"/>
    <x v="0"/>
    <s v="USD"/>
    <n v="225380.77999999985"/>
    <n v="225380.77999999985"/>
  </r>
  <r>
    <x v="9"/>
    <x v="0"/>
    <x v="0"/>
    <s v="USD"/>
    <n v="225380.77999999985"/>
    <n v="225380.77999999985"/>
  </r>
  <r>
    <x v="10"/>
    <x v="0"/>
    <x v="0"/>
    <s v="USD"/>
    <n v="225380.77999999985"/>
    <n v="225380.77999999985"/>
  </r>
  <r>
    <x v="11"/>
    <x v="0"/>
    <x v="0"/>
    <s v="USD"/>
    <n v="225380.77999999985"/>
    <n v="225380.77999999985"/>
  </r>
  <r>
    <x v="12"/>
    <x v="0"/>
    <x v="0"/>
    <s v="USD"/>
    <n v="225380.77999999985"/>
    <n v="225380.77999999985"/>
  </r>
  <r>
    <x v="6"/>
    <x v="1"/>
    <x v="1"/>
    <s v="USD"/>
    <n v="210734.00999999998"/>
    <n v="210734.00999999998"/>
  </r>
  <r>
    <x v="7"/>
    <x v="1"/>
    <x v="1"/>
    <s v="USD"/>
    <n v="210734.00999999998"/>
    <n v="210734.00999999998"/>
  </r>
  <r>
    <x v="8"/>
    <x v="1"/>
    <x v="1"/>
    <s v="USD"/>
    <n v="210734.00999999998"/>
    <n v="210734.00999999998"/>
  </r>
  <r>
    <x v="9"/>
    <x v="1"/>
    <x v="1"/>
    <s v="USD"/>
    <n v="210734.00999999998"/>
    <n v="210734.00999999998"/>
  </r>
  <r>
    <x v="10"/>
    <x v="1"/>
    <x v="1"/>
    <s v="USD"/>
    <n v="210734.00999999998"/>
    <n v="210734.00999999998"/>
  </r>
  <r>
    <x v="11"/>
    <x v="1"/>
    <x v="1"/>
    <s v="USD"/>
    <n v="210734.00999999998"/>
    <n v="210734.00999999998"/>
  </r>
  <r>
    <x v="12"/>
    <x v="1"/>
    <x v="1"/>
    <s v="USD"/>
    <n v="210734.00999999998"/>
    <n v="210734.00999999998"/>
  </r>
  <r>
    <x v="6"/>
    <x v="1"/>
    <x v="2"/>
    <s v="SGD"/>
    <n v="252292.01750000007"/>
    <n v="197595.10810600006"/>
  </r>
  <r>
    <x v="7"/>
    <x v="1"/>
    <x v="2"/>
    <s v="SGD"/>
    <n v="252292.01750000007"/>
    <n v="197595.10810600006"/>
  </r>
  <r>
    <x v="8"/>
    <x v="1"/>
    <x v="2"/>
    <s v="SGD"/>
    <n v="252292.01750000007"/>
    <n v="197595.10810600006"/>
  </r>
  <r>
    <x v="9"/>
    <x v="1"/>
    <x v="2"/>
    <s v="SGD"/>
    <n v="252292.01750000007"/>
    <n v="197595.10810600006"/>
  </r>
  <r>
    <x v="10"/>
    <x v="1"/>
    <x v="2"/>
    <s v="SGD"/>
    <n v="252292.01750000007"/>
    <n v="197595.10810600006"/>
  </r>
  <r>
    <x v="11"/>
    <x v="1"/>
    <x v="2"/>
    <s v="SGD"/>
    <n v="252292.01750000007"/>
    <n v="197595.10810600006"/>
  </r>
  <r>
    <x v="12"/>
    <x v="1"/>
    <x v="2"/>
    <s v="SGD"/>
    <n v="252292.01750000007"/>
    <n v="197595.10810600006"/>
  </r>
  <r>
    <x v="6"/>
    <x v="2"/>
    <x v="5"/>
    <s v="MYR"/>
    <n v="174424.66000000003"/>
    <n v="43957.630689900005"/>
  </r>
  <r>
    <x v="7"/>
    <x v="2"/>
    <x v="5"/>
    <s v="MYR"/>
    <n v="174424.66000000003"/>
    <n v="43957.630689900005"/>
  </r>
  <r>
    <x v="8"/>
    <x v="2"/>
    <x v="5"/>
    <s v="MYR"/>
    <n v="174424.66000000003"/>
    <n v="43957.630689900005"/>
  </r>
  <r>
    <x v="9"/>
    <x v="2"/>
    <x v="5"/>
    <s v="MYR"/>
    <n v="174424.66000000003"/>
    <n v="43957.630689900005"/>
  </r>
  <r>
    <x v="10"/>
    <x v="2"/>
    <x v="5"/>
    <s v="MYR"/>
    <n v="174424.66000000003"/>
    <n v="43957.630689900005"/>
  </r>
  <r>
    <x v="11"/>
    <x v="2"/>
    <x v="5"/>
    <s v="MYR"/>
    <n v="174424.66000000003"/>
    <n v="43957.630689900005"/>
  </r>
  <r>
    <x v="12"/>
    <x v="2"/>
    <x v="5"/>
    <s v="MYR"/>
    <n v="174424.66000000003"/>
    <n v="43957.630689900005"/>
  </r>
  <r>
    <x v="6"/>
    <x v="2"/>
    <x v="4"/>
    <s v="USD"/>
    <n v="172.50999999999848"/>
    <n v="172.50999999999848"/>
  </r>
  <r>
    <x v="7"/>
    <x v="2"/>
    <x v="4"/>
    <s v="USD"/>
    <n v="172.50999999999848"/>
    <n v="172.50999999999848"/>
  </r>
  <r>
    <x v="8"/>
    <x v="2"/>
    <x v="4"/>
    <s v="USD"/>
    <n v="172.50999999999848"/>
    <n v="172.50999999999848"/>
  </r>
  <r>
    <x v="9"/>
    <x v="2"/>
    <x v="4"/>
    <s v="USD"/>
    <n v="172.50999999999848"/>
    <n v="172.50999999999848"/>
  </r>
  <r>
    <x v="10"/>
    <x v="2"/>
    <x v="4"/>
    <s v="USD"/>
    <n v="172.50999999999848"/>
    <n v="172.50999999999848"/>
  </r>
  <r>
    <x v="11"/>
    <x v="2"/>
    <x v="4"/>
    <s v="USD"/>
    <n v="172.50999999999848"/>
    <n v="172.50999999999848"/>
  </r>
  <r>
    <x v="12"/>
    <x v="2"/>
    <x v="4"/>
    <s v="USD"/>
    <n v="172.50999999999848"/>
    <n v="172.50999999999848"/>
  </r>
  <r>
    <x v="6"/>
    <x v="3"/>
    <x v="7"/>
    <s v="CNY"/>
    <n v="390217.12999999989"/>
    <n v="57655.751608889979"/>
  </r>
  <r>
    <x v="7"/>
    <x v="3"/>
    <x v="7"/>
    <s v="CNY"/>
    <n v="390217.12999999989"/>
    <n v="57655.751608889979"/>
  </r>
  <r>
    <x v="8"/>
    <x v="3"/>
    <x v="7"/>
    <s v="CNY"/>
    <n v="390217.12999999989"/>
    <n v="57655.751608889979"/>
  </r>
  <r>
    <x v="9"/>
    <x v="3"/>
    <x v="7"/>
    <s v="CNY"/>
    <n v="390217.12999999989"/>
    <n v="57655.751608889979"/>
  </r>
  <r>
    <x v="10"/>
    <x v="3"/>
    <x v="7"/>
    <s v="CNY"/>
    <n v="390217.12999999989"/>
    <n v="57655.751608889979"/>
  </r>
  <r>
    <x v="11"/>
    <x v="3"/>
    <x v="7"/>
    <s v="CNY"/>
    <n v="390217.12999999989"/>
    <n v="57655.751608889979"/>
  </r>
  <r>
    <x v="12"/>
    <x v="3"/>
    <x v="7"/>
    <s v="CNY"/>
    <n v="390217.12999999989"/>
    <n v="57655.75160888997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  <x v="0"/>
    <d v="2026-01-29T00:00:00"/>
    <x v="0"/>
    <x v="0"/>
    <s v="USD"/>
    <n v="8978"/>
    <n v="808.02"/>
    <n v="9786.02"/>
    <n v="9786.02"/>
    <x v="0"/>
    <s v="INV 2512002"/>
    <s v="Development Support Services for PR1 Visual Inspect automation - December 2025"/>
    <x v="0"/>
    <s v="SG-00017-7"/>
    <s v="Revenue"/>
    <s v="Revenue"/>
    <s v="Sales &amp; Pre-sales"/>
    <s v="Yes"/>
    <m/>
  </r>
  <r>
    <x v="0"/>
    <x v="0"/>
    <x v="1"/>
    <d v="2026-02-20T00:00:00"/>
    <x v="1"/>
    <x v="1"/>
    <s v="SGD"/>
    <n v="8866.67"/>
    <n v="798"/>
    <n v="9664.67"/>
    <n v="7443.0042813439686"/>
    <x v="1"/>
    <s v="INV 2601001"/>
    <s v="Power BI Consultant Fees - December 2025"/>
    <x v="1"/>
    <s v="SG-00010-1"/>
    <s v="Revenue"/>
    <s v="Revenue"/>
    <s v="Sales &amp; Pre-sales"/>
    <s v="Yes"/>
    <m/>
  </r>
  <r>
    <x v="0"/>
    <x v="0"/>
    <x v="2"/>
    <d v="2026-02-21T00:00:00"/>
    <x v="2"/>
    <x v="2"/>
    <s v="SGD"/>
    <n v="5000"/>
    <n v="0"/>
    <n v="5000"/>
    <n v="3850.6251539597151"/>
    <x v="2"/>
    <s v="INV 2601002"/>
    <s v="AX JIT - IOT BOX (Tianjin)"/>
    <x v="2"/>
    <s v="SG-00031-1"/>
    <s v="Revenue"/>
    <s v="Revenue"/>
    <s v="R&amp;D - Team D"/>
    <s v="No"/>
    <m/>
  </r>
  <r>
    <x v="0"/>
    <x v="0"/>
    <x v="3"/>
    <d v="2026-03-01T00:00:00"/>
    <x v="2"/>
    <x v="2"/>
    <s v="SGD"/>
    <n v="26900"/>
    <n v="2421"/>
    <n v="29321"/>
    <n v="22580.836027850561"/>
    <x v="2"/>
    <s v="INV 2601003"/>
    <s v="Implementation fees - CN Suzhou (Part 2)"/>
    <x v="3"/>
    <s v="SG-00008-Suzhou-2"/>
    <s v="Revenue"/>
    <s v="Revenue"/>
    <s v="R&amp;D - Team D"/>
    <s v="Yes"/>
    <m/>
  </r>
  <r>
    <x v="0"/>
    <x v="0"/>
    <x v="4"/>
    <d v="2026-03-05T00:00:00"/>
    <x v="3"/>
    <x v="3"/>
    <s v="SGD"/>
    <n v="8866.67"/>
    <n v="798"/>
    <n v="9664.67"/>
    <n v="7443.0042813439686"/>
    <x v="1"/>
    <s v="INV 2602001"/>
    <s v="Power BI Consultant Fees - January 2026"/>
    <x v="1"/>
    <s v="SG-00010-2"/>
    <s v="Revenue"/>
    <s v="Revenue"/>
    <s v="Sales &amp; Pre-sales"/>
    <s v="Yes"/>
    <m/>
  </r>
  <r>
    <x v="0"/>
    <x v="0"/>
    <x v="4"/>
    <d v="2026-03-05T00:00:00"/>
    <x v="4"/>
    <x v="4"/>
    <s v="USD"/>
    <n v="8978"/>
    <n v="808.02"/>
    <n v="9786.02"/>
    <n v="9786.02"/>
    <x v="0"/>
    <s v="INV 2602002"/>
    <s v="Development Support Services for PR1 Visual Inspect automation - January 2026"/>
    <x v="0"/>
    <s v="SG-00017-8"/>
    <s v="Revenue"/>
    <s v="Revenue"/>
    <s v="Sales &amp; Pre-sales"/>
    <s v="Yes"/>
    <m/>
  </r>
  <r>
    <x v="0"/>
    <x v="0"/>
    <x v="5"/>
    <d v="2026-03-11T00:00:00"/>
    <x v="3"/>
    <x v="5"/>
    <s v="SGD"/>
    <n v="26900"/>
    <n v="2421"/>
    <n v="29321"/>
    <n v="22580.836027850561"/>
    <x v="2"/>
    <s v="INV 2602003"/>
    <s v="Implementation fees - CN Tianjin (UAT Completion)"/>
    <x v="3"/>
    <s v="SG-00008-Tianjin-5"/>
    <s v="Revenue"/>
    <s v="Revenue"/>
    <s v="R&amp;D - Team D"/>
    <s v="Yes"/>
    <m/>
  </r>
  <r>
    <x v="0"/>
    <x v="0"/>
    <x v="6"/>
    <d v="2026-03-12T00:00:00"/>
    <x v="3"/>
    <x v="5"/>
    <s v="SGD"/>
    <n v="2609.69"/>
    <n v="234.87"/>
    <n v="2844.56"/>
    <n v="2190.6668575895296"/>
    <x v="2"/>
    <s v="INV 2602004"/>
    <s v="Consultation Fee : AOT 17th Nov to 21st Nov 2025"/>
    <x v="3"/>
    <m/>
    <s v="Revenue"/>
    <s v="Revenue"/>
    <s v="R&amp;D - Team D"/>
    <s v="Yes"/>
    <m/>
  </r>
  <r>
    <x v="0"/>
    <x v="0"/>
    <x v="7"/>
    <d v="2026-03-29T00:00:00"/>
    <x v="3"/>
    <x v="5"/>
    <s v="SGD"/>
    <n v="1948.24"/>
    <n v="175.34"/>
    <n v="2123.58"/>
    <n v="1635.4221128891543"/>
    <x v="2"/>
    <s v="INV 2602005"/>
    <s v="Consultation Fee: AOT and ATS 4th Jan - 16th Jan 2026"/>
    <x v="3"/>
    <m/>
    <s v="Revenue"/>
    <s v="Revenue"/>
    <s v="R&amp;D - Team D"/>
    <s v="Yes"/>
    <m/>
  </r>
  <r>
    <x v="0"/>
    <x v="0"/>
    <x v="8"/>
    <d v="2026-04-02T00:00:00"/>
    <x v="3"/>
    <x v="6"/>
    <s v="SGD"/>
    <n v="585.13"/>
    <n v="52.66"/>
    <n v="637.79"/>
    <n v="491.17804338879336"/>
    <x v="2"/>
    <s v="INV 2603001"/>
    <s v="Consultation Fee : ATS Go Live 2 Feb - 6 Feb 2026."/>
    <x v="3"/>
    <m/>
    <s v="Revenue"/>
    <s v="Revenue"/>
    <s v="R&amp;D - Team D"/>
    <s v="Yes"/>
    <m/>
  </r>
  <r>
    <x v="0"/>
    <x v="0"/>
    <x v="8"/>
    <d v="2026-04-02T00:00:00"/>
    <x v="3"/>
    <x v="7"/>
    <s v="SGD"/>
    <n v="8866.67"/>
    <n v="798"/>
    <n v="9664.67"/>
    <n v="7443.0042813439686"/>
    <x v="1"/>
    <s v="INV 2603002"/>
    <s v="Power BI Consultant Fees - February 2026"/>
    <x v="1"/>
    <s v="SG-00010-3"/>
    <s v="Revenue"/>
    <s v="Revenue"/>
    <s v="Sales &amp; Pre-sales"/>
    <s v="Yes"/>
    <m/>
  </r>
  <r>
    <x v="0"/>
    <x v="0"/>
    <x v="9"/>
    <d v="2026-04-04T00:00:00"/>
    <x v="5"/>
    <x v="8"/>
    <s v="USD"/>
    <n v="8978"/>
    <n v="808.02"/>
    <n v="9786.02"/>
    <n v="9786.02"/>
    <x v="0"/>
    <s v="INV 2603003"/>
    <s v="Development Support Services for PR1 Visual Inspect automation - February 2025"/>
    <x v="0"/>
    <s v="SG-00017-9"/>
    <s v="Revenue"/>
    <s v="Revenue"/>
    <s v="Sales &amp; Pre-sales"/>
    <s v="Yes"/>
    <m/>
  </r>
  <r>
    <x v="0"/>
    <x v="0"/>
    <x v="10"/>
    <d v="2026-04-05T00:00:00"/>
    <x v="6"/>
    <x v="9"/>
    <s v="SGD"/>
    <n v="2099"/>
    <n v="188.91"/>
    <n v="2287.91"/>
    <n v="1761.9767591991942"/>
    <x v="3"/>
    <s v="INV 2603004"/>
    <s v="AI Scheduler Setup Fee (Phase 1) + AI Scheduler Monthly Subscription"/>
    <x v="4"/>
    <s v="SG-00045-1"/>
    <s v="Revenue"/>
    <s v="Revenue"/>
    <s v="R&amp;D - Team D"/>
    <s v="Yes"/>
    <m/>
  </r>
  <r>
    <x v="0"/>
    <x v="0"/>
    <x v="11"/>
    <d v="2026-04-11T00:00:00"/>
    <x v="3"/>
    <x v="6"/>
    <s v="SGD"/>
    <n v="46400"/>
    <n v="4176"/>
    <n v="50576"/>
    <n v="38949.843557333312"/>
    <x v="2"/>
    <s v="INV 2603005"/>
    <s v="Implementation Fees – CN Changchun (Kick Off)"/>
    <x v="3"/>
    <s v="SG-00008-Changchun-7"/>
    <s v="Revenue"/>
    <s v="Revenue"/>
    <s v="R&amp;D - Team D"/>
    <s v="Yes"/>
    <m/>
  </r>
  <r>
    <x v="0"/>
    <x v="0"/>
    <x v="12"/>
    <d v="2026-04-12T00:00:00"/>
    <x v="5"/>
    <x v="8"/>
    <s v="USD"/>
    <n v="1000"/>
    <n v="90"/>
    <n v="1090"/>
    <n v="1090"/>
    <x v="4"/>
    <s v="INV 2603006"/>
    <s v="AX Trace Digital Marketing Solution 19 Feb 2026 – 18 Mar 2026 (1/6)"/>
    <x v="5"/>
    <s v="SG-00041-1"/>
    <m/>
    <s v="Revenue"/>
    <s v="R&amp;D - Team D"/>
    <s v="Yes"/>
    <m/>
  </r>
  <r>
    <x v="0"/>
    <x v="0"/>
    <x v="13"/>
    <d v="2026-04-29T00:00:00"/>
    <x v="7"/>
    <x v="10"/>
    <s v="USD"/>
    <n v="8978"/>
    <n v="808.02"/>
    <n v="9786.02"/>
    <n v="9786.02"/>
    <x v="0"/>
    <s v="INV 2603007"/>
    <s v="Development Support Services for PR1 Visual Inspect automation - March 2026"/>
    <x v="0"/>
    <s v="SG-00017-10"/>
    <s v="Revenue"/>
    <s v="Revenue"/>
    <s v="Sales &amp; Pre-sales"/>
    <s v="Yes"/>
    <m/>
  </r>
  <r>
    <x v="0"/>
    <x v="0"/>
    <x v="14"/>
    <d v="2026-05-01T00:00:00"/>
    <x v="7"/>
    <x v="11"/>
    <s v="SGD"/>
    <n v="8866.67"/>
    <n v="798"/>
    <n v="9664.67"/>
    <n v="7443.0042813439686"/>
    <x v="1"/>
    <s v="INV 2604001"/>
    <s v="Power BI Consultant Fees - March 2026"/>
    <x v="6"/>
    <m/>
    <m/>
    <m/>
    <m/>
    <m/>
    <m/>
  </r>
  <r>
    <x v="0"/>
    <x v="0"/>
    <x v="14"/>
    <d v="2026-05-01T00:00:00"/>
    <x v="7"/>
    <x v="11"/>
    <s v="SGD"/>
    <n v="8866.67"/>
    <n v="798"/>
    <n v="9664.67"/>
    <n v="7443.0042813439686"/>
    <x v="1"/>
    <s v="INV 2604002"/>
    <s v="Power BI Consultant Fees - March 2026"/>
    <x v="7"/>
    <m/>
    <m/>
    <m/>
    <m/>
    <m/>
    <m/>
  </r>
  <r>
    <x v="0"/>
    <x v="0"/>
    <x v="14"/>
    <d v="2026-05-01T00:00:00"/>
    <x v="7"/>
    <x v="12"/>
    <s v="SGD"/>
    <n v="16000"/>
    <n v="1440"/>
    <n v="17440"/>
    <n v="13430.980537011486"/>
    <x v="2"/>
    <s v="INV 2604003"/>
    <s v="Project milestone: Phase 1 - 40% upon kick off AX Trace Smart Factory Data Platform"/>
    <x v="8"/>
    <m/>
    <m/>
    <m/>
    <m/>
    <m/>
    <m/>
  </r>
  <r>
    <x v="1"/>
    <x v="0"/>
    <x v="15"/>
    <d v="2026-04-15T00:00:00"/>
    <x v="3"/>
    <x v="13"/>
    <s v="SGD"/>
    <n v="76345"/>
    <n v="6871.05"/>
    <n v="83216.05"/>
    <n v="64086.763068633874"/>
    <x v="4"/>
    <s v="INV 2604004"/>
    <s v="OHT related IP License Fee for 2 years"/>
    <x v="9"/>
    <m/>
    <m/>
    <m/>
    <m/>
    <m/>
    <m/>
  </r>
  <r>
    <x v="2"/>
    <x v="0"/>
    <x v="16"/>
    <d v="2026-05-09T00:00:00"/>
    <x v="8"/>
    <x v="13"/>
    <s v="SGD"/>
    <n v="10800"/>
    <n v="972"/>
    <n v="11772"/>
    <n v="9065.9118624827533"/>
    <x v="2"/>
    <s v="INV 2604005"/>
    <s v="Implementation Fees - MY JB (Kick Off)"/>
    <x v="3"/>
    <m/>
    <m/>
    <m/>
    <m/>
    <m/>
    <m/>
  </r>
  <r>
    <x v="2"/>
    <x v="0"/>
    <x v="16"/>
    <d v="2026-05-09T00:00:00"/>
    <x v="8"/>
    <x v="13"/>
    <s v="SGD"/>
    <n v="46400"/>
    <n v="4176"/>
    <n v="50576"/>
    <n v="38949.843557333312"/>
    <x v="2"/>
    <s v="INV 2604006"/>
    <s v="Implementation Fees - MY JB (Kick Off)"/>
    <x v="3"/>
    <m/>
    <m/>
    <m/>
    <m/>
    <m/>
    <m/>
  </r>
  <r>
    <x v="2"/>
    <x v="0"/>
    <x v="16"/>
    <d v="2026-05-09T00:00:00"/>
    <x v="8"/>
    <x v="13"/>
    <s v="SGD"/>
    <n v="40000"/>
    <n v="3600"/>
    <n v="43600"/>
    <n v="33577.451342528715"/>
    <x v="2"/>
    <s v="INV 2604007"/>
    <s v="Implementation Fees - CN Wuhan"/>
    <x v="3"/>
    <m/>
    <m/>
    <m/>
    <m/>
    <m/>
    <m/>
  </r>
  <r>
    <x v="0"/>
    <x v="0"/>
    <x v="17"/>
    <d v="2026-05-10T00:00:00"/>
    <x v="7"/>
    <x v="14"/>
    <s v="SGD"/>
    <n v="99"/>
    <n v="8.91"/>
    <n v="107.91"/>
    <n v="83.104192072758579"/>
    <x v="3"/>
    <s v="INV 2604008"/>
    <s v="Ax Trace AI Scheduler Monthly Subscription - April 2026 (2/6)"/>
    <x v="4"/>
    <s v="SG-00045-2"/>
    <s v="Revenue"/>
    <s v="Revenue"/>
    <s v="R&amp;D - Team D"/>
    <s v="Yes"/>
    <m/>
  </r>
  <r>
    <x v="0"/>
    <x v="0"/>
    <x v="18"/>
    <d v="2026-05-14T00:00:00"/>
    <x v="7"/>
    <x v="15"/>
    <s v="USD"/>
    <n v="1000"/>
    <n v="90"/>
    <n v="1090"/>
    <n v="1090"/>
    <x v="4"/>
    <s v="INV 2604009"/>
    <s v="Ax Trace Digital Marketing Solution_x000a_a) Website content audit &amp; revamp plan_x000a_b) New LinkedIn page setup blog framework &amp; ongoing blog / content creation (weekly)_x000a_Period : 19 Mar 2026 – 18 Apr 2026"/>
    <x v="5"/>
    <s v="AXQ00028"/>
    <s v="Revenue"/>
    <s v="Revenue"/>
    <m/>
    <s v="Yes"/>
    <m/>
  </r>
  <r>
    <x v="0"/>
    <x v="0"/>
    <x v="19"/>
    <d v="2026-05-21T00:00:00"/>
    <x v="7"/>
    <x v="16"/>
    <s v="SGD"/>
    <n v="8866.67"/>
    <n v="798.00029999999992"/>
    <n v="9664.6702999999998"/>
    <n v="7443.0045123814771"/>
    <x v="1"/>
    <s v="INV 2604011"/>
    <s v="POWER BI CONSULTANTS AS QUO : AXQ00015 for the month of April 2026"/>
    <x v="6"/>
    <s v="PO 3325001371"/>
    <s v="Revenue"/>
    <s v="Revenue"/>
    <m/>
    <s v="Yes"/>
    <m/>
  </r>
  <r>
    <x v="0"/>
    <x v="0"/>
    <x v="19"/>
    <d v="2026-05-21T00:00:00"/>
    <x v="7"/>
    <x v="11"/>
    <s v="SGD"/>
    <n v="8866.67"/>
    <n v="798.00029999999992"/>
    <n v="9664.6702999999998"/>
    <n v="7443.0045123814771"/>
    <x v="1"/>
    <s v="INV 2604012"/>
    <s v="2nd POWER BI CONSULTANTS AS QUO : AXQ00015 for the month of April 2026"/>
    <x v="7"/>
    <s v="PO 3325001593"/>
    <s v="Revenue"/>
    <s v="Revenue"/>
    <m/>
    <s v="Yes"/>
    <m/>
  </r>
  <r>
    <x v="3"/>
    <x v="0"/>
    <x v="19"/>
    <d v="2026-06-21T00:00:00"/>
    <x v="9"/>
    <x v="13"/>
    <s v="USD"/>
    <n v="56000"/>
    <n v="5040"/>
    <n v="61040"/>
    <n v="61040"/>
    <x v="5"/>
    <s v="INV 2604010"/>
    <s v="Implementation of Equipment Automation for 4 equipment types"/>
    <x v="10"/>
    <s v="PO002149 Ver. 1.2"/>
    <s v="Revenue"/>
    <s v="Revenue"/>
    <m/>
    <s v="Yes"/>
    <m/>
  </r>
  <r>
    <x v="2"/>
    <x v="0"/>
    <x v="20"/>
    <d v="2026-05-28T00:00:00"/>
    <x v="8"/>
    <x v="13"/>
    <s v="SGD"/>
    <n v="2705.65"/>
    <n v="243.5085"/>
    <n v="2949.1585"/>
    <n v="2271.2207806228207"/>
    <x v="2"/>
    <s v="INV 2604013"/>
    <s v="Consultation Fee: Tianjin (AOT) Go-Live 4 Mar, and Changchun (AOC) kick off 9 Mar - 13 Mar 2026"/>
    <x v="3"/>
    <s v="PO26M00038"/>
    <s v="Revenue"/>
    <s v="Revenue"/>
    <m/>
    <s v="Yes"/>
    <m/>
  </r>
  <r>
    <x v="0"/>
    <x v="0"/>
    <x v="21"/>
    <d v="2026-04-30T00:00:00"/>
    <x v="10"/>
    <x v="17"/>
    <s v="USD"/>
    <n v="59000"/>
    <n v="0"/>
    <n v="59000"/>
    <n v="59000"/>
    <x v="6"/>
    <s v="INV 2604014"/>
    <s v="Taiwan IP License"/>
    <x v="11"/>
    <m/>
    <s v="Revenue"/>
    <s v="Revenue"/>
    <m/>
    <m/>
    <m/>
  </r>
  <r>
    <x v="0"/>
    <x v="0"/>
    <x v="22"/>
    <d v="2026-06-04T00:00:00"/>
    <x v="11"/>
    <x v="18"/>
    <s v="USD"/>
    <n v="8978"/>
    <n v="808.02"/>
    <n v="9786.02"/>
    <n v="9786.02"/>
    <x v="0"/>
    <s v="INV 2605001"/>
    <s v="Development Support Services for PR1 Visual Inspect automation - April 2026"/>
    <x v="0"/>
    <s v="SG-00017-11"/>
    <s v="Revenue"/>
    <s v="Revenue"/>
    <m/>
    <m/>
    <m/>
  </r>
  <r>
    <x v="0"/>
    <x v="0"/>
    <x v="23"/>
    <d v="2026-06-07T00:00:00"/>
    <x v="11"/>
    <x v="19"/>
    <s v="CNY"/>
    <n v="1575966.33"/>
    <n v="0"/>
    <n v="1575966.33"/>
    <n v="232853.75315649001"/>
    <x v="7"/>
    <s v="INV 2605002"/>
    <s v="Technical Service Fee - 50% kick off payment"/>
    <x v="12"/>
    <m/>
    <s v="Revenue"/>
    <s v="Revenue"/>
    <m/>
    <m/>
    <m/>
  </r>
  <r>
    <x v="3"/>
    <x v="0"/>
    <x v="24"/>
    <d v="2026-06-14T00:00:00"/>
    <x v="8"/>
    <x v="13"/>
    <s v="SGD"/>
    <n v="18800"/>
    <n v="1692"/>
    <n v="20492"/>
    <n v="15781.402130988497"/>
    <x v="2"/>
    <s v="INV 2605003"/>
    <s v="Implementation Fees – CHN ChangChun (UAT)"/>
    <x v="3"/>
    <s v="PO25M00126"/>
    <s v="Revenue"/>
    <s v="Revenue"/>
    <m/>
    <s v="Yes"/>
    <m/>
  </r>
  <r>
    <x v="3"/>
    <x v="0"/>
    <x v="24"/>
    <d v="2026-06-14T00:00:00"/>
    <x v="8"/>
    <x v="13"/>
    <s v="SGD"/>
    <n v="8100"/>
    <n v="729"/>
    <n v="8829"/>
    <n v="6799.433896862065"/>
    <x v="2"/>
    <s v="INV 2605004"/>
    <s v="Implementation Fees – MY JB (UAT)"/>
    <x v="3"/>
    <s v="PO26M00034"/>
    <s v="Revenue"/>
    <s v="Revenue"/>
    <m/>
    <s v="Yes"/>
    <m/>
  </r>
  <r>
    <x v="3"/>
    <x v="0"/>
    <x v="24"/>
    <d v="2026-06-14T00:00:00"/>
    <x v="8"/>
    <x v="13"/>
    <s v="SGD"/>
    <n v="18800"/>
    <n v="1692"/>
    <n v="20492"/>
    <n v="15781.402130988497"/>
    <x v="2"/>
    <s v="INV 2605005"/>
    <s v="Implementation Fees – MY JB (UAT)"/>
    <x v="3"/>
    <s v="PO25M00126"/>
    <s v="Revenue"/>
    <s v="Revenue"/>
    <m/>
    <s v="Yes"/>
    <m/>
  </r>
  <r>
    <x v="4"/>
    <x v="0"/>
    <x v="24"/>
    <d v="2026-07-15T00:00:00"/>
    <x v="12"/>
    <x v="13"/>
    <s v="USD"/>
    <m/>
    <m/>
    <n v="0"/>
    <n v="0"/>
    <x v="5"/>
    <s v="N/A"/>
    <s v="20% payment (every 4 tools)"/>
    <x v="13"/>
    <s v="SG-00005-2"/>
    <m/>
    <m/>
    <m/>
    <m/>
    <m/>
  </r>
  <r>
    <x v="4"/>
    <x v="0"/>
    <x v="24"/>
    <d v="2026-07-15T00:00:00"/>
    <x v="12"/>
    <x v="13"/>
    <s v="USD"/>
    <m/>
    <m/>
    <n v="0"/>
    <n v="0"/>
    <x v="5"/>
    <s v="N/A"/>
    <s v="20% payment (1 tool only)"/>
    <x v="13"/>
    <s v="SG-00005-3"/>
    <m/>
    <m/>
    <m/>
    <m/>
    <m/>
  </r>
  <r>
    <x v="0"/>
    <x v="0"/>
    <x v="25"/>
    <d v="2026-06-21T00:00:00"/>
    <x v="11"/>
    <x v="20"/>
    <s v="SGD"/>
    <n v="2599"/>
    <n v="233.91"/>
    <n v="2832.91"/>
    <n v="2181.6949009808031"/>
    <x v="3"/>
    <s v="INV 2605006"/>
    <s v="Ax Trace AI Scheduler Monthly Subscription - May 2026 (3/6)"/>
    <x v="4"/>
    <s v="SG-00045-3"/>
    <s v="Revenue"/>
    <s v="Revenue"/>
    <s v="R&amp;D - Team D"/>
    <s v="Yes"/>
    <m/>
  </r>
  <r>
    <x v="0"/>
    <x v="0"/>
    <x v="25"/>
    <d v="2026-06-21T00:00:00"/>
    <x v="11"/>
    <x v="16"/>
    <s v="SGD"/>
    <n v="8866.67"/>
    <n v="798"/>
    <n v="9664.67"/>
    <n v="7443.0042813439686"/>
    <x v="1"/>
    <s v="INV 2605008"/>
    <s v="Power BI Consultant Fees - May 2026"/>
    <x v="6"/>
    <s v="SG-00010-6"/>
    <s v="Revenue"/>
    <s v="Revenue"/>
    <s v="Sales &amp; Pre-sales"/>
    <s v="Yes"/>
    <m/>
  </r>
  <r>
    <x v="0"/>
    <x v="0"/>
    <x v="25"/>
    <d v="2026-06-21T00:00:00"/>
    <x v="11"/>
    <x v="16"/>
    <s v="SGD"/>
    <n v="8866.67"/>
    <n v="798"/>
    <n v="9664.67"/>
    <n v="7443.0042813439686"/>
    <x v="1"/>
    <s v="INV 2605009"/>
    <s v="Power BI Consultant Fees - May 2026"/>
    <x v="7"/>
    <s v="SG-00010-6"/>
    <s v="Revenue"/>
    <s v="Revenue"/>
    <s v="Sales &amp; Pre-sales"/>
    <s v="Yes"/>
    <m/>
  </r>
  <r>
    <x v="3"/>
    <x v="0"/>
    <x v="25"/>
    <d v="2026-06-21T00:00:00"/>
    <x v="8"/>
    <x v="13"/>
    <s v="USD"/>
    <n v="1000"/>
    <n v="90"/>
    <n v="1090"/>
    <n v="1090"/>
    <x v="4"/>
    <s v="INV 2605007"/>
    <s v="AX Trace Digital Marketing Solution 19 Apr 2026 – 18 May 2026 (2/6)"/>
    <x v="5"/>
    <s v="SG-00041-2"/>
    <m/>
    <s v="Revenue"/>
    <s v="R&amp;D - Team D"/>
    <s v="Yes"/>
    <m/>
  </r>
  <r>
    <x v="3"/>
    <x v="0"/>
    <x v="26"/>
    <d v="2026-06-27T00:00:00"/>
    <x v="8"/>
    <x v="13"/>
    <s v="USD"/>
    <n v="8978"/>
    <n v="808.02"/>
    <n v="9786.02"/>
    <n v="9786.02"/>
    <x v="0"/>
    <s v="INV 2605010"/>
    <s v="Development Support Services for PR1 Visual Inspect automation - May 2026"/>
    <x v="0"/>
    <s v="SG-00017-12"/>
    <s v="Revenue"/>
    <s v="Revenue"/>
    <s v="Sales &amp; Pre-sales"/>
    <s v="Yes"/>
    <m/>
  </r>
  <r>
    <x v="3"/>
    <x v="0"/>
    <x v="27"/>
    <d v="2026-07-03T00:00:00"/>
    <x v="8"/>
    <x v="13"/>
    <s v="SGD"/>
    <n v="569.41"/>
    <n v="51.25"/>
    <n v="620.66"/>
    <n v="477.98580161132736"/>
    <x v="2"/>
    <s v="INV 2606001"/>
    <s v="Consultation Fee: AOC UAT 13th to 17th April 2026"/>
    <x v="3"/>
    <s v="PO26M00053"/>
    <s v="Revenue"/>
    <s v="Revenue"/>
    <m/>
    <s v="Yes"/>
    <m/>
  </r>
  <r>
    <x v="3"/>
    <x v="0"/>
    <x v="27"/>
    <d v="2026-07-03T00:00:00"/>
    <x v="8"/>
    <x v="13"/>
    <s v="SGD"/>
    <n v="2093.66"/>
    <n v="188.43"/>
    <n v="2282.0899999999997"/>
    <n v="1757.494631519985"/>
    <x v="2"/>
    <s v="INV 2606002"/>
    <s v="Consultation Fee: AEM Kick Off 7th to 10th Apr 2026"/>
    <x v="3"/>
    <s v="PO26M00054"/>
    <s v="Revenue"/>
    <s v="Revenue"/>
    <m/>
    <s v="Yes"/>
    <m/>
  </r>
  <r>
    <x v="5"/>
    <x v="0"/>
    <x v="28"/>
    <d v="2026-07-18T00:00:00"/>
    <x v="8"/>
    <x v="13"/>
    <s v="SGD"/>
    <n v="8866.67"/>
    <n v="798"/>
    <n v="9664.67"/>
    <n v="7443.0042813439686"/>
    <x v="1"/>
    <s v="INV 2606003"/>
    <s v="Power BI Consultant Fees - June 2026"/>
    <x v="6"/>
    <s v="SG-00010-7"/>
    <s v="Revenue"/>
    <s v="Revenue"/>
    <s v="Sales &amp; Pre-sales"/>
    <s v="Yes"/>
    <m/>
  </r>
  <r>
    <x v="5"/>
    <x v="0"/>
    <x v="29"/>
    <d v="2026-07-22T00:00:00"/>
    <x v="8"/>
    <x v="13"/>
    <s v="SGD"/>
    <n v="2364.12"/>
    <n v="212.77"/>
    <n v="2576.89"/>
    <n v="1984.52749059745"/>
    <x v="2"/>
    <s v="INV 2606004"/>
    <s v="Consultation fee for AEM MES UAT between 10th to 15th May 2026"/>
    <x v="3"/>
    <m/>
    <s v="Revenue"/>
    <s v="Revenue"/>
    <s v="Sales &amp; Pre-sales"/>
    <s v="Yes"/>
    <m/>
  </r>
  <r>
    <x v="5"/>
    <x v="0"/>
    <x v="29"/>
    <d v="2026-07-22T00:00:00"/>
    <x v="8"/>
    <x v="13"/>
    <s v="SGD"/>
    <n v="1700.91"/>
    <n v="153.08000000000001"/>
    <n v="1853.99"/>
    <n v="1427.8041058379545"/>
    <x v="2"/>
    <s v="INV 2606005"/>
    <s v="Consultation fee for AOC MES Go-Live between 19th May to 27th May 2026"/>
    <x v="3"/>
    <m/>
    <s v="Revenue"/>
    <s v="Revenue"/>
    <s v="Sales &amp; Pre-sales"/>
    <s v="Yes"/>
    <m/>
  </r>
  <r>
    <x v="0"/>
    <x v="0"/>
    <x v="29"/>
    <d v="2026-07-22T00:00:00"/>
    <x v="8"/>
    <x v="21"/>
    <s v="SGD"/>
    <n v="99"/>
    <n v="8.91"/>
    <n v="107.91"/>
    <n v="7444.0042813439704"/>
    <x v="3"/>
    <s v="INV 2606006"/>
    <s v="Ax Trace AI Scheduler Monthly Subscription - June 2026 (4/6)"/>
    <x v="4"/>
    <s v="SG-00045-4"/>
    <s v="Revenue"/>
    <s v="Revenue"/>
    <s v="Sales &amp; Pre-sales"/>
    <s v="Yes"/>
    <m/>
  </r>
  <r>
    <x v="5"/>
    <x v="0"/>
    <x v="30"/>
    <d v="2026-07-24T00:00:00"/>
    <x v="8"/>
    <x v="13"/>
    <s v="SGD"/>
    <n v="15000"/>
    <n v="1350"/>
    <n v="16350"/>
    <n v="12591.544253448268"/>
    <x v="2"/>
    <s v="INV 2606007"/>
    <s v="MES Consulting service for Wuhan (AOW) 29 June 2026 -  28 July 2026"/>
    <x v="14"/>
    <s v="SG-00065-1"/>
    <s v="Revenue"/>
    <s v="Revenue"/>
    <s v="Sales &amp; Pre-sales"/>
    <s v="Yes"/>
    <m/>
  </r>
  <r>
    <x v="5"/>
    <x v="0"/>
    <x v="31"/>
    <d v="2026-07-25T00:00:00"/>
    <x v="8"/>
    <x v="13"/>
    <s v="USD"/>
    <n v="1000"/>
    <n v="90"/>
    <n v="1090"/>
    <n v="1090"/>
    <x v="4"/>
    <s v="INV 2606008"/>
    <s v="AX Trace Digital Marketing Solution 19 May 2026 – 18 Jun 2026 (3/6)"/>
    <x v="5"/>
    <s v="SG-00041-3"/>
    <s v="Revenue"/>
    <s v="Revenue"/>
    <s v="Sales &amp; Pre-sales"/>
    <s v="Yes"/>
    <m/>
  </r>
  <r>
    <x v="4"/>
    <x v="0"/>
    <x v="32"/>
    <d v="2026-08-01T00:00:00"/>
    <x v="9"/>
    <x v="13"/>
    <s v="SGD"/>
    <n v="18900"/>
    <n v="1701"/>
    <n v="20601"/>
    <n v="15865.345759344818"/>
    <x v="2"/>
    <s v="N/A"/>
    <s v="(Suzhou)Go Live 18% Payment"/>
    <x v="3"/>
    <s v="SG-00008-Suzhou-3"/>
    <m/>
    <m/>
    <m/>
    <m/>
    <m/>
  </r>
  <r>
    <x v="4"/>
    <x v="0"/>
    <x v="33"/>
    <d v="2026-09-01T00:00:00"/>
    <x v="13"/>
    <x v="13"/>
    <s v="SGD"/>
    <n v="18900"/>
    <n v="1701"/>
    <n v="20601"/>
    <n v="15865.345759344818"/>
    <x v="2"/>
    <s v="N/A"/>
    <s v="(Tianjin)Go Live 18% Payment"/>
    <x v="3"/>
    <s v="SG-00008-Tianjin-6"/>
    <m/>
    <m/>
    <m/>
    <m/>
    <m/>
  </r>
  <r>
    <x v="4"/>
    <x v="0"/>
    <x v="33"/>
    <d v="2026-09-01T00:00:00"/>
    <x v="13"/>
    <x v="13"/>
    <s v="SGD"/>
    <n v="14318.08"/>
    <n v="1288.6271999999999"/>
    <n v="15606.707200000001"/>
    <n v="12019.11586296084"/>
    <x v="2"/>
    <s v="N/A"/>
    <s v="(Changchun) UAT 17% Payment"/>
    <x v="3"/>
    <s v="SG-00008-Changchun-8"/>
    <m/>
    <m/>
    <m/>
    <m/>
    <m/>
  </r>
  <r>
    <x v="4"/>
    <x v="0"/>
    <x v="34"/>
    <d v="2026-10-01T00:00:00"/>
    <x v="14"/>
    <x v="13"/>
    <s v="SGD"/>
    <n v="8225.2800000000007"/>
    <n v="740.27520000000004"/>
    <n v="8965.5552000000007"/>
    <n v="6904.5984744668658"/>
    <x v="2"/>
    <s v="N/A"/>
    <s v="(Changchun) Go Live 16% Payment"/>
    <x v="3"/>
    <s v="SG-00008-Changchun-9"/>
    <m/>
    <m/>
    <m/>
    <m/>
    <m/>
  </r>
  <r>
    <x v="4"/>
    <x v="0"/>
    <x v="35"/>
    <d v="2026-11-01T00:00:00"/>
    <x v="15"/>
    <x v="13"/>
    <s v="SGD"/>
    <n v="46400"/>
    <n v="4176"/>
    <n v="50576"/>
    <n v="38949.843557333312"/>
    <x v="2"/>
    <s v="N/A"/>
    <s v="(Thailand) Kick Off 61% Payment"/>
    <x v="3"/>
    <s v="SG-00008-Thailand-13"/>
    <m/>
    <m/>
    <m/>
    <m/>
    <m/>
  </r>
  <r>
    <x v="4"/>
    <x v="0"/>
    <x v="36"/>
    <d v="2026-12-06T00:00:00"/>
    <x v="16"/>
    <x v="13"/>
    <s v="SGD"/>
    <n v="18800"/>
    <n v="1692"/>
    <n v="20492"/>
    <n v="15781.402130988497"/>
    <x v="2"/>
    <s v="N/A"/>
    <s v="(JB) UAT 25% Payment"/>
    <x v="3"/>
    <s v="SG-00008-JB-11"/>
    <m/>
    <m/>
    <m/>
    <m/>
    <m/>
  </r>
  <r>
    <x v="4"/>
    <x v="0"/>
    <x v="36"/>
    <d v="2026-12-06T00:00:00"/>
    <x v="16"/>
    <x v="13"/>
    <s v="SGD"/>
    <n v="10800"/>
    <n v="972"/>
    <n v="11772"/>
    <n v="9065.9118624827533"/>
    <x v="2"/>
    <s v="N/A"/>
    <s v="(JB) Go Live 14% Payment"/>
    <x v="3"/>
    <s v="SG-00008-JB-12"/>
    <m/>
    <m/>
    <m/>
    <m/>
    <m/>
  </r>
  <r>
    <x v="4"/>
    <x v="0"/>
    <x v="37"/>
    <d v="2026-12-15T00:00:00"/>
    <x v="16"/>
    <x v="13"/>
    <s v="SGD"/>
    <n v="18800"/>
    <n v="1692"/>
    <n v="20492"/>
    <n v="15781.402130988497"/>
    <x v="2"/>
    <s v="N/A"/>
    <s v="(Thailand) UAT 25% Payment"/>
    <x v="3"/>
    <s v="SG-00008-Thailand-14"/>
    <m/>
    <m/>
    <m/>
    <m/>
    <m/>
  </r>
  <r>
    <x v="4"/>
    <x v="0"/>
    <x v="38"/>
    <d v="2027-01-15T00:00:00"/>
    <x v="17"/>
    <x v="13"/>
    <s v="SGD"/>
    <n v="10800"/>
    <n v="972"/>
    <n v="11772"/>
    <n v="9065.9118624827533"/>
    <x v="2"/>
    <s v="N/A"/>
    <s v="(Thailand) Go Live 14% Payment"/>
    <x v="3"/>
    <s v="SG-00008-Thailand-15"/>
    <m/>
    <m/>
    <m/>
    <m/>
    <m/>
  </r>
  <r>
    <x v="4"/>
    <x v="0"/>
    <x v="39"/>
    <d v="2027-02-15T00:00:00"/>
    <x v="18"/>
    <x v="13"/>
    <s v="SGD"/>
    <n v="40000"/>
    <n v="3600"/>
    <n v="43600"/>
    <n v="33577.451342528715"/>
    <x v="2"/>
    <s v="N/A"/>
    <s v="(Shen Yang) Go Live 100%"/>
    <x v="3"/>
    <s v="SG-00008-Shen Yang-17"/>
    <m/>
    <m/>
    <m/>
    <m/>
    <m/>
  </r>
  <r>
    <x v="6"/>
    <x v="0"/>
    <x v="40"/>
    <m/>
    <x v="8"/>
    <x v="13"/>
    <s v="SGD"/>
    <n v="99"/>
    <n v="8.91"/>
    <n v="107.91"/>
    <n v="83.104192072758579"/>
    <x v="3"/>
    <s v="N/A"/>
    <s v="Ax Trace AI Scheduler Monthly Subscription - June 2026 (4/6)"/>
    <x v="4"/>
    <s v="SG-00045-4"/>
    <m/>
    <m/>
    <m/>
    <m/>
    <m/>
  </r>
  <r>
    <x v="6"/>
    <x v="0"/>
    <x v="40"/>
    <m/>
    <x v="9"/>
    <x v="13"/>
    <s v="SGD"/>
    <n v="99"/>
    <n v="8.91"/>
    <n v="107.91"/>
    <n v="83.104192072758579"/>
    <x v="3"/>
    <s v="N/A"/>
    <s v="Ax Trace AI Scheduler Monthly Subscription - July 2026 (5/6)"/>
    <x v="4"/>
    <s v="SG-00045-5"/>
    <m/>
    <m/>
    <m/>
    <m/>
    <m/>
  </r>
  <r>
    <x v="6"/>
    <x v="0"/>
    <x v="40"/>
    <m/>
    <x v="13"/>
    <x v="13"/>
    <s v="SGD"/>
    <n v="99"/>
    <n v="8.91"/>
    <n v="107.91"/>
    <n v="83.104192072758579"/>
    <x v="3"/>
    <s v="N/A"/>
    <s v="Ax Trace AI Scheduler Monthly Subscription - August 2026 (6/6)"/>
    <x v="4"/>
    <s v="SG-00045-6"/>
    <m/>
    <m/>
    <m/>
    <m/>
    <m/>
  </r>
  <r>
    <x v="6"/>
    <x v="0"/>
    <x v="40"/>
    <m/>
    <x v="9"/>
    <x v="13"/>
    <s v="SGD"/>
    <n v="8866.67"/>
    <n v="798"/>
    <n v="9664.67"/>
    <n v="7443.0042813439686"/>
    <x v="1"/>
    <s v="N/A"/>
    <s v="Power BI Consultant Fees - June 2026"/>
    <x v="6"/>
    <s v="SG-00010-7"/>
    <m/>
    <m/>
    <m/>
    <m/>
    <m/>
  </r>
  <r>
    <x v="6"/>
    <x v="0"/>
    <x v="40"/>
    <m/>
    <x v="13"/>
    <x v="13"/>
    <s v="SGD"/>
    <n v="8866.67"/>
    <n v="798"/>
    <n v="9664.67"/>
    <n v="7443.0042813439686"/>
    <x v="1"/>
    <s v="N/A"/>
    <s v="Power BI Consultant Fees - July 2026"/>
    <x v="6"/>
    <s v="SG-00010-8"/>
    <m/>
    <m/>
    <m/>
    <m/>
    <m/>
  </r>
  <r>
    <x v="6"/>
    <x v="0"/>
    <x v="40"/>
    <m/>
    <x v="19"/>
    <x v="13"/>
    <s v="SGD"/>
    <n v="8866.67"/>
    <n v="798"/>
    <n v="9664.67"/>
    <n v="7443.0042813439686"/>
    <x v="1"/>
    <s v="N/A"/>
    <s v="Power BI Consultant Fees - August 2026"/>
    <x v="6"/>
    <s v="SG-00010-9"/>
    <m/>
    <m/>
    <m/>
    <m/>
    <m/>
  </r>
  <r>
    <x v="6"/>
    <x v="0"/>
    <x v="40"/>
    <m/>
    <x v="15"/>
    <x v="13"/>
    <s v="SGD"/>
    <n v="8866.67"/>
    <n v="798"/>
    <n v="9664.67"/>
    <n v="7443.0042813439686"/>
    <x v="1"/>
    <s v="N/A"/>
    <s v="Power BI Consultant Fees - September 2026"/>
    <x v="6"/>
    <s v="SG-00010-10"/>
    <m/>
    <m/>
    <m/>
    <m/>
    <m/>
  </r>
  <r>
    <x v="6"/>
    <x v="0"/>
    <x v="40"/>
    <m/>
    <x v="16"/>
    <x v="13"/>
    <s v="SGD"/>
    <n v="8866.67"/>
    <n v="798"/>
    <n v="9664.67"/>
    <n v="7443.0042813439686"/>
    <x v="1"/>
    <s v="N/A"/>
    <s v="Power BI Consultant Fees - October 2026"/>
    <x v="6"/>
    <s v="SG-00010-11"/>
    <m/>
    <m/>
    <m/>
    <m/>
    <m/>
  </r>
  <r>
    <x v="6"/>
    <x v="0"/>
    <x v="40"/>
    <m/>
    <x v="17"/>
    <x v="13"/>
    <s v="SGD"/>
    <n v="8866.67"/>
    <n v="798"/>
    <n v="9664.67"/>
    <n v="7443.0042813439686"/>
    <x v="1"/>
    <s v="N/A"/>
    <s v="Power BI Consultant Fees - November 2026"/>
    <x v="6"/>
    <s v="SG-00010-12"/>
    <m/>
    <m/>
    <m/>
    <m/>
    <m/>
  </r>
  <r>
    <x v="6"/>
    <x v="0"/>
    <x v="40"/>
    <m/>
    <x v="9"/>
    <x v="13"/>
    <s v="SGD"/>
    <n v="8866.67"/>
    <n v="798"/>
    <n v="9664.67"/>
    <n v="7443.0042813439686"/>
    <x v="1"/>
    <s v="N/A"/>
    <s v="Power BI Consultant Fees - June 2026"/>
    <x v="7"/>
    <s v="SG-00010-7"/>
    <m/>
    <m/>
    <m/>
    <m/>
    <m/>
  </r>
  <r>
    <x v="6"/>
    <x v="0"/>
    <x v="40"/>
    <m/>
    <x v="13"/>
    <x v="13"/>
    <s v="SGD"/>
    <n v="8866.67"/>
    <n v="798"/>
    <n v="9664.67"/>
    <n v="7443.0042813439686"/>
    <x v="1"/>
    <s v="N/A"/>
    <s v="Power BI Consultant Fees - July 2026"/>
    <x v="7"/>
    <s v="SG-00010-8"/>
    <m/>
    <m/>
    <m/>
    <m/>
    <m/>
  </r>
  <r>
    <x v="6"/>
    <x v="0"/>
    <x v="40"/>
    <m/>
    <x v="19"/>
    <x v="13"/>
    <s v="SGD"/>
    <n v="8866.67"/>
    <n v="798"/>
    <n v="9664.67"/>
    <n v="7443.0042813439686"/>
    <x v="1"/>
    <s v="N/A"/>
    <s v="Power BI Consultant Fees - August 2026"/>
    <x v="7"/>
    <s v="SG-00010-9"/>
    <m/>
    <m/>
    <m/>
    <m/>
    <m/>
  </r>
  <r>
    <x v="6"/>
    <x v="0"/>
    <x v="40"/>
    <m/>
    <x v="15"/>
    <x v="13"/>
    <s v="SGD"/>
    <n v="8866.67"/>
    <n v="798"/>
    <n v="9664.67"/>
    <n v="7443.0042813439686"/>
    <x v="1"/>
    <s v="N/A"/>
    <s v="Power BI Consultant Fees - September 2026"/>
    <x v="7"/>
    <s v="SG-00010-10"/>
    <m/>
    <m/>
    <m/>
    <m/>
    <m/>
  </r>
  <r>
    <x v="6"/>
    <x v="0"/>
    <x v="40"/>
    <m/>
    <x v="16"/>
    <x v="13"/>
    <s v="SGD"/>
    <n v="8866.67"/>
    <n v="798"/>
    <n v="9664.67"/>
    <n v="7443.0042813439686"/>
    <x v="1"/>
    <s v="N/A"/>
    <s v="Power BI Consultant Fees - October 2026"/>
    <x v="7"/>
    <s v="SG-00010-11"/>
    <m/>
    <m/>
    <m/>
    <m/>
    <m/>
  </r>
  <r>
    <x v="6"/>
    <x v="0"/>
    <x v="40"/>
    <m/>
    <x v="17"/>
    <x v="13"/>
    <s v="SGD"/>
    <n v="8866.67"/>
    <n v="798"/>
    <n v="9664.67"/>
    <n v="7443.0042813439686"/>
    <x v="1"/>
    <s v="N/A"/>
    <s v="Power BI Consultant Fees - November 2026"/>
    <x v="7"/>
    <s v="SG-00010-12"/>
    <m/>
    <m/>
    <m/>
    <m/>
    <m/>
  </r>
  <r>
    <x v="6"/>
    <x v="0"/>
    <x v="40"/>
    <m/>
    <x v="8"/>
    <x v="13"/>
    <s v="USD"/>
    <n v="1000"/>
    <n v="90"/>
    <n v="1090"/>
    <n v="1090"/>
    <x v="4"/>
    <s v="N/A"/>
    <s v="AX Trace Digital Marketing Solution 19 May 2026 – 18 Jun 2026 (3/6)"/>
    <x v="5"/>
    <s v="SG-00041-3"/>
    <m/>
    <m/>
    <m/>
    <m/>
    <m/>
  </r>
  <r>
    <x v="6"/>
    <x v="0"/>
    <x v="40"/>
    <m/>
    <x v="9"/>
    <x v="13"/>
    <s v="USD"/>
    <n v="1000"/>
    <n v="90"/>
    <n v="1090"/>
    <n v="1090"/>
    <x v="4"/>
    <s v="N/A"/>
    <s v="AX Trace Digital Marketing Solution 19 Jun 2026 – 18 Jul 2026 (4/6)"/>
    <x v="5"/>
    <s v="SG-00041-4"/>
    <m/>
    <m/>
    <m/>
    <m/>
    <m/>
  </r>
  <r>
    <x v="6"/>
    <x v="0"/>
    <x v="40"/>
    <m/>
    <x v="13"/>
    <x v="13"/>
    <s v="USD"/>
    <n v="1000"/>
    <n v="90"/>
    <n v="1090"/>
    <n v="1090"/>
    <x v="4"/>
    <s v="N/A"/>
    <s v="AX Trace Digital Marketing Solution 19 Jul 2026 – 18 Aug 2026 (5/6)"/>
    <x v="5"/>
    <s v="SG-00041-5"/>
    <m/>
    <m/>
    <m/>
    <m/>
    <m/>
  </r>
  <r>
    <x v="6"/>
    <x v="0"/>
    <x v="40"/>
    <m/>
    <x v="19"/>
    <x v="13"/>
    <s v="USD"/>
    <n v="1000"/>
    <n v="90"/>
    <n v="1090"/>
    <n v="1090"/>
    <x v="4"/>
    <s v="N/A"/>
    <s v="AX Trace Digital Marketing Solution 19 Aug 2026 – 18 Sep 2026 (6/6)"/>
    <x v="5"/>
    <s v="SG-00041-6"/>
    <m/>
    <m/>
    <m/>
    <m/>
    <m/>
  </r>
  <r>
    <x v="6"/>
    <x v="0"/>
    <x v="40"/>
    <m/>
    <x v="9"/>
    <x v="13"/>
    <s v="USD"/>
    <n v="8978"/>
    <n v="808.02"/>
    <n v="9786.02"/>
    <n v="9786.02"/>
    <x v="0"/>
    <s v="N/A"/>
    <s v="Development Support Services for PR1 Visual Inspect automation - June 2026"/>
    <x v="15"/>
    <s v="SG-00051-1"/>
    <m/>
    <m/>
    <m/>
    <m/>
    <m/>
  </r>
  <r>
    <x v="6"/>
    <x v="0"/>
    <x v="40"/>
    <m/>
    <x v="13"/>
    <x v="13"/>
    <s v="USD"/>
    <n v="8978"/>
    <n v="808.02"/>
    <n v="9786.02"/>
    <n v="9786.02"/>
    <x v="0"/>
    <s v="N/A"/>
    <s v="Development Support Services for PR1 Visual Inspect automation - July 2026"/>
    <x v="15"/>
    <s v="SG-00051-2"/>
    <m/>
    <m/>
    <m/>
    <m/>
    <m/>
  </r>
  <r>
    <x v="6"/>
    <x v="0"/>
    <x v="40"/>
    <m/>
    <x v="19"/>
    <x v="13"/>
    <s v="USD"/>
    <n v="8978"/>
    <n v="808.02"/>
    <n v="9786.02"/>
    <n v="9786.02"/>
    <x v="0"/>
    <s v="N/A"/>
    <s v="Development Support Services for PR1 Visual Inspect automation - August 2026"/>
    <x v="15"/>
    <s v="SG-00051-3"/>
    <m/>
    <m/>
    <m/>
    <m/>
    <m/>
  </r>
  <r>
    <x v="6"/>
    <x v="0"/>
    <x v="40"/>
    <m/>
    <x v="15"/>
    <x v="13"/>
    <s v="USD"/>
    <n v="8978"/>
    <n v="808.02"/>
    <n v="9786.02"/>
    <n v="9786.02"/>
    <x v="0"/>
    <s v="N/A"/>
    <s v="Development Support Services for PR1 Visual Inspect automation - September 2026"/>
    <x v="15"/>
    <s v="SG-00051-4"/>
    <m/>
    <m/>
    <m/>
    <m/>
    <m/>
  </r>
  <r>
    <x v="6"/>
    <x v="0"/>
    <x v="40"/>
    <m/>
    <x v="16"/>
    <x v="13"/>
    <s v="USD"/>
    <n v="8978"/>
    <n v="808.02"/>
    <n v="9786.02"/>
    <n v="9786.02"/>
    <x v="0"/>
    <s v="N/A"/>
    <s v="Development Support Services for PR1 Visual Inspect automation - October 2026"/>
    <x v="15"/>
    <s v="SG-00051-5"/>
    <m/>
    <m/>
    <m/>
    <m/>
    <m/>
  </r>
  <r>
    <x v="6"/>
    <x v="0"/>
    <x v="40"/>
    <m/>
    <x v="17"/>
    <x v="13"/>
    <s v="USD"/>
    <n v="8978"/>
    <n v="808.02"/>
    <n v="9786.02"/>
    <n v="9786.02"/>
    <x v="0"/>
    <s v="N/A"/>
    <s v="Development Support Services for PR1 Visual Inspect automation - November 2026"/>
    <x v="15"/>
    <s v="SG-00051-6"/>
    <m/>
    <m/>
    <m/>
    <m/>
    <m/>
  </r>
  <r>
    <x v="0"/>
    <x v="1"/>
    <x v="41"/>
    <d v="2026-03-09T00:00:00"/>
    <x v="3"/>
    <x v="22"/>
    <s v="MYR"/>
    <n v="197700"/>
    <n v="15816"/>
    <n v="213516"/>
    <n v="51666.386472839476"/>
    <x v="8"/>
    <s v="INV 2512001"/>
    <s v="99-SPOT-PRO3743L / PROJECT-90504 "/>
    <x v="16"/>
    <s v="MY-00006-1"/>
    <s v="Revenue"/>
    <s v="Revenue"/>
    <s v="Sales &amp; Pre-sales"/>
    <s v="Yes"/>
    <m/>
  </r>
  <r>
    <x v="0"/>
    <x v="1"/>
    <x v="42"/>
    <d v="2026-01-16T00:00:00"/>
    <x v="20"/>
    <x v="23"/>
    <s v="MYR"/>
    <n v="1876020"/>
    <n v="7200"/>
    <n v="1883220"/>
    <n v="455699.67746389384"/>
    <x v="9"/>
    <s v="INV 2512002"/>
    <s v="Phase 2 - 60% payment milestone upon Hardware Delivery, Installation of License and MES Integration Test"/>
    <x v="17"/>
    <s v="MY-00004-2"/>
    <s v="Revenue"/>
    <s v="Revenue"/>
    <s v="Sales &amp; Pre-sales"/>
    <s v="Yes"/>
    <m/>
  </r>
  <r>
    <x v="0"/>
    <x v="1"/>
    <x v="43"/>
    <d v="2026-03-06T00:00:00"/>
    <x v="21"/>
    <x v="24"/>
    <s v="MYR"/>
    <n v="32000"/>
    <n v="0"/>
    <n v="32000"/>
    <n v="7743.3277465429437"/>
    <x v="9"/>
    <s v="INV 2502001"/>
    <s v="Phase 1 - Project Implementation (Balance payment milestone)"/>
    <x v="18"/>
    <s v="MY-00032-2"/>
    <s v="Revenue"/>
    <s v="Revenue"/>
    <s v="Sales &amp; Pre-sales"/>
    <s v="No"/>
    <m/>
  </r>
  <r>
    <x v="3"/>
    <x v="1"/>
    <x v="22"/>
    <d v="2026-08-04T00:00:00"/>
    <x v="9"/>
    <x v="13"/>
    <s v="MYR"/>
    <n v="26000"/>
    <n v="2080"/>
    <n v="28080"/>
    <n v="6794.7700975914331"/>
    <x v="10"/>
    <s v="INV 2605001"/>
    <s v="Software compatibility alignment, interface configuration &amp; data handling, Deployment readiness &amp; support  "/>
    <x v="19"/>
    <s v="PO No.: SAPO024440"/>
    <m/>
    <m/>
    <m/>
    <m/>
    <m/>
  </r>
  <r>
    <x v="3"/>
    <x v="1"/>
    <x v="22"/>
    <d v="2026-08-04T00:00:00"/>
    <x v="9"/>
    <x v="13"/>
    <s v="MYR"/>
    <n v="102990"/>
    <n v="8239.2000000000007"/>
    <n v="111229.2"/>
    <n v="26915.129705805448"/>
    <x v="10"/>
    <s v="INV 2605002"/>
    <s v="Software &amp; Licenses, Services &amp; Support"/>
    <x v="20"/>
    <s v="PO No.: SAPO018003"/>
    <m/>
    <m/>
    <m/>
    <m/>
    <m/>
  </r>
  <r>
    <x v="0"/>
    <x v="1"/>
    <x v="44"/>
    <d v="2026-06-06T00:00:00"/>
    <x v="7"/>
    <x v="25"/>
    <s v="MYR"/>
    <n v="4000"/>
    <n v="0"/>
    <n v="4000"/>
    <n v="967.91596831786796"/>
    <x v="9"/>
    <s v="INV 2605003"/>
    <s v="Enhancement for Burn In and I/R Simulation Project"/>
    <x v="21"/>
    <s v="PO No.: HP/26/04/512 as at 07/04/2026"/>
    <m/>
    <m/>
    <m/>
    <m/>
    <m/>
  </r>
  <r>
    <x v="3"/>
    <x v="1"/>
    <x v="25"/>
    <d v="2026-08-20T00:00:00"/>
    <x v="22"/>
    <x v="13"/>
    <s v="MYR"/>
    <n v="241470"/>
    <n v="19317.599999999999"/>
    <n v="260787.6"/>
    <n v="63105.120594823209"/>
    <x v="10"/>
    <s v="INV 2605004"/>
    <s v="IG#11 &amp; IG#12 Automation Implementation"/>
    <x v="22"/>
    <s v="PO No.: SAPO023182"/>
    <s v="Revenue"/>
    <s v="Revenue"/>
    <m/>
    <s v="Yes"/>
    <m/>
  </r>
  <r>
    <x v="3"/>
    <x v="1"/>
    <x v="45"/>
    <d v="2026-06-28T00:00:00"/>
    <x v="11"/>
    <x v="13"/>
    <s v="MYR"/>
    <n v="313870"/>
    <n v="720"/>
    <n v="314590"/>
    <n v="76124.171118279526"/>
    <x v="9"/>
    <s v="INV 2605005"/>
    <s v="Phase 3 - 10% payment milestone upon Hardware Delivery, Installation of License and MES Integration Test"/>
    <x v="17"/>
    <s v="MY-00004-3"/>
    <s v="Revenue"/>
    <s v="Revenue"/>
    <s v="Sales &amp; Pre-sales"/>
    <s v="Yes"/>
    <m/>
  </r>
  <r>
    <x v="0"/>
    <x v="2"/>
    <x v="46"/>
    <d v="2025-12-05T00:00:00"/>
    <x v="23"/>
    <x v="26"/>
    <s v="CNY"/>
    <n v="65526.89"/>
    <n v="3931.61"/>
    <n v="69458.5"/>
    <n v="9784.3335677273499"/>
    <x v="11"/>
    <s v="25312000000383595327"/>
    <s v="大章鱼 - 软件开发服务"/>
    <x v="23"/>
    <m/>
    <s v="Revenue"/>
    <s v="Revenue"/>
    <s v="R&amp;D"/>
    <m/>
    <m/>
  </r>
  <r>
    <x v="0"/>
    <x v="2"/>
    <x v="46"/>
    <d v="2025-12-05T00:00:00"/>
    <x v="23"/>
    <x v="26"/>
    <s v="CNY"/>
    <n v="235849.06"/>
    <n v="14150.94"/>
    <n v="250000"/>
    <n v="35216.473029677254"/>
    <x v="11"/>
    <s v="25312000000383591535"/>
    <s v="大章鱼 - 软件开发服务"/>
    <x v="23"/>
    <m/>
    <s v="Revenue"/>
    <s v="Revenue"/>
    <s v="R&amp;D"/>
    <m/>
    <m/>
  </r>
  <r>
    <x v="0"/>
    <x v="2"/>
    <x v="46"/>
    <d v="2025-12-05T00:00:00"/>
    <x v="23"/>
    <x v="26"/>
    <s v="CNY"/>
    <n v="235849.06"/>
    <n v="14150.94"/>
    <n v="250000"/>
    <n v="35216.473029677254"/>
    <x v="11"/>
    <s v="25312000000383592715"/>
    <s v="大章鱼 - 软件开发服务"/>
    <x v="23"/>
    <m/>
    <s v="Revenue"/>
    <s v="Revenue"/>
    <s v="R&amp;D"/>
    <m/>
    <m/>
  </r>
  <r>
    <x v="0"/>
    <x v="2"/>
    <x v="47"/>
    <d v="2026-01-12T00:00:00"/>
    <x v="24"/>
    <x v="27"/>
    <s v="CNY"/>
    <n v="537225"/>
    <n v="32233.5"/>
    <n v="569458.5"/>
    <n v="80217.279627081851"/>
    <x v="11"/>
    <s v="25312000000435000000"/>
    <s v="大章鱼 - 软件开发服务"/>
    <x v="23"/>
    <m/>
    <s v="Revenue"/>
    <s v="Revenue"/>
    <s v="R&amp;D"/>
    <m/>
    <m/>
  </r>
  <r>
    <x v="0"/>
    <x v="2"/>
    <x v="48"/>
    <d v="2026-04-30T00:00:00"/>
    <x v="3"/>
    <x v="28"/>
    <s v="CNY"/>
    <n v="9400"/>
    <n v="564"/>
    <n v="9964"/>
    <n v="1403.5877490708165"/>
    <x v="12"/>
    <s v="26312000002309900000"/>
    <s v="长电FDC POC项目"/>
    <x v="24"/>
    <m/>
    <s v="Revenue"/>
    <s v="Revenue"/>
    <m/>
    <m/>
    <m/>
  </r>
  <r>
    <x v="0"/>
    <x v="2"/>
    <x v="49"/>
    <d v="2026-05-31T00:00:00"/>
    <x v="7"/>
    <x v="28"/>
    <s v="CNY"/>
    <n v="402500"/>
    <n v="24150"/>
    <n v="426650"/>
    <n v="60100.4328724472"/>
    <x v="11"/>
    <m/>
    <m/>
    <x v="25"/>
    <m/>
    <s v="Revenue"/>
    <s v="Revenue"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Kare Guan"/>
    <x v="0"/>
    <s v="晋华POC - AX insights &amp; Smart Assistant"/>
    <d v="2026-02-24T00:00:00"/>
    <x v="0"/>
    <n v="12443"/>
  </r>
  <r>
    <s v="Kare Guan"/>
    <x v="0"/>
    <s v="JCET 长电绍兴-POC"/>
    <d v="2026-03-13T00:00:00"/>
    <x v="1"/>
    <n v="1360"/>
  </r>
  <r>
    <s v="Kare Guan"/>
    <x v="0"/>
    <s v="Wilson 001-202604-IP Licenseout"/>
    <d v="2026-04-30T00:00:00"/>
    <x v="2"/>
    <n v="59000"/>
  </r>
  <r>
    <s v="Kare Guan"/>
    <x v="0"/>
    <s v="GT - AI product resources service"/>
    <d v="2026-04-30T00:00:00"/>
    <x v="2"/>
    <n v="231185"/>
  </r>
  <r>
    <s v="Alex Chan"/>
    <x v="1"/>
    <s v="SEH - Stocker ( Change request)"/>
    <d v="2026-03-09T00:00:00"/>
    <x v="3"/>
    <n v="6624"/>
  </r>
  <r>
    <s v="Lucca Lam"/>
    <x v="1"/>
    <s v="DJK (Denso)- Simulation Enhancement"/>
    <d v="2026-04-07T00:00:00"/>
    <x v="4"/>
    <n v="1022"/>
  </r>
  <r>
    <s v="Danny Kwok"/>
    <x v="2"/>
    <s v="Armstrong-Smart Factory Data Platform"/>
    <d v="2026-03-27T00:00:00"/>
    <x v="5"/>
    <n v="30464"/>
  </r>
  <r>
    <s v="Mei Inn Koh"/>
    <x v="2"/>
    <s v="GT - Marketing Resouces"/>
    <d v="2026-02-09T00:00:00"/>
    <x v="6"/>
    <n v="6000"/>
  </r>
  <r>
    <s v="Chris Chan"/>
    <x v="2"/>
    <s v="Infinix Hospitality Management - AX Trace"/>
    <d v="2026-03-03T00:00:00"/>
    <x v="7"/>
    <n v="4355"/>
  </r>
  <r>
    <s v="Danny Kwok"/>
    <x v="2"/>
    <s v="Armstrong - MES for JB AEM with integrations"/>
    <d v="2026-03-27T00:00:00"/>
    <x v="5"/>
    <n v="21020"/>
  </r>
  <r>
    <s v="Teresa Tham"/>
    <x v="2"/>
    <s v="Soitec - 6 months Application Development Support Services"/>
    <d v="2026-05-08T00:00:00"/>
    <x v="8"/>
    <n v="53868"/>
  </r>
  <r>
    <s v="Mei Inn Koh"/>
    <x v="2"/>
    <s v="Armstrong - Maintenance Contract"/>
    <d v="2026-04-24T00:00:00"/>
    <x v="9"/>
    <n v="20399"/>
  </r>
  <r>
    <s v="Kare Guan"/>
    <x v="0"/>
    <s v="大章鱼 - 软件开发服务"/>
    <d v="2026-05-27T00:00:00"/>
    <x v="10"/>
    <n v="59396.74"/>
  </r>
  <r>
    <s v="Kare Guan"/>
    <x v="0"/>
    <s v="章鱼AI-2026 Q2"/>
    <d v="2026-06-16T00:00:00"/>
    <x v="11"/>
    <n v="29741.31"/>
  </r>
  <r>
    <s v="Kare Guan"/>
    <x v="0"/>
    <s v="GT - Global Collaboration for R3"/>
    <d v="2026-05-28T00:00:00"/>
    <x v="12"/>
    <n v="100000"/>
  </r>
  <r>
    <s v="Lucca Lam"/>
    <x v="1"/>
    <s v="S.E.H MA Package"/>
    <d v="2026-06-29T00:00:00"/>
    <x v="13"/>
    <n v="8821"/>
  </r>
  <r>
    <s v="Teresa Tham"/>
    <x v="2"/>
    <s v="VSMC - Resources for Siview "/>
    <d v="2026-06-28T00:00:00"/>
    <x v="14"/>
    <n v="118386"/>
  </r>
  <r>
    <s v="Teresa Tham"/>
    <x v="2"/>
    <s v="VSMC - Resources for Python"/>
    <d v="2026-06-28T00:00:00"/>
    <x v="14"/>
    <n v="100320"/>
  </r>
  <r>
    <s v="Danny Kwok"/>
    <x v="2"/>
    <s v="Armstrong UAT support for Wuhan"/>
    <d v="2026-06-12T00:00:00"/>
    <x v="15"/>
    <n v="1165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7">
  <r>
    <x v="0"/>
    <x v="0"/>
    <d v="2026-01-02T00:00:00"/>
    <d v="2026-01-02T00:00:00"/>
    <x v="0"/>
    <s v="CNY"/>
    <n v="25"/>
    <n v="0"/>
    <n v="25"/>
    <x v="0"/>
    <s v="招商银行 - 基本户"/>
    <m/>
    <s v="网上企业银行-网上企业银行服务费"/>
    <x v="0"/>
    <x v="0"/>
    <x v="0"/>
    <x v="0"/>
    <m/>
    <m/>
    <m/>
    <m/>
    <m/>
  </r>
  <r>
    <x v="0"/>
    <x v="0"/>
    <d v="2026-01-02T00:00:00"/>
    <d v="2026-01-02T00:00:00"/>
    <x v="0"/>
    <s v="CNY"/>
    <n v="4.38"/>
    <n v="0"/>
    <n v="4.38"/>
    <x v="1"/>
    <s v="招商银行 - 基本户"/>
    <m/>
    <s v="网银支付-跨行-异地手续费"/>
    <x v="0"/>
    <x v="0"/>
    <x v="0"/>
    <x v="0"/>
    <m/>
    <m/>
    <m/>
    <m/>
    <m/>
  </r>
  <r>
    <x v="0"/>
    <x v="0"/>
    <d v="2026-01-02T00:00:00"/>
    <d v="2026-01-02T00:00:00"/>
    <x v="0"/>
    <s v="CNY"/>
    <n v="2.67"/>
    <n v="0"/>
    <n v="2.67"/>
    <x v="2"/>
    <s v="招商银行 - 基本户"/>
    <m/>
    <s v="网银支付-跨行-本地普通手续费"/>
    <x v="0"/>
    <x v="0"/>
    <x v="0"/>
    <x v="0"/>
    <m/>
    <m/>
    <m/>
    <m/>
    <m/>
  </r>
  <r>
    <x v="0"/>
    <x v="0"/>
    <d v="2026-01-09T00:00:00"/>
    <d v="2026-01-09T00:00:00"/>
    <x v="1"/>
    <s v="CNY"/>
    <n v="10785"/>
    <n v="0"/>
    <n v="10785"/>
    <x v="3"/>
    <s v="福建省泉州宾馆有限责任公司"/>
    <s v="09S137BF000004738176"/>
    <s v="会务场地费"/>
    <x v="1"/>
    <x v="1"/>
    <x v="1"/>
    <x v="0"/>
    <m/>
    <m/>
    <m/>
    <m/>
    <m/>
  </r>
  <r>
    <x v="0"/>
    <x v="0"/>
    <d v="2026-01-15T00:00:00"/>
    <d v="2026-01-15T00:00:00"/>
    <x v="2"/>
    <s v="CNY"/>
    <n v="95.5"/>
    <n v="0"/>
    <n v="95.5"/>
    <x v="4"/>
    <s v="报销"/>
    <s v="报销12月"/>
    <s v="Total Courier Charges"/>
    <x v="2"/>
    <x v="2"/>
    <x v="1"/>
    <x v="0"/>
    <m/>
    <m/>
    <m/>
    <m/>
    <m/>
  </r>
  <r>
    <x v="0"/>
    <x v="0"/>
    <d v="2026-01-15T00:00:00"/>
    <d v="2026-01-15T00:00:00"/>
    <x v="2"/>
    <s v="CNY"/>
    <n v="4875"/>
    <n v="0"/>
    <n v="4875"/>
    <x v="5"/>
    <s v="报销"/>
    <s v="报销12月"/>
    <s v="Total General Expenses"/>
    <x v="3"/>
    <x v="3"/>
    <x v="2"/>
    <x v="1"/>
    <m/>
    <m/>
    <m/>
    <m/>
    <m/>
  </r>
  <r>
    <x v="0"/>
    <x v="0"/>
    <d v="2026-01-15T00:00:00"/>
    <d v="2026-01-15T00:00:00"/>
    <x v="2"/>
    <s v="CNY"/>
    <n v="358"/>
    <n v="0"/>
    <n v="358"/>
    <x v="6"/>
    <s v="报销"/>
    <s v="报销12月"/>
    <s v="Total Insurance expenses"/>
    <x v="4"/>
    <x v="4"/>
    <x v="3"/>
    <x v="0"/>
    <m/>
    <m/>
    <m/>
    <m/>
    <m/>
  </r>
  <r>
    <x v="0"/>
    <x v="0"/>
    <d v="2026-01-15T00:00:00"/>
    <d v="2026-01-15T00:00:00"/>
    <x v="2"/>
    <s v="CNY"/>
    <n v="906.15"/>
    <n v="0"/>
    <n v="906.15"/>
    <x v="7"/>
    <s v="报销"/>
    <s v="报销12月"/>
    <s v="Total Office Supplies"/>
    <x v="5"/>
    <x v="5"/>
    <x v="1"/>
    <x v="0"/>
    <m/>
    <m/>
    <m/>
    <m/>
    <m/>
  </r>
  <r>
    <x v="0"/>
    <x v="0"/>
    <d v="2026-01-15T00:00:00"/>
    <d v="2026-01-15T00:00:00"/>
    <x v="2"/>
    <s v="CNY"/>
    <n v="29"/>
    <n v="0"/>
    <n v="29"/>
    <x v="8"/>
    <s v="报销"/>
    <s v="报销12月"/>
    <s v="Total Office Supplies"/>
    <x v="5"/>
    <x v="5"/>
    <x v="1"/>
    <x v="0"/>
    <m/>
    <m/>
    <m/>
    <m/>
    <m/>
  </r>
  <r>
    <x v="0"/>
    <x v="0"/>
    <d v="2026-01-15T00:00:00"/>
    <d v="2026-01-15T00:00:00"/>
    <x v="2"/>
    <s v="CNY"/>
    <n v="3362.13"/>
    <n v="0"/>
    <n v="3362.13"/>
    <x v="9"/>
    <s v="报销"/>
    <s v="报销12月"/>
    <s v="Total Personal Meals - International"/>
    <x v="6"/>
    <x v="1"/>
    <x v="4"/>
    <x v="2"/>
    <m/>
    <m/>
    <m/>
    <m/>
    <m/>
  </r>
  <r>
    <x v="0"/>
    <x v="0"/>
    <d v="2026-01-15T00:00:00"/>
    <d v="2026-01-15T00:00:00"/>
    <x v="2"/>
    <s v="CNY"/>
    <n v="400"/>
    <n v="0"/>
    <n v="400"/>
    <x v="10"/>
    <s v="报销"/>
    <s v="报销12月"/>
    <s v="Total Personal Meals - National"/>
    <x v="7"/>
    <x v="1"/>
    <x v="2"/>
    <x v="1"/>
    <m/>
    <m/>
    <m/>
    <m/>
    <m/>
  </r>
  <r>
    <x v="0"/>
    <x v="0"/>
    <d v="2026-01-15T00:00:00"/>
    <d v="2026-01-15T00:00:00"/>
    <x v="2"/>
    <s v="CNY"/>
    <n v="9.9999999999999985E-3"/>
    <n v="0"/>
    <n v="9.9999999999999985E-3"/>
    <x v="11"/>
    <s v="报销"/>
    <s v="报销12月"/>
    <s v="Total Rounding"/>
    <x v="0"/>
    <x v="0"/>
    <x v="0"/>
    <x v="0"/>
    <m/>
    <m/>
    <m/>
    <m/>
    <m/>
  </r>
  <r>
    <x v="0"/>
    <x v="0"/>
    <d v="2026-01-15T00:00:00"/>
    <d v="2026-01-15T00:00:00"/>
    <x v="2"/>
    <s v="CNY"/>
    <n v="2073.3200000000002"/>
    <n v="0"/>
    <n v="2073.3200000000002"/>
    <x v="12"/>
    <s v="报销"/>
    <s v="报销12月"/>
    <s v="Total Subscription Fee"/>
    <x v="8"/>
    <x v="6"/>
    <x v="0"/>
    <x v="0"/>
    <m/>
    <m/>
    <m/>
    <m/>
    <m/>
  </r>
  <r>
    <x v="0"/>
    <x v="0"/>
    <d v="2026-01-15T00:00:00"/>
    <d v="2026-01-15T00:00:00"/>
    <x v="2"/>
    <s v="CNY"/>
    <n v="66.89"/>
    <n v="0"/>
    <n v="66.89"/>
    <x v="13"/>
    <s v="报销"/>
    <s v="报销12月"/>
    <s v="Total Telecommunication"/>
    <x v="9"/>
    <x v="7"/>
    <x v="4"/>
    <x v="2"/>
    <m/>
    <m/>
    <m/>
    <m/>
    <m/>
  </r>
  <r>
    <x v="0"/>
    <x v="0"/>
    <d v="2026-01-15T00:00:00"/>
    <d v="2026-01-15T00:00:00"/>
    <x v="2"/>
    <s v="CNY"/>
    <n v="4292.8"/>
    <n v="0"/>
    <n v="4292.8"/>
    <x v="14"/>
    <s v="报销"/>
    <s v="报销12月"/>
    <s v="Total Transportation fee - International"/>
    <x v="6"/>
    <x v="1"/>
    <x v="4"/>
    <x v="2"/>
    <m/>
    <m/>
    <m/>
    <m/>
    <m/>
  </r>
  <r>
    <x v="0"/>
    <x v="0"/>
    <d v="2026-01-15T00:00:00"/>
    <d v="2026-01-15T00:00:00"/>
    <x v="2"/>
    <s v="CNY"/>
    <n v="42.69"/>
    <n v="0"/>
    <n v="42.69"/>
    <x v="15"/>
    <s v="报销"/>
    <s v="报销12月"/>
    <s v="Total Transportation fee - National"/>
    <x v="7"/>
    <x v="1"/>
    <x v="4"/>
    <x v="2"/>
    <m/>
    <m/>
    <m/>
    <m/>
    <m/>
  </r>
  <r>
    <x v="0"/>
    <x v="0"/>
    <d v="2026-01-15T00:00:00"/>
    <d v="2026-01-15T00:00:00"/>
    <x v="2"/>
    <s v="CNY"/>
    <n v="157.35"/>
    <n v="0"/>
    <n v="157.35"/>
    <x v="16"/>
    <s v="报销"/>
    <s v="报销12月"/>
    <s v="Total Transportation fee - National"/>
    <x v="7"/>
    <x v="1"/>
    <x v="2"/>
    <x v="1"/>
    <m/>
    <m/>
    <m/>
    <m/>
    <m/>
  </r>
  <r>
    <x v="0"/>
    <x v="0"/>
    <d v="2026-01-15T00:00:00"/>
    <d v="2026-01-15T00:00:00"/>
    <x v="2"/>
    <s v="CNY"/>
    <n v="204"/>
    <n v="0"/>
    <n v="204"/>
    <x v="17"/>
    <s v="报销"/>
    <s v="报销12月"/>
    <s v="Total Transportation fee - National"/>
    <x v="7"/>
    <x v="1"/>
    <x v="2"/>
    <x v="1"/>
    <m/>
    <m/>
    <m/>
    <m/>
    <m/>
  </r>
  <r>
    <x v="0"/>
    <x v="0"/>
    <d v="2026-01-15T00:00:00"/>
    <d v="2026-01-15T00:00:00"/>
    <x v="2"/>
    <s v="CNY"/>
    <n v="671.44"/>
    <n v="0"/>
    <n v="671.44"/>
    <x v="18"/>
    <s v="上海融聚全才企业服务有限公司"/>
    <m/>
    <s v="代理记账服务费-2026.01"/>
    <x v="10"/>
    <x v="8"/>
    <x v="0"/>
    <x v="0"/>
    <m/>
    <m/>
    <m/>
    <m/>
    <m/>
  </r>
  <r>
    <x v="0"/>
    <x v="0"/>
    <d v="2026-01-15T00:00:00"/>
    <d v="2026-01-15T00:00:00"/>
    <x v="2"/>
    <s v="CNY"/>
    <n v="426.88"/>
    <n v="0"/>
    <n v="426.88"/>
    <x v="19"/>
    <s v="上海卓川人力资源有限公司"/>
    <m/>
    <s v="人力资源服务费-成都，上海"/>
    <x v="11"/>
    <x v="9"/>
    <x v="3"/>
    <x v="0"/>
    <m/>
    <m/>
    <m/>
    <m/>
    <m/>
  </r>
  <r>
    <x v="0"/>
    <x v="0"/>
    <d v="2026-01-15T00:00:00"/>
    <d v="2026-01-15T00:00:00"/>
    <x v="2"/>
    <s v="CNY"/>
    <n v="246.53"/>
    <n v="0"/>
    <n v="246.53"/>
    <x v="20"/>
    <s v="上海德必飞虹文化科技发展有限公司"/>
    <m/>
    <s v="办公室电费"/>
    <x v="12"/>
    <x v="10"/>
    <x v="1"/>
    <x v="0"/>
    <m/>
    <m/>
    <m/>
    <m/>
    <m/>
  </r>
  <r>
    <x v="0"/>
    <x v="0"/>
    <d v="2026-01-15T00:00:00"/>
    <d v="2026-01-15T00:00:00"/>
    <x v="2"/>
    <s v="CNY"/>
    <n v="277"/>
    <n v="0"/>
    <n v="277"/>
    <x v="21"/>
    <s v="北京易点淘网络技术有限公司"/>
    <m/>
    <s v="显示器租赁费-2025年12月"/>
    <x v="13"/>
    <x v="11"/>
    <x v="5"/>
    <x v="0"/>
    <m/>
    <m/>
    <m/>
    <m/>
    <m/>
  </r>
  <r>
    <x v="0"/>
    <x v="0"/>
    <d v="2026-01-16T00:00:00"/>
    <d v="2026-01-16T00:00:00"/>
    <x v="3"/>
    <s v="CNY"/>
    <n v="5503"/>
    <n v="0"/>
    <n v="5503"/>
    <x v="22"/>
    <s v="北京芯普思信息技术有限公司"/>
    <s v="09S137C5000002056994"/>
    <s v="货款"/>
    <x v="14"/>
    <x v="12"/>
    <x v="2"/>
    <x v="1"/>
    <m/>
    <m/>
    <m/>
    <m/>
    <m/>
  </r>
  <r>
    <x v="0"/>
    <x v="0"/>
    <d v="2026-01-23T00:00:00"/>
    <d v="2026-01-23T00:00:00"/>
    <x v="4"/>
    <s v="CNY"/>
    <n v="-569458.5"/>
    <n v="0"/>
    <n v="-569458.5"/>
    <x v="23"/>
    <s v="格创东智（深圳）科技有限公司"/>
    <s v="INV-0001"/>
    <s v="GT 001-202511-章鱼"/>
    <x v="15"/>
    <x v="13"/>
    <x v="2"/>
    <x v="1"/>
    <m/>
    <m/>
    <m/>
    <m/>
    <m/>
  </r>
  <r>
    <x v="0"/>
    <x v="0"/>
    <d v="2026-01-30T00:00:00"/>
    <d v="2026-01-30T00:00:00"/>
    <x v="5"/>
    <s v="CNY"/>
    <n v="-381.92"/>
    <n v="0"/>
    <n v="-381.92"/>
    <x v="24"/>
    <s v="招商银行 - 基本户"/>
    <m/>
    <s v="Interest Received"/>
    <x v="16"/>
    <x v="14"/>
    <x v="0"/>
    <x v="0"/>
    <m/>
    <m/>
    <m/>
    <m/>
    <m/>
  </r>
  <r>
    <x v="0"/>
    <x v="0"/>
    <d v="2026-01-31T00:00:00"/>
    <d v="2026-01-31T00:00:00"/>
    <x v="6"/>
    <s v="CNY"/>
    <m/>
    <m/>
    <m/>
    <x v="25"/>
    <s v="CN Staff"/>
    <m/>
    <s v="Net Pay - January 2026"/>
    <x v="17"/>
    <x v="8"/>
    <x v="4"/>
    <x v="2"/>
    <m/>
    <m/>
    <m/>
    <m/>
    <m/>
  </r>
  <r>
    <x v="0"/>
    <x v="0"/>
    <d v="2026-01-31T00:00:00"/>
    <d v="2026-01-31T00:00:00"/>
    <x v="6"/>
    <s v="CNY"/>
    <m/>
    <m/>
    <m/>
    <x v="26"/>
    <s v="CN Staff"/>
    <m/>
    <s v="Net Pay - January 2026"/>
    <x v="17"/>
    <x v="8"/>
    <x v="2"/>
    <x v="1"/>
    <m/>
    <m/>
    <m/>
    <m/>
    <m/>
  </r>
  <r>
    <x v="0"/>
    <x v="0"/>
    <d v="2026-02-02T00:00:00"/>
    <d v="2026-02-02T00:00:00"/>
    <x v="7"/>
    <s v="CNY"/>
    <n v="17.690000000000001"/>
    <n v="0"/>
    <n v="17.690000000000001"/>
    <x v="27"/>
    <s v="招商银行 - 基本户"/>
    <m/>
    <s v="网银支付-跨行-异地手续费"/>
    <x v="0"/>
    <x v="0"/>
    <x v="0"/>
    <x v="0"/>
    <m/>
    <m/>
    <m/>
    <m/>
    <m/>
  </r>
  <r>
    <x v="0"/>
    <x v="0"/>
    <d v="2026-02-02T00:00:00"/>
    <d v="2026-02-02T00:00:00"/>
    <x v="7"/>
    <s v="CNY"/>
    <n v="2.67"/>
    <n v="0"/>
    <n v="2.67"/>
    <x v="28"/>
    <s v="招商银行 - 基本户"/>
    <m/>
    <s v="网银支付-跨行-本地普通手续费"/>
    <x v="0"/>
    <x v="0"/>
    <x v="0"/>
    <x v="0"/>
    <m/>
    <m/>
    <m/>
    <m/>
    <m/>
  </r>
  <r>
    <x v="0"/>
    <x v="0"/>
    <d v="2026-02-02T00:00:00"/>
    <d v="2026-02-02T00:00:00"/>
    <x v="7"/>
    <s v="CNY"/>
    <n v="25"/>
    <n v="0"/>
    <n v="25"/>
    <x v="29"/>
    <s v="招商银行 - 基本户"/>
    <m/>
    <s v="网上企业银行-网上企业银行服务费"/>
    <x v="0"/>
    <x v="0"/>
    <x v="0"/>
    <x v="0"/>
    <m/>
    <m/>
    <m/>
    <m/>
    <m/>
  </r>
  <r>
    <x v="0"/>
    <x v="0"/>
    <d v="2026-02-13T00:00:00"/>
    <d v="2026-02-13T00:00:00"/>
    <x v="8"/>
    <s v="CNY"/>
    <n v="3029.3999999999996"/>
    <n v="0"/>
    <n v="3029.3999999999996"/>
    <x v="30"/>
    <s v="报销"/>
    <s v="报销1月"/>
    <s v="Total Business Meals - International"/>
    <x v="18"/>
    <x v="4"/>
    <x v="3"/>
    <x v="0"/>
    <m/>
    <m/>
    <m/>
    <m/>
    <m/>
  </r>
  <r>
    <x v="0"/>
    <x v="0"/>
    <d v="2026-02-13T00:00:00"/>
    <d v="2026-02-13T00:00:00"/>
    <x v="8"/>
    <s v="CNY"/>
    <n v="12"/>
    <n v="0"/>
    <n v="12"/>
    <x v="31"/>
    <s v="报销"/>
    <s v="报销1月"/>
    <s v="Total Courier Charges"/>
    <x v="2"/>
    <x v="2"/>
    <x v="1"/>
    <x v="0"/>
    <m/>
    <m/>
    <m/>
    <m/>
    <m/>
  </r>
  <r>
    <x v="0"/>
    <x v="0"/>
    <d v="2026-02-13T00:00:00"/>
    <d v="2026-02-13T00:00:00"/>
    <x v="8"/>
    <s v="CNY"/>
    <n v="397.48"/>
    <n v="0"/>
    <n v="397.48"/>
    <x v="32"/>
    <s v="报销"/>
    <s v="报销1月"/>
    <s v="Total Office Supplies"/>
    <x v="5"/>
    <x v="5"/>
    <x v="1"/>
    <x v="0"/>
    <m/>
    <m/>
    <m/>
    <m/>
    <m/>
  </r>
  <r>
    <x v="0"/>
    <x v="0"/>
    <d v="2026-02-13T00:00:00"/>
    <d v="2026-02-13T00:00:00"/>
    <x v="8"/>
    <s v="CNY"/>
    <n v="172.5"/>
    <n v="0"/>
    <n v="172.5"/>
    <x v="33"/>
    <s v="报销"/>
    <s v="报销1月"/>
    <s v="Total Personal Meals - International"/>
    <x v="19"/>
    <x v="1"/>
    <x v="3"/>
    <x v="0"/>
    <m/>
    <m/>
    <m/>
    <m/>
    <m/>
  </r>
  <r>
    <x v="0"/>
    <x v="0"/>
    <d v="2026-02-13T00:00:00"/>
    <d v="2026-02-13T00:00:00"/>
    <x v="8"/>
    <s v="CNY"/>
    <n v="350.19"/>
    <n v="0"/>
    <n v="350.19"/>
    <x v="34"/>
    <s v="报销"/>
    <s v="报销1月"/>
    <s v="Total Staff Welfare - Gift &amp; Tokens"/>
    <x v="20"/>
    <x v="4"/>
    <x v="3"/>
    <x v="0"/>
    <m/>
    <m/>
    <m/>
    <m/>
    <m/>
  </r>
  <r>
    <x v="0"/>
    <x v="0"/>
    <d v="2026-02-13T00:00:00"/>
    <d v="2026-02-13T00:00:00"/>
    <x v="8"/>
    <s v="CNY"/>
    <n v="600"/>
    <n v="0"/>
    <n v="600"/>
    <x v="35"/>
    <s v="报销"/>
    <s v="报销1月"/>
    <s v="Total Staff Welfare - Gift &amp; Tokens"/>
    <x v="20"/>
    <x v="4"/>
    <x v="3"/>
    <x v="0"/>
    <m/>
    <m/>
    <m/>
    <m/>
    <m/>
  </r>
  <r>
    <x v="0"/>
    <x v="0"/>
    <d v="2026-02-13T00:00:00"/>
    <d v="2026-02-13T00:00:00"/>
    <x v="8"/>
    <s v="CNY"/>
    <n v="656.77"/>
    <n v="0"/>
    <n v="656.77"/>
    <x v="36"/>
    <s v="报销"/>
    <s v="报销1月"/>
    <s v="Total Subscription Fee"/>
    <x v="8"/>
    <x v="6"/>
    <x v="0"/>
    <x v="0"/>
    <m/>
    <m/>
    <m/>
    <m/>
    <m/>
  </r>
  <r>
    <x v="0"/>
    <x v="0"/>
    <d v="2026-02-13T00:00:00"/>
    <d v="2026-02-13T00:00:00"/>
    <x v="8"/>
    <s v="CNY"/>
    <n v="1610.42"/>
    <n v="0"/>
    <n v="1610.42"/>
    <x v="37"/>
    <s v="报销"/>
    <s v="报销1月"/>
    <s v="Total Transportation fee - National"/>
    <x v="7"/>
    <x v="1"/>
    <x v="1"/>
    <x v="0"/>
    <m/>
    <m/>
    <m/>
    <m/>
    <m/>
  </r>
  <r>
    <x v="0"/>
    <x v="0"/>
    <d v="2026-02-13T00:00:00"/>
    <d v="2026-02-13T00:00:00"/>
    <x v="8"/>
    <s v="CNY"/>
    <n v="86.7"/>
    <n v="0"/>
    <n v="86.7"/>
    <x v="38"/>
    <s v="报销"/>
    <s v="报销1月"/>
    <s v="Total Transportation fee - National"/>
    <x v="7"/>
    <x v="1"/>
    <x v="1"/>
    <x v="0"/>
    <m/>
    <m/>
    <m/>
    <m/>
    <m/>
  </r>
  <r>
    <x v="0"/>
    <x v="0"/>
    <d v="2026-02-13T00:00:00"/>
    <d v="2026-02-13T00:00:00"/>
    <x v="8"/>
    <s v="CNY"/>
    <n v="528.69000000000005"/>
    <n v="0"/>
    <n v="528.69000000000005"/>
    <x v="39"/>
    <s v="上海德必飞虹文化科技发展有限公司"/>
    <m/>
    <s v="办公室电费"/>
    <x v="12"/>
    <x v="10"/>
    <x v="1"/>
    <x v="0"/>
    <m/>
    <m/>
    <m/>
    <m/>
    <m/>
  </r>
  <r>
    <x v="0"/>
    <x v="0"/>
    <d v="2026-02-13T00:00:00"/>
    <d v="2026-02-13T00:00:00"/>
    <x v="8"/>
    <s v="CNY"/>
    <n v="426.88"/>
    <n v="0"/>
    <n v="426.88"/>
    <x v="40"/>
    <s v="上海卓川人力资源有限公司"/>
    <m/>
    <s v="人力资源服务费-成都，上海"/>
    <x v="11"/>
    <x v="9"/>
    <x v="3"/>
    <x v="0"/>
    <m/>
    <m/>
    <m/>
    <m/>
    <m/>
  </r>
  <r>
    <x v="0"/>
    <x v="0"/>
    <d v="2026-02-13T00:00:00"/>
    <d v="2026-02-13T00:00:00"/>
    <x v="8"/>
    <s v="CNY"/>
    <n v="1011.2"/>
    <n v="0"/>
    <n v="1011.2"/>
    <x v="41"/>
    <s v="上海融聚全才企业服务有限公司"/>
    <m/>
    <s v="上海记账代理服务费-2026年2月"/>
    <x v="11"/>
    <x v="9"/>
    <x v="0"/>
    <x v="0"/>
    <m/>
    <m/>
    <m/>
    <m/>
    <m/>
  </r>
  <r>
    <x v="0"/>
    <x v="0"/>
    <d v="2026-02-13T00:00:00"/>
    <d v="2026-02-13T00:00:00"/>
    <x v="8"/>
    <s v="CNY"/>
    <n v="158"/>
    <n v="0"/>
    <n v="158"/>
    <x v="42"/>
    <s v="深圳海域信息技术有限公司"/>
    <m/>
    <s v="域名续费"/>
    <x v="21"/>
    <x v="15"/>
    <x v="6"/>
    <x v="3"/>
    <m/>
    <m/>
    <m/>
    <m/>
    <m/>
  </r>
  <r>
    <x v="0"/>
    <x v="0"/>
    <d v="2026-02-13T00:00:00"/>
    <d v="2026-02-13T00:00:00"/>
    <x v="8"/>
    <s v="CNY"/>
    <n v="277"/>
    <n v="0"/>
    <n v="277"/>
    <x v="43"/>
    <s v="北京易点淘网络技术有限公司"/>
    <m/>
    <s v="显示器租赁费-2025年1月"/>
    <x v="13"/>
    <x v="11"/>
    <x v="5"/>
    <x v="0"/>
    <m/>
    <m/>
    <m/>
    <m/>
    <m/>
  </r>
  <r>
    <x v="0"/>
    <x v="0"/>
    <d v="2026-01-31T00:00:00"/>
    <d v="2026-01-31T00:00:00"/>
    <x v="9"/>
    <s v="CNY"/>
    <m/>
    <m/>
    <m/>
    <x v="44"/>
    <s v="CN Staff"/>
    <m/>
    <s v="Net Pay - January 2026"/>
    <x v="17"/>
    <x v="8"/>
    <x v="4"/>
    <x v="2"/>
    <m/>
    <m/>
    <m/>
    <m/>
    <m/>
  </r>
  <r>
    <x v="0"/>
    <x v="0"/>
    <d v="2026-01-31T00:00:00"/>
    <d v="2026-01-31T00:00:00"/>
    <x v="9"/>
    <s v="CNY"/>
    <m/>
    <m/>
    <m/>
    <x v="45"/>
    <s v="CN Staff"/>
    <m/>
    <s v="Net Pay - January 2026"/>
    <x v="17"/>
    <x v="8"/>
    <x v="2"/>
    <x v="1"/>
    <m/>
    <m/>
    <m/>
    <m/>
    <m/>
  </r>
  <r>
    <x v="0"/>
    <x v="0"/>
    <d v="2026-02-28T00:00:00"/>
    <d v="2026-02-28T00:00:00"/>
    <x v="10"/>
    <s v="CNY"/>
    <m/>
    <m/>
    <m/>
    <x v="46"/>
    <s v="CN Staff"/>
    <m/>
    <s v="Net Pay - February 2026"/>
    <x v="17"/>
    <x v="8"/>
    <x v="4"/>
    <x v="2"/>
    <m/>
    <m/>
    <m/>
    <m/>
    <m/>
  </r>
  <r>
    <x v="0"/>
    <x v="0"/>
    <d v="2026-02-28T00:00:00"/>
    <d v="2026-02-28T00:00:00"/>
    <x v="10"/>
    <s v="CNY"/>
    <m/>
    <m/>
    <m/>
    <x v="47"/>
    <s v="CN Staff"/>
    <m/>
    <s v="Net Pay - February 2026"/>
    <x v="17"/>
    <x v="8"/>
    <x v="2"/>
    <x v="1"/>
    <m/>
    <m/>
    <m/>
    <m/>
    <m/>
  </r>
  <r>
    <x v="0"/>
    <x v="0"/>
    <d v="2026-03-02T00:00:00"/>
    <d v="2026-03-02T00:00:00"/>
    <x v="11"/>
    <s v="CNY"/>
    <n v="8.76"/>
    <n v="0"/>
    <n v="8.76"/>
    <x v="48"/>
    <s v="招商银行 - 基本户"/>
    <m/>
    <s v="网银支付-跨行-异地手续费"/>
    <x v="0"/>
    <x v="0"/>
    <x v="0"/>
    <x v="0"/>
    <m/>
    <m/>
    <m/>
    <m/>
    <m/>
  </r>
  <r>
    <x v="0"/>
    <x v="0"/>
    <d v="2026-03-02T00:00:00"/>
    <d v="2026-03-02T00:00:00"/>
    <x v="11"/>
    <s v="CNY"/>
    <n v="2.67"/>
    <n v="0"/>
    <n v="2.67"/>
    <x v="49"/>
    <s v="招商银行 - 基本户"/>
    <m/>
    <s v="网银支付-跨行-本地普通手续费"/>
    <x v="0"/>
    <x v="0"/>
    <x v="0"/>
    <x v="0"/>
    <m/>
    <m/>
    <m/>
    <m/>
    <m/>
  </r>
  <r>
    <x v="0"/>
    <x v="0"/>
    <d v="2026-03-02T00:00:00"/>
    <d v="2026-03-02T00:00:00"/>
    <x v="11"/>
    <s v="CNY"/>
    <n v="25"/>
    <n v="0"/>
    <n v="25"/>
    <x v="50"/>
    <s v="招商银行 - 基本户"/>
    <m/>
    <s v="网上企业银行-网上企业银行服务费"/>
    <x v="0"/>
    <x v="0"/>
    <x v="0"/>
    <x v="0"/>
    <m/>
    <m/>
    <m/>
    <m/>
    <m/>
  </r>
  <r>
    <x v="0"/>
    <x v="0"/>
    <d v="2026-03-16T00:00:00"/>
    <d v="2026-03-16T00:00:00"/>
    <x v="12"/>
    <s v="CNY"/>
    <n v="400"/>
    <n v="0"/>
    <n v="400"/>
    <x v="51"/>
    <s v="报销"/>
    <s v="报销2月"/>
    <s v="Total Personal Meals - National"/>
    <x v="22"/>
    <x v="1"/>
    <x v="2"/>
    <x v="1"/>
    <m/>
    <m/>
    <m/>
    <m/>
    <m/>
  </r>
  <r>
    <x v="0"/>
    <x v="0"/>
    <d v="2026-03-16T00:00:00"/>
    <d v="2026-03-16T00:00:00"/>
    <x v="12"/>
    <s v="CNY"/>
    <n v="624"/>
    <n v="0"/>
    <n v="624"/>
    <x v="52"/>
    <s v="报销"/>
    <s v="报销2月"/>
    <s v="Total Professional &amp; Consultancy Fees"/>
    <x v="11"/>
    <x v="9"/>
    <x v="1"/>
    <x v="0"/>
    <m/>
    <m/>
    <m/>
    <m/>
    <m/>
  </r>
  <r>
    <x v="0"/>
    <x v="0"/>
    <d v="2026-03-16T00:00:00"/>
    <d v="2026-03-16T00:00:00"/>
    <x v="12"/>
    <s v="CNY"/>
    <n v="624.03"/>
    <n v="0"/>
    <n v="624.03"/>
    <x v="52"/>
    <s v="报销"/>
    <s v="报销2月"/>
    <s v="Total Subscription Fee"/>
    <x v="8"/>
    <x v="6"/>
    <x v="0"/>
    <x v="0"/>
    <m/>
    <m/>
    <m/>
    <m/>
    <m/>
  </r>
  <r>
    <x v="0"/>
    <x v="0"/>
    <d v="2026-03-16T00:00:00"/>
    <d v="2026-03-16T00:00:00"/>
    <x v="12"/>
    <s v="CNY"/>
    <n v="1011.2"/>
    <n v="0"/>
    <n v="1011.2"/>
    <x v="53"/>
    <s v="上海融聚全才企业服务有限公司"/>
    <m/>
    <s v="上海记账代理服务费-2026年3月"/>
    <x v="11"/>
    <x v="9"/>
    <x v="0"/>
    <x v="0"/>
    <m/>
    <m/>
    <m/>
    <m/>
    <m/>
  </r>
  <r>
    <x v="0"/>
    <x v="0"/>
    <d v="2026-03-16T00:00:00"/>
    <d v="2026-03-16T00:00:00"/>
    <x v="12"/>
    <s v="CNY"/>
    <n v="426.88"/>
    <m/>
    <n v="426.88"/>
    <x v="54"/>
    <s v="上海卓川人力资源有限公司"/>
    <m/>
    <s v="人力资源服务费-成都，上海"/>
    <x v="11"/>
    <x v="16"/>
    <x v="3"/>
    <x v="0"/>
    <m/>
    <m/>
    <m/>
    <m/>
    <m/>
  </r>
  <r>
    <x v="0"/>
    <x v="0"/>
    <d v="2026-03-16T00:00:00"/>
    <d v="2026-03-16T00:00:00"/>
    <x v="12"/>
    <s v="CNY"/>
    <n v="520.18000000000029"/>
    <n v="0"/>
    <n v="520.18000000000029"/>
    <x v="55"/>
    <s v="上海德必飞虹文化科技发展有限公司"/>
    <s v="电费"/>
    <s v="电费+空调费2026-01-01 2026-01-31"/>
    <x v="12"/>
    <x v="10"/>
    <x v="1"/>
    <x v="0"/>
    <m/>
    <m/>
    <m/>
    <m/>
    <m/>
  </r>
  <r>
    <x v="0"/>
    <x v="0"/>
    <d v="2026-03-16T00:00:00"/>
    <d v="2026-03-16T00:00:00"/>
    <x v="12"/>
    <s v="CNY"/>
    <n v="50801"/>
    <n v="0"/>
    <n v="50801"/>
    <x v="56"/>
    <s v="上海德必飞虹文化科技发展有限公司"/>
    <s v="办公室租金"/>
    <s v="房租2026-04-01 2026-06-30"/>
    <x v="23"/>
    <x v="17"/>
    <x v="1"/>
    <x v="0"/>
    <m/>
    <m/>
    <m/>
    <m/>
    <m/>
  </r>
  <r>
    <x v="0"/>
    <x v="0"/>
    <d v="2026-03-16T00:00:00"/>
    <d v="2026-03-16T00:00:00"/>
    <x v="12"/>
    <s v="CNY"/>
    <n v="277"/>
    <n v="0"/>
    <n v="277"/>
    <x v="57"/>
    <s v="北京易点淘网络技术有限公司"/>
    <m/>
    <s v="显示器租赁费-2026年2月"/>
    <x v="13"/>
    <x v="11"/>
    <x v="5"/>
    <x v="0"/>
    <m/>
    <m/>
    <m/>
    <m/>
    <m/>
  </r>
  <r>
    <x v="0"/>
    <x v="0"/>
    <d v="2026-02-28T00:00:00"/>
    <d v="2026-02-28T00:00:00"/>
    <x v="12"/>
    <s v="CNY"/>
    <m/>
    <m/>
    <m/>
    <x v="58"/>
    <s v="CN Staff"/>
    <m/>
    <s v="Net Pay - February 2026"/>
    <x v="17"/>
    <x v="8"/>
    <x v="4"/>
    <x v="2"/>
    <m/>
    <m/>
    <m/>
    <m/>
    <m/>
  </r>
  <r>
    <x v="0"/>
    <x v="0"/>
    <d v="2026-02-28T00:00:00"/>
    <d v="2026-02-28T00:00:00"/>
    <x v="12"/>
    <s v="CNY"/>
    <m/>
    <m/>
    <m/>
    <x v="59"/>
    <s v="CN Staff"/>
    <m/>
    <s v="Net Pay - February 2026"/>
    <x v="17"/>
    <x v="8"/>
    <x v="2"/>
    <x v="1"/>
    <m/>
    <m/>
    <m/>
    <m/>
    <m/>
  </r>
  <r>
    <x v="0"/>
    <x v="0"/>
    <d v="2026-03-21T00:00:00"/>
    <d v="2026-03-21T00:00:00"/>
    <x v="13"/>
    <s v="CNY"/>
    <n v="-50.63"/>
    <n v="0"/>
    <n v="-50.63"/>
    <x v="60"/>
    <s v="招商银行 - 基本户"/>
    <m/>
    <s v="Interest Received"/>
    <x v="16"/>
    <x v="14"/>
    <x v="0"/>
    <x v="0"/>
    <m/>
    <m/>
    <m/>
    <m/>
    <m/>
  </r>
  <r>
    <x v="0"/>
    <x v="0"/>
    <d v="2026-03-31T00:00:00"/>
    <d v="2026-03-31T00:00:00"/>
    <x v="14"/>
    <s v="CNY"/>
    <m/>
    <m/>
    <m/>
    <x v="61"/>
    <s v="CN Staff"/>
    <m/>
    <s v="Net Pay - March 2026"/>
    <x v="17"/>
    <x v="8"/>
    <x v="4"/>
    <x v="2"/>
    <m/>
    <m/>
    <m/>
    <m/>
    <m/>
  </r>
  <r>
    <x v="0"/>
    <x v="0"/>
    <d v="2026-03-31T00:00:00"/>
    <d v="2026-03-31T00:00:00"/>
    <x v="14"/>
    <s v="CNY"/>
    <m/>
    <m/>
    <m/>
    <x v="62"/>
    <s v="CN Staff"/>
    <m/>
    <s v="Net Pay - March 2026"/>
    <x v="17"/>
    <x v="8"/>
    <x v="2"/>
    <x v="1"/>
    <m/>
    <m/>
    <m/>
    <m/>
    <m/>
  </r>
  <r>
    <x v="0"/>
    <x v="0"/>
    <d v="2026-04-02T00:00:00"/>
    <d v="2026-04-02T00:00:00"/>
    <x v="15"/>
    <s v="CNY"/>
    <n v="2.67"/>
    <n v="0"/>
    <n v="2.67"/>
    <x v="49"/>
    <s v="招商银行 - 基本户"/>
    <m/>
    <s v="网银支付-跨行-本地普通手续费"/>
    <x v="0"/>
    <x v="0"/>
    <x v="0"/>
    <x v="0"/>
    <m/>
    <m/>
    <m/>
    <m/>
    <m/>
  </r>
  <r>
    <x v="0"/>
    <x v="0"/>
    <d v="2026-04-02T00:00:00"/>
    <d v="2026-04-02T00:00:00"/>
    <x v="15"/>
    <s v="CNY"/>
    <n v="25"/>
    <n v="0"/>
    <n v="25"/>
    <x v="50"/>
    <s v="招商银行 - 基本户"/>
    <m/>
    <s v="网上企业银行-网上企业银行服务费"/>
    <x v="0"/>
    <x v="0"/>
    <x v="0"/>
    <x v="0"/>
    <m/>
    <m/>
    <m/>
    <m/>
    <m/>
  </r>
  <r>
    <x v="0"/>
    <x v="0"/>
    <d v="2026-04-02T00:00:00"/>
    <d v="2026-04-02T00:00:00"/>
    <x v="15"/>
    <s v="CNY"/>
    <n v="4.38"/>
    <n v="0"/>
    <n v="4.38"/>
    <x v="63"/>
    <s v="招商银行 - 基本户"/>
    <m/>
    <s v="网银支付-跨行-异地手续费"/>
    <x v="0"/>
    <x v="0"/>
    <x v="0"/>
    <x v="0"/>
    <m/>
    <m/>
    <m/>
    <m/>
    <m/>
  </r>
  <r>
    <x v="0"/>
    <x v="0"/>
    <d v="2026-04-15T00:00:00"/>
    <d v="2026-04-15T00:00:00"/>
    <x v="16"/>
    <s v="CNY"/>
    <n v="1186.73"/>
    <n v="0"/>
    <n v="1186.73"/>
    <x v="64"/>
    <s v="上海融聚全才企业服务有限公司"/>
    <m/>
    <s v="上海记账代理服务费-2026年4月"/>
    <x v="11"/>
    <x v="9"/>
    <x v="0"/>
    <x v="0"/>
    <m/>
    <m/>
    <m/>
    <m/>
    <m/>
  </r>
  <r>
    <x v="0"/>
    <x v="0"/>
    <d v="2026-04-15T00:00:00"/>
    <d v="2026-04-15T00:00:00"/>
    <x v="16"/>
    <s v="CNY"/>
    <n v="320.16000000000003"/>
    <n v="0"/>
    <n v="320.16000000000003"/>
    <x v="65"/>
    <s v="上海卓川人力资源有限公司"/>
    <m/>
    <s v="上海人事代理服务费-2026年3月"/>
    <x v="11"/>
    <x v="9"/>
    <x v="3"/>
    <x v="0"/>
    <m/>
    <m/>
    <m/>
    <m/>
    <m/>
  </r>
  <r>
    <x v="0"/>
    <x v="0"/>
    <d v="2026-04-15T00:00:00"/>
    <d v="2026-04-15T00:00:00"/>
    <x v="16"/>
    <s v="CNY"/>
    <n v="342.51"/>
    <n v="0"/>
    <n v="342.51"/>
    <x v="66"/>
    <s v="上海德必飞虹文化科技发展有限公司"/>
    <m/>
    <s v="办公室电费"/>
    <x v="12"/>
    <x v="10"/>
    <x v="1"/>
    <x v="0"/>
    <m/>
    <m/>
    <m/>
    <m/>
    <m/>
  </r>
  <r>
    <x v="0"/>
    <x v="0"/>
    <d v="2026-04-15T00:00:00"/>
    <d v="2026-04-15T00:00:00"/>
    <x v="16"/>
    <s v="CNY"/>
    <n v="277"/>
    <n v="0"/>
    <n v="277"/>
    <x v="57"/>
    <s v="北京易点淘网络技术有限公司"/>
    <m/>
    <s v="显示器租赁费-2026年3月"/>
    <x v="13"/>
    <x v="11"/>
    <x v="5"/>
    <x v="0"/>
    <m/>
    <m/>
    <m/>
    <m/>
    <m/>
  </r>
  <r>
    <x v="0"/>
    <x v="0"/>
    <d v="2026-04-15T00:00:00"/>
    <d v="2026-04-15T00:00:00"/>
    <x v="16"/>
    <s v="CNY"/>
    <n v="55.1"/>
    <n v="0"/>
    <n v="55.1"/>
    <x v="67"/>
    <s v="报销"/>
    <s v="报销3月"/>
    <s v="Total Courier Charges"/>
    <x v="2"/>
    <x v="2"/>
    <x v="1"/>
    <x v="0"/>
    <m/>
    <m/>
    <m/>
    <m/>
    <m/>
  </r>
  <r>
    <x v="0"/>
    <x v="0"/>
    <d v="2026-04-15T00:00:00"/>
    <d v="2026-04-15T00:00:00"/>
    <x v="16"/>
    <s v="CNY"/>
    <n v="293.95"/>
    <n v="0"/>
    <n v="293.95"/>
    <x v="68"/>
    <s v="报销"/>
    <s v="报销3月"/>
    <s v="Total Office Supplies"/>
    <x v="5"/>
    <x v="5"/>
    <x v="1"/>
    <x v="0"/>
    <m/>
    <m/>
    <m/>
    <m/>
    <m/>
  </r>
  <r>
    <x v="0"/>
    <x v="0"/>
    <d v="2026-04-15T00:00:00"/>
    <d v="2026-04-15T00:00:00"/>
    <x v="16"/>
    <s v="CNY"/>
    <n v="6900"/>
    <n v="0"/>
    <n v="6900"/>
    <x v="69"/>
    <s v="报销"/>
    <s v="报销3月"/>
    <s v="Total Staff Welfare - Meal &amp; Refreshment"/>
    <x v="18"/>
    <x v="4"/>
    <x v="2"/>
    <x v="1"/>
    <m/>
    <m/>
    <m/>
    <m/>
    <m/>
  </r>
  <r>
    <x v="0"/>
    <x v="0"/>
    <d v="2026-04-15T00:00:00"/>
    <d v="2026-04-15T00:00:00"/>
    <x v="16"/>
    <s v="CNY"/>
    <n v="657.15"/>
    <n v="0"/>
    <n v="657.15"/>
    <x v="70"/>
    <s v="报销"/>
    <s v="报销3月"/>
    <s v="Total Subscription Fee"/>
    <x v="8"/>
    <x v="6"/>
    <x v="0"/>
    <x v="0"/>
    <m/>
    <m/>
    <m/>
    <m/>
    <m/>
  </r>
  <r>
    <x v="0"/>
    <x v="0"/>
    <d v="2026-04-15T00:00:00"/>
    <d v="2026-04-15T00:00:00"/>
    <x v="16"/>
    <s v="CNY"/>
    <n v="45.61"/>
    <n v="0"/>
    <n v="45.61"/>
    <x v="71"/>
    <s v="报销"/>
    <s v="报销3月"/>
    <s v="Total Transportation fee - National"/>
    <x v="7"/>
    <x v="1"/>
    <x v="2"/>
    <x v="1"/>
    <m/>
    <m/>
    <m/>
    <m/>
    <m/>
  </r>
  <r>
    <x v="0"/>
    <x v="0"/>
    <d v="2026-04-15T00:00:00"/>
    <d v="2026-04-15T00:00:00"/>
    <x v="16"/>
    <s v="CNY"/>
    <n v="2221"/>
    <n v="0"/>
    <n v="2221"/>
    <x v="72"/>
    <s v="报销"/>
    <s v="报销3月"/>
    <s v="Total Transportation fee - National"/>
    <x v="7"/>
    <x v="1"/>
    <x v="2"/>
    <x v="1"/>
    <m/>
    <m/>
    <m/>
    <m/>
    <m/>
  </r>
  <r>
    <x v="0"/>
    <x v="0"/>
    <d v="2026-03-31T00:00:00"/>
    <d v="2026-03-31T00:00:00"/>
    <x v="17"/>
    <s v="CNY"/>
    <m/>
    <m/>
    <m/>
    <x v="73"/>
    <s v="CN Staff"/>
    <m/>
    <s v="Net Pay - March 2026"/>
    <x v="17"/>
    <x v="8"/>
    <x v="4"/>
    <x v="2"/>
    <m/>
    <m/>
    <m/>
    <m/>
    <m/>
  </r>
  <r>
    <x v="0"/>
    <x v="0"/>
    <d v="2026-03-31T00:00:00"/>
    <d v="2026-03-31T00:00:00"/>
    <x v="17"/>
    <s v="CNY"/>
    <m/>
    <m/>
    <m/>
    <x v="74"/>
    <s v="CN Staff"/>
    <m/>
    <s v="Net Pay - March 2026"/>
    <x v="17"/>
    <x v="8"/>
    <x v="2"/>
    <x v="1"/>
    <m/>
    <m/>
    <m/>
    <m/>
    <m/>
  </r>
  <r>
    <x v="0"/>
    <x v="0"/>
    <d v="2026-04-24T00:00:00"/>
    <d v="2026-04-24T00:00:00"/>
    <x v="18"/>
    <s v="CNY"/>
    <n v="-92866.78"/>
    <n v="0"/>
    <n v="-92866.78"/>
    <x v="75"/>
    <s v="芯元智控（上海）科技有限公司"/>
    <m/>
    <s v="汇入汇款流程解付"/>
    <x v="24"/>
    <x v="18"/>
    <x v="6"/>
    <x v="3"/>
    <m/>
    <m/>
    <m/>
    <m/>
    <m/>
  </r>
  <r>
    <x v="0"/>
    <x v="0"/>
    <d v="2026-04-28T00:00:00"/>
    <d v="2026-04-30T00:00:00"/>
    <x v="19"/>
    <s v="CNY"/>
    <n v="4000"/>
    <n v="0"/>
    <n v="4000"/>
    <x v="76"/>
    <s v="上海三礼企业发展有限公司 "/>
    <s v="服务费 "/>
    <s v="企业现代服务-法人变更 "/>
    <x v="25"/>
    <x v="9"/>
    <x v="7"/>
    <x v="0"/>
    <s v="PV2604013"/>
    <m/>
    <m/>
    <m/>
    <m/>
  </r>
  <r>
    <x v="0"/>
    <x v="0"/>
    <d v="2026-04-30T00:00:00"/>
    <d v="2026-04-30T00:00:00"/>
    <x v="19"/>
    <s v="CNY"/>
    <m/>
    <m/>
    <m/>
    <x v="77"/>
    <s v="CN Staff"/>
    <m/>
    <s v="Net Pay - April 2026"/>
    <x v="17"/>
    <x v="8"/>
    <x v="4"/>
    <x v="2"/>
    <m/>
    <m/>
    <m/>
    <m/>
    <m/>
  </r>
  <r>
    <x v="0"/>
    <x v="0"/>
    <d v="2026-04-30T00:00:00"/>
    <d v="2026-04-30T00:00:00"/>
    <x v="19"/>
    <s v="CNY"/>
    <m/>
    <m/>
    <m/>
    <x v="78"/>
    <s v="CN Staff"/>
    <m/>
    <s v="Net Pay - April 2026"/>
    <x v="17"/>
    <x v="8"/>
    <x v="2"/>
    <x v="1"/>
    <m/>
    <m/>
    <m/>
    <m/>
    <m/>
  </r>
  <r>
    <x v="0"/>
    <x v="0"/>
    <d v="2026-05-02T00:00:00"/>
    <d v="2026-05-02T00:00:00"/>
    <x v="20"/>
    <s v="CNY"/>
    <n v="4.38"/>
    <n v="0"/>
    <n v="4.38"/>
    <x v="63"/>
    <s v="招商银行 - 基本户"/>
    <m/>
    <s v="网银支付-跨行-异地手续费"/>
    <x v="0"/>
    <x v="8"/>
    <x v="0"/>
    <x v="0"/>
    <m/>
    <m/>
    <m/>
    <s v="PV2605001"/>
    <m/>
  </r>
  <r>
    <x v="0"/>
    <x v="0"/>
    <d v="2026-05-02T00:00:00"/>
    <d v="2026-05-02T00:00:00"/>
    <x v="20"/>
    <s v="CNY"/>
    <n v="3.55"/>
    <n v="0"/>
    <n v="3.55"/>
    <x v="79"/>
    <s v="招商银行 - 基本户"/>
    <m/>
    <s v="网银支付-跨行-本地普通手续费"/>
    <x v="0"/>
    <x v="8"/>
    <x v="0"/>
    <x v="0"/>
    <m/>
    <m/>
    <m/>
    <s v="PV2605002"/>
    <m/>
  </r>
  <r>
    <x v="0"/>
    <x v="0"/>
    <d v="2026-05-02T00:00:00"/>
    <d v="2026-05-02T00:00:00"/>
    <x v="20"/>
    <s v="CNY"/>
    <n v="25"/>
    <n v="0"/>
    <n v="25"/>
    <x v="80"/>
    <s v="招商银行 - 基本户"/>
    <m/>
    <s v="网上企业银行-网上企业银行服务费"/>
    <x v="0"/>
    <x v="8"/>
    <x v="0"/>
    <x v="0"/>
    <m/>
    <m/>
    <m/>
    <s v="PV2605003"/>
    <m/>
  </r>
  <r>
    <x v="0"/>
    <x v="0"/>
    <d v="2026-05-08T00:00:00"/>
    <d v="2026-05-08T00:00:00"/>
    <x v="21"/>
    <s v="CNY"/>
    <n v="-46851.89"/>
    <n v="0"/>
    <n v="-46851.89"/>
    <x v="81"/>
    <s v="芯元智控（上海）科技有限公司"/>
    <m/>
    <s v="汇入汇款流程解付"/>
    <x v="24"/>
    <x v="18"/>
    <x v="0"/>
    <x v="0"/>
    <m/>
    <m/>
    <m/>
    <s v="OR2605001"/>
    <m/>
  </r>
  <r>
    <x v="0"/>
    <x v="0"/>
    <d v="2026-05-08T00:00:00"/>
    <d v="2026-05-08T00:00:00"/>
    <x v="21"/>
    <s v="CNY"/>
    <n v="-32.68"/>
    <n v="0"/>
    <n v="-32.68"/>
    <x v="82"/>
    <s v="芯元智控（上海）科技有限公司"/>
    <m/>
    <s v="汇入汇款流程解付"/>
    <x v="24"/>
    <x v="18"/>
    <x v="0"/>
    <x v="0"/>
    <m/>
    <m/>
    <m/>
    <s v="OR2605002"/>
    <m/>
  </r>
  <r>
    <x v="0"/>
    <x v="0"/>
    <d v="2026-05-01T00:00:00"/>
    <d v="2026-05-15T00:00:00"/>
    <x v="22"/>
    <s v="CNY"/>
    <n v="1067.2"/>
    <n v="0"/>
    <n v="1067.2"/>
    <x v="83"/>
    <s v="上海融聚全才企业服务有限公司"/>
    <m/>
    <s v="上海记账代理服务费-2026年5月"/>
    <x v="11"/>
    <x v="9"/>
    <x v="0"/>
    <x v="0"/>
    <m/>
    <m/>
    <m/>
    <m/>
    <m/>
  </r>
  <r>
    <x v="0"/>
    <x v="0"/>
    <d v="2026-05-05T00:00:00"/>
    <d v="2026-05-15T00:00:00"/>
    <x v="22"/>
    <s v="CNY"/>
    <n v="640.31999999999971"/>
    <n v="0"/>
    <n v="640.31999999999971"/>
    <x v="84"/>
    <s v="上海卓川人力资源有限公司"/>
    <m/>
    <s v="人力资源服务费-成都 &amp; 上海"/>
    <x v="11"/>
    <x v="9"/>
    <x v="3"/>
    <x v="0"/>
    <m/>
    <m/>
    <m/>
    <m/>
    <m/>
  </r>
  <r>
    <x v="0"/>
    <x v="0"/>
    <d v="2026-05-01T00:00:00"/>
    <d v="2026-05-15T00:00:00"/>
    <x v="22"/>
    <s v="CNY"/>
    <n v="438.75"/>
    <n v="0"/>
    <n v="438.75"/>
    <x v="85"/>
    <s v="上海德必飞虹文化科技发展有限公司"/>
    <m/>
    <s v="办公室电费+空调费-2026.03"/>
    <x v="12"/>
    <x v="10"/>
    <x v="1"/>
    <x v="0"/>
    <m/>
    <m/>
    <m/>
    <m/>
    <m/>
  </r>
  <r>
    <x v="0"/>
    <x v="0"/>
    <d v="2026-05-01T00:00:00"/>
    <d v="2026-05-15T00:00:00"/>
    <x v="22"/>
    <s v="CNY"/>
    <n v="277"/>
    <n v="0"/>
    <n v="277"/>
    <x v="86"/>
    <s v="北京易点淘网络技术有限公司"/>
    <m/>
    <s v="显示器租赁费-2026年4月"/>
    <x v="13"/>
    <x v="11"/>
    <x v="5"/>
    <x v="0"/>
    <m/>
    <m/>
    <m/>
    <m/>
    <m/>
  </r>
  <r>
    <x v="0"/>
    <x v="0"/>
    <d v="2026-04-30T00:00:00"/>
    <d v="2026-04-30T00:00:00"/>
    <x v="22"/>
    <s v="CNY"/>
    <m/>
    <m/>
    <m/>
    <x v="87"/>
    <s v="CN Staff"/>
    <m/>
    <s v="Net Pay - April 2026"/>
    <x v="17"/>
    <x v="8"/>
    <x v="4"/>
    <x v="2"/>
    <m/>
    <m/>
    <m/>
    <m/>
    <m/>
  </r>
  <r>
    <x v="0"/>
    <x v="0"/>
    <d v="2026-04-30T00:00:00"/>
    <d v="2026-04-30T00:00:00"/>
    <x v="22"/>
    <s v="CNY"/>
    <m/>
    <m/>
    <m/>
    <x v="88"/>
    <s v="CN Staff"/>
    <m/>
    <s v="Net Pay - April 2026"/>
    <x v="17"/>
    <x v="8"/>
    <x v="2"/>
    <x v="1"/>
    <m/>
    <m/>
    <m/>
    <m/>
    <m/>
  </r>
  <r>
    <x v="0"/>
    <x v="0"/>
    <d v="2026-05-19T00:00:00"/>
    <d v="2026-05-19T00:00:00"/>
    <x v="23"/>
    <s v="CNY"/>
    <n v="50"/>
    <n v="0"/>
    <n v="50"/>
    <x v="89"/>
    <s v=" 招商银行 - 基本户 "/>
    <m/>
    <s v="对公中间业务收入-结算帐户管理收入 "/>
    <x v="0"/>
    <x v="0"/>
    <x v="0"/>
    <x v="0"/>
    <s v="PV2605009"/>
    <m/>
    <m/>
    <m/>
    <m/>
  </r>
  <r>
    <x v="0"/>
    <x v="0"/>
    <d v="2026-05-22T00:00:00"/>
    <d v="2026-05-22T00:00:00"/>
    <x v="24"/>
    <s v="CNY"/>
    <n v="50"/>
    <n v="0"/>
    <n v="50"/>
    <x v="89"/>
    <s v="招商银行 - 基本户 "/>
    <s v=" 121984970910002印鉴变更手续费 "/>
    <s v="对公中间业务收入-结算帐户管理收入 "/>
    <x v="0"/>
    <x v="0"/>
    <x v="0"/>
    <x v="0"/>
    <s v="PV2605012"/>
    <m/>
    <m/>
    <m/>
    <m/>
  </r>
  <r>
    <x v="0"/>
    <x v="0"/>
    <d v="2026-05-27T00:00:00"/>
    <d v="2026-05-27T00:00:00"/>
    <x v="25"/>
    <s v="CNY"/>
    <n v="-9964"/>
    <n v="0"/>
    <n v="-9964"/>
    <x v="90"/>
    <s v="格创东智（武汉）科技有限公司 "/>
    <s v=" 款项 "/>
    <m/>
    <x v="15"/>
    <x v="13"/>
    <x v="8"/>
    <x v="2"/>
    <s v="OR2605003"/>
    <m/>
    <m/>
    <m/>
    <m/>
  </r>
  <r>
    <x v="0"/>
    <x v="0"/>
    <d v="2026-05-27T00:00:00"/>
    <d v="2026-05-27T00:00:00"/>
    <x v="25"/>
    <s v="CNY"/>
    <n v="-426650"/>
    <n v="0"/>
    <n v="-426650"/>
    <x v="91"/>
    <s v="格创东智（深圳）科技有限公司 "/>
    <s v=" L4000236902369款项 "/>
    <m/>
    <x v="15"/>
    <x v="13"/>
    <x v="8"/>
    <x v="2"/>
    <s v="OR2605004"/>
    <m/>
    <m/>
    <m/>
    <m/>
  </r>
  <r>
    <x v="0"/>
    <x v="0"/>
    <d v="2026-05-31T00:00:00"/>
    <d v="2026-05-31T00:00:00"/>
    <x v="26"/>
    <s v="CNY"/>
    <m/>
    <m/>
    <m/>
    <x v="92"/>
    <s v="CN Staff"/>
    <m/>
    <s v="Net Pay - May 2026"/>
    <x v="17"/>
    <x v="8"/>
    <x v="4"/>
    <x v="2"/>
    <m/>
    <m/>
    <m/>
    <m/>
    <m/>
  </r>
  <r>
    <x v="0"/>
    <x v="0"/>
    <d v="2026-05-31T00:00:00"/>
    <d v="2026-05-31T00:00:00"/>
    <x v="26"/>
    <s v="CNY"/>
    <m/>
    <m/>
    <m/>
    <x v="93"/>
    <s v="CN Staff"/>
    <m/>
    <s v="Net Pay - May 2026"/>
    <x v="17"/>
    <x v="8"/>
    <x v="2"/>
    <x v="1"/>
    <m/>
    <m/>
    <m/>
    <m/>
    <m/>
  </r>
  <r>
    <x v="0"/>
    <x v="0"/>
    <d v="2026-05-31T00:00:00"/>
    <d v="2026-05-31T00:00:00"/>
    <x v="26"/>
    <s v="CNY"/>
    <m/>
    <m/>
    <m/>
    <x v="92"/>
    <s v="CN Staff"/>
    <m/>
    <s v="Net Pay - May 2026"/>
    <x v="17"/>
    <x v="8"/>
    <x v="4"/>
    <x v="2"/>
    <m/>
    <m/>
    <m/>
    <m/>
    <m/>
  </r>
  <r>
    <x v="0"/>
    <x v="0"/>
    <d v="2026-05-31T00:00:00"/>
    <d v="2026-05-31T00:00:00"/>
    <x v="26"/>
    <s v="CNY"/>
    <m/>
    <m/>
    <m/>
    <x v="94"/>
    <s v="CN Staff"/>
    <m/>
    <s v="Net Pay - May 2026"/>
    <x v="17"/>
    <x v="8"/>
    <x v="2"/>
    <x v="1"/>
    <m/>
    <m/>
    <m/>
    <m/>
    <m/>
  </r>
  <r>
    <x v="1"/>
    <x v="0"/>
    <d v="2026-06-15T00:00:00"/>
    <m/>
    <x v="27"/>
    <s v="CNY"/>
    <m/>
    <m/>
    <m/>
    <x v="95"/>
    <s v="北京易点淘网络技术有限公司"/>
    <m/>
    <s v="显示器租赁费-2026年5月"/>
    <x v="13"/>
    <x v="11"/>
    <x v="5"/>
    <x v="0"/>
    <m/>
    <m/>
    <m/>
    <m/>
    <m/>
  </r>
  <r>
    <x v="1"/>
    <x v="0"/>
    <d v="2026-06-15T00:00:00"/>
    <m/>
    <x v="27"/>
    <s v="CNY"/>
    <m/>
    <m/>
    <m/>
    <x v="96"/>
    <s v="上海卓川人力资源有限公司"/>
    <m/>
    <s v="人力资源服务费-成都 &amp; 上海 2026.05"/>
    <x v="11"/>
    <x v="9"/>
    <x v="3"/>
    <x v="0"/>
    <m/>
    <m/>
    <m/>
    <m/>
    <m/>
  </r>
  <r>
    <x v="1"/>
    <x v="0"/>
    <d v="2026-06-15T00:00:00"/>
    <m/>
    <x v="27"/>
    <s v="CNY"/>
    <m/>
    <m/>
    <m/>
    <x v="97"/>
    <s v="上海卓川人力资源有限公司"/>
    <m/>
    <s v="人力资源服务-代收代付 2026.06"/>
    <x v="17"/>
    <x v="8"/>
    <x v="3"/>
    <x v="0"/>
    <m/>
    <m/>
    <m/>
    <m/>
    <m/>
  </r>
  <r>
    <x v="1"/>
    <x v="0"/>
    <d v="2026-06-15T00:00:00"/>
    <m/>
    <x v="27"/>
    <s v="CNY"/>
    <m/>
    <m/>
    <m/>
    <x v="98"/>
    <s v="上海德必飞虹文化科技发展有限公司"/>
    <s v="电费"/>
    <s v="办公室电费+空调费-2026.04"/>
    <x v="12"/>
    <x v="10"/>
    <x v="1"/>
    <x v="0"/>
    <m/>
    <m/>
    <m/>
    <m/>
    <m/>
  </r>
  <r>
    <x v="1"/>
    <x v="0"/>
    <d v="2026-06-15T00:00:00"/>
    <m/>
    <x v="27"/>
    <s v="CNY"/>
    <m/>
    <m/>
    <m/>
    <x v="99"/>
    <s v="上海德必飞虹文化科技发展有限公司"/>
    <s v="办公室租金"/>
    <s v="房租2026-07-01 2026-09-30"/>
    <x v="23"/>
    <x v="17"/>
    <x v="1"/>
    <x v="0"/>
    <m/>
    <m/>
    <m/>
    <m/>
    <m/>
  </r>
  <r>
    <x v="1"/>
    <x v="0"/>
    <d v="2026-06-30T00:00:00"/>
    <d v="2026-06-30T00:00:00"/>
    <x v="28"/>
    <s v="CNY"/>
    <m/>
    <m/>
    <m/>
    <x v="100"/>
    <s v="上海融聚全才企业服务有限公司"/>
    <m/>
    <s v="代理记账服务费-2026.06"/>
    <x v="10"/>
    <x v="8"/>
    <x v="0"/>
    <x v="0"/>
    <m/>
    <m/>
    <m/>
    <m/>
    <m/>
  </r>
  <r>
    <x v="1"/>
    <x v="0"/>
    <d v="2026-06-30T00:00:00"/>
    <d v="2026-06-30T00:00:00"/>
    <x v="28"/>
    <s v="CNY"/>
    <m/>
    <m/>
    <m/>
    <x v="92"/>
    <s v="CN Staff"/>
    <m/>
    <s v="Net Pay - June 2026"/>
    <x v="17"/>
    <x v="8"/>
    <x v="4"/>
    <x v="2"/>
    <m/>
    <m/>
    <m/>
    <m/>
    <m/>
  </r>
  <r>
    <x v="1"/>
    <x v="0"/>
    <d v="2026-06-30T00:00:00"/>
    <d v="2026-06-30T00:00:00"/>
    <x v="28"/>
    <s v="CNY"/>
    <m/>
    <m/>
    <m/>
    <x v="93"/>
    <s v="CN Staff"/>
    <m/>
    <s v="Net Pay - June 2026"/>
    <x v="17"/>
    <x v="8"/>
    <x v="2"/>
    <x v="1"/>
    <m/>
    <m/>
    <m/>
    <m/>
    <m/>
  </r>
  <r>
    <x v="1"/>
    <x v="0"/>
    <d v="2026-06-30T00:00:00"/>
    <d v="2026-06-30T00:00:00"/>
    <x v="28"/>
    <s v="CNY"/>
    <m/>
    <m/>
    <m/>
    <x v="92"/>
    <s v="CN Staff"/>
    <m/>
    <s v="Net Pay - June 2026"/>
    <x v="17"/>
    <x v="8"/>
    <x v="4"/>
    <x v="2"/>
    <m/>
    <m/>
    <m/>
    <m/>
    <m/>
  </r>
  <r>
    <x v="1"/>
    <x v="0"/>
    <d v="2026-06-30T00:00:00"/>
    <d v="2026-06-30T00:00:00"/>
    <x v="28"/>
    <s v="CNY"/>
    <m/>
    <m/>
    <m/>
    <x v="94"/>
    <s v="CN Staff"/>
    <m/>
    <s v="Net Pay - June 2026"/>
    <x v="17"/>
    <x v="8"/>
    <x v="2"/>
    <x v="1"/>
    <m/>
    <m/>
    <m/>
    <m/>
    <m/>
  </r>
  <r>
    <x v="1"/>
    <x v="0"/>
    <d v="2026-07-15T00:00:00"/>
    <m/>
    <x v="29"/>
    <s v="CNY"/>
    <m/>
    <m/>
    <m/>
    <x v="96"/>
    <s v="上海卓川人力资源有限公司"/>
    <m/>
    <s v="人力资源服务费-成都 &amp; 上海 2026.06"/>
    <x v="11"/>
    <x v="9"/>
    <x v="3"/>
    <x v="0"/>
    <m/>
    <m/>
    <m/>
    <m/>
    <m/>
  </r>
  <r>
    <x v="1"/>
    <x v="0"/>
    <d v="2026-07-31T00:00:00"/>
    <d v="2026-07-31T00:00:00"/>
    <x v="30"/>
    <s v="CNY"/>
    <m/>
    <m/>
    <m/>
    <x v="100"/>
    <s v="上海融聚全才企业服务有限公司"/>
    <m/>
    <s v="代理记账服务费-2026.07"/>
    <x v="10"/>
    <x v="8"/>
    <x v="0"/>
    <x v="0"/>
    <m/>
    <m/>
    <m/>
    <m/>
    <m/>
  </r>
  <r>
    <x v="1"/>
    <x v="0"/>
    <d v="2026-07-31T00:00:00"/>
    <d v="2026-07-31T00:00:00"/>
    <x v="30"/>
    <s v="CNY"/>
    <m/>
    <m/>
    <m/>
    <x v="92"/>
    <s v="CN Staff"/>
    <m/>
    <s v="Net Pay - July 2026"/>
    <x v="17"/>
    <x v="8"/>
    <x v="4"/>
    <x v="2"/>
    <m/>
    <m/>
    <m/>
    <m/>
    <m/>
  </r>
  <r>
    <x v="1"/>
    <x v="0"/>
    <d v="2026-07-31T00:00:00"/>
    <d v="2026-07-31T00:00:00"/>
    <x v="30"/>
    <s v="CNY"/>
    <m/>
    <m/>
    <m/>
    <x v="92"/>
    <s v="CN Staff"/>
    <m/>
    <s v="Net Pay - July 2026"/>
    <x v="17"/>
    <x v="8"/>
    <x v="4"/>
    <x v="2"/>
    <m/>
    <m/>
    <m/>
    <m/>
    <m/>
  </r>
  <r>
    <x v="2"/>
    <x v="1"/>
    <d v="2026-06-01T00:00:00"/>
    <d v="2026-06-08T00:00:00"/>
    <x v="30"/>
    <s v="MYR"/>
    <n v="6000"/>
    <n v="0"/>
    <n v="6000"/>
    <x v="101"/>
    <s v="Golden Dragon Technology Sdn Bhd"/>
    <n v="5184"/>
    <s v="Laptop Leasing payment for June 2026"/>
    <x v="13"/>
    <x v="11"/>
    <x v="5"/>
    <x v="0"/>
    <m/>
    <m/>
    <m/>
    <m/>
    <m/>
  </r>
  <r>
    <x v="2"/>
    <x v="1"/>
    <d v="2026-06-25T00:00:00"/>
    <d v="2026-06-25T00:00:00"/>
    <x v="28"/>
    <s v="MYR"/>
    <n v="379"/>
    <n v="22.74"/>
    <n v="401.74"/>
    <x v="102"/>
    <s v="TM Technology Services Sdn Bhd "/>
    <s v="INV2026052618976704"/>
    <s v="Wifi May 2026 (25/05/2026 - 24/06/2026)"/>
    <x v="26"/>
    <x v="19"/>
    <x v="5"/>
    <x v="0"/>
    <m/>
    <m/>
    <m/>
    <m/>
    <m/>
  </r>
  <r>
    <x v="2"/>
    <x v="1"/>
    <d v="2026-05-15T00:00:00"/>
    <s v="15/05/2026"/>
    <x v="30"/>
    <s v="MYR"/>
    <n v="36347.050000000003"/>
    <n v="0"/>
    <n v="36347.050000000003"/>
    <x v="103"/>
    <s v="Lembaga Hasil Dalam Negeri (PCB)"/>
    <m/>
    <s v="PCB Monthly Tax Deduction March 2026"/>
    <x v="27"/>
    <x v="20"/>
    <x v="3"/>
    <x v="0"/>
    <m/>
    <m/>
    <m/>
    <m/>
    <m/>
  </r>
  <r>
    <x v="0"/>
    <x v="1"/>
    <d v="2026-01-02T00:00:00"/>
    <d v="2026-01-02T00:00:00"/>
    <x v="0"/>
    <s v="MYR"/>
    <n v="1.4"/>
    <n v="0"/>
    <n v="1.4"/>
    <x v="104"/>
    <s v="OCBC MYR"/>
    <s v="Bank Charges 02/01/2026"/>
    <s v="Bank Charges - Headcount Costs December 2025"/>
    <x v="0"/>
    <x v="0"/>
    <x v="0"/>
    <x v="0"/>
    <s v="Direct"/>
    <s v="-"/>
    <s v="-"/>
    <m/>
    <m/>
  </r>
  <r>
    <x v="0"/>
    <x v="1"/>
    <d v="2026-01-15T00:00:00"/>
    <d v="2026-01-15T00:00:00"/>
    <x v="2"/>
    <s v="MYR"/>
    <n v="0.5"/>
    <n v="0"/>
    <n v="0.5"/>
    <x v="105"/>
    <s v="OCBC MYR"/>
    <s v="Bank Charges 15/01/2026"/>
    <s v="Bank Charges - Payroll  - Statutory Contribution for December 2025"/>
    <x v="0"/>
    <x v="0"/>
    <x v="0"/>
    <x v="0"/>
    <s v="Direct"/>
    <s v="-"/>
    <s v="-"/>
    <m/>
    <m/>
  </r>
  <r>
    <x v="0"/>
    <x v="1"/>
    <d v="2026-01-15T00:00:00"/>
    <d v="2026-01-15T00:00:00"/>
    <x v="2"/>
    <s v="MYR"/>
    <n v="-46642.400000000001"/>
    <n v="0"/>
    <n v="-46642.400000000001"/>
    <x v="106"/>
    <s v="OCBC USD"/>
    <s v="Internal Transfer 2026/01-01"/>
    <s v="Internal Transfer from USD to MYR "/>
    <x v="24"/>
    <x v="18"/>
    <x v="0"/>
    <x v="0"/>
    <s v="Cathfrine Low"/>
    <s v="Leon Chan"/>
    <s v="Cathfrine Low"/>
    <m/>
    <m/>
  </r>
  <r>
    <x v="0"/>
    <x v="1"/>
    <d v="2026-01-16T00:00:00"/>
    <d v="2026-01-16T00:00:00"/>
    <x v="3"/>
    <s v="MYR"/>
    <n v="-232116"/>
    <n v="0"/>
    <n v="-232116"/>
    <x v="107"/>
    <s v="OCBC USD"/>
    <s v="Internal Transfer 2026/01-02"/>
    <s v="Internal Transfer from USD to MYR "/>
    <x v="24"/>
    <x v="18"/>
    <x v="0"/>
    <x v="0"/>
    <s v="Cathfrine Low"/>
    <s v="Leon Chan"/>
    <s v="Cathfrine Low"/>
    <m/>
    <m/>
  </r>
  <r>
    <x v="0"/>
    <x v="1"/>
    <d v="2025-12-31T00:00:00"/>
    <d v="2025-12-31T00:00:00"/>
    <x v="31"/>
    <s v="MYR"/>
    <n v="101023"/>
    <n v="0"/>
    <n v="101023"/>
    <x v="108"/>
    <s v="LHDN"/>
    <s v="2025/12"/>
    <s v="Tax Instalment 2025"/>
    <x v="28"/>
    <x v="21"/>
    <x v="0"/>
    <x v="0"/>
    <s v="CK Beh"/>
    <s v="Cathfrine"/>
    <s v="-"/>
    <m/>
    <m/>
  </r>
  <r>
    <x v="0"/>
    <x v="1"/>
    <d v="2026-01-15T00:00:00"/>
    <d v="2026-01-15T00:00:00"/>
    <x v="32"/>
    <s v="MYR"/>
    <n v="132.07999999999998"/>
    <n v="0"/>
    <n v="132.07999999999998"/>
    <x v="109"/>
    <s v="Staff Claim"/>
    <s v="Staff Claim 2025/12"/>
    <s v="Total Personal Meals - International"/>
    <x v="19"/>
    <x v="1"/>
    <x v="9"/>
    <x v="4"/>
    <m/>
    <m/>
    <m/>
    <m/>
    <m/>
  </r>
  <r>
    <x v="0"/>
    <x v="1"/>
    <d v="2026-01-15T00:00:00"/>
    <d v="2026-01-15T00:00:00"/>
    <x v="32"/>
    <s v="MYR"/>
    <n v="540.6"/>
    <n v="0"/>
    <n v="540.6"/>
    <x v="110"/>
    <s v="Staff Claim"/>
    <s v="Staff Claim 2025/12"/>
    <s v="Total Printing &amp; Stationery"/>
    <x v="29"/>
    <x v="5"/>
    <x v="9"/>
    <x v="4"/>
    <m/>
    <m/>
    <m/>
    <m/>
    <m/>
  </r>
  <r>
    <x v="0"/>
    <x v="1"/>
    <d v="2026-01-15T00:00:00"/>
    <d v="2026-01-15T00:00:00"/>
    <x v="32"/>
    <s v="MYR"/>
    <n v="-0.02"/>
    <n v="0"/>
    <n v="-0.02"/>
    <x v="111"/>
    <s v="Staff Claim"/>
    <s v="Staff Claim 2025/12"/>
    <s v="Total Rounding"/>
    <x v="0"/>
    <x v="0"/>
    <x v="0"/>
    <x v="0"/>
    <m/>
    <m/>
    <m/>
    <m/>
    <m/>
  </r>
  <r>
    <x v="0"/>
    <x v="1"/>
    <d v="2026-01-15T00:00:00"/>
    <d v="2026-01-15T00:00:00"/>
    <x v="32"/>
    <s v="MYR"/>
    <n v="10"/>
    <n v="0"/>
    <n v="10"/>
    <x v="112"/>
    <s v="Staff Claim"/>
    <s v="Staff Claim 2025/12"/>
    <s v="Total Stamp Duty"/>
    <x v="30"/>
    <x v="22"/>
    <x v="3"/>
    <x v="0"/>
    <m/>
    <m/>
    <m/>
    <m/>
    <m/>
  </r>
  <r>
    <x v="0"/>
    <x v="1"/>
    <d v="2026-01-15T00:00:00"/>
    <d v="2026-01-15T00:00:00"/>
    <x v="32"/>
    <s v="MYR"/>
    <n v="57"/>
    <n v="0"/>
    <n v="57"/>
    <x v="113"/>
    <s v="Staff Claim"/>
    <s v="Staff Claim 2025/12"/>
    <s v="Total Telecommunication"/>
    <x v="9"/>
    <x v="7"/>
    <x v="9"/>
    <x v="4"/>
    <m/>
    <m/>
    <m/>
    <m/>
    <m/>
  </r>
  <r>
    <x v="0"/>
    <x v="1"/>
    <d v="2026-01-15T00:00:00"/>
    <d v="2026-01-15T00:00:00"/>
    <x v="32"/>
    <s v="MYR"/>
    <n v="3807.52"/>
    <n v="0"/>
    <n v="3807.52"/>
    <x v="114"/>
    <s v="Staff Claim"/>
    <s v="Staff Claim 2025/12"/>
    <s v="Total Transportation fee - International"/>
    <x v="6"/>
    <x v="1"/>
    <x v="9"/>
    <x v="4"/>
    <m/>
    <m/>
    <m/>
    <m/>
    <m/>
  </r>
  <r>
    <x v="0"/>
    <x v="1"/>
    <d v="2026-01-15T00:00:00"/>
    <d v="2026-01-15T00:00:00"/>
    <x v="32"/>
    <s v="MYR"/>
    <n v="1367"/>
    <n v="0"/>
    <n v="1367"/>
    <x v="115"/>
    <s v="Staff Claim"/>
    <s v="Staff Claim 2025/12"/>
    <s v="Total Transportation fee - International"/>
    <x v="6"/>
    <x v="1"/>
    <x v="8"/>
    <x v="2"/>
    <m/>
    <m/>
    <m/>
    <m/>
    <m/>
  </r>
  <r>
    <x v="0"/>
    <x v="1"/>
    <d v="2026-01-15T00:00:00"/>
    <d v="2026-01-15T00:00:00"/>
    <x v="32"/>
    <s v="MYR"/>
    <n v="1741.39"/>
    <n v="0"/>
    <n v="1741.39"/>
    <x v="116"/>
    <s v="Staff Claim"/>
    <s v="Staff Claim 2025/12"/>
    <s v="Total Transportation fee - International"/>
    <x v="6"/>
    <x v="1"/>
    <x v="4"/>
    <x v="2"/>
    <m/>
    <m/>
    <m/>
    <m/>
    <m/>
  </r>
  <r>
    <x v="0"/>
    <x v="1"/>
    <d v="2026-01-15T00:00:00"/>
    <d v="2026-01-15T00:00:00"/>
    <x v="32"/>
    <s v="MYR"/>
    <n v="4444.4400000000005"/>
    <n v="0"/>
    <n v="4444.4400000000005"/>
    <x v="117"/>
    <s v="Staff Claim"/>
    <s v="Staff Claim 2025/12"/>
    <s v="Total Transportation fee - National"/>
    <x v="7"/>
    <x v="1"/>
    <x v="9"/>
    <x v="4"/>
    <m/>
    <m/>
    <m/>
    <m/>
    <m/>
  </r>
  <r>
    <x v="0"/>
    <x v="1"/>
    <d v="2026-01-15T00:00:00"/>
    <d v="2026-01-15T00:00:00"/>
    <x v="32"/>
    <s v="MYR"/>
    <n v="33"/>
    <n v="0"/>
    <n v="33"/>
    <x v="118"/>
    <s v="Staff Claim"/>
    <s v="Staff Claim 2025/12"/>
    <s v="Total Transportation fee - National"/>
    <x v="7"/>
    <x v="1"/>
    <x v="4"/>
    <x v="2"/>
    <m/>
    <m/>
    <m/>
    <m/>
    <m/>
  </r>
  <r>
    <x v="0"/>
    <x v="1"/>
    <d v="2026-01-15T00:00:00"/>
    <d v="2026-01-15T00:00:00"/>
    <x v="32"/>
    <s v="MYR"/>
    <n v="146.4"/>
    <n v="0"/>
    <n v="146.4"/>
    <x v="119"/>
    <s v="Staff Claim"/>
    <s v="Staff Claim 2025/12"/>
    <s v="Total Transportation fee - National"/>
    <x v="7"/>
    <x v="1"/>
    <x v="8"/>
    <x v="2"/>
    <m/>
    <m/>
    <m/>
    <m/>
    <m/>
  </r>
  <r>
    <x v="0"/>
    <x v="1"/>
    <d v="2026-01-15T00:00:00"/>
    <d v="2026-01-15T00:00:00"/>
    <x v="32"/>
    <s v="MYR"/>
    <n v="717.86"/>
    <n v="0"/>
    <n v="717.86"/>
    <x v="120"/>
    <s v="Staff Claim"/>
    <s v="Staff Claim 2025/12"/>
    <s v="Total Accommodation - International"/>
    <x v="31"/>
    <x v="1"/>
    <x v="9"/>
    <x v="4"/>
    <m/>
    <m/>
    <m/>
    <m/>
    <m/>
  </r>
  <r>
    <x v="0"/>
    <x v="1"/>
    <d v="2026-01-15T00:00:00"/>
    <d v="2026-01-15T00:00:00"/>
    <x v="32"/>
    <s v="MYR"/>
    <n v="1321.54"/>
    <n v="0"/>
    <n v="1321.54"/>
    <x v="121"/>
    <s v="Staff Claim"/>
    <s v="Staff Claim 2025/12"/>
    <s v="Total Accommodation - International"/>
    <x v="31"/>
    <x v="1"/>
    <x v="4"/>
    <x v="2"/>
    <m/>
    <m/>
    <m/>
    <m/>
    <m/>
  </r>
  <r>
    <x v="0"/>
    <x v="1"/>
    <d v="2026-01-15T00:00:00"/>
    <d v="2026-01-15T00:00:00"/>
    <x v="32"/>
    <s v="MYR"/>
    <n v="300"/>
    <n v="0"/>
    <n v="300"/>
    <x v="122"/>
    <s v="Staff Claim"/>
    <s v="Staff Claim 2025/12"/>
    <s v="Total Accommodation - National"/>
    <x v="1"/>
    <x v="1"/>
    <x v="9"/>
    <x v="4"/>
    <m/>
    <m/>
    <m/>
    <m/>
    <m/>
  </r>
  <r>
    <x v="0"/>
    <x v="1"/>
    <d v="2026-01-15T00:00:00"/>
    <d v="2026-01-15T00:00:00"/>
    <x v="32"/>
    <s v="MYR"/>
    <n v="35.04"/>
    <n v="0"/>
    <n v="35.04"/>
    <x v="123"/>
    <s v="Staff Claim"/>
    <s v="Staff Claim 2025/12"/>
    <s v="Total Office Supplies"/>
    <x v="5"/>
    <x v="5"/>
    <x v="4"/>
    <x v="2"/>
    <m/>
    <m/>
    <m/>
    <m/>
    <m/>
  </r>
  <r>
    <x v="0"/>
    <x v="1"/>
    <d v="2026-01-15T00:00:00"/>
    <d v="2026-01-15T00:00:00"/>
    <x v="32"/>
    <s v="MYR"/>
    <n v="320"/>
    <n v="0"/>
    <n v="320"/>
    <x v="124"/>
    <s v="Staff Claim"/>
    <s v="Staff Claim 2025/12"/>
    <s v="Total Staff Welfare - Meal &amp; Refreshment"/>
    <x v="18"/>
    <x v="4"/>
    <x v="4"/>
    <x v="2"/>
    <m/>
    <m/>
    <m/>
    <m/>
    <m/>
  </r>
  <r>
    <x v="0"/>
    <x v="1"/>
    <d v="2026-01-20T00:00:00"/>
    <d v="2026-01-20T00:00:00"/>
    <x v="32"/>
    <s v="MYR"/>
    <n v="1"/>
    <n v="0"/>
    <n v="1"/>
    <x v="125"/>
    <s v="OCBC MYR"/>
    <s v="Bank Charges 20/01/2026"/>
    <s v="Bank Charges - Staff Claim for December 2025"/>
    <x v="0"/>
    <x v="0"/>
    <x v="0"/>
    <x v="0"/>
    <s v="Direct"/>
    <s v="-"/>
    <s v="-"/>
    <m/>
    <m/>
  </r>
  <r>
    <x v="0"/>
    <x v="1"/>
    <d v="2026-01-20T00:00:00"/>
    <d v="2026-01-20T00:00:00"/>
    <x v="32"/>
    <s v="MYR"/>
    <n v="0.5"/>
    <n v="0"/>
    <n v="0.5"/>
    <x v="105"/>
    <s v="OCBC MYR"/>
    <s v="Bank Charges 30/01/2026"/>
    <s v="Bank Charges - Payrun 30/01/2026"/>
    <x v="0"/>
    <x v="0"/>
    <x v="0"/>
    <x v="0"/>
    <s v="Direct"/>
    <s v="-"/>
    <s v="-"/>
    <m/>
    <m/>
  </r>
  <r>
    <x v="0"/>
    <x v="1"/>
    <d v="2026-01-29T00:00:00"/>
    <d v="2026-01-29T00:00:00"/>
    <x v="33"/>
    <s v="MYR"/>
    <n v="-243204.39"/>
    <n v="0"/>
    <n v="-243204.39"/>
    <x v="126"/>
    <s v="OCBC USD"/>
    <s v="Internal Transfer 2026/01-03"/>
    <s v="Internal Transfer from USD to MYR "/>
    <x v="24"/>
    <x v="18"/>
    <x v="6"/>
    <x v="3"/>
    <s v="Cathfrine Low"/>
    <s v="Leon Chan"/>
    <s v="Cathfrine Low"/>
    <m/>
    <m/>
  </r>
  <r>
    <x v="0"/>
    <x v="1"/>
    <d v="2025-12-01T00:00:00"/>
    <d v="2025-12-07T00:00:00"/>
    <x v="5"/>
    <s v="MYR"/>
    <n v="5393"/>
    <n v="0"/>
    <n v="5393"/>
    <x v="127"/>
    <s v="Golden Dragon Technology Sdn Bhd"/>
    <s v="4698"/>
    <s v="Laptop Leasing payment for November 2025"/>
    <x v="13"/>
    <x v="11"/>
    <x v="5"/>
    <x v="0"/>
    <s v="Danny Kwok"/>
    <s v="Cathfrine"/>
    <s v="CK Beh"/>
    <m/>
    <m/>
  </r>
  <r>
    <x v="0"/>
    <x v="1"/>
    <d v="2026-12-20T00:00:00"/>
    <d v="2026-01-07T00:00:00"/>
    <x v="5"/>
    <s v="MYR"/>
    <n v="2700"/>
    <n v="0"/>
    <n v="2700"/>
    <x v="128"/>
    <s v="EasySpace Sdn Bhd"/>
    <s v="INV-80414"/>
    <s v="Office Rental for Penang January 2026"/>
    <x v="23"/>
    <x v="17"/>
    <x v="1"/>
    <x v="0"/>
    <s v="CK"/>
    <s v="Cathfrine"/>
    <s v="CK Beh"/>
    <m/>
    <m/>
  </r>
  <r>
    <x v="0"/>
    <x v="1"/>
    <d v="2026-01-01T00:00:00"/>
    <d v="2026-01-07T00:00:00"/>
    <x v="5"/>
    <s v="MYR"/>
    <n v="5764"/>
    <n v="0"/>
    <n v="5764"/>
    <x v="129"/>
    <s v="Golden Dragon Technology Sdn Bhd"/>
    <s v="4746"/>
    <s v="Laptop Leasing payment for December 2025"/>
    <x v="13"/>
    <x v="11"/>
    <x v="5"/>
    <x v="0"/>
    <s v="Danny Kwok"/>
    <s v="Cathfrine"/>
    <s v="CK Beh"/>
    <m/>
    <m/>
  </r>
  <r>
    <x v="0"/>
    <x v="1"/>
    <d v="2026-01-01T00:00:00"/>
    <d v="2026-01-08T00:00:00"/>
    <x v="5"/>
    <s v="MYR"/>
    <n v="3900"/>
    <n v="0"/>
    <n v="3900"/>
    <x v="130"/>
    <s v="H Space Petaling Jaya"/>
    <s v="IV-HSPJ-2601005"/>
    <s v="Office Rental for KL 7/1/2026 - 8 /2/2026"/>
    <x v="23"/>
    <x v="17"/>
    <x v="1"/>
    <x v="0"/>
    <s v="CK"/>
    <s v="Cathfrine"/>
    <s v="CK Beh"/>
    <m/>
    <m/>
  </r>
  <r>
    <x v="0"/>
    <x v="1"/>
    <d v="2025-12-25T00:00:00"/>
    <d v="2026-01-15T00:00:00"/>
    <x v="5"/>
    <s v="MYR"/>
    <n v="401.75"/>
    <n v="0"/>
    <n v="401.75"/>
    <x v="131"/>
    <s v="TM Technology Services Sdn Bhd "/>
    <s v="MY-C01754-020017569"/>
    <s v="Internet 25/12/2025 - 24/01/2026"/>
    <x v="26"/>
    <x v="19"/>
    <x v="1"/>
    <x v="0"/>
    <s v="CK"/>
    <s v="Cathfrine"/>
    <s v="CK Beh"/>
    <m/>
    <m/>
  </r>
  <r>
    <x v="0"/>
    <x v="1"/>
    <d v="2026-01-31T00:00:00"/>
    <d v="2026-01-31T00:00:00"/>
    <x v="5"/>
    <s v="MYR"/>
    <m/>
    <m/>
    <m/>
    <x v="132"/>
    <s v="MY Staff"/>
    <s v="Net Pay - January 2026"/>
    <s v="Net Pay - January 2026"/>
    <x v="17"/>
    <x v="8"/>
    <x v="4"/>
    <x v="2"/>
    <m/>
    <m/>
    <m/>
    <m/>
    <m/>
  </r>
  <r>
    <x v="0"/>
    <x v="1"/>
    <d v="2026-01-31T00:00:00"/>
    <d v="2026-01-31T00:00:00"/>
    <x v="5"/>
    <s v="MYR"/>
    <m/>
    <m/>
    <m/>
    <x v="133"/>
    <s v="MY Staff"/>
    <s v="Net Pay - January 2026"/>
    <s v="Net Pay - January 2026"/>
    <x v="17"/>
    <x v="8"/>
    <x v="9"/>
    <x v="4"/>
    <m/>
    <m/>
    <m/>
    <m/>
    <m/>
  </r>
  <r>
    <x v="0"/>
    <x v="1"/>
    <d v="2026-01-31T00:00:00"/>
    <d v="2026-01-31T00:00:00"/>
    <x v="5"/>
    <s v="MYR"/>
    <m/>
    <m/>
    <m/>
    <x v="134"/>
    <s v="MY Staff"/>
    <s v="Net Pay - January 2026"/>
    <s v="Net Pay - January 2026"/>
    <x v="17"/>
    <x v="8"/>
    <x v="10"/>
    <x v="1"/>
    <m/>
    <m/>
    <m/>
    <m/>
    <m/>
  </r>
  <r>
    <x v="0"/>
    <x v="1"/>
    <d v="2026-01-31T00:00:00"/>
    <d v="2026-01-31T00:00:00"/>
    <x v="5"/>
    <s v="MYR"/>
    <m/>
    <m/>
    <m/>
    <x v="135"/>
    <s v="MY Staff"/>
    <s v="Net Pay - January 2026"/>
    <s v="Net Pay - January 2026"/>
    <x v="17"/>
    <x v="8"/>
    <x v="0"/>
    <x v="0"/>
    <m/>
    <m/>
    <m/>
    <m/>
    <m/>
  </r>
  <r>
    <x v="0"/>
    <x v="1"/>
    <d v="2026-01-31T00:00:00"/>
    <d v="2026-01-31T00:00:00"/>
    <x v="5"/>
    <s v="MYR"/>
    <m/>
    <m/>
    <m/>
    <x v="136"/>
    <s v="MY Staff"/>
    <s v="Net Pay - January 2026"/>
    <s v="Net Pay - January 2026"/>
    <x v="17"/>
    <x v="8"/>
    <x v="3"/>
    <x v="0"/>
    <m/>
    <m/>
    <m/>
    <m/>
    <m/>
  </r>
  <r>
    <x v="0"/>
    <x v="1"/>
    <d v="2026-01-31T00:00:00"/>
    <d v="2026-01-31T00:00:00"/>
    <x v="5"/>
    <s v="MYR"/>
    <m/>
    <m/>
    <m/>
    <x v="137"/>
    <s v="MY Staff"/>
    <s v="Net Pay - January 2026"/>
    <s v="Net Pay - January 2026"/>
    <x v="17"/>
    <x v="8"/>
    <x v="8"/>
    <x v="2"/>
    <m/>
    <m/>
    <m/>
    <m/>
    <m/>
  </r>
  <r>
    <x v="0"/>
    <x v="1"/>
    <d v="2026-01-31T00:00:00"/>
    <d v="2026-01-31T00:00:00"/>
    <x v="6"/>
    <s v="MYR"/>
    <n v="23016"/>
    <n v="0"/>
    <n v="23016"/>
    <x v="138"/>
    <s v="Jabatan Kastam Diraja Malaysia"/>
    <s v="SST 2025/11-12"/>
    <s v="SST Payment for November and December 2025"/>
    <x v="32"/>
    <x v="23"/>
    <x v="0"/>
    <x v="0"/>
    <s v="CK Beh"/>
    <s v="Cathfrine"/>
    <s v="-"/>
    <m/>
    <m/>
  </r>
  <r>
    <x v="0"/>
    <x v="1"/>
    <d v="2026-01-31T00:00:00"/>
    <d v="2026-01-31T00:00:00"/>
    <x v="6"/>
    <s v="MYR"/>
    <n v="1.4"/>
    <n v="0"/>
    <n v="1.4"/>
    <x v="104"/>
    <s v="OCBC MYR"/>
    <s v="Bank Charges 31/01/2026"/>
    <s v="Bank Charges - Headcount Costs January 2026"/>
    <x v="0"/>
    <x v="0"/>
    <x v="0"/>
    <x v="0"/>
    <s v="Direct"/>
    <s v="-"/>
    <s v="-"/>
    <m/>
    <m/>
  </r>
  <r>
    <x v="0"/>
    <x v="1"/>
    <d v="2026-01-31T00:00:00"/>
    <d v="2026-01-31T00:00:00"/>
    <x v="6"/>
    <s v="MYR"/>
    <n v="-3.51"/>
    <n v="0"/>
    <n v="-3.51"/>
    <x v="139"/>
    <s v="OCBC MYR"/>
    <s v="Bank Interest 31/01/2026"/>
    <s v="Bank Charges - Bank Interest 31/01/2026"/>
    <x v="0"/>
    <x v="0"/>
    <x v="0"/>
    <x v="0"/>
    <s v="Direct"/>
    <s v="-"/>
    <s v="-"/>
    <m/>
    <m/>
  </r>
  <r>
    <x v="0"/>
    <x v="1"/>
    <d v="2026-01-31T00:00:00"/>
    <d v="2026-01-31T00:00:00"/>
    <x v="6"/>
    <s v="MYR"/>
    <n v="10"/>
    <n v="0"/>
    <n v="10"/>
    <x v="112"/>
    <s v="OCBC MYR"/>
    <s v="Bank Charges 31/01/2026"/>
    <s v="Bank Charges January 2026"/>
    <x v="0"/>
    <x v="0"/>
    <x v="0"/>
    <x v="0"/>
    <s v="Direct"/>
    <s v="-"/>
    <s v="-"/>
    <m/>
    <m/>
  </r>
  <r>
    <x v="0"/>
    <x v="1"/>
    <d v="2026-01-31T00:00:00"/>
    <d v="2026-01-31T00:00:00"/>
    <x v="7"/>
    <s v="MYR"/>
    <m/>
    <m/>
    <m/>
    <x v="140"/>
    <s v="MY Staff"/>
    <s v="Net Pay - January 2026"/>
    <s v="Net Pay - January 2026"/>
    <x v="17"/>
    <x v="8"/>
    <x v="4"/>
    <x v="2"/>
    <m/>
    <m/>
    <m/>
    <m/>
    <m/>
  </r>
  <r>
    <x v="0"/>
    <x v="1"/>
    <d v="2026-01-31T00:00:00"/>
    <d v="2026-01-31T00:00:00"/>
    <x v="7"/>
    <s v="MYR"/>
    <m/>
    <m/>
    <m/>
    <x v="141"/>
    <s v="MY Staff"/>
    <s v="Net Pay - January 2026"/>
    <s v="Net Pay - January 2026"/>
    <x v="17"/>
    <x v="8"/>
    <x v="9"/>
    <x v="4"/>
    <m/>
    <m/>
    <m/>
    <m/>
    <m/>
  </r>
  <r>
    <x v="0"/>
    <x v="1"/>
    <d v="2026-01-31T00:00:00"/>
    <d v="2026-01-31T00:00:00"/>
    <x v="7"/>
    <s v="MYR"/>
    <m/>
    <m/>
    <m/>
    <x v="142"/>
    <s v="MY Staff"/>
    <s v="Net Pay - January 2026"/>
    <s v="Net Pay - January 2026"/>
    <x v="17"/>
    <x v="8"/>
    <x v="10"/>
    <x v="1"/>
    <m/>
    <m/>
    <m/>
    <m/>
    <m/>
  </r>
  <r>
    <x v="0"/>
    <x v="1"/>
    <d v="2026-01-31T00:00:00"/>
    <d v="2026-01-31T00:00:00"/>
    <x v="7"/>
    <s v="MYR"/>
    <m/>
    <m/>
    <m/>
    <x v="143"/>
    <s v="MY Staff"/>
    <s v="Net Pay - January 2026"/>
    <s v="Net Pay - January 2026"/>
    <x v="17"/>
    <x v="8"/>
    <x v="0"/>
    <x v="0"/>
    <m/>
    <m/>
    <m/>
    <m/>
    <m/>
  </r>
  <r>
    <x v="0"/>
    <x v="1"/>
    <d v="2026-01-31T00:00:00"/>
    <d v="2026-01-31T00:00:00"/>
    <x v="7"/>
    <s v="MYR"/>
    <m/>
    <m/>
    <m/>
    <x v="144"/>
    <s v="MY Staff"/>
    <s v="Net Pay - January 2026"/>
    <s v="Net Pay - January 2026"/>
    <x v="17"/>
    <x v="8"/>
    <x v="3"/>
    <x v="0"/>
    <m/>
    <m/>
    <m/>
    <m/>
    <m/>
  </r>
  <r>
    <x v="0"/>
    <x v="1"/>
    <d v="2026-01-31T00:00:00"/>
    <d v="2026-01-31T00:00:00"/>
    <x v="7"/>
    <s v="MYR"/>
    <m/>
    <m/>
    <m/>
    <x v="145"/>
    <s v="MY Staff"/>
    <s v="Net Pay - January 2026"/>
    <s v="Net Pay - January 2026"/>
    <x v="17"/>
    <x v="8"/>
    <x v="8"/>
    <x v="2"/>
    <m/>
    <m/>
    <m/>
    <m/>
    <m/>
  </r>
  <r>
    <x v="0"/>
    <x v="1"/>
    <d v="2026-02-13T00:00:00"/>
    <d v="2026-02-13T00:00:00"/>
    <x v="34"/>
    <s v="MYR"/>
    <n v="2700"/>
    <n v="0"/>
    <n v="2700"/>
    <x v="146"/>
    <s v="EasySpace Sdn Bhd"/>
    <s v="INV-81017"/>
    <s v="Private Office (up to 6 pax - Private Office (Suite 805) Feb26"/>
    <x v="23"/>
    <x v="17"/>
    <x v="1"/>
    <x v="0"/>
    <m/>
    <m/>
    <m/>
    <m/>
    <m/>
  </r>
  <r>
    <x v="0"/>
    <x v="1"/>
    <d v="2026-01-31T00:00:00"/>
    <d v="2026-01-31T00:00:00"/>
    <x v="35"/>
    <s v="MYR"/>
    <m/>
    <m/>
    <m/>
    <x v="147"/>
    <s v="MY Staff"/>
    <s v="Net Pay - January 2026"/>
    <s v="Net Pay - January 2026"/>
    <x v="17"/>
    <x v="8"/>
    <x v="4"/>
    <x v="2"/>
    <m/>
    <m/>
    <m/>
    <m/>
    <m/>
  </r>
  <r>
    <x v="0"/>
    <x v="1"/>
    <d v="2026-01-31T00:00:00"/>
    <d v="2026-01-31T00:00:00"/>
    <x v="35"/>
    <s v="MYR"/>
    <m/>
    <m/>
    <m/>
    <x v="148"/>
    <s v="MY Staff"/>
    <s v="Statutory Contribution - January 2026"/>
    <s v="Statutory Contribution - January 2026"/>
    <x v="10"/>
    <x v="8"/>
    <x v="4"/>
    <x v="2"/>
    <m/>
    <m/>
    <m/>
    <m/>
    <m/>
  </r>
  <r>
    <x v="0"/>
    <x v="1"/>
    <d v="2026-01-31T00:00:00"/>
    <d v="2026-01-31T00:00:00"/>
    <x v="35"/>
    <s v="MYR"/>
    <m/>
    <m/>
    <m/>
    <x v="149"/>
    <s v="MY Staff"/>
    <s v="Net Pay - January 2026"/>
    <s v="Net Pay - January 2026"/>
    <x v="17"/>
    <x v="8"/>
    <x v="10"/>
    <x v="1"/>
    <m/>
    <m/>
    <m/>
    <m/>
    <m/>
  </r>
  <r>
    <x v="0"/>
    <x v="1"/>
    <d v="2026-01-31T00:00:00"/>
    <d v="2026-01-31T00:00:00"/>
    <x v="35"/>
    <s v="MYR"/>
    <m/>
    <m/>
    <m/>
    <x v="150"/>
    <s v="MY Staff"/>
    <s v="Net Pay - January 2026"/>
    <s v="Net Pay - January 2026"/>
    <x v="17"/>
    <x v="8"/>
    <x v="9"/>
    <x v="4"/>
    <m/>
    <m/>
    <m/>
    <m/>
    <m/>
  </r>
  <r>
    <x v="0"/>
    <x v="1"/>
    <d v="2026-01-31T00:00:00"/>
    <d v="2026-01-31T00:00:00"/>
    <x v="35"/>
    <s v="MYR"/>
    <m/>
    <m/>
    <m/>
    <x v="151"/>
    <s v="MY Staff"/>
    <s v="Statutory Contribution - January 2026"/>
    <s v="Statutory Contribution - January 2026"/>
    <x v="10"/>
    <x v="8"/>
    <x v="10"/>
    <x v="1"/>
    <m/>
    <m/>
    <m/>
    <m/>
    <m/>
  </r>
  <r>
    <x v="0"/>
    <x v="1"/>
    <d v="2026-01-31T00:00:00"/>
    <d v="2026-01-31T00:00:00"/>
    <x v="35"/>
    <s v="MYR"/>
    <m/>
    <m/>
    <m/>
    <x v="152"/>
    <s v="MY Staff"/>
    <s v="Statutory Contribution - January 2026"/>
    <s v="Statutory Contribution - January 2026"/>
    <x v="10"/>
    <x v="8"/>
    <x v="9"/>
    <x v="4"/>
    <m/>
    <m/>
    <m/>
    <m/>
    <m/>
  </r>
  <r>
    <x v="0"/>
    <x v="1"/>
    <d v="2026-01-31T00:00:00"/>
    <d v="2026-01-31T00:00:00"/>
    <x v="35"/>
    <s v="MYR"/>
    <m/>
    <m/>
    <m/>
    <x v="153"/>
    <s v="MY Staff"/>
    <s v="Net Pay - January 2026"/>
    <s v="Net Pay - January 2026"/>
    <x v="17"/>
    <x v="8"/>
    <x v="0"/>
    <x v="0"/>
    <m/>
    <m/>
    <m/>
    <m/>
    <m/>
  </r>
  <r>
    <x v="0"/>
    <x v="1"/>
    <d v="2026-01-31T00:00:00"/>
    <d v="2026-01-31T00:00:00"/>
    <x v="35"/>
    <s v="MYR"/>
    <m/>
    <m/>
    <m/>
    <x v="154"/>
    <s v="MY Staff"/>
    <s v="Statutory Contribution - January 2026"/>
    <s v="Statutory Contribution - January 2026"/>
    <x v="10"/>
    <x v="8"/>
    <x v="0"/>
    <x v="0"/>
    <m/>
    <m/>
    <m/>
    <m/>
    <m/>
  </r>
  <r>
    <x v="0"/>
    <x v="1"/>
    <d v="2026-01-31T00:00:00"/>
    <d v="2026-01-31T00:00:00"/>
    <x v="35"/>
    <s v="MYR"/>
    <m/>
    <m/>
    <m/>
    <x v="155"/>
    <s v="MY Staff"/>
    <s v="Net Pay - January 2026"/>
    <s v="Net Pay - January 2026"/>
    <x v="17"/>
    <x v="8"/>
    <x v="3"/>
    <x v="0"/>
    <m/>
    <m/>
    <m/>
    <m/>
    <m/>
  </r>
  <r>
    <x v="0"/>
    <x v="1"/>
    <d v="2026-01-31T00:00:00"/>
    <d v="2026-01-31T00:00:00"/>
    <x v="35"/>
    <s v="MYR"/>
    <m/>
    <m/>
    <m/>
    <x v="156"/>
    <s v="MY Staff"/>
    <s v="Statutory Contribution - January 2026"/>
    <s v="Statutory Contribution - January 2026"/>
    <x v="10"/>
    <x v="8"/>
    <x v="3"/>
    <x v="0"/>
    <m/>
    <m/>
    <m/>
    <m/>
    <m/>
  </r>
  <r>
    <x v="0"/>
    <x v="1"/>
    <d v="2026-01-31T00:00:00"/>
    <d v="2026-01-31T00:00:00"/>
    <x v="35"/>
    <s v="MYR"/>
    <m/>
    <m/>
    <m/>
    <x v="157"/>
    <s v="MY Staff"/>
    <s v="Net Pay - January 2026"/>
    <s v="Net Pay - January 2026"/>
    <x v="17"/>
    <x v="8"/>
    <x v="8"/>
    <x v="2"/>
    <m/>
    <m/>
    <m/>
    <m/>
    <m/>
  </r>
  <r>
    <x v="0"/>
    <x v="1"/>
    <d v="2026-01-31T00:00:00"/>
    <d v="2026-01-31T00:00:00"/>
    <x v="35"/>
    <s v="MYR"/>
    <m/>
    <m/>
    <m/>
    <x v="158"/>
    <s v="MY Staff"/>
    <s v="Statutory Contribution - January 2026"/>
    <s v="Statutory Contribution - January 2026"/>
    <x v="10"/>
    <x v="8"/>
    <x v="8"/>
    <x v="2"/>
    <m/>
    <m/>
    <m/>
    <m/>
    <m/>
  </r>
  <r>
    <x v="0"/>
    <x v="1"/>
    <d v="2026-02-12T00:00:00"/>
    <d v="2026-02-12T00:00:00"/>
    <x v="35"/>
    <s v="MYR"/>
    <n v="16837"/>
    <n v="0"/>
    <n v="16837"/>
    <x v="159"/>
    <s v="LHDN"/>
    <s v="2026/01"/>
    <s v="Tax Instalment 2026/01"/>
    <x v="33"/>
    <x v="24"/>
    <x v="1"/>
    <x v="0"/>
    <m/>
    <m/>
    <m/>
    <m/>
    <m/>
  </r>
  <r>
    <x v="0"/>
    <x v="1"/>
    <d v="2026-02-13T00:00:00"/>
    <d v="2026-01-16T00:00:00"/>
    <x v="8"/>
    <s v="MYR"/>
    <n v="-1000000"/>
    <n v="0"/>
    <n v="-1000000"/>
    <x v="160"/>
    <s v="DAI-ICHI JITSUGYO(MALAYSIA) SDN. BHD."/>
    <s v="INV 2512002"/>
    <s v="Phase 2 - 60% payment milestone upon Hardware Delivery, Installation of License and MES Integration Test"/>
    <x v="15"/>
    <x v="13"/>
    <x v="8"/>
    <x v="2"/>
    <m/>
    <m/>
    <m/>
    <m/>
    <m/>
  </r>
  <r>
    <x v="0"/>
    <x v="1"/>
    <d v="2026-02-13T00:00:00"/>
    <d v="2026-01-16T00:00:00"/>
    <x v="8"/>
    <s v="MYR"/>
    <n v="-883220"/>
    <n v="0"/>
    <n v="-883220"/>
    <x v="161"/>
    <s v="DAI-ICHI JITSUGYO(MALAYSIA) SDN. BHD."/>
    <s v="INV 2512002"/>
    <s v="Phase 2 - 60% payment milestone upon Hardware Delivery, Installation of License and MES Integration Test"/>
    <x v="15"/>
    <x v="13"/>
    <x v="8"/>
    <x v="2"/>
    <m/>
    <m/>
    <m/>
    <m/>
    <m/>
  </r>
  <r>
    <x v="0"/>
    <x v="1"/>
    <d v="2026-02-13T00:00:00"/>
    <d v="2026-01-19T00:00:00"/>
    <x v="8"/>
    <s v="MYR"/>
    <n v="32030.639999999999"/>
    <n v="0"/>
    <n v="32030.639999999999"/>
    <x v="162"/>
    <s v="Allianz Life Insurance Malaysia Berhad"/>
    <s v="ENQ11128-0"/>
    <s v="Allianz Elite - Group hospitalization &amp; surgical 23Dec25 to 22Dec26"/>
    <x v="4"/>
    <x v="4"/>
    <x v="3"/>
    <x v="0"/>
    <m/>
    <m/>
    <m/>
    <m/>
    <m/>
  </r>
  <r>
    <x v="0"/>
    <x v="1"/>
    <d v="2026-02-13T00:00:00"/>
    <d v="2026-01-19T00:00:00"/>
    <x v="8"/>
    <s v="MYR"/>
    <n v="10"/>
    <n v="0"/>
    <n v="10"/>
    <x v="163"/>
    <s v="Allianz Life Insurance Malaysia Berhad"/>
    <s v="ENQ11128-0"/>
    <s v="Stamp duty - Alliance insurance"/>
    <x v="30"/>
    <x v="22"/>
    <x v="3"/>
    <x v="0"/>
    <m/>
    <m/>
    <m/>
    <m/>
    <m/>
  </r>
  <r>
    <x v="0"/>
    <x v="1"/>
    <d v="2026-02-13T00:00:00"/>
    <d v="2026-01-30T00:00:00"/>
    <x v="8"/>
    <s v="MYR"/>
    <n v="11666.05"/>
    <n v="0"/>
    <n v="11666.05"/>
    <x v="164"/>
    <s v="Mednefits Sdn Bhd "/>
    <s v="MY-C01754-020017569"/>
    <s v="Mednefits Postpaid Card (01/12/2025 to 31/12/2025)"/>
    <x v="28"/>
    <x v="21"/>
    <x v="3"/>
    <x v="0"/>
    <m/>
    <m/>
    <m/>
    <m/>
    <m/>
  </r>
  <r>
    <x v="0"/>
    <x v="1"/>
    <d v="2026-02-13T00:00:00"/>
    <d v="2026-02-08T00:00:00"/>
    <x v="8"/>
    <s v="MYR"/>
    <n v="3900"/>
    <n v="0"/>
    <n v="3900"/>
    <x v="165"/>
    <s v="H Space Petaling Jaya Sdn. Bhd."/>
    <s v="IV-HSPJ-2602006"/>
    <s v="Private Room- Bandar Utama BU- Private Room : 7 February- 8 March 2026"/>
    <x v="23"/>
    <x v="17"/>
    <x v="1"/>
    <x v="0"/>
    <m/>
    <m/>
    <m/>
    <m/>
    <m/>
  </r>
  <r>
    <x v="0"/>
    <x v="1"/>
    <d v="2026-02-13T00:00:00"/>
    <d v="2026-02-13T00:00:00"/>
    <x v="8"/>
    <s v="MYR"/>
    <n v="1000"/>
    <n v="0"/>
    <n v="1000"/>
    <x v="166"/>
    <s v="Howe Xin Yu"/>
    <m/>
    <s v="Deposit Nominee Director"/>
    <x v="11"/>
    <x v="9"/>
    <x v="11"/>
    <x v="0"/>
    <m/>
    <m/>
    <m/>
    <m/>
    <m/>
  </r>
  <r>
    <x v="0"/>
    <x v="1"/>
    <d v="2026-02-13T00:00:00"/>
    <d v="2026-02-13T00:00:00"/>
    <x v="8"/>
    <s v="MYR"/>
    <n v="0.6"/>
    <n v="0"/>
    <n v="0.6"/>
    <x v="167"/>
    <s v="OCBC MYR"/>
    <s v="Bank Charges 13/02/2026"/>
    <s v="Bank Charges"/>
    <x v="0"/>
    <x v="0"/>
    <x v="0"/>
    <x v="0"/>
    <m/>
    <m/>
    <m/>
    <m/>
    <m/>
  </r>
  <r>
    <x v="0"/>
    <x v="1"/>
    <d v="2026-02-13T00:00:00"/>
    <d v="2026-02-13T00:00:00"/>
    <x v="8"/>
    <s v="MYR"/>
    <n v="0.5"/>
    <n v="0"/>
    <n v="0.5"/>
    <x v="168"/>
    <s v="OCBC MYR"/>
    <s v="Bank Charges 13/02/2026"/>
    <s v="Bank Charges"/>
    <x v="0"/>
    <x v="0"/>
    <x v="0"/>
    <x v="0"/>
    <m/>
    <m/>
    <m/>
    <m/>
    <m/>
  </r>
  <r>
    <x v="0"/>
    <x v="1"/>
    <d v="2026-02-13T00:00:00"/>
    <d v="2026-02-13T00:00:00"/>
    <x v="8"/>
    <s v="MYR"/>
    <n v="0.5"/>
    <n v="0"/>
    <n v="0.5"/>
    <x v="168"/>
    <s v="OCBC MYR"/>
    <s v="Bank Charges 13/02/2026"/>
    <s v="Bank Charges"/>
    <x v="0"/>
    <x v="0"/>
    <x v="0"/>
    <x v="0"/>
    <m/>
    <m/>
    <m/>
    <m/>
    <m/>
  </r>
  <r>
    <x v="0"/>
    <x v="1"/>
    <d v="2026-02-13T00:00:00"/>
    <d v="2026-02-13T00:00:00"/>
    <x v="8"/>
    <s v="MYR"/>
    <n v="690"/>
    <n v="0"/>
    <n v="690"/>
    <x v="169"/>
    <s v="Staff Claim Jan26"/>
    <s v="Staff Claim Jan26"/>
    <s v="Total Accommodation - National"/>
    <x v="1"/>
    <x v="1"/>
    <x v="8"/>
    <x v="2"/>
    <m/>
    <m/>
    <m/>
    <m/>
    <m/>
  </r>
  <r>
    <x v="0"/>
    <x v="1"/>
    <d v="2026-02-13T00:00:00"/>
    <d v="2026-02-13T00:00:00"/>
    <x v="8"/>
    <s v="MYR"/>
    <n v="1465.25"/>
    <n v="0"/>
    <n v="1465.25"/>
    <x v="170"/>
    <s v="Staff Claim Jan26"/>
    <s v="Staff Claim Jan26"/>
    <s v="Total Business Meals - National"/>
    <x v="34"/>
    <x v="25"/>
    <x v="8"/>
    <x v="2"/>
    <m/>
    <m/>
    <m/>
    <m/>
    <m/>
  </r>
  <r>
    <x v="0"/>
    <x v="1"/>
    <d v="2026-02-13T00:00:00"/>
    <d v="2026-02-13T00:00:00"/>
    <x v="8"/>
    <s v="MYR"/>
    <n v="834.55000000000018"/>
    <n v="0"/>
    <n v="834.55000000000018"/>
    <x v="171"/>
    <s v="Staff Claim Jan26"/>
    <s v="Staff Claim Jan26"/>
    <s v="Total Business Meals - National"/>
    <x v="34"/>
    <x v="25"/>
    <x v="9"/>
    <x v="4"/>
    <m/>
    <m/>
    <m/>
    <m/>
    <m/>
  </r>
  <r>
    <x v="0"/>
    <x v="1"/>
    <d v="2026-02-13T00:00:00"/>
    <d v="2026-02-13T00:00:00"/>
    <x v="8"/>
    <s v="MYR"/>
    <n v="135"/>
    <n v="0"/>
    <n v="135"/>
    <x v="172"/>
    <s v="Staff Claim Jan26"/>
    <s v="Staff Claim Jan26"/>
    <s v="Total Personal Meals - National"/>
    <x v="22"/>
    <x v="1"/>
    <x v="8"/>
    <x v="2"/>
    <m/>
    <m/>
    <m/>
    <m/>
    <m/>
  </r>
  <r>
    <x v="0"/>
    <x v="1"/>
    <d v="2026-02-13T00:00:00"/>
    <d v="2026-02-13T00:00:00"/>
    <x v="8"/>
    <s v="MYR"/>
    <n v="700"/>
    <n v="0"/>
    <n v="700"/>
    <x v="173"/>
    <s v="Staff Claim Jan26"/>
    <s v="Staff Claim Jan26"/>
    <s v="Total Staff Welfare - Gift &amp; Tokens"/>
    <x v="20"/>
    <x v="4"/>
    <x v="3"/>
    <x v="0"/>
    <m/>
    <m/>
    <m/>
    <m/>
    <m/>
  </r>
  <r>
    <x v="0"/>
    <x v="1"/>
    <d v="2026-02-13T00:00:00"/>
    <d v="2026-02-13T00:00:00"/>
    <x v="8"/>
    <s v="MYR"/>
    <n v="79"/>
    <n v="0"/>
    <n v="79"/>
    <x v="174"/>
    <s v="Staff Claim Jan26"/>
    <s v="Staff Claim Jan26"/>
    <s v="Total Telecommunication"/>
    <x v="9"/>
    <x v="7"/>
    <x v="9"/>
    <x v="4"/>
    <m/>
    <m/>
    <m/>
    <m/>
    <m/>
  </r>
  <r>
    <x v="0"/>
    <x v="1"/>
    <d v="2026-02-13T00:00:00"/>
    <d v="2026-02-13T00:00:00"/>
    <x v="8"/>
    <s v="MYR"/>
    <n v="24.63"/>
    <n v="0"/>
    <n v="24.63"/>
    <x v="175"/>
    <s v="Staff Claim Jan26"/>
    <s v="Staff Claim Jan26"/>
    <s v="Total Transportation fee - International"/>
    <x v="6"/>
    <x v="1"/>
    <x v="9"/>
    <x v="4"/>
    <m/>
    <m/>
    <m/>
    <m/>
    <m/>
  </r>
  <r>
    <x v="0"/>
    <x v="1"/>
    <d v="2026-02-13T00:00:00"/>
    <d v="2026-02-13T00:00:00"/>
    <x v="8"/>
    <s v="MYR"/>
    <n v="1891.31"/>
    <n v="0"/>
    <n v="1891.31"/>
    <x v="176"/>
    <s v="Staff Claim Jan26"/>
    <s v="Staff Claim Jan26"/>
    <s v="Total Transportation fee - International"/>
    <x v="6"/>
    <x v="1"/>
    <x v="0"/>
    <x v="0"/>
    <m/>
    <m/>
    <m/>
    <m/>
    <m/>
  </r>
  <r>
    <x v="0"/>
    <x v="1"/>
    <d v="2026-02-13T00:00:00"/>
    <d v="2026-02-13T00:00:00"/>
    <x v="8"/>
    <s v="MYR"/>
    <n v="485.1"/>
    <n v="0"/>
    <n v="485.1"/>
    <x v="177"/>
    <s v="Staff Claim Jan26"/>
    <s v="Staff Claim Jan26"/>
    <s v="Total Transportation fee - National"/>
    <x v="7"/>
    <x v="1"/>
    <x v="8"/>
    <x v="2"/>
    <m/>
    <m/>
    <m/>
    <m/>
    <m/>
  </r>
  <r>
    <x v="0"/>
    <x v="1"/>
    <d v="2026-02-13T00:00:00"/>
    <d v="2026-02-13T00:00:00"/>
    <x v="8"/>
    <s v="MYR"/>
    <n v="659.08"/>
    <n v="0"/>
    <n v="659.08"/>
    <x v="178"/>
    <s v="Staff Claim Jan26"/>
    <s v="Staff Claim Jan26"/>
    <s v="Total Transportation fee - National"/>
    <x v="7"/>
    <x v="1"/>
    <x v="9"/>
    <x v="4"/>
    <m/>
    <m/>
    <m/>
    <m/>
    <m/>
  </r>
  <r>
    <x v="0"/>
    <x v="1"/>
    <d v="2026-02-13T00:00:00"/>
    <d v="2026-02-13T00:00:00"/>
    <x v="8"/>
    <s v="MYR"/>
    <n v="313.62"/>
    <n v="0"/>
    <n v="313.62"/>
    <x v="179"/>
    <s v="Staff Claim Jan26"/>
    <s v="Staff Claim Jan26"/>
    <s v="Total Transportation fee - National"/>
    <x v="7"/>
    <x v="1"/>
    <x v="0"/>
    <x v="0"/>
    <m/>
    <m/>
    <m/>
    <m/>
    <m/>
  </r>
  <r>
    <x v="0"/>
    <x v="1"/>
    <d v="2026-02-24T00:00:00"/>
    <d v="2026-02-24T00:00:00"/>
    <x v="36"/>
    <s v="MYR"/>
    <n v="749374.2"/>
    <n v="0"/>
    <n v="749374.2"/>
    <x v="180"/>
    <s v="OCBC USD"/>
    <s v="Internal Transfer"/>
    <s v="Internal Transfer from USD to MYR "/>
    <x v="24"/>
    <x v="18"/>
    <x v="0"/>
    <x v="0"/>
    <m/>
    <m/>
    <m/>
    <m/>
    <m/>
  </r>
  <r>
    <x v="0"/>
    <x v="1"/>
    <d v="2026-02-25T00:00:00"/>
    <d v="2026-02-25T00:00:00"/>
    <x v="37"/>
    <s v="MYR"/>
    <n v="40"/>
    <n v="0"/>
    <n v="40"/>
    <x v="181"/>
    <s v="OCBC MYR"/>
    <s v="Bank Charges 25/02/2026"/>
    <s v="Bank Charges"/>
    <x v="0"/>
    <x v="0"/>
    <x v="0"/>
    <x v="0"/>
    <m/>
    <m/>
    <m/>
    <m/>
    <m/>
  </r>
  <r>
    <x v="0"/>
    <x v="1"/>
    <d v="2026-02-25T00:00:00"/>
    <d v="2026-02-25T00:00:00"/>
    <x v="37"/>
    <s v="MYR"/>
    <n v="3.2"/>
    <n v="0"/>
    <n v="3.2"/>
    <x v="182"/>
    <s v="OCBC MYR"/>
    <s v="Bank Charges 25/02/2026"/>
    <s v="Bank Charges"/>
    <x v="0"/>
    <x v="0"/>
    <x v="0"/>
    <x v="0"/>
    <m/>
    <m/>
    <m/>
    <m/>
    <m/>
  </r>
  <r>
    <x v="0"/>
    <x v="1"/>
    <d v="2026-02-27T00:00:00"/>
    <d v="2026-02-27T00:00:00"/>
    <x v="10"/>
    <s v="MYR"/>
    <n v="2700"/>
    <n v="0"/>
    <n v="2700"/>
    <x v="146"/>
    <s v="EasySpace Sdn Bhd"/>
    <s v="INV-81048"/>
    <s v="Office Rental - Suite 805 Mar26"/>
    <x v="23"/>
    <x v="17"/>
    <x v="1"/>
    <x v="0"/>
    <m/>
    <m/>
    <m/>
    <m/>
    <m/>
  </r>
  <r>
    <x v="0"/>
    <x v="1"/>
    <d v="2026-02-27T00:00:00"/>
    <d v="2026-02-27T00:00:00"/>
    <x v="10"/>
    <s v="MYR"/>
    <n v="5764"/>
    <n v="0"/>
    <n v="5764"/>
    <x v="183"/>
    <s v="Golden Dragon Technology Sdn. Bhd."/>
    <s v="4878"/>
    <s v="Lease liability - Mar26"/>
    <x v="13"/>
    <x v="26"/>
    <x v="5"/>
    <x v="0"/>
    <m/>
    <m/>
    <m/>
    <m/>
    <m/>
  </r>
  <r>
    <x v="0"/>
    <x v="1"/>
    <d v="2026-02-27T00:00:00"/>
    <d v="2026-02-27T00:00:00"/>
    <x v="10"/>
    <s v="MYR"/>
    <n v="0.5"/>
    <n v="0"/>
    <n v="0.5"/>
    <x v="168"/>
    <s v="OCBC MYR"/>
    <s v="Bank Charges 27/02/2026"/>
    <s v="Bank Charges"/>
    <x v="0"/>
    <x v="0"/>
    <x v="0"/>
    <x v="0"/>
    <m/>
    <m/>
    <m/>
    <m/>
    <m/>
  </r>
  <r>
    <x v="0"/>
    <x v="1"/>
    <d v="2026-02-27T00:00:00"/>
    <d v="2026-02-27T00:00:00"/>
    <x v="10"/>
    <s v="MYR"/>
    <n v="0.5"/>
    <n v="0"/>
    <n v="0.5"/>
    <x v="168"/>
    <s v="OCBC MYR"/>
    <s v="Bank Charges 27/02/2026"/>
    <s v="Bank Charges"/>
    <x v="0"/>
    <x v="0"/>
    <x v="0"/>
    <x v="0"/>
    <m/>
    <m/>
    <m/>
    <m/>
    <m/>
  </r>
  <r>
    <x v="0"/>
    <x v="1"/>
    <d v="2026-02-27T00:00:00"/>
    <d v="2026-02-27T00:00:00"/>
    <x v="10"/>
    <s v="MYR"/>
    <n v="0.5"/>
    <n v="0"/>
    <n v="0.5"/>
    <x v="168"/>
    <s v="OCBC MYR"/>
    <s v="Bank Charges 27/02/2026"/>
    <s v="Bank Charges"/>
    <x v="0"/>
    <x v="0"/>
    <x v="0"/>
    <x v="0"/>
    <m/>
    <m/>
    <m/>
    <m/>
    <m/>
  </r>
  <r>
    <x v="0"/>
    <x v="1"/>
    <d v="2026-02-27T00:00:00"/>
    <d v="2026-02-27T00:00:00"/>
    <x v="10"/>
    <s v="MYR"/>
    <n v="0.5"/>
    <n v="0"/>
    <n v="0.5"/>
    <x v="168"/>
    <s v="OCBC MYR"/>
    <s v="Bank Charges 27/02/2026"/>
    <s v="Bank Charges"/>
    <x v="0"/>
    <x v="0"/>
    <x v="0"/>
    <x v="0"/>
    <m/>
    <m/>
    <m/>
    <m/>
    <m/>
  </r>
  <r>
    <x v="0"/>
    <x v="1"/>
    <d v="2026-02-27T00:00:00"/>
    <d v="2026-02-27T00:00:00"/>
    <x v="10"/>
    <s v="MYR"/>
    <n v="0.5"/>
    <n v="0"/>
    <n v="0.5"/>
    <x v="168"/>
    <s v="OCBC MYR"/>
    <s v="Bank Charges 27/02/2026"/>
    <s v="Bank Charges"/>
    <x v="0"/>
    <x v="0"/>
    <x v="0"/>
    <x v="0"/>
    <m/>
    <m/>
    <m/>
    <m/>
    <m/>
  </r>
  <r>
    <x v="0"/>
    <x v="1"/>
    <d v="2026-02-27T00:00:00"/>
    <d v="2026-02-27T00:00:00"/>
    <x v="10"/>
    <s v="MYR"/>
    <n v="0.5"/>
    <n v="0"/>
    <n v="0.5"/>
    <x v="168"/>
    <s v="OCBC MYR"/>
    <s v="Bank Charges 27/02/2026"/>
    <s v="Bank Charges"/>
    <x v="0"/>
    <x v="0"/>
    <x v="0"/>
    <x v="0"/>
    <m/>
    <m/>
    <m/>
    <m/>
    <m/>
  </r>
  <r>
    <x v="0"/>
    <x v="1"/>
    <d v="2026-02-27T00:00:00"/>
    <d v="2026-02-27T00:00:00"/>
    <x v="10"/>
    <s v="MYR"/>
    <n v="0.5"/>
    <n v="0"/>
    <n v="0.5"/>
    <x v="168"/>
    <s v="OCBC MYR"/>
    <s v="Bank Charges 27/02/2026"/>
    <s v="Bank Charges"/>
    <x v="0"/>
    <x v="0"/>
    <x v="0"/>
    <x v="0"/>
    <m/>
    <m/>
    <m/>
    <m/>
    <m/>
  </r>
  <r>
    <x v="0"/>
    <x v="1"/>
    <d v="2026-02-27T00:00:00"/>
    <d v="2026-02-27T00:00:00"/>
    <x v="10"/>
    <s v="MYR"/>
    <n v="0.5"/>
    <n v="0"/>
    <n v="0.5"/>
    <x v="168"/>
    <s v="OCBC MYR"/>
    <s v="Bank Charges 27/02/2026"/>
    <s v="Bank Charges"/>
    <x v="0"/>
    <x v="0"/>
    <x v="0"/>
    <x v="0"/>
    <m/>
    <m/>
    <m/>
    <m/>
    <m/>
  </r>
  <r>
    <x v="0"/>
    <x v="1"/>
    <d v="2026-02-27T00:00:00"/>
    <d v="2026-02-27T00:00:00"/>
    <x v="10"/>
    <s v="MYR"/>
    <n v="0.5"/>
    <n v="0"/>
    <n v="0.5"/>
    <x v="168"/>
    <s v="OCBC MYR"/>
    <s v="Bank Charges 27/02/2026"/>
    <s v="Bank Charges"/>
    <x v="0"/>
    <x v="0"/>
    <x v="0"/>
    <x v="0"/>
    <m/>
    <m/>
    <m/>
    <m/>
    <m/>
  </r>
  <r>
    <x v="0"/>
    <x v="1"/>
    <d v="2026-02-27T00:00:00"/>
    <d v="2026-02-27T00:00:00"/>
    <x v="10"/>
    <s v="MYR"/>
    <n v="0.5"/>
    <n v="0"/>
    <n v="0.5"/>
    <x v="168"/>
    <s v="OCBC MYR"/>
    <s v="Bank Charges 27/02/2026"/>
    <s v="Bank Charges"/>
    <x v="0"/>
    <x v="0"/>
    <x v="0"/>
    <x v="0"/>
    <m/>
    <m/>
    <m/>
    <m/>
    <m/>
  </r>
  <r>
    <x v="0"/>
    <x v="1"/>
    <d v="2026-02-27T00:00:00"/>
    <d v="2026-02-27T00:00:00"/>
    <x v="10"/>
    <s v="MYR"/>
    <n v="0.5"/>
    <n v="0"/>
    <n v="0.5"/>
    <x v="168"/>
    <s v="OCBC MYR"/>
    <s v="Bank Charges 27/02/2026"/>
    <s v="Bank Charges"/>
    <x v="0"/>
    <x v="0"/>
    <x v="0"/>
    <x v="0"/>
    <m/>
    <m/>
    <m/>
    <m/>
    <m/>
  </r>
  <r>
    <x v="0"/>
    <x v="1"/>
    <d v="2026-02-27T00:00:00"/>
    <d v="2026-02-27T00:00:00"/>
    <x v="10"/>
    <s v="MYR"/>
    <n v="0.5"/>
    <n v="0"/>
    <n v="0.5"/>
    <x v="168"/>
    <s v="OCBC MYR"/>
    <s v="Bank Charges 27/02/2026"/>
    <s v="Bank Charges"/>
    <x v="0"/>
    <x v="0"/>
    <x v="0"/>
    <x v="0"/>
    <m/>
    <m/>
    <m/>
    <m/>
    <m/>
  </r>
  <r>
    <x v="0"/>
    <x v="1"/>
    <d v="2026-02-28T00:00:00"/>
    <d v="2026-02-28T00:00:00"/>
    <x v="10"/>
    <s v="MYR"/>
    <m/>
    <m/>
    <m/>
    <x v="184"/>
    <s v="MY Staff"/>
    <s v="Net Pay - February 2026"/>
    <s v="Net Pay - February 2026"/>
    <x v="17"/>
    <x v="8"/>
    <x v="4"/>
    <x v="2"/>
    <m/>
    <m/>
    <m/>
    <m/>
    <m/>
  </r>
  <r>
    <x v="0"/>
    <x v="1"/>
    <d v="2026-02-28T00:00:00"/>
    <d v="2026-02-28T00:00:00"/>
    <x v="10"/>
    <s v="MYR"/>
    <m/>
    <m/>
    <m/>
    <x v="185"/>
    <s v="MY Staff"/>
    <s v="Net Pay - February 2026"/>
    <s v="Net Pay - February 2026"/>
    <x v="17"/>
    <x v="8"/>
    <x v="9"/>
    <x v="4"/>
    <m/>
    <m/>
    <m/>
    <m/>
    <m/>
  </r>
  <r>
    <x v="0"/>
    <x v="1"/>
    <d v="2026-02-28T00:00:00"/>
    <d v="2026-02-28T00:00:00"/>
    <x v="10"/>
    <s v="MYR"/>
    <m/>
    <m/>
    <m/>
    <x v="186"/>
    <s v="MY Staff"/>
    <s v="Salaries &amp; Wages"/>
    <s v="Salaries &amp; Wages"/>
    <x v="17"/>
    <x v="8"/>
    <x v="10"/>
    <x v="1"/>
    <m/>
    <m/>
    <m/>
    <m/>
    <m/>
  </r>
  <r>
    <x v="0"/>
    <x v="1"/>
    <d v="2026-02-28T00:00:00"/>
    <d v="2026-02-28T00:00:00"/>
    <x v="10"/>
    <s v="MYR"/>
    <m/>
    <m/>
    <m/>
    <x v="187"/>
    <s v="MY Staff"/>
    <s v="Net Pay - February 2026"/>
    <s v="Net Pay - February 2026"/>
    <x v="17"/>
    <x v="8"/>
    <x v="0"/>
    <x v="0"/>
    <m/>
    <m/>
    <m/>
    <m/>
    <m/>
  </r>
  <r>
    <x v="0"/>
    <x v="1"/>
    <d v="2026-02-28T00:00:00"/>
    <d v="2026-02-28T00:00:00"/>
    <x v="10"/>
    <s v="MYR"/>
    <m/>
    <m/>
    <m/>
    <x v="188"/>
    <s v="MY Staff"/>
    <s v="Net Pay - February 2026"/>
    <s v="Net Pay - February 2026"/>
    <x v="17"/>
    <x v="8"/>
    <x v="3"/>
    <x v="0"/>
    <m/>
    <m/>
    <m/>
    <m/>
    <m/>
  </r>
  <r>
    <x v="0"/>
    <x v="1"/>
    <d v="2026-02-28T00:00:00"/>
    <d v="2026-02-28T00:00:00"/>
    <x v="10"/>
    <s v="MYR"/>
    <m/>
    <m/>
    <m/>
    <x v="189"/>
    <s v="MY Staff"/>
    <s v="Net Pay - February 2026"/>
    <s v="Net Pay - February 2026"/>
    <x v="17"/>
    <x v="8"/>
    <x v="8"/>
    <x v="2"/>
    <m/>
    <m/>
    <m/>
    <m/>
    <m/>
  </r>
  <r>
    <x v="0"/>
    <x v="1"/>
    <d v="2026-02-27T00:00:00"/>
    <d v="2026-03-02T00:00:00"/>
    <x v="10"/>
    <s v="MYR"/>
    <n v="783.07"/>
    <n v="0"/>
    <n v="783.07"/>
    <x v="190"/>
    <s v="Mednefits Sdn Bhd"/>
    <s v="MY-C01754-020018124"/>
    <s v="MEDNEFITS POSTPAID CARD 01Jan26 to 23Jan26"/>
    <x v="35"/>
    <x v="4"/>
    <x v="3"/>
    <x v="0"/>
    <m/>
    <m/>
    <m/>
    <m/>
    <m/>
  </r>
  <r>
    <x v="0"/>
    <x v="1"/>
    <d v="2026-02-27T00:00:00"/>
    <d v="2026-03-08T00:00:00"/>
    <x v="10"/>
    <s v="MYR"/>
    <n v="3900"/>
    <n v="0"/>
    <n v="3900"/>
    <x v="165"/>
    <s v="H Space Petaling Jaya Sdn. Bhd"/>
    <s v="IV-HSPJ-2603010"/>
    <s v="Office Rental - Bandar Utama 7Mar26 to 8Apr26"/>
    <x v="23"/>
    <x v="17"/>
    <x v="1"/>
    <x v="0"/>
    <m/>
    <m/>
    <m/>
    <m/>
    <m/>
  </r>
  <r>
    <x v="0"/>
    <x v="1"/>
    <d v="2026-02-28T00:00:00"/>
    <d v="2026-02-28T00:00:00"/>
    <x v="38"/>
    <s v="MYR"/>
    <n v="-459.64"/>
    <n v="0"/>
    <n v="-459.64"/>
    <x v="191"/>
    <s v="OCBC MYR"/>
    <m/>
    <s v="INTEREST RECEIVED"/>
    <x v="16"/>
    <x v="14"/>
    <x v="0"/>
    <x v="0"/>
    <m/>
    <m/>
    <m/>
    <m/>
    <m/>
  </r>
  <r>
    <x v="0"/>
    <x v="1"/>
    <d v="2026-02-28T00:00:00"/>
    <d v="2026-02-28T00:00:00"/>
    <x v="38"/>
    <s v="MYR"/>
    <n v="10"/>
    <n v="0"/>
    <n v="10"/>
    <x v="163"/>
    <s v="OCBC MYR"/>
    <s v="Bank Charges 28/02/2026"/>
    <s v="Bank Charges"/>
    <x v="0"/>
    <x v="0"/>
    <x v="0"/>
    <x v="0"/>
    <m/>
    <m/>
    <m/>
    <m/>
    <m/>
  </r>
  <r>
    <x v="0"/>
    <x v="1"/>
    <d v="2026-03-04T00:00:00"/>
    <d v="2026-03-04T00:00:00"/>
    <x v="39"/>
    <s v="MYR"/>
    <n v="-616.15"/>
    <n v="0"/>
    <n v="-616.15"/>
    <x v="192"/>
    <s v="Lifa Success Sdn Bhd"/>
    <m/>
    <s v="Discount on Insurance Policy"/>
    <x v="36"/>
    <x v="27"/>
    <x v="3"/>
    <x v="0"/>
    <m/>
    <m/>
    <m/>
    <m/>
    <m/>
  </r>
  <r>
    <x v="0"/>
    <x v="1"/>
    <d v="2026-03-04T00:00:00"/>
    <d v="2026-03-04T00:00:00"/>
    <x v="39"/>
    <s v="MYR"/>
    <n v="0.1"/>
    <n v="0"/>
    <n v="0.1"/>
    <x v="193"/>
    <s v="OCBC MYR"/>
    <s v="Bank Charges 04/03/2026"/>
    <s v="Bank Charges"/>
    <x v="0"/>
    <x v="0"/>
    <x v="0"/>
    <x v="0"/>
    <m/>
    <m/>
    <m/>
    <m/>
    <m/>
  </r>
  <r>
    <x v="0"/>
    <x v="1"/>
    <d v="2026-02-28T00:00:00"/>
    <d v="2026-02-28T00:00:00"/>
    <x v="40"/>
    <s v="MYR"/>
    <m/>
    <m/>
    <m/>
    <x v="194"/>
    <s v="MY Staff"/>
    <s v="Statutory Contribution - February 2026"/>
    <s v="Statutory Contribution - February 2026"/>
    <x v="10"/>
    <x v="8"/>
    <x v="4"/>
    <x v="2"/>
    <m/>
    <m/>
    <m/>
    <m/>
    <m/>
  </r>
  <r>
    <x v="0"/>
    <x v="1"/>
    <d v="2026-02-28T00:00:00"/>
    <d v="2026-02-28T00:00:00"/>
    <x v="40"/>
    <s v="MYR"/>
    <m/>
    <m/>
    <m/>
    <x v="195"/>
    <s v="MY Staff"/>
    <s v="Statutory Contribution - February 2026"/>
    <s v="Statutory Contribution - February 2026"/>
    <x v="10"/>
    <x v="8"/>
    <x v="10"/>
    <x v="1"/>
    <m/>
    <m/>
    <m/>
    <m/>
    <m/>
  </r>
  <r>
    <x v="0"/>
    <x v="1"/>
    <d v="2026-02-28T00:00:00"/>
    <d v="2026-02-28T00:00:00"/>
    <x v="40"/>
    <s v="MYR"/>
    <m/>
    <m/>
    <m/>
    <x v="196"/>
    <s v="MY Staff"/>
    <s v="Statutory Contribution - February 2026"/>
    <s v="Statutory Contribution - February 2026"/>
    <x v="10"/>
    <x v="8"/>
    <x v="9"/>
    <x v="4"/>
    <m/>
    <m/>
    <m/>
    <m/>
    <m/>
  </r>
  <r>
    <x v="0"/>
    <x v="1"/>
    <d v="2026-02-28T00:00:00"/>
    <d v="2026-02-28T00:00:00"/>
    <x v="40"/>
    <s v="MYR"/>
    <m/>
    <m/>
    <m/>
    <x v="197"/>
    <s v="MY Staff"/>
    <s v="Statutory Contribution - February 2026"/>
    <s v="Statutory Contribution - February 2026"/>
    <x v="10"/>
    <x v="8"/>
    <x v="0"/>
    <x v="0"/>
    <m/>
    <m/>
    <m/>
    <m/>
    <m/>
  </r>
  <r>
    <x v="0"/>
    <x v="1"/>
    <d v="2026-02-28T00:00:00"/>
    <d v="2026-02-28T00:00:00"/>
    <x v="40"/>
    <s v="MYR"/>
    <m/>
    <m/>
    <m/>
    <x v="198"/>
    <s v="MY Staff"/>
    <s v="Statutory Contribution - February 2026"/>
    <s v="Statutory Contribution - February 2026"/>
    <x v="10"/>
    <x v="8"/>
    <x v="3"/>
    <x v="0"/>
    <m/>
    <m/>
    <m/>
    <m/>
    <m/>
  </r>
  <r>
    <x v="0"/>
    <x v="1"/>
    <d v="2026-02-28T00:00:00"/>
    <d v="2026-02-28T00:00:00"/>
    <x v="40"/>
    <s v="MYR"/>
    <m/>
    <m/>
    <m/>
    <x v="199"/>
    <s v="MY Staff"/>
    <s v="Statutory Contribution - February 2026"/>
    <s v="Statutory Contribution - February 2026"/>
    <x v="10"/>
    <x v="8"/>
    <x v="8"/>
    <x v="2"/>
    <m/>
    <m/>
    <m/>
    <m/>
    <m/>
  </r>
  <r>
    <x v="0"/>
    <x v="1"/>
    <d v="2026-03-13T00:00:00"/>
    <d v="2026-03-06T00:00:00"/>
    <x v="40"/>
    <s v="MYR"/>
    <n v="-32000"/>
    <n v="0"/>
    <n v="-32000"/>
    <x v="200"/>
    <s v="DAI-ICHI JITSUGYO(MALAYSIA) SDN. BHD."/>
    <s v="INV 2602001"/>
    <s v="Phase 2 - Project Implementation (80% payment milestone)"/>
    <x v="15"/>
    <x v="13"/>
    <x v="8"/>
    <x v="2"/>
    <m/>
    <m/>
    <m/>
    <m/>
    <m/>
  </r>
  <r>
    <x v="0"/>
    <x v="1"/>
    <d v="2026-03-13T00:00:00"/>
    <d v="2026-03-13T00:00:00"/>
    <x v="40"/>
    <s v="MYR"/>
    <n v="400"/>
    <n v="0"/>
    <n v="400"/>
    <x v="201"/>
    <s v="BLIV Ethereal PLT"/>
    <s v="I-260022"/>
    <s v="Resignation &amp; Appointment of Director"/>
    <x v="11"/>
    <x v="9"/>
    <x v="1"/>
    <x v="0"/>
    <m/>
    <m/>
    <m/>
    <m/>
    <m/>
  </r>
  <r>
    <x v="0"/>
    <x v="1"/>
    <d v="2026-03-13T00:00:00"/>
    <d v="2026-03-13T00:00:00"/>
    <x v="40"/>
    <s v="MYR"/>
    <n v="75"/>
    <n v="0"/>
    <n v="75"/>
    <x v="202"/>
    <s v="FASTRACK MEDIA SDN BHD"/>
    <s v="IV-0018051"/>
    <s v="Name Card - paid on behalf of Alpha X Technology Pte Ltd"/>
    <x v="21"/>
    <x v="15"/>
    <x v="1"/>
    <x v="0"/>
    <m/>
    <m/>
    <m/>
    <m/>
    <m/>
  </r>
  <r>
    <x v="0"/>
    <x v="1"/>
    <d v="2026-03-13T00:00:00"/>
    <d v="2026-03-13T00:00:00"/>
    <x v="40"/>
    <s v="MYR"/>
    <n v="5764"/>
    <n v="0"/>
    <n v="5764"/>
    <x v="203"/>
    <s v="Golden Dragon Technology Sdn. Bhd."/>
    <s v="4963"/>
    <s v="Lease liability - Mar26"/>
    <x v="37"/>
    <x v="28"/>
    <x v="5"/>
    <x v="0"/>
    <m/>
    <m/>
    <m/>
    <m/>
    <m/>
  </r>
  <r>
    <x v="0"/>
    <x v="1"/>
    <d v="2026-03-13T00:00:00"/>
    <d v="2026-03-13T00:00:00"/>
    <x v="40"/>
    <s v="MYR"/>
    <n v="196275"/>
    <n v="0"/>
    <n v="196275"/>
    <x v="204"/>
    <s v="Gtrontec Technology Sdn Bhd"/>
    <s v="GCES-2025-0334-01-IN01"/>
    <s v="Consultancy fee - 30% payment upon project kick-off - MIMOS, Swift code:BKCHMYKL"/>
    <x v="38"/>
    <x v="29"/>
    <x v="9"/>
    <x v="4"/>
    <m/>
    <m/>
    <m/>
    <m/>
    <m/>
  </r>
  <r>
    <x v="0"/>
    <x v="1"/>
    <d v="2026-03-13T00:00:00"/>
    <d v="2026-03-13T00:00:00"/>
    <x v="40"/>
    <s v="MYR"/>
    <n v="16837"/>
    <n v="0"/>
    <n v="16837"/>
    <x v="205"/>
    <s v="LHDN"/>
    <s v="2026/02"/>
    <s v="Tax Instalment 2026/02"/>
    <x v="33"/>
    <x v="24"/>
    <x v="1"/>
    <x v="0"/>
    <m/>
    <m/>
    <m/>
    <m/>
    <m/>
  </r>
  <r>
    <x v="0"/>
    <x v="1"/>
    <d v="2026-03-13T00:00:00"/>
    <d v="2026-03-13T00:00:00"/>
    <x v="40"/>
    <s v="MYR"/>
    <n v="0.5"/>
    <n v="0"/>
    <n v="0.5"/>
    <x v="206"/>
    <s v="OCBC MYR"/>
    <s v="Bank Charges 13/03/2026"/>
    <s v="Bank Charges"/>
    <x v="0"/>
    <x v="0"/>
    <x v="0"/>
    <x v="0"/>
    <m/>
    <m/>
    <m/>
    <m/>
    <m/>
  </r>
  <r>
    <x v="0"/>
    <x v="1"/>
    <d v="2026-03-13T00:00:00"/>
    <d v="2026-03-13T00:00:00"/>
    <x v="40"/>
    <s v="MYR"/>
    <n v="0.5"/>
    <n v="0"/>
    <n v="0.5"/>
    <x v="206"/>
    <s v="OCBC MYR"/>
    <s v="Bank Charges 13/03/2026"/>
    <s v="Bank Charges"/>
    <x v="0"/>
    <x v="0"/>
    <x v="0"/>
    <x v="0"/>
    <m/>
    <m/>
    <m/>
    <m/>
    <m/>
  </r>
  <r>
    <x v="0"/>
    <x v="1"/>
    <d v="2026-03-16T00:00:00"/>
    <d v="2026-03-15T00:00:00"/>
    <x v="12"/>
    <s v="MYR"/>
    <n v="2000.14"/>
    <n v="0"/>
    <n v="2000.14"/>
    <x v="207"/>
    <s v="Staff Claim Feb26"/>
    <s v="Staff Claim Feb26"/>
    <s v="Total Accommodation - International"/>
    <x v="31"/>
    <x v="1"/>
    <x v="4"/>
    <x v="2"/>
    <m/>
    <m/>
    <m/>
    <m/>
    <m/>
  </r>
  <r>
    <x v="0"/>
    <x v="1"/>
    <d v="2026-03-16T00:00:00"/>
    <d v="2026-03-15T00:00:00"/>
    <x v="12"/>
    <s v="MYR"/>
    <n v="568.16"/>
    <n v="0"/>
    <n v="568.16"/>
    <x v="208"/>
    <s v="Staff Claim Feb26"/>
    <s v="Staff Claim Feb26"/>
    <s v="Total Accommodation - International"/>
    <x v="31"/>
    <x v="1"/>
    <x v="9"/>
    <x v="4"/>
    <m/>
    <m/>
    <m/>
    <m/>
    <m/>
  </r>
  <r>
    <x v="0"/>
    <x v="1"/>
    <d v="2026-03-16T00:00:00"/>
    <d v="2026-03-15T00:00:00"/>
    <x v="12"/>
    <s v="MYR"/>
    <n v="741.72"/>
    <n v="0"/>
    <n v="741.72"/>
    <x v="209"/>
    <s v="Staff Claim Feb26"/>
    <s v="Staff Claim Feb26"/>
    <s v="Total Accommodation - International"/>
    <x v="31"/>
    <x v="1"/>
    <x v="3"/>
    <x v="0"/>
    <m/>
    <m/>
    <m/>
    <m/>
    <m/>
  </r>
  <r>
    <x v="0"/>
    <x v="1"/>
    <d v="2026-03-16T00:00:00"/>
    <d v="2026-03-15T00:00:00"/>
    <x v="12"/>
    <s v="MYR"/>
    <n v="280"/>
    <n v="0"/>
    <n v="280"/>
    <x v="210"/>
    <s v="Staff Claim Feb26"/>
    <s v="Staff Claim Feb26"/>
    <s v="Total Accommodation - National"/>
    <x v="1"/>
    <x v="1"/>
    <x v="8"/>
    <x v="2"/>
    <m/>
    <m/>
    <m/>
    <m/>
    <m/>
  </r>
  <r>
    <x v="0"/>
    <x v="1"/>
    <d v="2026-03-16T00:00:00"/>
    <d v="2026-03-15T00:00:00"/>
    <x v="12"/>
    <s v="MYR"/>
    <n v="56.05"/>
    <n v="0"/>
    <n v="56.05"/>
    <x v="211"/>
    <s v="Staff Claim Feb26"/>
    <s v="Staff Claim Feb26"/>
    <s v="Total Business Meals - National"/>
    <x v="34"/>
    <x v="25"/>
    <x v="8"/>
    <x v="2"/>
    <m/>
    <m/>
    <m/>
    <m/>
    <m/>
  </r>
  <r>
    <x v="0"/>
    <x v="1"/>
    <d v="2026-03-16T00:00:00"/>
    <d v="2026-03-15T00:00:00"/>
    <x v="12"/>
    <s v="MYR"/>
    <n v="132.69999999999999"/>
    <n v="0"/>
    <n v="132.69999999999999"/>
    <x v="212"/>
    <s v="Staff Claim Feb26"/>
    <s v="Staff Claim Feb26"/>
    <s v="Total Insurance expenses"/>
    <x v="4"/>
    <x v="4"/>
    <x v="3"/>
    <x v="0"/>
    <m/>
    <m/>
    <m/>
    <m/>
    <m/>
  </r>
  <r>
    <x v="0"/>
    <x v="1"/>
    <d v="2026-03-16T00:00:00"/>
    <d v="2026-03-15T00:00:00"/>
    <x v="12"/>
    <s v="MYR"/>
    <n v="70.73"/>
    <n v="0"/>
    <n v="70.73"/>
    <x v="213"/>
    <s v="Staff Claim Feb26"/>
    <s v="Staff Claim Feb26"/>
    <s v="Total Personal Meals - International"/>
    <x v="19"/>
    <x v="1"/>
    <x v="4"/>
    <x v="2"/>
    <m/>
    <m/>
    <m/>
    <m/>
    <m/>
  </r>
  <r>
    <x v="0"/>
    <x v="1"/>
    <d v="2026-03-16T00:00:00"/>
    <d v="2026-03-15T00:00:00"/>
    <x v="12"/>
    <s v="MYR"/>
    <n v="222.82"/>
    <n v="0"/>
    <n v="222.82"/>
    <x v="214"/>
    <s v="Staff Claim Feb26"/>
    <s v="Staff Claim Feb26"/>
    <s v="Total Personal Meals - International"/>
    <x v="19"/>
    <x v="1"/>
    <x v="9"/>
    <x v="4"/>
    <m/>
    <m/>
    <m/>
    <m/>
    <m/>
  </r>
  <r>
    <x v="0"/>
    <x v="1"/>
    <d v="2026-03-16T00:00:00"/>
    <d v="2026-03-15T00:00:00"/>
    <x v="12"/>
    <s v="MYR"/>
    <n v="23.95"/>
    <n v="0"/>
    <n v="23.95"/>
    <x v="215"/>
    <s v="Staff Claim Feb26"/>
    <s v="Staff Claim Feb26"/>
    <s v="Total Personal Meals - National"/>
    <x v="22"/>
    <x v="1"/>
    <x v="8"/>
    <x v="2"/>
    <m/>
    <m/>
    <m/>
    <m/>
    <m/>
  </r>
  <r>
    <x v="0"/>
    <x v="1"/>
    <d v="2026-03-16T00:00:00"/>
    <d v="2026-03-15T00:00:00"/>
    <x v="12"/>
    <s v="MYR"/>
    <n v="29.3"/>
    <n v="0"/>
    <n v="29.3"/>
    <x v="216"/>
    <s v="Staff Claim Feb26"/>
    <s v="Staff Claim Feb26"/>
    <s v="Total Personal Meals - National"/>
    <x v="22"/>
    <x v="1"/>
    <x v="9"/>
    <x v="4"/>
    <m/>
    <m/>
    <m/>
    <m/>
    <m/>
  </r>
  <r>
    <x v="0"/>
    <x v="1"/>
    <d v="2026-03-16T00:00:00"/>
    <d v="2026-03-15T00:00:00"/>
    <x v="12"/>
    <s v="MYR"/>
    <n v="388.5"/>
    <n v="0"/>
    <n v="388.5"/>
    <x v="217"/>
    <s v="Staff Claim Feb26"/>
    <s v="Staff Claim Feb26"/>
    <s v="Total Staff Welfare - Gift &amp; Tokens"/>
    <x v="20"/>
    <x v="4"/>
    <x v="3"/>
    <x v="0"/>
    <m/>
    <m/>
    <m/>
    <m/>
    <m/>
  </r>
  <r>
    <x v="0"/>
    <x v="1"/>
    <d v="2026-03-16T00:00:00"/>
    <d v="2026-03-15T00:00:00"/>
    <x v="12"/>
    <s v="MYR"/>
    <n v="1350.29"/>
    <n v="0"/>
    <n v="1350.29"/>
    <x v="218"/>
    <s v="Staff Claim Feb26"/>
    <s v="Staff Claim Feb26"/>
    <s v="Total Staff Welfare - Meal &amp; Refreshment"/>
    <x v="18"/>
    <x v="4"/>
    <x v="9"/>
    <x v="4"/>
    <m/>
    <m/>
    <m/>
    <m/>
    <m/>
  </r>
  <r>
    <x v="0"/>
    <x v="1"/>
    <d v="2026-03-16T00:00:00"/>
    <d v="2026-03-15T00:00:00"/>
    <x v="12"/>
    <s v="MYR"/>
    <n v="67"/>
    <n v="0"/>
    <n v="67"/>
    <x v="219"/>
    <s v="Staff Claim Feb26"/>
    <s v="Staff Claim Feb26"/>
    <s v="Total Telecommunication"/>
    <x v="9"/>
    <x v="7"/>
    <x v="4"/>
    <x v="2"/>
    <m/>
    <m/>
    <m/>
    <m/>
    <m/>
  </r>
  <r>
    <x v="0"/>
    <x v="1"/>
    <d v="2026-03-16T00:00:00"/>
    <d v="2026-03-15T00:00:00"/>
    <x v="12"/>
    <s v="MYR"/>
    <n v="67"/>
    <n v="0"/>
    <n v="67"/>
    <x v="219"/>
    <s v="Staff Claim Feb26"/>
    <s v="Staff Claim Feb26"/>
    <s v="Total Telecommunication"/>
    <x v="9"/>
    <x v="7"/>
    <x v="9"/>
    <x v="4"/>
    <m/>
    <m/>
    <m/>
    <m/>
    <m/>
  </r>
  <r>
    <x v="0"/>
    <x v="1"/>
    <d v="2026-03-16T00:00:00"/>
    <d v="2026-03-15T00:00:00"/>
    <x v="12"/>
    <s v="MYR"/>
    <n v="2618.3500000000004"/>
    <n v="0"/>
    <n v="2618.3500000000004"/>
    <x v="220"/>
    <s v="Staff Claim Feb26"/>
    <s v="Staff Claim Feb26"/>
    <s v="Total Transportation fee - International"/>
    <x v="6"/>
    <x v="1"/>
    <x v="4"/>
    <x v="2"/>
    <m/>
    <m/>
    <m/>
    <m/>
    <m/>
  </r>
  <r>
    <x v="0"/>
    <x v="1"/>
    <d v="2026-03-16T00:00:00"/>
    <d v="2026-03-15T00:00:00"/>
    <x v="12"/>
    <s v="MYR"/>
    <n v="2545.0299999999997"/>
    <n v="0"/>
    <n v="2545.0299999999997"/>
    <x v="221"/>
    <s v="Staff Claim Feb26"/>
    <s v="Staff Claim Feb26"/>
    <s v="Total Transportation fee - International"/>
    <x v="6"/>
    <x v="1"/>
    <x v="9"/>
    <x v="4"/>
    <m/>
    <m/>
    <m/>
    <m/>
    <m/>
  </r>
  <r>
    <x v="0"/>
    <x v="1"/>
    <d v="2026-03-16T00:00:00"/>
    <d v="2026-03-15T00:00:00"/>
    <x v="12"/>
    <s v="MYR"/>
    <n v="1868.69"/>
    <n v="0"/>
    <n v="1868.69"/>
    <x v="222"/>
    <s v="Staff Claim Feb26"/>
    <s v="Staff Claim Feb26"/>
    <s v="Total Transportation fee - International"/>
    <x v="6"/>
    <x v="1"/>
    <x v="3"/>
    <x v="0"/>
    <m/>
    <m/>
    <m/>
    <m/>
    <m/>
  </r>
  <r>
    <x v="0"/>
    <x v="1"/>
    <d v="2026-03-16T00:00:00"/>
    <d v="2026-03-15T00:00:00"/>
    <x v="12"/>
    <s v="MYR"/>
    <n v="300"/>
    <n v="0"/>
    <n v="300"/>
    <x v="223"/>
    <s v="Staff Claim Feb26"/>
    <s v="Staff Claim Feb26"/>
    <s v="Total Transportation fee - National"/>
    <x v="7"/>
    <x v="1"/>
    <x v="4"/>
    <x v="2"/>
    <m/>
    <m/>
    <m/>
    <m/>
    <m/>
  </r>
  <r>
    <x v="0"/>
    <x v="1"/>
    <d v="2026-03-16T00:00:00"/>
    <d v="2026-03-15T00:00:00"/>
    <x v="12"/>
    <s v="MYR"/>
    <n v="1652.89"/>
    <n v="0"/>
    <n v="1652.89"/>
    <x v="224"/>
    <s v="Staff Claim Feb26"/>
    <s v="Staff Claim Feb26"/>
    <s v="Total Transportation fee - National"/>
    <x v="7"/>
    <x v="1"/>
    <x v="9"/>
    <x v="4"/>
    <m/>
    <m/>
    <m/>
    <m/>
    <m/>
  </r>
  <r>
    <x v="0"/>
    <x v="1"/>
    <d v="2026-03-16T00:00:00"/>
    <d v="2026-03-15T00:00:00"/>
    <x v="12"/>
    <s v="MYR"/>
    <n v="292.12"/>
    <n v="0"/>
    <n v="292.12"/>
    <x v="225"/>
    <s v="Staff Claim Feb26"/>
    <s v="Staff Claim Feb26"/>
    <s v="Total Transportation fee - National"/>
    <x v="7"/>
    <x v="1"/>
    <x v="8"/>
    <x v="2"/>
    <m/>
    <m/>
    <m/>
    <m/>
    <m/>
  </r>
  <r>
    <x v="0"/>
    <x v="1"/>
    <d v="2026-03-16T00:00:00"/>
    <d v="2026-03-15T00:00:00"/>
    <x v="12"/>
    <s v="MYR"/>
    <n v="33"/>
    <n v="0"/>
    <n v="33"/>
    <x v="226"/>
    <s v="Staff Claim Feb26"/>
    <s v="Staff Claim Feb26"/>
    <s v="Total Transportation fee - National"/>
    <x v="7"/>
    <x v="1"/>
    <x v="3"/>
    <x v="0"/>
    <m/>
    <m/>
    <m/>
    <m/>
    <m/>
  </r>
  <r>
    <x v="0"/>
    <x v="1"/>
    <d v="2026-03-16T00:00:00"/>
    <d v="2026-03-16T00:00:00"/>
    <x v="12"/>
    <s v="MYR"/>
    <n v="0.8"/>
    <n v="0"/>
    <n v="0.8"/>
    <x v="227"/>
    <s v="OCBC MYR"/>
    <s v="Bank Charges 16/03/2026"/>
    <s v="Bank Charges"/>
    <x v="0"/>
    <x v="0"/>
    <x v="0"/>
    <x v="0"/>
    <m/>
    <m/>
    <m/>
    <m/>
    <m/>
  </r>
  <r>
    <x v="0"/>
    <x v="1"/>
    <d v="2026-03-31T00:00:00"/>
    <d v="2026-03-31T00:00:00"/>
    <x v="14"/>
    <s v="MYR"/>
    <n v="1060"/>
    <n v="0"/>
    <n v="1060"/>
    <x v="228"/>
    <s v="Bandar Utama City Sdn BhD"/>
    <s v="IM20001092"/>
    <s v="ADMIN/MISC CHARGES"/>
    <x v="11"/>
    <x v="9"/>
    <x v="1"/>
    <x v="0"/>
    <m/>
    <m/>
    <m/>
    <m/>
    <m/>
  </r>
  <r>
    <x v="0"/>
    <x v="1"/>
    <d v="2026-03-31T00:00:00"/>
    <d v="2026-03-31T00:00:00"/>
    <x v="14"/>
    <s v="MYR"/>
    <n v="34770.879999999997"/>
    <n v="0"/>
    <n v="34770.879999999997"/>
    <x v="229"/>
    <s v="Bandar Utama City Sdn BhD"/>
    <s v="1FA-TA"/>
    <s v="Security Deposit - Office Rental Lot3.01, Level 3, 1 First Avenue (3 months)"/>
    <x v="39"/>
    <x v="30"/>
    <x v="1"/>
    <x v="0"/>
    <m/>
    <m/>
    <m/>
    <m/>
    <m/>
  </r>
  <r>
    <x v="0"/>
    <x v="1"/>
    <d v="2026-03-31T00:00:00"/>
    <d v="2026-03-31T00:00:00"/>
    <x v="14"/>
    <s v="MYR"/>
    <n v="769.32"/>
    <n v="0"/>
    <n v="769.32"/>
    <x v="230"/>
    <s v="H Space Petaling Jaya Sdn. Bhd. "/>
    <s v="IV-HSPJ-2604009"/>
    <s v="Private Room - Bandar Utama BU - Private Room : 1 April - 6 April 2026"/>
    <x v="23"/>
    <x v="17"/>
    <x v="1"/>
    <x v="0"/>
    <m/>
    <m/>
    <m/>
    <m/>
    <m/>
  </r>
  <r>
    <x v="0"/>
    <x v="1"/>
    <d v="2026-03-31T00:00:00"/>
    <d v="2026-03-31T00:00:00"/>
    <x v="14"/>
    <s v="MYR"/>
    <n v="1000"/>
    <n v="0"/>
    <n v="1000"/>
    <x v="231"/>
    <s v="Howe Xin Yu"/>
    <s v="INV-007"/>
    <s v="Consultation Fees"/>
    <x v="11"/>
    <x v="9"/>
    <x v="0"/>
    <x v="0"/>
    <m/>
    <m/>
    <m/>
    <m/>
    <m/>
  </r>
  <r>
    <x v="0"/>
    <x v="1"/>
    <d v="2026-03-31T00:00:00"/>
    <d v="2026-03-31T00:00:00"/>
    <x v="14"/>
    <s v="MYR"/>
    <n v="30"/>
    <n v="0"/>
    <n v="30"/>
    <x v="232"/>
    <s v="LHDN "/>
    <m/>
    <s v="Stamp Duty for Letter of Guarantee - Company rental purpose"/>
    <x v="30"/>
    <x v="22"/>
    <x v="1"/>
    <x v="0"/>
    <m/>
    <m/>
    <m/>
    <m/>
    <m/>
  </r>
  <r>
    <x v="0"/>
    <x v="1"/>
    <d v="2026-03-31T00:00:00"/>
    <d v="2026-03-31T00:00:00"/>
    <x v="14"/>
    <s v="MYR"/>
    <n v="489"/>
    <n v="0"/>
    <n v="489"/>
    <x v="233"/>
    <s v="LHDN "/>
    <m/>
    <s v="Stamp Duty for Tenancy Agreement"/>
    <x v="30"/>
    <x v="22"/>
    <x v="1"/>
    <x v="0"/>
    <m/>
    <m/>
    <m/>
    <m/>
    <m/>
  </r>
  <r>
    <x v="0"/>
    <x v="1"/>
    <d v="2026-03-31T00:00:00"/>
    <d v="2026-03-31T00:00:00"/>
    <x v="14"/>
    <s v="MYR"/>
    <m/>
    <m/>
    <m/>
    <x v="234"/>
    <s v="MY Staff"/>
    <s v="Net Pay - March 2026"/>
    <s v="Net Pay - March 2026"/>
    <x v="17"/>
    <x v="8"/>
    <x v="4"/>
    <x v="2"/>
    <m/>
    <m/>
    <m/>
    <m/>
    <m/>
  </r>
  <r>
    <x v="0"/>
    <x v="1"/>
    <d v="2026-03-31T00:00:00"/>
    <d v="2026-03-31T00:00:00"/>
    <x v="14"/>
    <s v="MYR"/>
    <m/>
    <m/>
    <m/>
    <x v="235"/>
    <s v="MY Staff"/>
    <s v="Bonus - March 2026"/>
    <s v="Bonus - March 2026"/>
    <x v="17"/>
    <x v="8"/>
    <x v="4"/>
    <x v="2"/>
    <m/>
    <m/>
    <m/>
    <m/>
    <m/>
  </r>
  <r>
    <x v="0"/>
    <x v="1"/>
    <d v="2026-03-31T00:00:00"/>
    <d v="2026-03-31T00:00:00"/>
    <x v="14"/>
    <s v="MYR"/>
    <m/>
    <m/>
    <m/>
    <x v="236"/>
    <s v="MY Staff"/>
    <s v="Net Pay - March 2026"/>
    <s v="Net Pay - March 2026"/>
    <x v="17"/>
    <x v="8"/>
    <x v="9"/>
    <x v="4"/>
    <m/>
    <m/>
    <m/>
    <m/>
    <m/>
  </r>
  <r>
    <x v="0"/>
    <x v="1"/>
    <d v="2026-03-31T00:00:00"/>
    <d v="2026-03-31T00:00:00"/>
    <x v="14"/>
    <s v="MYR"/>
    <m/>
    <m/>
    <m/>
    <x v="237"/>
    <s v="MY Staff"/>
    <s v="Net Pay - March 2026"/>
    <s v="Net Pay - March 2026"/>
    <x v="17"/>
    <x v="8"/>
    <x v="10"/>
    <x v="1"/>
    <m/>
    <m/>
    <m/>
    <m/>
    <m/>
  </r>
  <r>
    <x v="0"/>
    <x v="1"/>
    <d v="2026-03-31T00:00:00"/>
    <d v="2026-03-31T00:00:00"/>
    <x v="14"/>
    <s v="MYR"/>
    <m/>
    <m/>
    <m/>
    <x v="238"/>
    <s v="MY Staff"/>
    <s v="Bonus - March 2026"/>
    <s v="Bonus - March 2026"/>
    <x v="17"/>
    <x v="8"/>
    <x v="10"/>
    <x v="1"/>
    <m/>
    <m/>
    <m/>
    <m/>
    <m/>
  </r>
  <r>
    <x v="0"/>
    <x v="1"/>
    <d v="2026-03-31T00:00:00"/>
    <d v="2026-03-31T00:00:00"/>
    <x v="14"/>
    <s v="MYR"/>
    <m/>
    <m/>
    <m/>
    <x v="239"/>
    <s v="MY Staff"/>
    <s v="Net Pay - March 2026"/>
    <s v="Net Pay - March 2026"/>
    <x v="17"/>
    <x v="8"/>
    <x v="0"/>
    <x v="0"/>
    <m/>
    <m/>
    <m/>
    <m/>
    <m/>
  </r>
  <r>
    <x v="0"/>
    <x v="1"/>
    <d v="2026-03-31T00:00:00"/>
    <d v="2026-03-31T00:00:00"/>
    <x v="14"/>
    <s v="MYR"/>
    <m/>
    <m/>
    <m/>
    <x v="240"/>
    <s v="MY Staff"/>
    <s v="Bonus - March 2026"/>
    <s v="Bonus - March 2026"/>
    <x v="17"/>
    <x v="8"/>
    <x v="0"/>
    <x v="0"/>
    <m/>
    <m/>
    <m/>
    <m/>
    <m/>
  </r>
  <r>
    <x v="0"/>
    <x v="1"/>
    <d v="2026-03-31T00:00:00"/>
    <d v="2026-03-31T00:00:00"/>
    <x v="14"/>
    <s v="MYR"/>
    <m/>
    <m/>
    <m/>
    <x v="241"/>
    <s v="MY Staff"/>
    <s v="Net Pay - March 2026"/>
    <s v="Net Pay - March 2026"/>
    <x v="17"/>
    <x v="8"/>
    <x v="3"/>
    <x v="0"/>
    <m/>
    <m/>
    <m/>
    <m/>
    <m/>
  </r>
  <r>
    <x v="0"/>
    <x v="1"/>
    <d v="2026-03-31T00:00:00"/>
    <d v="2026-03-31T00:00:00"/>
    <x v="14"/>
    <s v="MYR"/>
    <m/>
    <m/>
    <m/>
    <x v="242"/>
    <s v="MY Staff"/>
    <s v="Net Pay - March 2026"/>
    <s v="Net Pay - March 2026"/>
    <x v="17"/>
    <x v="8"/>
    <x v="8"/>
    <x v="2"/>
    <m/>
    <m/>
    <m/>
    <m/>
    <m/>
  </r>
  <r>
    <x v="0"/>
    <x v="1"/>
    <d v="2026-03-31T00:00:00"/>
    <d v="2026-03-31T00:00:00"/>
    <x v="14"/>
    <s v="MYR"/>
    <m/>
    <m/>
    <m/>
    <x v="243"/>
    <s v="MY Staff"/>
    <s v="Bonus - March 2026"/>
    <s v="Bonus - March 2026"/>
    <x v="17"/>
    <x v="8"/>
    <x v="8"/>
    <x v="2"/>
    <m/>
    <m/>
    <m/>
    <m/>
    <m/>
  </r>
  <r>
    <x v="0"/>
    <x v="1"/>
    <d v="2026-03-31T00:00:00"/>
    <d v="2026-03-31T00:00:00"/>
    <x v="14"/>
    <s v="MYR"/>
    <n v="1.3"/>
    <n v="0"/>
    <n v="1.3"/>
    <x v="244"/>
    <s v="OCBC MYR"/>
    <s v="Bank Charges 31/03/2026"/>
    <s v="Bank Charges"/>
    <x v="0"/>
    <x v="0"/>
    <x v="0"/>
    <x v="0"/>
    <m/>
    <m/>
    <m/>
    <m/>
    <m/>
  </r>
  <r>
    <x v="0"/>
    <x v="1"/>
    <d v="2026-03-31T00:00:00"/>
    <d v="2026-03-31T00:00:00"/>
    <x v="14"/>
    <s v="MYR"/>
    <n v="0.5"/>
    <n v="0"/>
    <n v="0.5"/>
    <x v="206"/>
    <s v="OCBC MYR"/>
    <s v="Bank Charges 31/03/2026"/>
    <s v="Bank Charges"/>
    <x v="0"/>
    <x v="0"/>
    <x v="0"/>
    <x v="0"/>
    <m/>
    <m/>
    <m/>
    <m/>
    <m/>
  </r>
  <r>
    <x v="0"/>
    <x v="1"/>
    <d v="2026-03-31T00:00:00"/>
    <d v="2026-03-31T00:00:00"/>
    <x v="14"/>
    <s v="MYR"/>
    <n v="-447.79"/>
    <n v="0"/>
    <n v="-447.79"/>
    <x v="245"/>
    <s v="OCBC MYR"/>
    <m/>
    <s v="Interest Income"/>
    <x v="16"/>
    <x v="14"/>
    <x v="0"/>
    <x v="0"/>
    <m/>
    <m/>
    <m/>
    <m/>
    <m/>
  </r>
  <r>
    <x v="0"/>
    <x v="1"/>
    <d v="2026-03-31T00:00:00"/>
    <d v="2026-03-31T00:00:00"/>
    <x v="14"/>
    <s v="MYR"/>
    <n v="10"/>
    <n v="0"/>
    <n v="10"/>
    <x v="246"/>
    <s v="OCBC MYR"/>
    <s v="Bank Charges 31/03/2026"/>
    <s v="Bank Charges"/>
    <x v="0"/>
    <x v="0"/>
    <x v="0"/>
    <x v="0"/>
    <m/>
    <m/>
    <m/>
    <m/>
    <m/>
  </r>
  <r>
    <x v="0"/>
    <x v="1"/>
    <d v="2026-03-31T00:00:00"/>
    <d v="2026-03-31T00:00:00"/>
    <x v="16"/>
    <s v="MYR"/>
    <m/>
    <m/>
    <m/>
    <x v="247"/>
    <s v="MY Staff"/>
    <s v="Net Pay - March 2026"/>
    <s v="Net Pay - March 2026"/>
    <x v="17"/>
    <x v="8"/>
    <x v="4"/>
    <x v="2"/>
    <m/>
    <m/>
    <m/>
    <m/>
    <m/>
  </r>
  <r>
    <x v="0"/>
    <x v="1"/>
    <d v="2026-03-31T00:00:00"/>
    <d v="2026-03-31T00:00:00"/>
    <x v="16"/>
    <s v="MYR"/>
    <m/>
    <m/>
    <m/>
    <x v="248"/>
    <s v="MY Staff"/>
    <s v="Statutory Contribution - March 2026"/>
    <s v="Statutory Contribution - March 2026"/>
    <x v="10"/>
    <x v="8"/>
    <x v="4"/>
    <x v="2"/>
    <m/>
    <m/>
    <m/>
    <m/>
    <m/>
  </r>
  <r>
    <x v="0"/>
    <x v="1"/>
    <d v="2026-03-31T00:00:00"/>
    <d v="2026-03-31T00:00:00"/>
    <x v="16"/>
    <s v="MYR"/>
    <m/>
    <m/>
    <m/>
    <x v="249"/>
    <s v="MY Staff"/>
    <s v="Net Pay - March 2026"/>
    <s v="Net Pay - March 2026"/>
    <x v="17"/>
    <x v="8"/>
    <x v="10"/>
    <x v="1"/>
    <m/>
    <m/>
    <m/>
    <m/>
    <m/>
  </r>
  <r>
    <x v="0"/>
    <x v="1"/>
    <d v="2026-03-31T00:00:00"/>
    <d v="2026-03-31T00:00:00"/>
    <x v="16"/>
    <s v="MYR"/>
    <m/>
    <m/>
    <m/>
    <x v="250"/>
    <s v="MY Staff"/>
    <s v="Net Pay - March 2026"/>
    <s v="Net Pay - March 2026"/>
    <x v="17"/>
    <x v="8"/>
    <x v="9"/>
    <x v="4"/>
    <m/>
    <m/>
    <m/>
    <m/>
    <m/>
  </r>
  <r>
    <x v="0"/>
    <x v="1"/>
    <d v="2026-03-31T00:00:00"/>
    <d v="2026-03-31T00:00:00"/>
    <x v="16"/>
    <s v="MYR"/>
    <m/>
    <m/>
    <m/>
    <x v="251"/>
    <s v="MY Staff"/>
    <s v="Statutory Contribution - March 2026"/>
    <s v="Statutory Contribution - March 2026"/>
    <x v="17"/>
    <x v="8"/>
    <x v="10"/>
    <x v="1"/>
    <m/>
    <m/>
    <m/>
    <m/>
    <m/>
  </r>
  <r>
    <x v="0"/>
    <x v="1"/>
    <d v="2026-03-31T00:00:00"/>
    <d v="2026-03-31T00:00:00"/>
    <x v="16"/>
    <s v="MYR"/>
    <m/>
    <m/>
    <m/>
    <x v="252"/>
    <s v="MY Staff"/>
    <s v="Statutory Contribution - March 2026"/>
    <s v="Statutory Contribution - March 2026"/>
    <x v="10"/>
    <x v="8"/>
    <x v="9"/>
    <x v="4"/>
    <m/>
    <m/>
    <m/>
    <m/>
    <m/>
  </r>
  <r>
    <x v="0"/>
    <x v="1"/>
    <d v="2026-03-31T00:00:00"/>
    <d v="2026-03-31T00:00:00"/>
    <x v="16"/>
    <s v="MYR"/>
    <m/>
    <m/>
    <m/>
    <x v="253"/>
    <s v="MY Staff"/>
    <s v="Net Pay - March 2026"/>
    <s v="Net Pay - March 2026"/>
    <x v="17"/>
    <x v="8"/>
    <x v="0"/>
    <x v="0"/>
    <m/>
    <m/>
    <m/>
    <m/>
    <m/>
  </r>
  <r>
    <x v="0"/>
    <x v="1"/>
    <d v="2026-03-31T00:00:00"/>
    <d v="2026-03-31T00:00:00"/>
    <x v="16"/>
    <s v="MYR"/>
    <m/>
    <m/>
    <m/>
    <x v="254"/>
    <s v="MY Staff"/>
    <s v="Statutory Contribution - March 2026"/>
    <s v="Statutory Contribution - March 2026"/>
    <x v="10"/>
    <x v="8"/>
    <x v="0"/>
    <x v="0"/>
    <m/>
    <m/>
    <m/>
    <m/>
    <m/>
  </r>
  <r>
    <x v="0"/>
    <x v="1"/>
    <d v="2026-03-31T00:00:00"/>
    <d v="2026-03-31T00:00:00"/>
    <x v="16"/>
    <s v="MYR"/>
    <m/>
    <m/>
    <m/>
    <x v="255"/>
    <s v="MY Staff"/>
    <s v="Net Pay - March 2026"/>
    <s v="Net Pay - March 2026"/>
    <x v="17"/>
    <x v="8"/>
    <x v="3"/>
    <x v="0"/>
    <m/>
    <m/>
    <m/>
    <m/>
    <m/>
  </r>
  <r>
    <x v="0"/>
    <x v="1"/>
    <d v="2026-03-31T00:00:00"/>
    <d v="2026-03-31T00:00:00"/>
    <x v="16"/>
    <s v="MYR"/>
    <m/>
    <m/>
    <m/>
    <x v="256"/>
    <s v="MY Staff"/>
    <s v="Statutory Contribution - March 2026"/>
    <s v="Statutory Contribution - March 2026"/>
    <x v="10"/>
    <x v="8"/>
    <x v="3"/>
    <x v="0"/>
    <m/>
    <m/>
    <m/>
    <m/>
    <m/>
  </r>
  <r>
    <x v="0"/>
    <x v="1"/>
    <d v="2026-03-31T00:00:00"/>
    <d v="2026-03-31T00:00:00"/>
    <x v="16"/>
    <s v="MYR"/>
    <m/>
    <m/>
    <m/>
    <x v="257"/>
    <s v="MY Staff"/>
    <s v="Net Pay - March 2026"/>
    <s v="Net Pay - March 2026"/>
    <x v="17"/>
    <x v="8"/>
    <x v="8"/>
    <x v="2"/>
    <m/>
    <m/>
    <m/>
    <m/>
    <m/>
  </r>
  <r>
    <x v="0"/>
    <x v="1"/>
    <d v="2026-03-31T00:00:00"/>
    <d v="2026-03-31T00:00:00"/>
    <x v="16"/>
    <s v="MYR"/>
    <m/>
    <m/>
    <m/>
    <x v="258"/>
    <s v="MY Staff"/>
    <s v="Statutory Contribution - March 2026"/>
    <s v="Statutory Contribution - March 2026"/>
    <x v="10"/>
    <x v="8"/>
    <x v="8"/>
    <x v="2"/>
    <m/>
    <m/>
    <m/>
    <m/>
    <m/>
  </r>
  <r>
    <x v="0"/>
    <x v="1"/>
    <d v="2026-04-15T00:00:00"/>
    <d v="2026-04-15T00:00:00"/>
    <x v="16"/>
    <s v="MYR"/>
    <n v="100"/>
    <n v="0"/>
    <n v="100"/>
    <x v="259"/>
    <s v="Bandar Utama City Sdn Bhd"/>
    <s v="IM20001184"/>
    <s v="Building Lift Access Card 5pcs"/>
    <x v="3"/>
    <x v="3"/>
    <x v="1"/>
    <x v="0"/>
    <m/>
    <m/>
    <m/>
    <m/>
    <m/>
  </r>
  <r>
    <x v="0"/>
    <x v="1"/>
    <d v="2026-04-15T00:00:00"/>
    <d v="2026-04-15T00:00:00"/>
    <x v="16"/>
    <s v="MYR"/>
    <n v="379.95"/>
    <n v="0"/>
    <n v="379.95"/>
    <x v="260"/>
    <s v="Chey Pui Yan"/>
    <s v="Staff Claim Mar26"/>
    <s v="Total Office Supplies"/>
    <x v="5"/>
    <x v="5"/>
    <x v="3"/>
    <x v="0"/>
    <m/>
    <m/>
    <m/>
    <m/>
    <m/>
  </r>
  <r>
    <x v="0"/>
    <x v="1"/>
    <d v="2026-04-15T00:00:00"/>
    <d v="2026-04-15T00:00:00"/>
    <x v="16"/>
    <s v="MYR"/>
    <n v="88.77000000000001"/>
    <n v="0"/>
    <n v="88.77000000000001"/>
    <x v="261"/>
    <s v="Chey Pui Yan"/>
    <s v="Staff Claim Mar26"/>
    <s v="Total Printing &amp; Stationery"/>
    <x v="29"/>
    <x v="5"/>
    <x v="3"/>
    <x v="0"/>
    <m/>
    <m/>
    <m/>
    <m/>
    <m/>
  </r>
  <r>
    <x v="0"/>
    <x v="1"/>
    <d v="2026-04-15T00:00:00"/>
    <d v="2026-04-15T00:00:00"/>
    <x v="16"/>
    <s v="MYR"/>
    <n v="398"/>
    <n v="0"/>
    <n v="398"/>
    <x v="262"/>
    <s v="Chey Pui Yan"/>
    <s v="Staff Claim Mar26"/>
    <s v="Total Staff Welfare - Meal &amp; Refreshment"/>
    <x v="18"/>
    <x v="4"/>
    <x v="3"/>
    <x v="0"/>
    <m/>
    <m/>
    <m/>
    <m/>
    <m/>
  </r>
  <r>
    <x v="0"/>
    <x v="1"/>
    <d v="2026-04-15T00:00:00"/>
    <d v="2026-04-15T00:00:00"/>
    <x v="16"/>
    <s v="MYR"/>
    <n v="16837"/>
    <n v="0"/>
    <n v="16837"/>
    <x v="205"/>
    <s v="LHDN"/>
    <s v="2026/03"/>
    <s v="Tax Instalment 2026/03"/>
    <x v="33"/>
    <x v="24"/>
    <x v="1"/>
    <x v="0"/>
    <m/>
    <m/>
    <m/>
    <m/>
    <m/>
  </r>
  <r>
    <x v="0"/>
    <x v="1"/>
    <d v="2026-04-15T00:00:00"/>
    <d v="2026-04-15T00:00:00"/>
    <x v="16"/>
    <s v="MYR"/>
    <n v="485.24"/>
    <n v="0"/>
    <n v="485.24"/>
    <x v="263"/>
    <s v="Lim Shu Wen"/>
    <s v="Staff Claim Mar26"/>
    <s v="Transportation fee - National"/>
    <x v="7"/>
    <x v="1"/>
    <x v="9"/>
    <x v="4"/>
    <m/>
    <m/>
    <m/>
    <m/>
    <m/>
  </r>
  <r>
    <x v="0"/>
    <x v="1"/>
    <d v="2026-04-15T00:00:00"/>
    <d v="2026-04-15T00:00:00"/>
    <x v="16"/>
    <s v="MYR"/>
    <n v="803.5"/>
    <n v="0"/>
    <n v="803.5"/>
    <x v="264"/>
    <s v="Low Lee Chwin"/>
    <s v="Staff Claim Mar26"/>
    <s v="Network &amp; Server"/>
    <x v="26"/>
    <x v="19"/>
    <x v="1"/>
    <x v="0"/>
    <m/>
    <m/>
    <m/>
    <m/>
    <m/>
  </r>
  <r>
    <x v="0"/>
    <x v="1"/>
    <d v="2026-04-15T00:00:00"/>
    <d v="2026-04-15T00:00:00"/>
    <x v="16"/>
    <s v="MYR"/>
    <n v="386.4"/>
    <n v="0"/>
    <n v="386.4"/>
    <x v="265"/>
    <s v="Ng Jia Yong"/>
    <s v="Staff Claim Mar26"/>
    <s v="Transportation fee - National"/>
    <x v="7"/>
    <x v="1"/>
    <x v="9"/>
    <x v="4"/>
    <m/>
    <m/>
    <m/>
    <m/>
    <m/>
  </r>
  <r>
    <x v="0"/>
    <x v="1"/>
    <d v="2026-04-15T00:00:00"/>
    <d v="2026-04-15T00:00:00"/>
    <x v="16"/>
    <s v="MYR"/>
    <n v="1388.82"/>
    <n v="0"/>
    <n v="1388.82"/>
    <x v="266"/>
    <s v="Shinjiru Technology Sdn Bhd"/>
    <s v="Invoice #1836403"/>
    <s v="Microsoft 365 Business Basic - alphaxinnovation.onmicrosoft.com"/>
    <x v="28"/>
    <x v="21"/>
    <x v="5"/>
    <x v="0"/>
    <m/>
    <m/>
    <m/>
    <m/>
    <m/>
  </r>
  <r>
    <x v="0"/>
    <x v="1"/>
    <d v="2026-04-15T00:00:00"/>
    <d v="2026-04-15T00:00:00"/>
    <x v="16"/>
    <s v="MYR"/>
    <n v="412.35"/>
    <n v="0"/>
    <n v="412.35"/>
    <x v="267"/>
    <s v="TM Technology Services Sdn Bhd"/>
    <s v="10009625400"/>
    <s v="Unifi Business Exclusive 500M + Simple Voice Plus 70 (ST)"/>
    <x v="26"/>
    <x v="19"/>
    <x v="5"/>
    <x v="0"/>
    <m/>
    <m/>
    <m/>
    <m/>
    <m/>
  </r>
  <r>
    <x v="0"/>
    <x v="1"/>
    <d v="2026-04-15T00:00:00"/>
    <d v="2026-04-15T00:00:00"/>
    <x v="16"/>
    <s v="MYR"/>
    <n v="196"/>
    <n v="0"/>
    <n v="196"/>
    <x v="268"/>
    <s v="Wan Nurul Amira Wan Mohamad"/>
    <s v="Staff Claim Mar26"/>
    <s v="Birthday Gift - USD50"/>
    <x v="20"/>
    <x v="4"/>
    <x v="3"/>
    <x v="0"/>
    <m/>
    <m/>
    <m/>
    <m/>
    <m/>
  </r>
  <r>
    <x v="0"/>
    <x v="1"/>
    <d v="2026-04-23T00:00:00"/>
    <d v="2026-04-23T00:00:00"/>
    <x v="17"/>
    <s v="MYR"/>
    <n v="-11700"/>
    <n v="0"/>
    <n v="-11700"/>
    <x v="269"/>
    <s v="H Space Petaling Jaya"/>
    <m/>
    <s v="Refund of Security Deposit"/>
    <x v="39"/>
    <x v="30"/>
    <x v="1"/>
    <x v="0"/>
    <m/>
    <m/>
    <m/>
    <m/>
    <m/>
  </r>
  <r>
    <x v="0"/>
    <x v="1"/>
    <d v="2026-04-23T00:00:00"/>
    <d v="2026-04-23T00:00:00"/>
    <x v="41"/>
    <s v="MYR"/>
    <n v="-213516"/>
    <n v="0"/>
    <n v="-213516"/>
    <x v="270"/>
    <s v="S.E.H (SHAH ALAM) SDN BHD"/>
    <s v="INV 2512001"/>
    <s v="99-SPOT-PRO3743L / PROJECT-90504 "/>
    <x v="15"/>
    <x v="13"/>
    <x v="8"/>
    <x v="2"/>
    <m/>
    <m/>
    <m/>
    <m/>
    <m/>
  </r>
  <r>
    <x v="0"/>
    <x v="1"/>
    <d v="2026-04-27T00:00:00"/>
    <d v="2026-04-27T00:00:00"/>
    <x v="19"/>
    <s v="MYR"/>
    <n v="200"/>
    <n v="0"/>
    <n v="200"/>
    <x v="271"/>
    <s v="BLIV Ethereal PLT"/>
    <s v="I-260071"/>
    <s v="PD2 - Change of Business Address"/>
    <x v="11"/>
    <x v="9"/>
    <x v="1"/>
    <x v="0"/>
    <s v="OCBC MYR"/>
    <m/>
    <m/>
    <m/>
    <s v="PV2604013"/>
  </r>
  <r>
    <x v="0"/>
    <x v="1"/>
    <d v="2026-04-01T00:00:00"/>
    <d v="2026-04-30T00:00:00"/>
    <x v="19"/>
    <s v="MYR"/>
    <n v="5764"/>
    <n v="0"/>
    <n v="5764"/>
    <x v="203"/>
    <s v="Golden Dragon Technology Sdn Bhd"/>
    <s v="5051"/>
    <s v="Lease Liabilities - Apr 2026"/>
    <x v="37"/>
    <x v="28"/>
    <x v="5"/>
    <x v="0"/>
    <s v="OCBC MYR"/>
    <m/>
    <m/>
    <m/>
    <s v="PV2604014"/>
  </r>
  <r>
    <x v="0"/>
    <x v="1"/>
    <d v="2026-04-30T00:00:00"/>
    <d v="2026-04-30T00:00:00"/>
    <x v="19"/>
    <s v="MYR"/>
    <m/>
    <m/>
    <m/>
    <x v="272"/>
    <s v="MY Staff"/>
    <s v="Net Pay - April 2026"/>
    <s v="Net Pay - April 2026"/>
    <x v="17"/>
    <x v="8"/>
    <x v="4"/>
    <x v="2"/>
    <m/>
    <m/>
    <m/>
    <m/>
    <m/>
  </r>
  <r>
    <x v="0"/>
    <x v="1"/>
    <d v="2026-04-30T00:00:00"/>
    <d v="2026-04-30T00:00:00"/>
    <x v="19"/>
    <s v="MYR"/>
    <m/>
    <m/>
    <m/>
    <x v="273"/>
    <s v="MY Staff"/>
    <s v="Net Pay - April 2026"/>
    <s v="Net Pay - April 2026"/>
    <x v="17"/>
    <x v="8"/>
    <x v="9"/>
    <x v="4"/>
    <m/>
    <m/>
    <m/>
    <m/>
    <m/>
  </r>
  <r>
    <x v="0"/>
    <x v="1"/>
    <d v="2026-04-30T00:00:00"/>
    <d v="2026-04-30T00:00:00"/>
    <x v="19"/>
    <s v="MYR"/>
    <m/>
    <m/>
    <m/>
    <x v="274"/>
    <s v="MY Staff"/>
    <s v="Net Pay - April 2026"/>
    <s v="Net Pay - April 2026"/>
    <x v="17"/>
    <x v="8"/>
    <x v="10"/>
    <x v="1"/>
    <m/>
    <m/>
    <m/>
    <m/>
    <m/>
  </r>
  <r>
    <x v="0"/>
    <x v="1"/>
    <d v="2026-04-30T00:00:00"/>
    <d v="2026-04-30T00:00:00"/>
    <x v="19"/>
    <s v="MYR"/>
    <m/>
    <m/>
    <m/>
    <x v="275"/>
    <s v="MY Staff"/>
    <s v="Net Pay - April 2026"/>
    <s v="Net Pay - April 2026"/>
    <x v="17"/>
    <x v="8"/>
    <x v="0"/>
    <x v="0"/>
    <m/>
    <m/>
    <m/>
    <m/>
    <m/>
  </r>
  <r>
    <x v="0"/>
    <x v="1"/>
    <d v="2026-04-30T00:00:00"/>
    <d v="2026-04-30T00:00:00"/>
    <x v="19"/>
    <s v="MYR"/>
    <m/>
    <m/>
    <m/>
    <x v="276"/>
    <s v="MY Staff"/>
    <s v="Net Pay - April 2026"/>
    <s v="Net Pay - April 2026"/>
    <x v="17"/>
    <x v="8"/>
    <x v="3"/>
    <x v="0"/>
    <m/>
    <m/>
    <m/>
    <m/>
    <m/>
  </r>
  <r>
    <x v="0"/>
    <x v="1"/>
    <d v="2026-04-30T00:00:00"/>
    <d v="2026-04-30T00:00:00"/>
    <x v="19"/>
    <s v="MYR"/>
    <m/>
    <m/>
    <m/>
    <x v="277"/>
    <s v="MY Staff"/>
    <s v="Net Pay - April 2026"/>
    <s v="Net Pay - April 2026"/>
    <x v="17"/>
    <x v="8"/>
    <x v="8"/>
    <x v="2"/>
    <m/>
    <m/>
    <m/>
    <m/>
    <m/>
  </r>
  <r>
    <x v="0"/>
    <x v="1"/>
    <d v="2026-04-30T00:00:00"/>
    <d v="2026-04-30T00:00:00"/>
    <x v="19"/>
    <s v="MYR"/>
    <n v="1.2"/>
    <n v="0"/>
    <n v="1.2"/>
    <x v="278"/>
    <s v="OCBC MY"/>
    <s v="Bank Charges 30/04/2026"/>
    <s v="Bank charges"/>
    <x v="0"/>
    <x v="0"/>
    <x v="0"/>
    <x v="0"/>
    <s v="OCBC MYR"/>
    <m/>
    <m/>
    <m/>
    <m/>
  </r>
  <r>
    <x v="0"/>
    <x v="1"/>
    <d v="2026-04-30T00:00:00"/>
    <d v="2026-04-30T00:00:00"/>
    <x v="19"/>
    <s v="MYR"/>
    <n v="0.5"/>
    <n v="0"/>
    <n v="0.5"/>
    <x v="206"/>
    <s v="OCBC MY"/>
    <s v="Bank Charges 30/04/2026"/>
    <s v="Bank charges"/>
    <x v="0"/>
    <x v="0"/>
    <x v="0"/>
    <x v="0"/>
    <s v="OCBC MYR"/>
    <m/>
    <m/>
    <m/>
    <m/>
  </r>
  <r>
    <x v="0"/>
    <x v="1"/>
    <d v="2026-04-30T00:00:00"/>
    <d v="2026-04-30T00:00:00"/>
    <x v="19"/>
    <s v="MYR"/>
    <n v="0.5"/>
    <n v="0"/>
    <n v="0.5"/>
    <x v="206"/>
    <s v="OCBC MY"/>
    <s v="Bank Charges 30/04/2026"/>
    <s v="Bank charges"/>
    <x v="0"/>
    <x v="0"/>
    <x v="0"/>
    <x v="0"/>
    <s v="OCBC MYR"/>
    <m/>
    <m/>
    <m/>
    <m/>
  </r>
  <r>
    <x v="0"/>
    <x v="1"/>
    <d v="2026-04-30T00:00:00"/>
    <d v="2026-04-30T00:00:00"/>
    <x v="19"/>
    <s v="MYR"/>
    <n v="-223.82"/>
    <n v="0"/>
    <n v="-223.82"/>
    <x v="279"/>
    <s v="OCBC MYR"/>
    <m/>
    <s v="Interest Income"/>
    <x v="16"/>
    <x v="14"/>
    <x v="0"/>
    <x v="0"/>
    <s v="OCBC MYR"/>
    <m/>
    <m/>
    <m/>
    <s v="OR2604004"/>
  </r>
  <r>
    <x v="0"/>
    <x v="1"/>
    <d v="2026-04-30T00:00:00"/>
    <d v="2026-04-30T00:00:00"/>
    <x v="19"/>
    <s v="MYR"/>
    <n v="10"/>
    <n v="0"/>
    <n v="10"/>
    <x v="246"/>
    <s v="OCBC MYR"/>
    <s v="Bank Charges 30/04/2026"/>
    <s v="Bank Charges"/>
    <x v="0"/>
    <x v="0"/>
    <x v="0"/>
    <x v="0"/>
    <s v="OCBC MYR"/>
    <m/>
    <m/>
    <m/>
    <m/>
  </r>
  <r>
    <x v="0"/>
    <x v="1"/>
    <d v="2026-05-01T00:00:00"/>
    <d v="2026-05-01T00:00:00"/>
    <x v="19"/>
    <s v="MYR"/>
    <n v="10350.69"/>
    <n v="0"/>
    <n v="10350.69"/>
    <x v="280"/>
    <s v="Bandar Utama City Sdn Bhd"/>
    <s v="IV20002665"/>
    <s v="First Avenue rental from 01 May to 31 May 2026"/>
    <x v="23"/>
    <x v="17"/>
    <x v="1"/>
    <x v="0"/>
    <s v="OCBC MYR"/>
    <m/>
    <m/>
    <m/>
    <m/>
  </r>
  <r>
    <x v="0"/>
    <x v="1"/>
    <d v="2026-05-07T00:00:00"/>
    <d v="2026-05-07T00:00:00"/>
    <x v="42"/>
    <s v="MYR"/>
    <n v="40"/>
    <n v="0"/>
    <n v="40"/>
    <x v="281"/>
    <s v="OCBC MYR"/>
    <s v="Bank Charges 07/05/2026"/>
    <s v="Bank Charges"/>
    <x v="0"/>
    <x v="0"/>
    <x v="0"/>
    <x v="0"/>
    <s v="OCBC MYR"/>
    <m/>
    <m/>
    <m/>
    <m/>
  </r>
  <r>
    <x v="0"/>
    <x v="1"/>
    <d v="2026-05-07T00:00:00"/>
    <d v="2026-05-07T00:00:00"/>
    <x v="42"/>
    <s v="MYR"/>
    <n v="3.2"/>
    <n v="0"/>
    <n v="3.2"/>
    <x v="282"/>
    <s v="OCBC MYR"/>
    <s v="Bank Charges 07/05/2026"/>
    <s v="Bank Charges"/>
    <x v="0"/>
    <x v="0"/>
    <x v="0"/>
    <x v="0"/>
    <s v="OCBC MYR"/>
    <m/>
    <m/>
    <m/>
    <m/>
  </r>
  <r>
    <x v="0"/>
    <x v="1"/>
    <d v="2026-04-10T00:00:00"/>
    <d v="2026-04-17T00:00:00"/>
    <x v="22"/>
    <s v="MYR"/>
    <n v="370"/>
    <n v="0"/>
    <n v="370"/>
    <x v="283"/>
    <s v="H Space Holdings Sdn. Bhd."/>
    <s v="2604006"/>
    <s v="To supply labour and material for swaping 2 cubicles by dismantle &amp; reinstall power cable and network cable"/>
    <x v="40"/>
    <x v="31"/>
    <x v="1"/>
    <x v="0"/>
    <m/>
    <m/>
    <m/>
    <m/>
    <m/>
  </r>
  <r>
    <x v="0"/>
    <x v="1"/>
    <d v="2026-04-10T00:00:00"/>
    <d v="2026-04-17T00:00:00"/>
    <x v="22"/>
    <s v="MYR"/>
    <n v="180"/>
    <n v="0"/>
    <n v="180"/>
    <x v="284"/>
    <s v="H Space Holdings Sdn. Bhd."/>
    <s v="2604007"/>
    <s v="One-time deep cleaning for new office space"/>
    <x v="41"/>
    <x v="31"/>
    <x v="1"/>
    <x v="0"/>
    <m/>
    <m/>
    <m/>
    <m/>
    <m/>
  </r>
  <r>
    <x v="0"/>
    <x v="1"/>
    <d v="2026-04-10T00:00:00"/>
    <d v="2026-04-17T00:00:00"/>
    <x v="22"/>
    <s v="MYR"/>
    <n v="470"/>
    <n v="0"/>
    <n v="470"/>
    <x v="285"/>
    <s v="H Space Holdings Sdn. Bhd."/>
    <s v="2604008"/>
    <s v="Monthly cleaning service for office premises"/>
    <x v="41"/>
    <x v="31"/>
    <x v="1"/>
    <x v="0"/>
    <m/>
    <m/>
    <m/>
    <m/>
    <m/>
  </r>
  <r>
    <x v="0"/>
    <x v="1"/>
    <d v="2026-04-10T00:00:00"/>
    <d v="2026-04-17T00:00:00"/>
    <x v="22"/>
    <s v="MYR"/>
    <n v="105"/>
    <n v="0"/>
    <n v="105"/>
    <x v="286"/>
    <s v="H Space Holdings Sdn. Bhd."/>
    <s v="2604009"/>
    <s v="Supply 5 Bottle x 19L mineral water - April 2026"/>
    <x v="5"/>
    <x v="5"/>
    <x v="1"/>
    <x v="0"/>
    <m/>
    <m/>
    <m/>
    <m/>
    <m/>
  </r>
  <r>
    <x v="0"/>
    <x v="1"/>
    <d v="2026-04-24T00:00:00"/>
    <d v="2026-04-24T00:00:00"/>
    <x v="22"/>
    <s v="MYR"/>
    <n v="3701.74"/>
    <n v="0"/>
    <n v="3701.74"/>
    <x v="287"/>
    <s v="Staff Claim Apr26"/>
    <s v="Staff Claim Apr26"/>
    <s v="Total Accommodation - International"/>
    <x v="31"/>
    <x v="1"/>
    <x v="9"/>
    <x v="4"/>
    <m/>
    <m/>
    <m/>
    <m/>
    <m/>
  </r>
  <r>
    <x v="0"/>
    <x v="1"/>
    <d v="2026-04-24T00:00:00"/>
    <d v="2026-04-24T00:00:00"/>
    <x v="22"/>
    <s v="MYR"/>
    <n v="350"/>
    <n v="0"/>
    <n v="350"/>
    <x v="288"/>
    <s v="Staff Claim Apr26"/>
    <s v="Staff Claim Apr26"/>
    <s v="Total Accommodation - National"/>
    <x v="1"/>
    <x v="1"/>
    <x v="0"/>
    <x v="0"/>
    <m/>
    <m/>
    <m/>
    <m/>
    <m/>
  </r>
  <r>
    <x v="0"/>
    <x v="1"/>
    <d v="2026-04-24T00:00:00"/>
    <d v="2026-04-24T00:00:00"/>
    <x v="22"/>
    <s v="MYR"/>
    <n v="519.68000000000006"/>
    <n v="0"/>
    <n v="519.68000000000006"/>
    <x v="289"/>
    <s v="Staff Claim Apr26"/>
    <s v="Staff Claim Apr26"/>
    <s v="Total Personal Meals - International"/>
    <x v="19"/>
    <x v="1"/>
    <x v="9"/>
    <x v="4"/>
    <m/>
    <m/>
    <m/>
    <m/>
    <m/>
  </r>
  <r>
    <x v="0"/>
    <x v="1"/>
    <d v="2026-04-24T00:00:00"/>
    <d v="2026-04-24T00:00:00"/>
    <x v="22"/>
    <s v="MYR"/>
    <n v="93.93"/>
    <n v="0"/>
    <n v="93.93"/>
    <x v="290"/>
    <s v="Staff Claim Apr26"/>
    <s v="Staff Claim Apr26"/>
    <s v="Total Personal Meals - International"/>
    <x v="19"/>
    <x v="1"/>
    <x v="0"/>
    <x v="0"/>
    <m/>
    <m/>
    <m/>
    <m/>
    <m/>
  </r>
  <r>
    <x v="0"/>
    <x v="1"/>
    <d v="2026-04-24T00:00:00"/>
    <d v="2026-04-24T00:00:00"/>
    <x v="22"/>
    <s v="MYR"/>
    <n v="37.049999999999997"/>
    <n v="0"/>
    <n v="37.049999999999997"/>
    <x v="291"/>
    <s v="Staff Claim Apr26"/>
    <s v="Staff Claim Apr26"/>
    <s v="Total Personal Meals - National"/>
    <x v="22"/>
    <x v="1"/>
    <x v="9"/>
    <x v="4"/>
    <m/>
    <m/>
    <m/>
    <m/>
    <m/>
  </r>
  <r>
    <x v="0"/>
    <x v="1"/>
    <d v="2026-04-24T00:00:00"/>
    <d v="2026-04-24T00:00:00"/>
    <x v="22"/>
    <s v="MYR"/>
    <n v="60.25"/>
    <n v="0"/>
    <n v="60.25"/>
    <x v="292"/>
    <s v="Staff Claim Apr26"/>
    <s v="Staff Claim Apr26"/>
    <s v="Total Personal Meals - National"/>
    <x v="22"/>
    <x v="1"/>
    <x v="9"/>
    <x v="4"/>
    <m/>
    <m/>
    <m/>
    <m/>
    <m/>
  </r>
  <r>
    <x v="0"/>
    <x v="1"/>
    <d v="2026-04-30T00:00:00"/>
    <d v="2026-04-30T00:00:00"/>
    <x v="22"/>
    <s v="MYR"/>
    <m/>
    <m/>
    <m/>
    <x v="293"/>
    <s v="MY Staff"/>
    <s v="Net Pay - April 2026"/>
    <s v="Net Pay - April 2026"/>
    <x v="17"/>
    <x v="8"/>
    <x v="4"/>
    <x v="2"/>
    <m/>
    <m/>
    <m/>
    <m/>
    <m/>
  </r>
  <r>
    <x v="0"/>
    <x v="1"/>
    <d v="2026-04-30T00:00:00"/>
    <d v="2026-04-30T00:00:00"/>
    <x v="22"/>
    <s v="MYR"/>
    <m/>
    <m/>
    <m/>
    <x v="294"/>
    <s v="MY Staff"/>
    <s v="Statutory Contribution - April 2026"/>
    <s v="Statutory Contribution - April 2026"/>
    <x v="10"/>
    <x v="8"/>
    <x v="4"/>
    <x v="2"/>
    <m/>
    <m/>
    <m/>
    <m/>
    <m/>
  </r>
  <r>
    <x v="0"/>
    <x v="1"/>
    <d v="2026-04-30T00:00:00"/>
    <d v="2026-04-30T00:00:00"/>
    <x v="22"/>
    <s v="MYR"/>
    <m/>
    <m/>
    <m/>
    <x v="295"/>
    <s v="MY Staff"/>
    <s v="Net Pay - April 2026"/>
    <s v="Net Pay - April 2026"/>
    <x v="17"/>
    <x v="8"/>
    <x v="9"/>
    <x v="4"/>
    <m/>
    <m/>
    <m/>
    <m/>
    <m/>
  </r>
  <r>
    <x v="0"/>
    <x v="1"/>
    <d v="2026-04-30T00:00:00"/>
    <d v="2026-04-30T00:00:00"/>
    <x v="22"/>
    <s v="MYR"/>
    <m/>
    <m/>
    <m/>
    <x v="296"/>
    <s v="MY Staff"/>
    <s v="Net Pay - April 2026"/>
    <s v="Net Pay - April 2026"/>
    <x v="17"/>
    <x v="8"/>
    <x v="10"/>
    <x v="1"/>
    <m/>
    <m/>
    <m/>
    <m/>
    <m/>
  </r>
  <r>
    <x v="0"/>
    <x v="1"/>
    <d v="2026-04-30T00:00:00"/>
    <d v="2026-04-30T00:00:00"/>
    <x v="22"/>
    <s v="MYR"/>
    <m/>
    <m/>
    <m/>
    <x v="297"/>
    <s v="MY Staff"/>
    <s v="Statutory Contribution - April 2026"/>
    <s v="Statutory Contribution - April 2026"/>
    <x v="10"/>
    <x v="8"/>
    <x v="10"/>
    <x v="1"/>
    <m/>
    <m/>
    <m/>
    <m/>
    <m/>
  </r>
  <r>
    <x v="0"/>
    <x v="1"/>
    <d v="2026-04-30T00:00:00"/>
    <d v="2026-04-30T00:00:00"/>
    <x v="22"/>
    <s v="MYR"/>
    <m/>
    <m/>
    <m/>
    <x v="298"/>
    <s v="MY Staff"/>
    <s v="Statutory Contribution - April 2026"/>
    <s v="Statutory Contribution - April 2026"/>
    <x v="10"/>
    <x v="8"/>
    <x v="9"/>
    <x v="4"/>
    <m/>
    <m/>
    <m/>
    <m/>
    <m/>
  </r>
  <r>
    <x v="0"/>
    <x v="1"/>
    <d v="2026-04-30T00:00:00"/>
    <d v="2026-04-30T00:00:00"/>
    <x v="22"/>
    <s v="MYR"/>
    <m/>
    <m/>
    <m/>
    <x v="299"/>
    <s v="MY Staff"/>
    <s v="Net Pay - April 2026"/>
    <s v="Net Pay - April 2026"/>
    <x v="17"/>
    <x v="8"/>
    <x v="0"/>
    <x v="0"/>
    <m/>
    <m/>
    <m/>
    <m/>
    <m/>
  </r>
  <r>
    <x v="0"/>
    <x v="1"/>
    <d v="2026-04-30T00:00:00"/>
    <d v="2026-04-30T00:00:00"/>
    <x v="22"/>
    <s v="MYR"/>
    <m/>
    <m/>
    <m/>
    <x v="300"/>
    <s v="MY Staff"/>
    <s v="Statutory Contribution - April 2026"/>
    <s v="Statutory Contribution - April 2026"/>
    <x v="10"/>
    <x v="8"/>
    <x v="0"/>
    <x v="0"/>
    <m/>
    <m/>
    <m/>
    <m/>
    <m/>
  </r>
  <r>
    <x v="0"/>
    <x v="1"/>
    <d v="2026-04-30T00:00:00"/>
    <d v="2026-04-30T00:00:00"/>
    <x v="22"/>
    <s v="MYR"/>
    <m/>
    <m/>
    <m/>
    <x v="301"/>
    <s v="MY Staff"/>
    <s v="Net Pay - April 2026"/>
    <s v="Net Pay - April 2026"/>
    <x v="17"/>
    <x v="8"/>
    <x v="3"/>
    <x v="0"/>
    <m/>
    <m/>
    <m/>
    <m/>
    <m/>
  </r>
  <r>
    <x v="0"/>
    <x v="1"/>
    <d v="2026-04-30T00:00:00"/>
    <d v="2026-04-30T00:00:00"/>
    <x v="22"/>
    <s v="MYR"/>
    <m/>
    <m/>
    <m/>
    <x v="302"/>
    <s v="MY Staff"/>
    <s v="Statutory Contribution - April 2026"/>
    <s v="Statutory Contribution - April 2026"/>
    <x v="10"/>
    <x v="8"/>
    <x v="3"/>
    <x v="0"/>
    <m/>
    <m/>
    <m/>
    <m/>
    <m/>
  </r>
  <r>
    <x v="0"/>
    <x v="1"/>
    <d v="2026-04-30T00:00:00"/>
    <d v="2026-04-30T00:00:00"/>
    <x v="22"/>
    <s v="MYR"/>
    <m/>
    <m/>
    <m/>
    <x v="303"/>
    <s v="MY Staff"/>
    <s v="Net Pay - April 2026"/>
    <s v="Net Pay - April 2026"/>
    <x v="17"/>
    <x v="8"/>
    <x v="8"/>
    <x v="2"/>
    <m/>
    <m/>
    <m/>
    <m/>
    <m/>
  </r>
  <r>
    <x v="0"/>
    <x v="1"/>
    <d v="2026-04-30T00:00:00"/>
    <d v="2026-04-30T00:00:00"/>
    <x v="22"/>
    <s v="MYR"/>
    <m/>
    <m/>
    <m/>
    <x v="304"/>
    <s v="MY Staff"/>
    <s v="Statutory Contribution - April 2026"/>
    <s v="Statutory Contribution - April 2026"/>
    <x v="10"/>
    <x v="8"/>
    <x v="8"/>
    <x v="2"/>
    <m/>
    <m/>
    <m/>
    <m/>
    <m/>
  </r>
  <r>
    <x v="0"/>
    <x v="1"/>
    <d v="2026-04-30T00:00:00"/>
    <d v="2026-04-30T00:00:00"/>
    <x v="22"/>
    <s v="MYR"/>
    <n v="28"/>
    <n v="0"/>
    <n v="28"/>
    <x v="305"/>
    <s v="Staff Claim Apr26"/>
    <s v="Staff Claim Apr26"/>
    <s v="Total Telecommunication"/>
    <x v="9"/>
    <x v="7"/>
    <x v="0"/>
    <x v="0"/>
    <m/>
    <m/>
    <m/>
    <m/>
    <m/>
  </r>
  <r>
    <x v="0"/>
    <x v="1"/>
    <d v="2026-05-08T00:00:00"/>
    <d v="2026-05-08T00:00:00"/>
    <x v="22"/>
    <s v="MYR"/>
    <n v="1633.58"/>
    <n v="0"/>
    <n v="1633.58"/>
    <x v="306"/>
    <s v="Staff Claim May26"/>
    <s v="Staff Claim May26"/>
    <s v="Total Transportation fee - International"/>
    <x v="6"/>
    <x v="1"/>
    <x v="9"/>
    <x v="4"/>
    <m/>
    <m/>
    <m/>
    <m/>
    <m/>
  </r>
  <r>
    <x v="0"/>
    <x v="1"/>
    <d v="2026-05-08T00:00:00"/>
    <d v="2026-05-08T00:00:00"/>
    <x v="22"/>
    <s v="MYR"/>
    <n v="899.26"/>
    <n v="0"/>
    <n v="899.26"/>
    <x v="307"/>
    <s v="Staff Claim May26"/>
    <s v="Staff Claim May26"/>
    <s v="Total Transportation fee - International"/>
    <x v="6"/>
    <x v="1"/>
    <x v="11"/>
    <x v="0"/>
    <m/>
    <m/>
    <m/>
    <m/>
    <m/>
  </r>
  <r>
    <x v="0"/>
    <x v="1"/>
    <d v="2026-05-08T00:00:00"/>
    <d v="2026-05-08T00:00:00"/>
    <x v="22"/>
    <s v="MYR"/>
    <n v="200"/>
    <n v="0"/>
    <n v="200"/>
    <x v="308"/>
    <s v="Staff Claim May26"/>
    <s v="Staff Claim May26"/>
    <s v="Total Transportation fee - National"/>
    <x v="7"/>
    <x v="1"/>
    <x v="0"/>
    <x v="0"/>
    <m/>
    <m/>
    <m/>
    <m/>
    <m/>
  </r>
  <r>
    <x v="0"/>
    <x v="1"/>
    <d v="2026-05-08T00:00:00"/>
    <d v="2026-05-08T00:00:00"/>
    <x v="22"/>
    <s v="MYR"/>
    <n v="249.02"/>
    <n v="0"/>
    <n v="249.02"/>
    <x v="309"/>
    <s v="Staff Claim May26"/>
    <s v="Staff Claim May26"/>
    <s v="Total Transportation fee - National"/>
    <x v="7"/>
    <x v="1"/>
    <x v="9"/>
    <x v="4"/>
    <m/>
    <m/>
    <m/>
    <m/>
    <m/>
  </r>
  <r>
    <x v="0"/>
    <x v="1"/>
    <d v="2026-05-08T00:00:00"/>
    <d v="2026-05-08T00:00:00"/>
    <x v="22"/>
    <s v="MYR"/>
    <n v="2332.46"/>
    <n v="0"/>
    <n v="2332.46"/>
    <x v="310"/>
    <s v="Staff Claim May26"/>
    <s v="Staff Claim May26"/>
    <s v="Total Transportation fee - National"/>
    <x v="7"/>
    <x v="1"/>
    <x v="0"/>
    <x v="0"/>
    <m/>
    <m/>
    <m/>
    <m/>
    <m/>
  </r>
  <r>
    <x v="0"/>
    <x v="1"/>
    <d v="2026-05-06T00:00:00"/>
    <d v="2026-05-13T00:00:00"/>
    <x v="22"/>
    <s v="MYR"/>
    <n v="450"/>
    <n v="0"/>
    <n v="450"/>
    <x v="311"/>
    <s v="H Space Holdings Sdn. Bhd."/>
    <s v="2605001"/>
    <s v="Supply and delivery of portable fire extinguisher (ABC Dry Powder, 9kg)."/>
    <x v="41"/>
    <x v="31"/>
    <x v="1"/>
    <x v="0"/>
    <m/>
    <m/>
    <m/>
    <m/>
    <m/>
  </r>
  <r>
    <x v="0"/>
    <x v="1"/>
    <d v="2026-05-15T00:00:00"/>
    <d v="2026-05-15T00:00:00"/>
    <x v="22"/>
    <s v="MYR"/>
    <n v="16837"/>
    <n v="0"/>
    <n v="16837"/>
    <x v="312"/>
    <s v="Lembaga Hasil Dalam Negeri (LHDN-Tax)"/>
    <m/>
    <s v="Company Tax Instalment 04/2026"/>
    <x v="33"/>
    <x v="24"/>
    <x v="3"/>
    <x v="0"/>
    <m/>
    <m/>
    <m/>
    <m/>
    <m/>
  </r>
  <r>
    <x v="0"/>
    <x v="1"/>
    <d v="2026-05-15T00:00:00"/>
    <d v="2026-05-15T00:00:00"/>
    <x v="22"/>
    <s v="MYR"/>
    <n v="0.5"/>
    <n v="0"/>
    <n v="0.5"/>
    <x v="313"/>
    <s v="OCBC MYR"/>
    <s v="Bank Charges 15/05/2026"/>
    <s v="Bank Charges"/>
    <x v="0"/>
    <x v="0"/>
    <x v="3"/>
    <x v="0"/>
    <m/>
    <m/>
    <m/>
    <m/>
    <m/>
  </r>
  <r>
    <x v="0"/>
    <x v="1"/>
    <d v="2026-05-15T00:00:00"/>
    <d v="2026-05-15T00:00:00"/>
    <x v="22"/>
    <s v="MYR"/>
    <n v="0.5"/>
    <n v="0"/>
    <n v="0.5"/>
    <x v="313"/>
    <s v="OCBC MYR"/>
    <s v="Bank Charges 15/05/2026"/>
    <s v="Bank Charges"/>
    <x v="0"/>
    <x v="0"/>
    <x v="3"/>
    <x v="0"/>
    <m/>
    <m/>
    <m/>
    <m/>
    <m/>
  </r>
  <r>
    <x v="0"/>
    <x v="1"/>
    <d v="2026-05-21T00:00:00"/>
    <d v="2026-05-21T00:00:00"/>
    <x v="43"/>
    <s v="MYR"/>
    <n v="0.5"/>
    <n v="0"/>
    <n v="0.5"/>
    <x v="314"/>
    <s v="OCBC MYR"/>
    <s v="Bank Charges 21/05/2026"/>
    <s v="Bank Charges"/>
    <x v="0"/>
    <x v="0"/>
    <x v="0"/>
    <x v="0"/>
    <s v="OCBC MYR"/>
    <m/>
    <m/>
    <m/>
    <m/>
  </r>
  <r>
    <x v="0"/>
    <x v="1"/>
    <d v="2026-04-23T00:00:00"/>
    <d v="2026-05-23T00:00:00"/>
    <x v="43"/>
    <s v="MYR"/>
    <n v="40107.839999999997"/>
    <n v="3208.63"/>
    <n v="43316.47"/>
    <x v="315"/>
    <s v="Shinjiru Technology Sdn Bhd"/>
    <s v="Invoice #1885857"/>
    <s v="RENEWAL: Power BI Pro, Microsoft 365 Business Premium, Microsoft 365 Business Basic"/>
    <x v="8"/>
    <x v="6"/>
    <x v="5"/>
    <x v="0"/>
    <s v=" OCBC MYR "/>
    <s v="PV2605014"/>
    <m/>
    <m/>
    <m/>
  </r>
  <r>
    <x v="0"/>
    <x v="1"/>
    <d v="2026-05-07T00:00:00"/>
    <d v="2026-05-07T00:00:00"/>
    <x v="44"/>
    <s v="MYR"/>
    <n v="978.78"/>
    <n v="0"/>
    <n v="978.78"/>
    <x v="316"/>
    <s v="AIA Bhd"/>
    <s v="Policy 86002530"/>
    <s v="Medical group insurance"/>
    <x v="4"/>
    <x v="4"/>
    <x v="1"/>
    <x v="0"/>
    <s v="OCBC MYR"/>
    <s v="PV2605017"/>
    <m/>
    <m/>
    <m/>
  </r>
  <r>
    <x v="0"/>
    <x v="1"/>
    <d v="2026-04-25T00:00:00"/>
    <d v="2026-05-16T00:00:00"/>
    <x v="44"/>
    <s v="MYR"/>
    <n v="379"/>
    <n v="22.75"/>
    <n v="401.75"/>
    <x v="317"/>
    <s v="TM Technology Services Sdn Bhd"/>
    <s v="Inv.010110820890"/>
    <s v="Unifi Business Exclusive 500M + Simple Voice Plus 70 (ST)"/>
    <x v="26"/>
    <x v="19"/>
    <x v="5"/>
    <x v="0"/>
    <s v="OCBC MYR"/>
    <s v="PV2605016"/>
    <m/>
    <m/>
    <m/>
  </r>
  <r>
    <x v="0"/>
    <x v="1"/>
    <d v="2026-05-29T00:00:00"/>
    <d v="2026-05-29T00:00:00"/>
    <x v="45"/>
    <s v="MYR"/>
    <n v="0.1"/>
    <n v="0"/>
    <n v="0.1"/>
    <x v="318"/>
    <s v="OCBC MY"/>
    <s v="Bank Charges 29/05/2026"/>
    <s v="Bank charges"/>
    <x v="0"/>
    <x v="0"/>
    <x v="0"/>
    <x v="0"/>
    <m/>
    <m/>
    <m/>
    <m/>
    <m/>
  </r>
  <r>
    <x v="0"/>
    <x v="1"/>
    <d v="2026-05-29T00:00:00"/>
    <d v="2026-05-29T00:00:00"/>
    <x v="45"/>
    <s v="MYR"/>
    <n v="1.2"/>
    <n v="0"/>
    <n v="1.2"/>
    <x v="319"/>
    <s v="OCBC MY"/>
    <s v="Bank Charges 29/05/2026"/>
    <s v="Bank charges"/>
    <x v="0"/>
    <x v="0"/>
    <x v="0"/>
    <x v="0"/>
    <m/>
    <m/>
    <m/>
    <m/>
    <m/>
  </r>
  <r>
    <x v="0"/>
    <x v="1"/>
    <d v="2026-05-07T00:00:00"/>
    <d v="2026-06-06T00:00:00"/>
    <x v="45"/>
    <s v="MYR"/>
    <n v="-4000"/>
    <n v="0"/>
    <n v="-4000"/>
    <x v="320"/>
    <s v="Dai-Ichi Jitsugyo (Malaysia) Sdn Bhd"/>
    <s v="INV 2605003"/>
    <s v="Enhancement for Burn In and I/R Simulation Project"/>
    <x v="15"/>
    <x v="13"/>
    <x v="8"/>
    <x v="2"/>
    <m/>
    <m/>
    <m/>
    <m/>
    <m/>
  </r>
  <r>
    <x v="0"/>
    <x v="1"/>
    <d v="2026-05-05T00:00:00"/>
    <d v="2026-05-05T00:00:00"/>
    <x v="46"/>
    <s v="MYR"/>
    <m/>
    <m/>
    <m/>
    <x v="321"/>
    <s v="MY Staff"/>
    <s v="Net Pay - May 2026"/>
    <s v="Net Pay - May 2026"/>
    <x v="17"/>
    <x v="8"/>
    <x v="8"/>
    <x v="2"/>
    <m/>
    <m/>
    <m/>
    <m/>
    <m/>
  </r>
  <r>
    <x v="0"/>
    <x v="1"/>
    <d v="2026-05-31T00:00:00"/>
    <d v="2026-05-31T00:00:00"/>
    <x v="45"/>
    <s v="MYR"/>
    <m/>
    <m/>
    <m/>
    <x v="322"/>
    <s v="MY Staff"/>
    <s v="Net Pay - May 2026"/>
    <s v="Net Pay - May 2026"/>
    <x v="17"/>
    <x v="8"/>
    <x v="4"/>
    <x v="2"/>
    <m/>
    <m/>
    <m/>
    <m/>
    <m/>
  </r>
  <r>
    <x v="0"/>
    <x v="1"/>
    <d v="2026-05-31T00:00:00"/>
    <d v="2026-05-31T00:00:00"/>
    <x v="45"/>
    <s v="MYR"/>
    <m/>
    <m/>
    <m/>
    <x v="323"/>
    <s v="MY Staff"/>
    <s v="Net Pay - May 2026"/>
    <s v="Net Pay - May 2026"/>
    <x v="17"/>
    <x v="8"/>
    <x v="9"/>
    <x v="4"/>
    <m/>
    <m/>
    <m/>
    <m/>
    <m/>
  </r>
  <r>
    <x v="0"/>
    <x v="1"/>
    <d v="2026-05-31T00:00:00"/>
    <d v="2026-05-31T00:00:00"/>
    <x v="45"/>
    <s v="MYR"/>
    <m/>
    <m/>
    <m/>
    <x v="324"/>
    <s v="MY Staff"/>
    <s v="Net Pay - May 2026"/>
    <s v="Net Pay - May 2026"/>
    <x v="17"/>
    <x v="8"/>
    <x v="0"/>
    <x v="0"/>
    <m/>
    <m/>
    <m/>
    <m/>
    <m/>
  </r>
  <r>
    <x v="0"/>
    <x v="1"/>
    <d v="2026-05-31T00:00:00"/>
    <d v="2026-05-31T00:00:00"/>
    <x v="45"/>
    <s v="MYR"/>
    <m/>
    <m/>
    <m/>
    <x v="325"/>
    <s v="MY Staff"/>
    <s v="Net Pay - May 2026"/>
    <s v="Net Pay - May 2026"/>
    <x v="17"/>
    <x v="8"/>
    <x v="10"/>
    <x v="1"/>
    <m/>
    <m/>
    <m/>
    <m/>
    <m/>
  </r>
  <r>
    <x v="0"/>
    <x v="1"/>
    <d v="2026-05-31T00:00:00"/>
    <d v="2026-05-31T00:00:00"/>
    <x v="45"/>
    <s v="MYR"/>
    <m/>
    <m/>
    <m/>
    <x v="326"/>
    <s v="MY Staff"/>
    <s v="Net Pay - May 2026"/>
    <s v="Net Pay - May 2026"/>
    <x v="17"/>
    <x v="8"/>
    <x v="8"/>
    <x v="2"/>
    <m/>
    <m/>
    <m/>
    <m/>
    <m/>
  </r>
  <r>
    <x v="0"/>
    <x v="1"/>
    <d v="2026-05-31T00:00:00"/>
    <d v="2026-05-31T00:00:00"/>
    <x v="26"/>
    <s v="MYR"/>
    <n v="-134.93"/>
    <n v="0"/>
    <n v="-134.93"/>
    <x v="327"/>
    <s v="OCBC MYR"/>
    <m/>
    <s v="Interest Income"/>
    <x v="16"/>
    <x v="14"/>
    <x v="0"/>
    <x v="0"/>
    <m/>
    <m/>
    <m/>
    <m/>
    <m/>
  </r>
  <r>
    <x v="0"/>
    <x v="1"/>
    <d v="2026-05-31T00:00:00"/>
    <d v="2026-05-31T00:00:00"/>
    <x v="26"/>
    <s v="MYR"/>
    <n v="10"/>
    <n v="0"/>
    <n v="10"/>
    <x v="319"/>
    <s v="OCBC MYR"/>
    <s v="Bank Charges 31/05/2026"/>
    <s v="Bank Charges"/>
    <x v="0"/>
    <x v="0"/>
    <x v="0"/>
    <x v="0"/>
    <m/>
    <m/>
    <m/>
    <m/>
    <m/>
  </r>
  <r>
    <x v="0"/>
    <x v="1"/>
    <d v="2026-04-05T00:00:00"/>
    <d v="2026-03-06T00:00:00"/>
    <x v="47"/>
    <s v="MYR"/>
    <n v="5780"/>
    <n v="0"/>
    <n v="5780"/>
    <x v="328"/>
    <s v="Golden Dragon Technology Sdn Bhd"/>
    <n v="5150"/>
    <s v="PO-0023 - AOC 27&quot; 27B36X monitor_x000a_PO-0023 - Brother DCP-L3560CDW Laser Printer"/>
    <x v="5"/>
    <x v="5"/>
    <x v="5"/>
    <x v="0"/>
    <m/>
    <m/>
    <m/>
    <m/>
    <m/>
  </r>
  <r>
    <x v="0"/>
    <x v="1"/>
    <d v="2026-06-01T00:00:00"/>
    <d v="2026-06-01T00:00:00"/>
    <x v="47"/>
    <s v="MYR"/>
    <n v="9764.7999999999993"/>
    <n v="585.89"/>
    <n v="10350.689999999999"/>
    <x v="329"/>
    <s v="Bandar Utama City Sdn Bhd"/>
    <s v="IV20002797"/>
    <s v="First Avenue rental from 01 June to 30 June 2026"/>
    <x v="23"/>
    <x v="17"/>
    <x v="1"/>
    <x v="0"/>
    <m/>
    <m/>
    <m/>
    <m/>
    <m/>
  </r>
  <r>
    <x v="0"/>
    <x v="1"/>
    <d v="2026-06-02T00:00:00"/>
    <d v="2026-06-02T00:00:00"/>
    <x v="47"/>
    <s v="MYR"/>
    <n v="0.5"/>
    <n v="0"/>
    <n v="0.5"/>
    <x v="319"/>
    <s v="OCBC MYR"/>
    <s v="Bank Charges 02/06/2026"/>
    <s v="Bank Charges"/>
    <x v="0"/>
    <x v="0"/>
    <x v="0"/>
    <x v="0"/>
    <m/>
    <m/>
    <m/>
    <m/>
    <m/>
  </r>
  <r>
    <x v="0"/>
    <x v="1"/>
    <d v="2026-06-02T00:00:00"/>
    <d v="2026-06-02T00:00:00"/>
    <x v="47"/>
    <s v="MYR"/>
    <n v="0.5"/>
    <n v="0"/>
    <n v="0.5"/>
    <x v="319"/>
    <s v="OCBC MYR"/>
    <s v="Bank Charges 02/06/2026"/>
    <s v="Bank Charges"/>
    <x v="0"/>
    <x v="0"/>
    <x v="0"/>
    <x v="0"/>
    <m/>
    <m/>
    <m/>
    <m/>
    <m/>
  </r>
  <r>
    <x v="0"/>
    <x v="1"/>
    <d v="2026-06-02T00:00:00"/>
    <d v="2026-06-02T00:00:00"/>
    <x v="47"/>
    <s v="MYR"/>
    <n v="0.5"/>
    <n v="0"/>
    <n v="0.5"/>
    <x v="319"/>
    <s v="OCBC MYR"/>
    <s v="Bank Charges 02/06/2026"/>
    <s v="Bank Charges"/>
    <x v="0"/>
    <x v="0"/>
    <x v="0"/>
    <x v="0"/>
    <m/>
    <m/>
    <m/>
    <m/>
    <m/>
  </r>
  <r>
    <x v="0"/>
    <x v="1"/>
    <d v="2026-11-05T00:00:00"/>
    <s v="14/05/2026"/>
    <x v="47"/>
    <s v="MYR"/>
    <n v="1647.07"/>
    <n v="131.77000000000001"/>
    <n v="1778.84"/>
    <x v="330"/>
    <s v="Shinjiru Technology Sdn Bhd"/>
    <s v="Invoice #1889186"/>
    <s v="Microsoft 365 Copilot for Business Domain: aphaxinnovation.onmicrosoft.com"/>
    <x v="8"/>
    <x v="6"/>
    <x v="5"/>
    <x v="0"/>
    <m/>
    <m/>
    <m/>
    <m/>
    <m/>
  </r>
  <r>
    <x v="0"/>
    <x v="1"/>
    <d v="2026-01-05T00:00:00"/>
    <s v="31/05/2026"/>
    <x v="47"/>
    <s v="MYR"/>
    <n v="5764"/>
    <n v="0"/>
    <n v="5764"/>
    <x v="331"/>
    <s v="Golden Dragon Technology Sdn Bhd"/>
    <n v="5136"/>
    <s v="Lease Liabilities - May 2026"/>
    <x v="13"/>
    <x v="11"/>
    <x v="5"/>
    <x v="0"/>
    <m/>
    <m/>
    <m/>
    <m/>
    <m/>
  </r>
  <r>
    <x v="0"/>
    <x v="1"/>
    <d v="2026-06-02T00:00:00"/>
    <d v="2026-06-02T00:00:00"/>
    <x v="47"/>
    <s v="MYR"/>
    <n v="0.5"/>
    <n v="0"/>
    <n v="0.5"/>
    <x v="319"/>
    <s v="OCBC MYR"/>
    <s v="Bank Charges 02/06/2026"/>
    <s v="Bank Charges"/>
    <x v="0"/>
    <x v="0"/>
    <x v="0"/>
    <x v="0"/>
    <m/>
    <m/>
    <m/>
    <m/>
    <m/>
  </r>
  <r>
    <x v="0"/>
    <x v="1"/>
    <d v="2026-04-05T00:00:00"/>
    <d v="2026-03-06T00:00:00"/>
    <x v="47"/>
    <s v="MYR"/>
    <n v="5780"/>
    <n v="0"/>
    <n v="5780"/>
    <x v="328"/>
    <s v="Golden Dragon Technology Sdn Bhd"/>
    <n v="5150"/>
    <s v="PO-0023 - AOC 27&quot; 27B36X monitor_x000a_PO-0023 - Brother DCP-L3560CDW Laser Printer"/>
    <x v="5"/>
    <x v="5"/>
    <x v="5"/>
    <x v="0"/>
    <m/>
    <m/>
    <m/>
    <m/>
    <m/>
  </r>
  <r>
    <x v="0"/>
    <x v="1"/>
    <d v="2026-06-02T00:00:00"/>
    <d v="2026-06-02T00:00:00"/>
    <x v="47"/>
    <s v="MYR"/>
    <n v="0.5"/>
    <n v="0"/>
    <n v="0.5"/>
    <x v="319"/>
    <s v="OCBC MYR"/>
    <s v="Bank Charges 02/06/2026"/>
    <s v="Bank Charges"/>
    <x v="0"/>
    <x v="0"/>
    <x v="0"/>
    <x v="0"/>
    <m/>
    <m/>
    <m/>
    <m/>
    <m/>
  </r>
  <r>
    <x v="0"/>
    <x v="1"/>
    <d v="2026-11-05T00:00:00"/>
    <s v="14/05/2026"/>
    <x v="47"/>
    <s v="MYR"/>
    <n v="1647.07"/>
    <n v="131.77000000000001"/>
    <n v="1778.84"/>
    <x v="330"/>
    <s v="Shinjiru Technology Sdn Bhd"/>
    <s v="Invoice #1889186"/>
    <s v="Microsoft 365 Copilot for Business Domain: aphaxinnovation.onmicrosoft.com"/>
    <x v="8"/>
    <x v="6"/>
    <x v="5"/>
    <x v="0"/>
    <m/>
    <m/>
    <m/>
    <m/>
    <m/>
  </r>
  <r>
    <x v="0"/>
    <x v="1"/>
    <d v="2026-06-15T00:00:00"/>
    <d v="2026-06-15T00:00:00"/>
    <x v="27"/>
    <s v="MYR"/>
    <n v="700"/>
    <n v="0"/>
    <n v="700"/>
    <x v="332"/>
    <s v="Staff Claim May26"/>
    <s v="Staff Claim May26"/>
    <s v="Total Accommodation - National"/>
    <x v="1"/>
    <x v="1"/>
    <x v="9"/>
    <x v="4"/>
    <m/>
    <m/>
    <m/>
    <m/>
    <m/>
  </r>
  <r>
    <x v="0"/>
    <x v="1"/>
    <d v="2026-06-15T00:00:00"/>
    <d v="2026-06-15T00:00:00"/>
    <x v="27"/>
    <s v="MYR"/>
    <n v="1484.8"/>
    <n v="0"/>
    <n v="1484.8"/>
    <x v="333"/>
    <s v="Staff Claim May26"/>
    <s v="Staff Claim May26"/>
    <s v="Total Business Meals - National"/>
    <x v="34"/>
    <x v="25"/>
    <x v="9"/>
    <x v="4"/>
    <m/>
    <m/>
    <m/>
    <m/>
    <m/>
  </r>
  <r>
    <x v="0"/>
    <x v="1"/>
    <d v="2026-06-15T00:00:00"/>
    <d v="2026-06-15T00:00:00"/>
    <x v="27"/>
    <s v="MYR"/>
    <n v="967.82"/>
    <n v="0"/>
    <n v="967.82"/>
    <x v="334"/>
    <s v="Staff Claim May26"/>
    <s v="Staff Claim May26"/>
    <s v="Total General Expenses"/>
    <x v="3"/>
    <x v="3"/>
    <x v="1"/>
    <x v="0"/>
    <m/>
    <m/>
    <m/>
    <m/>
    <m/>
  </r>
  <r>
    <x v="0"/>
    <x v="1"/>
    <d v="2026-06-15T00:00:00"/>
    <d v="2026-06-15T00:00:00"/>
    <x v="27"/>
    <s v="MYR"/>
    <n v="29.74"/>
    <n v="0"/>
    <n v="29.74"/>
    <x v="335"/>
    <s v="Staff Claim May26"/>
    <s v="Staff Claim May26"/>
    <s v="Total General Expenses"/>
    <x v="3"/>
    <x v="3"/>
    <x v="9"/>
    <x v="4"/>
    <m/>
    <m/>
    <m/>
    <m/>
    <m/>
  </r>
  <r>
    <x v="0"/>
    <x v="1"/>
    <d v="2026-06-15T00:00:00"/>
    <d v="2026-06-15T00:00:00"/>
    <x v="27"/>
    <s v="MYR"/>
    <n v="40.99"/>
    <n v="0"/>
    <n v="40.99"/>
    <x v="336"/>
    <s v="Staff Claim May26"/>
    <s v="Staff Claim May26"/>
    <s v="Total Office Supplies"/>
    <x v="5"/>
    <x v="5"/>
    <x v="1"/>
    <x v="0"/>
    <m/>
    <m/>
    <m/>
    <m/>
    <m/>
  </r>
  <r>
    <x v="0"/>
    <x v="1"/>
    <d v="2026-06-15T00:00:00"/>
    <d v="2026-06-15T00:00:00"/>
    <x v="27"/>
    <s v="MYR"/>
    <n v="204.1"/>
    <n v="0"/>
    <n v="204.1"/>
    <x v="337"/>
    <s v="Staff Claim May26"/>
    <s v="Staff Claim May26"/>
    <s v="Total Personal Meals - National"/>
    <x v="22"/>
    <x v="1"/>
    <x v="9"/>
    <x v="4"/>
    <m/>
    <m/>
    <m/>
    <m/>
    <m/>
  </r>
  <r>
    <x v="0"/>
    <x v="1"/>
    <d v="2026-06-15T00:00:00"/>
    <d v="2026-06-15T00:00:00"/>
    <x v="27"/>
    <s v="MYR"/>
    <n v="198"/>
    <n v="0"/>
    <n v="198"/>
    <x v="338"/>
    <s v="Staff Claim May26"/>
    <s v="Staff Claim May26"/>
    <s v="Total Staff Welfare - Gift &amp; Tokens"/>
    <x v="20"/>
    <x v="4"/>
    <x v="4"/>
    <x v="2"/>
    <m/>
    <m/>
    <m/>
    <m/>
    <m/>
  </r>
  <r>
    <x v="0"/>
    <x v="1"/>
    <d v="2026-06-15T00:00:00"/>
    <d v="2026-06-15T00:00:00"/>
    <x v="27"/>
    <s v="MYR"/>
    <n v="198.25"/>
    <n v="0"/>
    <n v="198.25"/>
    <x v="339"/>
    <s v="Staff Claim May26"/>
    <s v="Staff Claim May26"/>
    <s v="Total Staff Welfare - Gift &amp; Tokens"/>
    <x v="20"/>
    <x v="4"/>
    <x v="9"/>
    <x v="4"/>
    <m/>
    <m/>
    <m/>
    <m/>
    <m/>
  </r>
  <r>
    <x v="0"/>
    <x v="1"/>
    <d v="2026-06-15T00:00:00"/>
    <d v="2026-06-15T00:00:00"/>
    <x v="27"/>
    <s v="MYR"/>
    <n v="364.45"/>
    <n v="0"/>
    <n v="364.45"/>
    <x v="340"/>
    <s v="Staff Claim May26"/>
    <s v="Staff Claim May26"/>
    <s v="Total Staff Welfare - Meal &amp; Refreshment"/>
    <x v="18"/>
    <x v="4"/>
    <x v="1"/>
    <x v="0"/>
    <m/>
    <m/>
    <m/>
    <m/>
    <m/>
  </r>
  <r>
    <x v="0"/>
    <x v="1"/>
    <d v="2026-06-15T00:00:00"/>
    <d v="2026-06-15T00:00:00"/>
    <x v="27"/>
    <s v="MYR"/>
    <n v="6887"/>
    <n v="0"/>
    <n v="6887"/>
    <x v="341"/>
    <s v="Staff Claim May26"/>
    <s v="Staff Claim May26"/>
    <s v="Total Staff Welfare - Professional Subscription"/>
    <x v="42"/>
    <x v="4"/>
    <x v="3"/>
    <x v="0"/>
    <m/>
    <m/>
    <m/>
    <m/>
    <m/>
  </r>
  <r>
    <x v="0"/>
    <x v="1"/>
    <d v="2026-06-15T00:00:00"/>
    <d v="2026-06-15T00:00:00"/>
    <x v="27"/>
    <s v="MYR"/>
    <n v="28"/>
    <n v="0"/>
    <n v="28"/>
    <x v="342"/>
    <s v="Staff Claim May26"/>
    <s v="Staff Claim May26"/>
    <s v="Total Telecommunication"/>
    <x v="9"/>
    <x v="7"/>
    <x v="9"/>
    <x v="4"/>
    <m/>
    <m/>
    <m/>
    <m/>
    <m/>
  </r>
  <r>
    <x v="0"/>
    <x v="1"/>
    <d v="2026-06-15T00:00:00"/>
    <d v="2026-06-15T00:00:00"/>
    <x v="27"/>
    <s v="MYR"/>
    <n v="905.55"/>
    <n v="0"/>
    <n v="905.55"/>
    <x v="343"/>
    <s v="Staff Claim May26"/>
    <s v="Staff Claim May26"/>
    <s v="Total Transportation fee - International"/>
    <x v="6"/>
    <x v="1"/>
    <x v="9"/>
    <x v="4"/>
    <m/>
    <m/>
    <m/>
    <m/>
    <m/>
  </r>
  <r>
    <x v="0"/>
    <x v="1"/>
    <d v="2026-06-15T00:00:00"/>
    <d v="2026-06-15T00:00:00"/>
    <x v="27"/>
    <s v="MYR"/>
    <n v="395.3"/>
    <n v="0"/>
    <n v="395.3"/>
    <x v="344"/>
    <s v="Staff Claim May26"/>
    <s v="Staff Claim May26"/>
    <s v="Total Transportation fee - National"/>
    <x v="7"/>
    <x v="1"/>
    <x v="4"/>
    <x v="2"/>
    <m/>
    <m/>
    <m/>
    <m/>
    <m/>
  </r>
  <r>
    <x v="0"/>
    <x v="1"/>
    <d v="2026-06-15T00:00:00"/>
    <d v="2026-06-15T00:00:00"/>
    <x v="27"/>
    <s v="MYR"/>
    <n v="1876.7900000000002"/>
    <n v="0"/>
    <n v="1876.7900000000002"/>
    <x v="345"/>
    <s v="Staff Claim May26"/>
    <s v="Staff Claim May26"/>
    <s v="Total Transportation fee - National"/>
    <x v="7"/>
    <x v="1"/>
    <x v="9"/>
    <x v="4"/>
    <m/>
    <m/>
    <m/>
    <m/>
    <m/>
  </r>
  <r>
    <x v="0"/>
    <x v="1"/>
    <d v="2026-06-15T00:00:00"/>
    <d v="2026-06-15T00:00:00"/>
    <x v="27"/>
    <s v="MYR"/>
    <n v="0.5"/>
    <n v="0"/>
    <n v="0.5"/>
    <x v="319"/>
    <s v="OCBC MYR"/>
    <s v="Bank Charges 15/06/2026"/>
    <s v="Bank Charges"/>
    <x v="0"/>
    <x v="0"/>
    <x v="0"/>
    <x v="0"/>
    <m/>
    <m/>
    <m/>
    <m/>
    <m/>
  </r>
  <r>
    <x v="0"/>
    <x v="1"/>
    <d v="2026-05-31T00:00:00"/>
    <d v="2026-05-31T00:00:00"/>
    <x v="27"/>
    <s v="MYR"/>
    <m/>
    <m/>
    <m/>
    <x v="346"/>
    <s v="MY Staff"/>
    <s v="Net Pay - May 2026"/>
    <s v="Net Pay - May 2026"/>
    <x v="17"/>
    <x v="8"/>
    <x v="4"/>
    <x v="2"/>
    <m/>
    <m/>
    <m/>
    <m/>
    <m/>
  </r>
  <r>
    <x v="0"/>
    <x v="1"/>
    <d v="2026-05-31T00:00:00"/>
    <d v="2026-05-31T00:00:00"/>
    <x v="27"/>
    <s v="MYR"/>
    <m/>
    <m/>
    <m/>
    <x v="347"/>
    <s v="MY Staff"/>
    <s v="Statutory Contribution - May 2026"/>
    <s v="Statutory Contribution - May 2026"/>
    <x v="10"/>
    <x v="8"/>
    <x v="4"/>
    <x v="2"/>
    <m/>
    <m/>
    <m/>
    <m/>
    <m/>
  </r>
  <r>
    <x v="0"/>
    <x v="1"/>
    <d v="2026-05-31T00:00:00"/>
    <d v="2026-05-31T00:00:00"/>
    <x v="27"/>
    <s v="MYR"/>
    <m/>
    <m/>
    <m/>
    <x v="348"/>
    <s v="MY Staff"/>
    <s v="Net Pay - May 2026"/>
    <s v="Net Pay - May 2026"/>
    <x v="17"/>
    <x v="8"/>
    <x v="9"/>
    <x v="4"/>
    <m/>
    <m/>
    <m/>
    <m/>
    <m/>
  </r>
  <r>
    <x v="0"/>
    <x v="1"/>
    <d v="2026-05-31T00:00:00"/>
    <d v="2026-05-31T00:00:00"/>
    <x v="27"/>
    <s v="MYR"/>
    <m/>
    <m/>
    <m/>
    <x v="349"/>
    <s v="MY Staff"/>
    <s v="Statutory Contribution - May 2026"/>
    <s v="Statutory Contribution - May 2026"/>
    <x v="10"/>
    <x v="8"/>
    <x v="9"/>
    <x v="4"/>
    <m/>
    <m/>
    <m/>
    <m/>
    <m/>
  </r>
  <r>
    <x v="0"/>
    <x v="1"/>
    <d v="2026-05-31T00:00:00"/>
    <d v="2026-05-31T00:00:00"/>
    <x v="27"/>
    <s v="MYR"/>
    <m/>
    <m/>
    <m/>
    <x v="350"/>
    <s v="MY Staff"/>
    <s v="Net Pay - May 2026"/>
    <s v="Net Pay - May 2026"/>
    <x v="17"/>
    <x v="8"/>
    <x v="0"/>
    <x v="0"/>
    <m/>
    <m/>
    <m/>
    <m/>
    <m/>
  </r>
  <r>
    <x v="0"/>
    <x v="1"/>
    <d v="2026-05-31T00:00:00"/>
    <d v="2026-05-31T00:00:00"/>
    <x v="27"/>
    <s v="MYR"/>
    <m/>
    <m/>
    <m/>
    <x v="351"/>
    <s v="MY Staff"/>
    <s v="Statutory Contribution - May 2026"/>
    <s v="Statutory Contribution - May 2026"/>
    <x v="10"/>
    <x v="8"/>
    <x v="0"/>
    <x v="0"/>
    <m/>
    <m/>
    <m/>
    <m/>
    <m/>
  </r>
  <r>
    <x v="0"/>
    <x v="1"/>
    <d v="2026-05-31T00:00:00"/>
    <d v="2026-05-31T00:00:00"/>
    <x v="27"/>
    <s v="MYR"/>
    <m/>
    <m/>
    <m/>
    <x v="352"/>
    <s v="MY Staff"/>
    <s v="Net Pay - May 2026"/>
    <s v="Net Pay - May 2026"/>
    <x v="17"/>
    <x v="8"/>
    <x v="3"/>
    <x v="0"/>
    <m/>
    <m/>
    <m/>
    <m/>
    <m/>
  </r>
  <r>
    <x v="0"/>
    <x v="1"/>
    <d v="2026-05-31T00:00:00"/>
    <d v="2026-05-31T00:00:00"/>
    <x v="27"/>
    <s v="MYR"/>
    <m/>
    <m/>
    <m/>
    <x v="353"/>
    <s v="MY Staff"/>
    <s v="Statutory Contribution - May 2026"/>
    <s v="Statutory Contribution - May 2026"/>
    <x v="10"/>
    <x v="8"/>
    <x v="3"/>
    <x v="0"/>
    <m/>
    <m/>
    <m/>
    <m/>
    <m/>
  </r>
  <r>
    <x v="0"/>
    <x v="1"/>
    <d v="2026-05-31T00:00:00"/>
    <d v="2026-05-31T00:00:00"/>
    <x v="27"/>
    <s v="MYR"/>
    <m/>
    <m/>
    <m/>
    <x v="354"/>
    <s v="MY Staff"/>
    <s v="Net Pay - May 2026"/>
    <s v="Net Pay - May 2026"/>
    <x v="17"/>
    <x v="8"/>
    <x v="10"/>
    <x v="1"/>
    <m/>
    <m/>
    <m/>
    <m/>
    <m/>
  </r>
  <r>
    <x v="0"/>
    <x v="1"/>
    <d v="2026-05-31T00:00:00"/>
    <d v="2026-05-31T00:00:00"/>
    <x v="27"/>
    <s v="MYR"/>
    <m/>
    <m/>
    <m/>
    <x v="355"/>
    <s v="MY Staff"/>
    <s v="Statutory Contribution - May 2026"/>
    <s v="Statutory Contribution - May 2026"/>
    <x v="10"/>
    <x v="8"/>
    <x v="10"/>
    <x v="1"/>
    <m/>
    <m/>
    <m/>
    <m/>
    <m/>
  </r>
  <r>
    <x v="0"/>
    <x v="1"/>
    <d v="2026-05-31T00:00:00"/>
    <d v="2026-05-31T00:00:00"/>
    <x v="27"/>
    <s v="MYR"/>
    <m/>
    <m/>
    <m/>
    <x v="356"/>
    <s v="MY Staff"/>
    <s v="Net Pay - May 2026"/>
    <s v="Net Pay - May 2026"/>
    <x v="17"/>
    <x v="8"/>
    <x v="8"/>
    <x v="2"/>
    <m/>
    <m/>
    <m/>
    <m/>
    <m/>
  </r>
  <r>
    <x v="0"/>
    <x v="1"/>
    <d v="2026-05-31T00:00:00"/>
    <d v="2026-05-31T00:00:00"/>
    <x v="27"/>
    <s v="MYR"/>
    <m/>
    <m/>
    <m/>
    <x v="357"/>
    <s v="MY Staff"/>
    <s v="Statutory Contribution - May 2026"/>
    <s v="Statutory Contribution - May 2026"/>
    <x v="10"/>
    <x v="8"/>
    <x v="8"/>
    <x v="2"/>
    <m/>
    <m/>
    <m/>
    <m/>
    <m/>
  </r>
  <r>
    <x v="0"/>
    <x v="1"/>
    <d v="2026-06-18T00:00:00"/>
    <d v="2026-06-18T00:00:00"/>
    <x v="48"/>
    <s v="MYR"/>
    <n v="16837"/>
    <n v="0"/>
    <n v="16837"/>
    <x v="358"/>
    <s v="Lembaga Hasil Dalam Negeri (LHDN-Tax)"/>
    <m/>
    <s v="Company Tax Instalment 05/2026"/>
    <x v="33"/>
    <x v="24"/>
    <x v="3"/>
    <x v="0"/>
    <m/>
    <m/>
    <m/>
    <m/>
    <m/>
  </r>
  <r>
    <x v="1"/>
    <x v="1"/>
    <d v="2026-06-30T00:00:00"/>
    <d v="2026-06-30T00:00:00"/>
    <x v="28"/>
    <s v="MYR"/>
    <m/>
    <m/>
    <m/>
    <x v="359"/>
    <s v="MY Staff"/>
    <m/>
    <s v="Net Pay - 06/26"/>
    <x v="17"/>
    <x v="8"/>
    <x v="4"/>
    <x v="2"/>
    <m/>
    <m/>
    <m/>
    <m/>
    <m/>
  </r>
  <r>
    <x v="1"/>
    <x v="1"/>
    <d v="2026-06-30T00:00:00"/>
    <d v="2026-06-30T00:00:00"/>
    <x v="28"/>
    <s v="MYR"/>
    <m/>
    <m/>
    <m/>
    <x v="360"/>
    <s v="MY Staff"/>
    <m/>
    <s v="Net Pay - 06/26"/>
    <x v="17"/>
    <x v="8"/>
    <x v="4"/>
    <x v="2"/>
    <m/>
    <m/>
    <m/>
    <m/>
    <m/>
  </r>
  <r>
    <x v="1"/>
    <x v="1"/>
    <d v="2026-06-30T00:00:00"/>
    <d v="2026-06-30T00:00:00"/>
    <x v="28"/>
    <s v="MYR"/>
    <m/>
    <m/>
    <m/>
    <x v="361"/>
    <s v="MY Staff"/>
    <m/>
    <s v="Statutory Contribution - 06/26"/>
    <x v="10"/>
    <x v="8"/>
    <x v="4"/>
    <x v="2"/>
    <m/>
    <m/>
    <m/>
    <m/>
    <m/>
  </r>
  <r>
    <x v="1"/>
    <x v="1"/>
    <d v="2026-06-30T00:00:00"/>
    <d v="2026-06-30T00:00:00"/>
    <x v="28"/>
    <s v="MYR"/>
    <m/>
    <m/>
    <m/>
    <x v="362"/>
    <s v="MY Staff"/>
    <m/>
    <s v="Net Pay - 06/26"/>
    <x v="17"/>
    <x v="8"/>
    <x v="10"/>
    <x v="1"/>
    <m/>
    <m/>
    <m/>
    <m/>
    <m/>
  </r>
  <r>
    <x v="1"/>
    <x v="1"/>
    <d v="2026-06-30T00:00:00"/>
    <d v="2026-06-30T00:00:00"/>
    <x v="28"/>
    <s v="MYR"/>
    <m/>
    <m/>
    <m/>
    <x v="359"/>
    <s v="MY Staff"/>
    <m/>
    <s v="Net Pay - 06/26"/>
    <x v="17"/>
    <x v="8"/>
    <x v="9"/>
    <x v="4"/>
    <m/>
    <m/>
    <m/>
    <m/>
    <m/>
  </r>
  <r>
    <x v="1"/>
    <x v="1"/>
    <d v="2026-06-30T00:00:00"/>
    <d v="2026-06-30T00:00:00"/>
    <x v="28"/>
    <s v="MYR"/>
    <m/>
    <m/>
    <m/>
    <x v="363"/>
    <s v="MY Staff"/>
    <m/>
    <s v="Net Pay - 06/26"/>
    <x v="17"/>
    <x v="8"/>
    <x v="10"/>
    <x v="1"/>
    <m/>
    <m/>
    <m/>
    <m/>
    <m/>
  </r>
  <r>
    <x v="1"/>
    <x v="1"/>
    <d v="2026-06-30T00:00:00"/>
    <d v="2026-06-30T00:00:00"/>
    <x v="28"/>
    <s v="MYR"/>
    <m/>
    <m/>
    <m/>
    <x v="364"/>
    <s v="MY Staff"/>
    <m/>
    <s v="Net Pay - 05/26"/>
    <x v="17"/>
    <x v="8"/>
    <x v="9"/>
    <x v="4"/>
    <m/>
    <m/>
    <m/>
    <m/>
    <m/>
  </r>
  <r>
    <x v="1"/>
    <x v="1"/>
    <d v="2026-06-30T00:00:00"/>
    <d v="2026-06-30T00:00:00"/>
    <x v="28"/>
    <s v="MYR"/>
    <m/>
    <m/>
    <m/>
    <x v="365"/>
    <s v="MY Staff"/>
    <m/>
    <s v="Statutory Contribution - 06/26"/>
    <x v="10"/>
    <x v="8"/>
    <x v="10"/>
    <x v="1"/>
    <m/>
    <m/>
    <m/>
    <m/>
    <m/>
  </r>
  <r>
    <x v="1"/>
    <x v="1"/>
    <d v="2026-06-30T00:00:00"/>
    <d v="2026-06-30T00:00:00"/>
    <x v="28"/>
    <s v="MYR"/>
    <m/>
    <m/>
    <m/>
    <x v="360"/>
    <s v="MY Staff"/>
    <m/>
    <s v="Statutory Contribution - 06/26"/>
    <x v="10"/>
    <x v="8"/>
    <x v="9"/>
    <x v="4"/>
    <m/>
    <m/>
    <m/>
    <m/>
    <m/>
  </r>
  <r>
    <x v="1"/>
    <x v="1"/>
    <d v="2026-06-30T00:00:00"/>
    <d v="2026-06-30T00:00:00"/>
    <x v="28"/>
    <s v="MYR"/>
    <m/>
    <m/>
    <m/>
    <x v="366"/>
    <s v="MY Staff"/>
    <m/>
    <s v="Net Pay - 06/26"/>
    <x v="17"/>
    <x v="8"/>
    <x v="0"/>
    <x v="0"/>
    <m/>
    <m/>
    <m/>
    <m/>
    <m/>
  </r>
  <r>
    <x v="1"/>
    <x v="1"/>
    <d v="2026-06-30T00:00:00"/>
    <d v="2026-06-30T00:00:00"/>
    <x v="28"/>
    <s v="MYR"/>
    <m/>
    <m/>
    <m/>
    <x v="360"/>
    <s v="MY Staff"/>
    <m/>
    <s v="Net Pay - 06/26"/>
    <x v="17"/>
    <x v="8"/>
    <x v="0"/>
    <x v="0"/>
    <m/>
    <m/>
    <m/>
    <m/>
    <m/>
  </r>
  <r>
    <x v="1"/>
    <x v="1"/>
    <d v="2026-06-30T00:00:00"/>
    <d v="2026-06-30T00:00:00"/>
    <x v="28"/>
    <s v="MYR"/>
    <m/>
    <m/>
    <m/>
    <x v="367"/>
    <s v="MY Staff"/>
    <m/>
    <s v="Statutory Contribution - 06/26"/>
    <x v="10"/>
    <x v="8"/>
    <x v="0"/>
    <x v="0"/>
    <m/>
    <m/>
    <m/>
    <m/>
    <m/>
  </r>
  <r>
    <x v="1"/>
    <x v="1"/>
    <d v="2026-06-30T00:00:00"/>
    <d v="2026-06-30T00:00:00"/>
    <x v="28"/>
    <s v="MYR"/>
    <m/>
    <m/>
    <m/>
    <x v="366"/>
    <s v="MY Staff"/>
    <m/>
    <s v="Net Pay - 06/26"/>
    <x v="17"/>
    <x v="8"/>
    <x v="3"/>
    <x v="0"/>
    <m/>
    <m/>
    <m/>
    <m/>
    <m/>
  </r>
  <r>
    <x v="1"/>
    <x v="1"/>
    <d v="2026-06-30T00:00:00"/>
    <d v="2026-06-30T00:00:00"/>
    <x v="28"/>
    <s v="MYR"/>
    <m/>
    <m/>
    <m/>
    <x v="360"/>
    <s v="MY Staff"/>
    <m/>
    <s v="Net Pay - 06/26"/>
    <x v="17"/>
    <x v="8"/>
    <x v="3"/>
    <x v="0"/>
    <m/>
    <m/>
    <m/>
    <m/>
    <m/>
  </r>
  <r>
    <x v="1"/>
    <x v="1"/>
    <d v="2026-06-30T00:00:00"/>
    <d v="2026-06-30T00:00:00"/>
    <x v="28"/>
    <s v="MYR"/>
    <m/>
    <m/>
    <m/>
    <x v="367"/>
    <s v="MY Staff"/>
    <m/>
    <s v="Statutory Contribution - 06/26"/>
    <x v="10"/>
    <x v="8"/>
    <x v="3"/>
    <x v="0"/>
    <m/>
    <m/>
    <m/>
    <m/>
    <m/>
  </r>
  <r>
    <x v="1"/>
    <x v="1"/>
    <d v="2026-06-30T00:00:00"/>
    <d v="2026-06-30T00:00:00"/>
    <x v="28"/>
    <s v="MYR"/>
    <m/>
    <m/>
    <m/>
    <x v="363"/>
    <s v="MY Staff"/>
    <m/>
    <s v="Net Pay - 06/26"/>
    <x v="17"/>
    <x v="8"/>
    <x v="8"/>
    <x v="2"/>
    <m/>
    <m/>
    <m/>
    <m/>
    <m/>
  </r>
  <r>
    <x v="1"/>
    <x v="1"/>
    <d v="2026-06-30T00:00:00"/>
    <d v="2026-06-30T00:00:00"/>
    <x v="28"/>
    <s v="MYR"/>
    <m/>
    <m/>
    <m/>
    <x v="92"/>
    <s v="MY Staff"/>
    <m/>
    <s v="Net Pay - 06/26"/>
    <x v="17"/>
    <x v="8"/>
    <x v="8"/>
    <x v="2"/>
    <m/>
    <m/>
    <m/>
    <m/>
    <m/>
  </r>
  <r>
    <x v="1"/>
    <x v="1"/>
    <d v="2026-06-30T00:00:00"/>
    <d v="2026-06-30T00:00:00"/>
    <x v="28"/>
    <s v="MYR"/>
    <m/>
    <m/>
    <m/>
    <x v="360"/>
    <s v="MY Staff"/>
    <m/>
    <s v="Statutory Contribution - 06/26"/>
    <x v="10"/>
    <x v="8"/>
    <x v="8"/>
    <x v="2"/>
    <m/>
    <m/>
    <m/>
    <m/>
    <m/>
  </r>
  <r>
    <x v="1"/>
    <x v="1"/>
    <d v="2026-06-30T00:00:00"/>
    <d v="2026-06-30T00:00:00"/>
    <x v="28"/>
    <s v="MYR"/>
    <m/>
    <m/>
    <m/>
    <x v="368"/>
    <s v="MY Staff"/>
    <m/>
    <s v="Net Pay - 06/26"/>
    <x v="17"/>
    <x v="8"/>
    <x v="3"/>
    <x v="0"/>
    <m/>
    <m/>
    <m/>
    <m/>
    <m/>
  </r>
  <r>
    <x v="1"/>
    <x v="1"/>
    <d v="2026-06-30T00:00:00"/>
    <d v="2026-06-30T00:00:00"/>
    <x v="28"/>
    <s v="MYR"/>
    <m/>
    <m/>
    <m/>
    <x v="364"/>
    <s v="MY Staff"/>
    <m/>
    <s v="Statutory Contribution - 06/26"/>
    <x v="10"/>
    <x v="8"/>
    <x v="3"/>
    <x v="0"/>
    <m/>
    <m/>
    <m/>
    <m/>
    <m/>
  </r>
  <r>
    <x v="1"/>
    <x v="1"/>
    <d v="2026-07-15T00:00:00"/>
    <m/>
    <x v="29"/>
    <s v="MYR"/>
    <n v="16837"/>
    <n v="0"/>
    <n v="16837"/>
    <x v="205"/>
    <s v="Lembaga Hasil Dalam Negeri (LHDN-Tax)"/>
    <m/>
    <s v="Company Tax Instalment 06/2026"/>
    <x v="33"/>
    <x v="24"/>
    <x v="0"/>
    <x v="0"/>
    <m/>
    <m/>
    <m/>
    <m/>
    <m/>
  </r>
  <r>
    <x v="2"/>
    <x v="1"/>
    <d v="2026-07-01T00:00:00"/>
    <d v="2026-07-01T00:00:00"/>
    <x v="28"/>
    <s v="MYR"/>
    <n v="9764.7999999999993"/>
    <n v="585.89"/>
    <n v="10350.69"/>
    <x v="329"/>
    <s v="Bandar Utama City Sdn Bhd"/>
    <s v="IV20002916"/>
    <s v="Rental July 2026"/>
    <x v="23"/>
    <x v="17"/>
    <x v="1"/>
    <x v="0"/>
    <m/>
    <m/>
    <m/>
    <m/>
    <m/>
  </r>
  <r>
    <x v="2"/>
    <x v="1"/>
    <d v="2026-06-25T00:00:00"/>
    <d v="2026-06-25T00:00:00"/>
    <x v="49"/>
    <s v="MYR"/>
    <n v="2096"/>
    <n v="0"/>
    <n v="2096"/>
    <x v="369"/>
    <s v="Malaysia Airline"/>
    <m/>
    <s v="Malaysia Airline-KL to Manila (Goh Ai Ping)"/>
    <x v="6"/>
    <x v="1"/>
    <x v="9"/>
    <x v="4"/>
    <m/>
    <m/>
    <m/>
    <m/>
    <m/>
  </r>
  <r>
    <x v="2"/>
    <x v="1"/>
    <d v="2026-06-25T00:00:00"/>
    <d v="2026-06-25T00:00:00"/>
    <x v="49"/>
    <s v="MYR"/>
    <n v="2035"/>
    <n v="0"/>
    <n v="2035"/>
    <x v="370"/>
    <s v="Malaysia Airline"/>
    <m/>
    <s v="Malaysia Airline-KL to Manila (Chen Chee Khen)"/>
    <x v="6"/>
    <x v="1"/>
    <x v="9"/>
    <x v="4"/>
    <m/>
    <m/>
    <m/>
    <m/>
    <m/>
  </r>
  <r>
    <x v="2"/>
    <x v="1"/>
    <d v="2026-06-25T00:00:00"/>
    <d v="2026-06-25T00:00:00"/>
    <x v="49"/>
    <s v="MYR"/>
    <n v="2035"/>
    <n v="0"/>
    <n v="2035"/>
    <x v="370"/>
    <s v="Malaysia Airline"/>
    <m/>
    <s v="Malaysia Airline-KL to Manila (Chan Yeik Kam)"/>
    <x v="6"/>
    <x v="1"/>
    <x v="9"/>
    <x v="4"/>
    <m/>
    <m/>
    <m/>
    <m/>
    <m/>
  </r>
  <r>
    <x v="2"/>
    <x v="1"/>
    <d v="2026-06-25T00:00:00"/>
    <d v="2026-06-25T00:00:00"/>
    <x v="49"/>
    <s v="MYR"/>
    <n v="1974"/>
    <n v="0"/>
    <n v="1974"/>
    <x v="371"/>
    <s v="Malaysia Airline"/>
    <m/>
    <s v="Malaysia Airline-KL to Manila (Ng Jia Yong)"/>
    <x v="6"/>
    <x v="1"/>
    <x v="9"/>
    <x v="4"/>
    <m/>
    <m/>
    <m/>
    <m/>
    <m/>
  </r>
  <r>
    <x v="1"/>
    <x v="1"/>
    <d v="2026-07-01T00:00:00"/>
    <d v="2026-07-01T00:00:00"/>
    <x v="50"/>
    <s v="MYR"/>
    <n v="6000"/>
    <n v="0"/>
    <n v="6000"/>
    <x v="101"/>
    <s v="Golden Dragon Technology Sdn Bhd"/>
    <m/>
    <s v="Laptop Leasing payment for July 2026"/>
    <x v="13"/>
    <x v="11"/>
    <x v="5"/>
    <x v="0"/>
    <m/>
    <m/>
    <m/>
    <m/>
    <m/>
  </r>
  <r>
    <x v="1"/>
    <x v="1"/>
    <d v="2026-07-25T00:00:00"/>
    <d v="2026-07-25T00:00:00"/>
    <x v="50"/>
    <s v="MYR"/>
    <n v="450"/>
    <n v="0"/>
    <n v="450"/>
    <x v="102"/>
    <s v="TM Technology Services Sdn Bhd "/>
    <m/>
    <s v="Wifi June 2026"/>
    <x v="26"/>
    <x v="19"/>
    <x v="5"/>
    <x v="0"/>
    <m/>
    <m/>
    <m/>
    <m/>
    <m/>
  </r>
  <r>
    <x v="1"/>
    <x v="1"/>
    <d v="2026-07-31T00:00:00"/>
    <d v="2026-07-31T00:00:00"/>
    <x v="30"/>
    <s v="MYR"/>
    <m/>
    <m/>
    <m/>
    <x v="359"/>
    <s v="MY Staff"/>
    <m/>
    <s v="Net Pay - 07/26"/>
    <x v="17"/>
    <x v="8"/>
    <x v="4"/>
    <x v="2"/>
    <m/>
    <m/>
    <m/>
    <m/>
    <m/>
  </r>
  <r>
    <x v="1"/>
    <x v="1"/>
    <d v="2026-07-31T00:00:00"/>
    <d v="2026-07-31T00:00:00"/>
    <x v="30"/>
    <s v="MYR"/>
    <m/>
    <m/>
    <m/>
    <x v="360"/>
    <s v="MY Staff"/>
    <m/>
    <s v="Net Pay - 07/26"/>
    <x v="17"/>
    <x v="8"/>
    <x v="4"/>
    <x v="2"/>
    <m/>
    <m/>
    <m/>
    <m/>
    <m/>
  </r>
  <r>
    <x v="1"/>
    <x v="1"/>
    <d v="2026-07-31T00:00:00"/>
    <d v="2026-07-31T00:00:00"/>
    <x v="30"/>
    <s v="MYR"/>
    <m/>
    <m/>
    <m/>
    <x v="361"/>
    <s v="MY Staff"/>
    <m/>
    <s v="Statutory Contribution - 07/26"/>
    <x v="10"/>
    <x v="8"/>
    <x v="4"/>
    <x v="2"/>
    <m/>
    <m/>
    <m/>
    <m/>
    <m/>
  </r>
  <r>
    <x v="1"/>
    <x v="1"/>
    <d v="2026-07-31T00:00:00"/>
    <d v="2026-07-31T00:00:00"/>
    <x v="30"/>
    <s v="MYR"/>
    <m/>
    <m/>
    <m/>
    <x v="362"/>
    <s v="MY Staff"/>
    <m/>
    <s v="Net Pay - 07/26"/>
    <x v="17"/>
    <x v="8"/>
    <x v="10"/>
    <x v="1"/>
    <m/>
    <m/>
    <m/>
    <m/>
    <m/>
  </r>
  <r>
    <x v="1"/>
    <x v="1"/>
    <d v="2026-07-31T00:00:00"/>
    <d v="2026-07-31T00:00:00"/>
    <x v="30"/>
    <s v="MYR"/>
    <m/>
    <m/>
    <m/>
    <x v="359"/>
    <s v="MY Staff"/>
    <m/>
    <s v="Net Pay - 07/26"/>
    <x v="17"/>
    <x v="8"/>
    <x v="9"/>
    <x v="4"/>
    <m/>
    <m/>
    <m/>
    <m/>
    <m/>
  </r>
  <r>
    <x v="1"/>
    <x v="1"/>
    <d v="2026-07-31T00:00:00"/>
    <d v="2026-07-31T00:00:00"/>
    <x v="30"/>
    <s v="MYR"/>
    <m/>
    <m/>
    <m/>
    <x v="363"/>
    <s v="MY Staff"/>
    <m/>
    <s v="Net Pay - 07/26"/>
    <x v="17"/>
    <x v="8"/>
    <x v="10"/>
    <x v="1"/>
    <m/>
    <m/>
    <m/>
    <m/>
    <m/>
  </r>
  <r>
    <x v="1"/>
    <x v="1"/>
    <d v="2026-07-31T00:00:00"/>
    <d v="2026-07-31T00:00:00"/>
    <x v="30"/>
    <s v="MYR"/>
    <m/>
    <m/>
    <m/>
    <x v="364"/>
    <s v="MY Staff"/>
    <m/>
    <s v="Net Pay - 07/26"/>
    <x v="17"/>
    <x v="8"/>
    <x v="9"/>
    <x v="4"/>
    <m/>
    <m/>
    <m/>
    <m/>
    <m/>
  </r>
  <r>
    <x v="1"/>
    <x v="1"/>
    <d v="2026-07-31T00:00:00"/>
    <d v="2026-07-31T00:00:00"/>
    <x v="30"/>
    <s v="MYR"/>
    <m/>
    <m/>
    <m/>
    <x v="365"/>
    <s v="MY Staff"/>
    <m/>
    <s v="Statutory Contribution - 07/26"/>
    <x v="10"/>
    <x v="8"/>
    <x v="10"/>
    <x v="1"/>
    <m/>
    <m/>
    <m/>
    <m/>
    <m/>
  </r>
  <r>
    <x v="1"/>
    <x v="1"/>
    <d v="2026-07-31T00:00:00"/>
    <d v="2026-07-31T00:00:00"/>
    <x v="30"/>
    <s v="MYR"/>
    <m/>
    <m/>
    <m/>
    <x v="360"/>
    <s v="MY Staff"/>
    <m/>
    <s v="Statutory Contribution - 07/26"/>
    <x v="10"/>
    <x v="8"/>
    <x v="9"/>
    <x v="4"/>
    <m/>
    <m/>
    <m/>
    <m/>
    <m/>
  </r>
  <r>
    <x v="1"/>
    <x v="1"/>
    <d v="2026-07-31T00:00:00"/>
    <d v="2026-07-31T00:00:00"/>
    <x v="30"/>
    <s v="MYR"/>
    <m/>
    <m/>
    <m/>
    <x v="366"/>
    <s v="MY Staff"/>
    <m/>
    <s v="Net Pay - 07/26"/>
    <x v="17"/>
    <x v="8"/>
    <x v="0"/>
    <x v="0"/>
    <m/>
    <m/>
    <m/>
    <m/>
    <m/>
  </r>
  <r>
    <x v="1"/>
    <x v="1"/>
    <d v="2026-07-31T00:00:00"/>
    <d v="2026-07-31T00:00:00"/>
    <x v="30"/>
    <s v="MYR"/>
    <m/>
    <m/>
    <m/>
    <x v="360"/>
    <s v="MY Staff"/>
    <m/>
    <s v="Net Pay - 07/26"/>
    <x v="17"/>
    <x v="8"/>
    <x v="0"/>
    <x v="0"/>
    <m/>
    <m/>
    <m/>
    <m/>
    <m/>
  </r>
  <r>
    <x v="1"/>
    <x v="1"/>
    <d v="2026-07-31T00:00:00"/>
    <d v="2026-07-31T00:00:00"/>
    <x v="30"/>
    <s v="MYR"/>
    <m/>
    <m/>
    <m/>
    <x v="367"/>
    <s v="MY Staff"/>
    <m/>
    <s v="Statutory Contribution - 07/26"/>
    <x v="10"/>
    <x v="8"/>
    <x v="0"/>
    <x v="0"/>
    <m/>
    <m/>
    <m/>
    <m/>
    <m/>
  </r>
  <r>
    <x v="1"/>
    <x v="1"/>
    <d v="2026-07-31T00:00:00"/>
    <d v="2026-07-31T00:00:00"/>
    <x v="30"/>
    <s v="MYR"/>
    <m/>
    <m/>
    <m/>
    <x v="366"/>
    <s v="MY Staff"/>
    <m/>
    <s v="Net Pay - 07/26"/>
    <x v="17"/>
    <x v="8"/>
    <x v="3"/>
    <x v="0"/>
    <m/>
    <m/>
    <m/>
    <m/>
    <m/>
  </r>
  <r>
    <x v="1"/>
    <x v="1"/>
    <d v="2026-07-31T00:00:00"/>
    <d v="2026-07-31T00:00:00"/>
    <x v="30"/>
    <s v="MYR"/>
    <m/>
    <m/>
    <m/>
    <x v="360"/>
    <s v="MY Staff"/>
    <m/>
    <s v="Net Pay - 07/26"/>
    <x v="17"/>
    <x v="8"/>
    <x v="3"/>
    <x v="0"/>
    <m/>
    <m/>
    <m/>
    <m/>
    <m/>
  </r>
  <r>
    <x v="1"/>
    <x v="1"/>
    <d v="2026-07-31T00:00:00"/>
    <d v="2026-07-31T00:00:00"/>
    <x v="30"/>
    <s v="MYR"/>
    <m/>
    <m/>
    <m/>
    <x v="367"/>
    <s v="MY Staff"/>
    <m/>
    <s v="Statutory Contribution - 07/26"/>
    <x v="10"/>
    <x v="8"/>
    <x v="3"/>
    <x v="0"/>
    <m/>
    <m/>
    <m/>
    <m/>
    <m/>
  </r>
  <r>
    <x v="1"/>
    <x v="1"/>
    <d v="2026-07-31T00:00:00"/>
    <d v="2026-07-31T00:00:00"/>
    <x v="30"/>
    <s v="MYR"/>
    <m/>
    <m/>
    <m/>
    <x v="363"/>
    <s v="MY Staff"/>
    <m/>
    <s v="Net Pay - 07/26"/>
    <x v="17"/>
    <x v="8"/>
    <x v="8"/>
    <x v="2"/>
    <m/>
    <m/>
    <m/>
    <m/>
    <m/>
  </r>
  <r>
    <x v="1"/>
    <x v="1"/>
    <d v="2026-07-31T00:00:00"/>
    <d v="2026-07-31T00:00:00"/>
    <x v="30"/>
    <s v="MYR"/>
    <m/>
    <m/>
    <m/>
    <x v="92"/>
    <s v="MY Staff"/>
    <m/>
    <s v="Net Pay - 07/26"/>
    <x v="17"/>
    <x v="8"/>
    <x v="8"/>
    <x v="2"/>
    <m/>
    <m/>
    <m/>
    <m/>
    <m/>
  </r>
  <r>
    <x v="1"/>
    <x v="1"/>
    <d v="2026-07-31T00:00:00"/>
    <d v="2026-07-31T00:00:00"/>
    <x v="30"/>
    <s v="MYR"/>
    <m/>
    <m/>
    <m/>
    <x v="360"/>
    <s v="MY Staff"/>
    <m/>
    <s v="Statutory Contribution - 07/26"/>
    <x v="10"/>
    <x v="8"/>
    <x v="8"/>
    <x v="2"/>
    <m/>
    <m/>
    <m/>
    <m/>
    <m/>
  </r>
  <r>
    <x v="1"/>
    <x v="1"/>
    <d v="2026-07-31T00:00:00"/>
    <d v="2026-07-31T00:00:00"/>
    <x v="30"/>
    <s v="MYR"/>
    <m/>
    <m/>
    <m/>
    <x v="368"/>
    <s v="MY Staff"/>
    <m/>
    <s v="Net Pay - 07/26"/>
    <x v="17"/>
    <x v="8"/>
    <x v="3"/>
    <x v="0"/>
    <m/>
    <m/>
    <m/>
    <m/>
    <m/>
  </r>
  <r>
    <x v="1"/>
    <x v="1"/>
    <d v="2026-07-31T00:00:00"/>
    <d v="2026-07-31T00:00:00"/>
    <x v="30"/>
    <s v="MYR"/>
    <m/>
    <m/>
    <m/>
    <x v="364"/>
    <s v="MY Staff"/>
    <m/>
    <s v="Statutory Contribution - 07/26"/>
    <x v="10"/>
    <x v="8"/>
    <x v="3"/>
    <x v="0"/>
    <m/>
    <m/>
    <m/>
    <m/>
    <m/>
  </r>
  <r>
    <x v="1"/>
    <x v="1"/>
    <d v="2026-08-15T00:00:00"/>
    <m/>
    <x v="51"/>
    <s v="MYR"/>
    <n v="16837"/>
    <n v="0"/>
    <n v="16837"/>
    <x v="205"/>
    <s v="Lembaga Hasil Dalam Negeri (LHDN-Tax)"/>
    <m/>
    <s v="Company Tax Instalment 07/2026"/>
    <x v="33"/>
    <x v="24"/>
    <x v="0"/>
    <x v="0"/>
    <m/>
    <m/>
    <m/>
    <m/>
    <m/>
  </r>
  <r>
    <x v="1"/>
    <x v="1"/>
    <d v="2026-08-01T00:00:00"/>
    <d v="2026-08-01T00:00:00"/>
    <x v="52"/>
    <s v="MYR"/>
    <n v="9764.7999999999993"/>
    <n v="585.89"/>
    <n v="10350.69"/>
    <x v="329"/>
    <s v="Bandar Utama City Sdn Bhd"/>
    <m/>
    <s v="Rental August 2026"/>
    <x v="23"/>
    <x v="17"/>
    <x v="1"/>
    <x v="0"/>
    <m/>
    <m/>
    <m/>
    <m/>
    <m/>
  </r>
  <r>
    <x v="1"/>
    <x v="1"/>
    <d v="2026-08-01T00:00:00"/>
    <d v="2026-08-01T00:00:00"/>
    <x v="52"/>
    <s v="MYR"/>
    <n v="6000"/>
    <n v="0"/>
    <n v="6000"/>
    <x v="101"/>
    <s v="Golden Dragon Technology Sdn Bhd"/>
    <m/>
    <s v="Laptop Leasing payment for August 2026"/>
    <x v="13"/>
    <x v="11"/>
    <x v="5"/>
    <x v="0"/>
    <m/>
    <m/>
    <m/>
    <m/>
    <m/>
  </r>
  <r>
    <x v="1"/>
    <x v="1"/>
    <d v="2026-08-25T00:00:00"/>
    <d v="2026-08-25T00:00:00"/>
    <x v="52"/>
    <s v="MYR"/>
    <n v="450"/>
    <n v="0"/>
    <n v="450"/>
    <x v="102"/>
    <s v="TM Technology Services Sdn Bhd "/>
    <m/>
    <s v="Wifi July 2026"/>
    <x v="26"/>
    <x v="19"/>
    <x v="5"/>
    <x v="0"/>
    <m/>
    <m/>
    <m/>
    <m/>
    <m/>
  </r>
  <r>
    <x v="1"/>
    <x v="1"/>
    <d v="2026-08-31T00:00:00"/>
    <d v="2026-08-31T00:00:00"/>
    <x v="53"/>
    <s v="MYR"/>
    <m/>
    <m/>
    <m/>
    <x v="359"/>
    <s v="MY Staff"/>
    <m/>
    <s v="Net Pay - 08/26"/>
    <x v="17"/>
    <x v="8"/>
    <x v="4"/>
    <x v="2"/>
    <m/>
    <m/>
    <m/>
    <m/>
    <m/>
  </r>
  <r>
    <x v="1"/>
    <x v="1"/>
    <d v="2026-08-31T00:00:00"/>
    <d v="2026-08-31T00:00:00"/>
    <x v="53"/>
    <s v="MYR"/>
    <m/>
    <m/>
    <m/>
    <x v="360"/>
    <s v="MY Staff"/>
    <m/>
    <s v="Net Pay - 08/26"/>
    <x v="17"/>
    <x v="8"/>
    <x v="4"/>
    <x v="2"/>
    <m/>
    <m/>
    <m/>
    <m/>
    <m/>
  </r>
  <r>
    <x v="1"/>
    <x v="1"/>
    <d v="2026-08-31T00:00:00"/>
    <d v="2026-08-31T00:00:00"/>
    <x v="53"/>
    <s v="MYR"/>
    <m/>
    <m/>
    <m/>
    <x v="361"/>
    <s v="MY Staff"/>
    <m/>
    <s v="Statutory Contribution - 08/26"/>
    <x v="10"/>
    <x v="8"/>
    <x v="4"/>
    <x v="2"/>
    <m/>
    <m/>
    <m/>
    <m/>
    <m/>
  </r>
  <r>
    <x v="1"/>
    <x v="1"/>
    <d v="2026-08-31T00:00:00"/>
    <d v="2026-08-31T00:00:00"/>
    <x v="53"/>
    <s v="MYR"/>
    <m/>
    <m/>
    <m/>
    <x v="362"/>
    <s v="MY Staff"/>
    <m/>
    <s v="Net Pay - 08/26"/>
    <x v="17"/>
    <x v="8"/>
    <x v="10"/>
    <x v="1"/>
    <m/>
    <m/>
    <m/>
    <m/>
    <m/>
  </r>
  <r>
    <x v="1"/>
    <x v="1"/>
    <d v="2026-08-31T00:00:00"/>
    <d v="2026-08-31T00:00:00"/>
    <x v="53"/>
    <s v="MYR"/>
    <m/>
    <m/>
    <m/>
    <x v="359"/>
    <s v="MY Staff"/>
    <m/>
    <s v="Net Pay - 08/26"/>
    <x v="17"/>
    <x v="8"/>
    <x v="9"/>
    <x v="4"/>
    <m/>
    <m/>
    <m/>
    <m/>
    <m/>
  </r>
  <r>
    <x v="1"/>
    <x v="1"/>
    <d v="2026-08-31T00:00:00"/>
    <d v="2026-08-31T00:00:00"/>
    <x v="53"/>
    <s v="MYR"/>
    <m/>
    <m/>
    <m/>
    <x v="363"/>
    <s v="MY Staff"/>
    <m/>
    <s v="Net Pay - 08/26"/>
    <x v="17"/>
    <x v="8"/>
    <x v="10"/>
    <x v="1"/>
    <m/>
    <m/>
    <m/>
    <m/>
    <m/>
  </r>
  <r>
    <x v="1"/>
    <x v="1"/>
    <d v="2026-08-31T00:00:00"/>
    <d v="2026-08-31T00:00:00"/>
    <x v="53"/>
    <s v="MYR"/>
    <m/>
    <m/>
    <m/>
    <x v="364"/>
    <s v="MY Staff"/>
    <m/>
    <s v="Net Pay - 08/26"/>
    <x v="17"/>
    <x v="8"/>
    <x v="9"/>
    <x v="4"/>
    <m/>
    <m/>
    <m/>
    <m/>
    <m/>
  </r>
  <r>
    <x v="1"/>
    <x v="1"/>
    <d v="2026-08-31T00:00:00"/>
    <d v="2026-08-31T00:00:00"/>
    <x v="53"/>
    <s v="MYR"/>
    <m/>
    <m/>
    <m/>
    <x v="365"/>
    <s v="MY Staff"/>
    <m/>
    <s v="Statutory Contribution - 08/26"/>
    <x v="10"/>
    <x v="8"/>
    <x v="10"/>
    <x v="1"/>
    <m/>
    <m/>
    <m/>
    <m/>
    <m/>
  </r>
  <r>
    <x v="1"/>
    <x v="1"/>
    <d v="2026-08-31T00:00:00"/>
    <d v="2026-08-31T00:00:00"/>
    <x v="53"/>
    <s v="MYR"/>
    <m/>
    <m/>
    <m/>
    <x v="360"/>
    <s v="MY Staff"/>
    <m/>
    <s v="Statutory Contribution - 08/26"/>
    <x v="10"/>
    <x v="8"/>
    <x v="9"/>
    <x v="4"/>
    <m/>
    <m/>
    <m/>
    <m/>
    <m/>
  </r>
  <r>
    <x v="1"/>
    <x v="1"/>
    <d v="2026-08-31T00:00:00"/>
    <d v="2026-08-31T00:00:00"/>
    <x v="53"/>
    <s v="MYR"/>
    <m/>
    <m/>
    <m/>
    <x v="366"/>
    <s v="MY Staff"/>
    <m/>
    <s v="Net Pay - 08/26"/>
    <x v="17"/>
    <x v="8"/>
    <x v="0"/>
    <x v="0"/>
    <m/>
    <m/>
    <m/>
    <m/>
    <m/>
  </r>
  <r>
    <x v="1"/>
    <x v="1"/>
    <d v="2026-08-31T00:00:00"/>
    <d v="2026-08-31T00:00:00"/>
    <x v="53"/>
    <s v="MYR"/>
    <m/>
    <m/>
    <m/>
    <x v="360"/>
    <s v="MY Staff"/>
    <m/>
    <s v="Net Pay - 08/26"/>
    <x v="17"/>
    <x v="8"/>
    <x v="0"/>
    <x v="0"/>
    <m/>
    <m/>
    <m/>
    <m/>
    <m/>
  </r>
  <r>
    <x v="1"/>
    <x v="1"/>
    <d v="2026-08-31T00:00:00"/>
    <d v="2026-08-31T00:00:00"/>
    <x v="53"/>
    <s v="MYR"/>
    <m/>
    <m/>
    <m/>
    <x v="367"/>
    <s v="MY Staff"/>
    <m/>
    <s v="Statutory Contribution - 08/26"/>
    <x v="10"/>
    <x v="8"/>
    <x v="0"/>
    <x v="0"/>
    <m/>
    <m/>
    <m/>
    <m/>
    <m/>
  </r>
  <r>
    <x v="1"/>
    <x v="1"/>
    <d v="2026-08-31T00:00:00"/>
    <d v="2026-08-31T00:00:00"/>
    <x v="53"/>
    <s v="MYR"/>
    <m/>
    <m/>
    <m/>
    <x v="366"/>
    <s v="MY Staff"/>
    <m/>
    <s v="Net Pay - 08/26"/>
    <x v="17"/>
    <x v="8"/>
    <x v="3"/>
    <x v="0"/>
    <m/>
    <m/>
    <m/>
    <m/>
    <m/>
  </r>
  <r>
    <x v="1"/>
    <x v="1"/>
    <d v="2026-08-31T00:00:00"/>
    <d v="2026-08-31T00:00:00"/>
    <x v="53"/>
    <s v="MYR"/>
    <m/>
    <m/>
    <m/>
    <x v="360"/>
    <s v="MY Staff"/>
    <m/>
    <s v="Net Pay - 08/26"/>
    <x v="17"/>
    <x v="8"/>
    <x v="3"/>
    <x v="0"/>
    <m/>
    <m/>
    <m/>
    <m/>
    <m/>
  </r>
  <r>
    <x v="1"/>
    <x v="1"/>
    <d v="2026-08-31T00:00:00"/>
    <d v="2026-08-31T00:00:00"/>
    <x v="53"/>
    <s v="MYR"/>
    <m/>
    <m/>
    <m/>
    <x v="367"/>
    <s v="MY Staff"/>
    <m/>
    <s v="Statutory Contribution - 08/26"/>
    <x v="10"/>
    <x v="8"/>
    <x v="3"/>
    <x v="0"/>
    <m/>
    <m/>
    <m/>
    <m/>
    <m/>
  </r>
  <r>
    <x v="1"/>
    <x v="1"/>
    <d v="2026-08-31T00:00:00"/>
    <d v="2026-08-31T00:00:00"/>
    <x v="53"/>
    <s v="MYR"/>
    <m/>
    <m/>
    <m/>
    <x v="363"/>
    <s v="MY Staff"/>
    <m/>
    <s v="Net Pay - 08/26"/>
    <x v="17"/>
    <x v="8"/>
    <x v="8"/>
    <x v="2"/>
    <m/>
    <m/>
    <m/>
    <m/>
    <m/>
  </r>
  <r>
    <x v="1"/>
    <x v="1"/>
    <d v="2026-08-31T00:00:00"/>
    <d v="2026-08-31T00:00:00"/>
    <x v="53"/>
    <s v="MYR"/>
    <m/>
    <m/>
    <m/>
    <x v="92"/>
    <s v="MY Staff"/>
    <m/>
    <s v="Net Pay - 08/26"/>
    <x v="17"/>
    <x v="8"/>
    <x v="8"/>
    <x v="2"/>
    <m/>
    <m/>
    <m/>
    <m/>
    <m/>
  </r>
  <r>
    <x v="1"/>
    <x v="1"/>
    <d v="2026-08-31T00:00:00"/>
    <d v="2026-08-31T00:00:00"/>
    <x v="53"/>
    <s v="MYR"/>
    <m/>
    <m/>
    <m/>
    <x v="360"/>
    <s v="MY Staff"/>
    <m/>
    <s v="Statutory Contribution - 08/26"/>
    <x v="10"/>
    <x v="8"/>
    <x v="8"/>
    <x v="2"/>
    <m/>
    <m/>
    <m/>
    <m/>
    <m/>
  </r>
  <r>
    <x v="1"/>
    <x v="1"/>
    <d v="2026-08-31T00:00:00"/>
    <d v="2026-08-31T00:00:00"/>
    <x v="53"/>
    <s v="MYR"/>
    <m/>
    <m/>
    <m/>
    <x v="368"/>
    <s v="MY Staff"/>
    <m/>
    <s v="Net Pay - 08/26"/>
    <x v="17"/>
    <x v="8"/>
    <x v="3"/>
    <x v="0"/>
    <m/>
    <m/>
    <m/>
    <m/>
    <m/>
  </r>
  <r>
    <x v="1"/>
    <x v="1"/>
    <d v="2026-08-31T00:00:00"/>
    <d v="2026-08-31T00:00:00"/>
    <x v="53"/>
    <s v="MYR"/>
    <m/>
    <m/>
    <m/>
    <x v="364"/>
    <s v="MY Staff"/>
    <m/>
    <s v="Statutory Contribution - 08/26"/>
    <x v="10"/>
    <x v="8"/>
    <x v="3"/>
    <x v="0"/>
    <m/>
    <m/>
    <m/>
    <m/>
    <m/>
  </r>
  <r>
    <x v="1"/>
    <x v="1"/>
    <d v="2026-08-31T00:00:00"/>
    <d v="2026-08-31T00:00:00"/>
    <x v="53"/>
    <s v="MYR"/>
    <m/>
    <m/>
    <m/>
    <x v="362"/>
    <s v="MY Staff"/>
    <m/>
    <s v="Net Pay - 08/26"/>
    <x v="17"/>
    <x v="8"/>
    <x v="10"/>
    <x v="1"/>
    <m/>
    <m/>
    <m/>
    <m/>
    <m/>
  </r>
  <r>
    <x v="1"/>
    <x v="1"/>
    <d v="2026-08-31T00:00:00"/>
    <d v="2026-08-31T00:00:00"/>
    <x v="53"/>
    <s v="MYR"/>
    <m/>
    <m/>
    <m/>
    <x v="360"/>
    <s v="MY Staff"/>
    <m/>
    <s v="Statutory Contribution - 08/26"/>
    <x v="10"/>
    <x v="8"/>
    <x v="9"/>
    <x v="4"/>
    <m/>
    <m/>
    <m/>
    <m/>
    <m/>
  </r>
  <r>
    <x v="1"/>
    <x v="1"/>
    <d v="2026-08-31T00:00:00"/>
    <d v="2026-08-31T00:00:00"/>
    <x v="53"/>
    <s v="MYR"/>
    <m/>
    <m/>
    <m/>
    <x v="360"/>
    <s v="MY Staff"/>
    <m/>
    <s v="Net Pay - 08/26"/>
    <x v="17"/>
    <x v="8"/>
    <x v="3"/>
    <x v="0"/>
    <m/>
    <m/>
    <m/>
    <m/>
    <m/>
  </r>
  <r>
    <x v="1"/>
    <x v="1"/>
    <d v="2026-08-31T00:00:00"/>
    <d v="2026-08-31T00:00:00"/>
    <x v="53"/>
    <s v="MYR"/>
    <m/>
    <m/>
    <m/>
    <x v="368"/>
    <s v="MY Staff"/>
    <m/>
    <s v="Net Pay - 08/26"/>
    <x v="17"/>
    <x v="8"/>
    <x v="3"/>
    <x v="0"/>
    <m/>
    <m/>
    <m/>
    <m/>
    <m/>
  </r>
  <r>
    <x v="1"/>
    <x v="1"/>
    <d v="2026-09-15T00:00:00"/>
    <m/>
    <x v="54"/>
    <s v="MYR"/>
    <n v="16837"/>
    <n v="0"/>
    <n v="16837"/>
    <x v="205"/>
    <s v="Lembaga Hasil Dalam Negeri (LHDN-Tax)"/>
    <m/>
    <s v="Company Tax Instalment 08/2026"/>
    <x v="33"/>
    <x v="24"/>
    <x v="0"/>
    <x v="0"/>
    <m/>
    <m/>
    <m/>
    <m/>
    <m/>
  </r>
  <r>
    <x v="1"/>
    <x v="1"/>
    <d v="2026-09-01T00:00:00"/>
    <d v="2026-09-01T00:00:00"/>
    <x v="55"/>
    <s v="MYR"/>
    <n v="9764.7999999999993"/>
    <n v="585.89"/>
    <n v="10350.69"/>
    <x v="329"/>
    <s v="Bandar Utama City Sdn Bhd"/>
    <m/>
    <s v="Rental September 2026"/>
    <x v="23"/>
    <x v="17"/>
    <x v="1"/>
    <x v="0"/>
    <m/>
    <m/>
    <m/>
    <m/>
    <m/>
  </r>
  <r>
    <x v="1"/>
    <x v="1"/>
    <d v="2026-09-01T00:00:00"/>
    <d v="2026-09-01T00:00:00"/>
    <x v="55"/>
    <s v="MYR"/>
    <n v="6000"/>
    <n v="0"/>
    <n v="6000"/>
    <x v="101"/>
    <s v="Golden Dragon Technology Sdn Bhd"/>
    <m/>
    <s v="Laptop Leasing payment for September 2026"/>
    <x v="13"/>
    <x v="11"/>
    <x v="5"/>
    <x v="0"/>
    <m/>
    <m/>
    <m/>
    <m/>
    <m/>
  </r>
  <r>
    <x v="1"/>
    <x v="1"/>
    <d v="2026-09-25T00:00:00"/>
    <d v="2026-09-25T00:00:00"/>
    <x v="55"/>
    <s v="MYR"/>
    <n v="450"/>
    <n v="0"/>
    <n v="450"/>
    <x v="102"/>
    <s v="TM Technology Services Sdn Bhd "/>
    <m/>
    <s v="Wifi August 2026"/>
    <x v="26"/>
    <x v="19"/>
    <x v="5"/>
    <x v="0"/>
    <m/>
    <m/>
    <m/>
    <m/>
    <m/>
  </r>
  <r>
    <x v="1"/>
    <x v="1"/>
    <d v="2026-09-30T00:00:00"/>
    <d v="2026-09-30T00:00:00"/>
    <x v="56"/>
    <s v="MYR"/>
    <m/>
    <m/>
    <m/>
    <x v="359"/>
    <s v="MY Staff"/>
    <m/>
    <s v="Net Pay - 09/26"/>
    <x v="17"/>
    <x v="8"/>
    <x v="4"/>
    <x v="2"/>
    <m/>
    <m/>
    <m/>
    <m/>
    <m/>
  </r>
  <r>
    <x v="1"/>
    <x v="1"/>
    <d v="2026-09-30T00:00:00"/>
    <d v="2026-09-30T00:00:00"/>
    <x v="56"/>
    <s v="MYR"/>
    <m/>
    <m/>
    <m/>
    <x v="360"/>
    <s v="MY Staff"/>
    <m/>
    <s v="Net Pay - 09/26"/>
    <x v="17"/>
    <x v="8"/>
    <x v="4"/>
    <x v="2"/>
    <m/>
    <m/>
    <m/>
    <m/>
    <m/>
  </r>
  <r>
    <x v="1"/>
    <x v="1"/>
    <d v="2026-09-30T00:00:00"/>
    <d v="2026-09-30T00:00:00"/>
    <x v="56"/>
    <s v="MYR"/>
    <m/>
    <m/>
    <m/>
    <x v="361"/>
    <s v="MY Staff"/>
    <m/>
    <s v="Statutory Contribution - 09/26"/>
    <x v="10"/>
    <x v="8"/>
    <x v="4"/>
    <x v="2"/>
    <m/>
    <m/>
    <m/>
    <m/>
    <m/>
  </r>
  <r>
    <x v="1"/>
    <x v="1"/>
    <d v="2026-09-30T00:00:00"/>
    <d v="2026-09-30T00:00:00"/>
    <x v="56"/>
    <s v="MYR"/>
    <m/>
    <m/>
    <m/>
    <x v="359"/>
    <s v="MY Staff"/>
    <m/>
    <s v="Net Pay - 09/26"/>
    <x v="17"/>
    <x v="8"/>
    <x v="9"/>
    <x v="4"/>
    <m/>
    <m/>
    <m/>
    <m/>
    <m/>
  </r>
  <r>
    <x v="1"/>
    <x v="1"/>
    <d v="2026-09-30T00:00:00"/>
    <d v="2026-09-30T00:00:00"/>
    <x v="56"/>
    <s v="MYR"/>
    <m/>
    <m/>
    <m/>
    <x v="363"/>
    <s v="MY Staff"/>
    <m/>
    <s v="Net Pay - 09/26"/>
    <x v="17"/>
    <x v="8"/>
    <x v="10"/>
    <x v="1"/>
    <m/>
    <m/>
    <m/>
    <m/>
    <m/>
  </r>
  <r>
    <x v="1"/>
    <x v="1"/>
    <d v="2026-09-30T00:00:00"/>
    <d v="2026-09-30T00:00:00"/>
    <x v="56"/>
    <s v="MYR"/>
    <m/>
    <m/>
    <m/>
    <x v="364"/>
    <s v="MY Staff"/>
    <m/>
    <s v="Net Pay - 09/26"/>
    <x v="17"/>
    <x v="8"/>
    <x v="9"/>
    <x v="4"/>
    <m/>
    <m/>
    <m/>
    <m/>
    <m/>
  </r>
  <r>
    <x v="1"/>
    <x v="1"/>
    <d v="2026-09-30T00:00:00"/>
    <d v="2026-09-30T00:00:00"/>
    <x v="56"/>
    <s v="MYR"/>
    <m/>
    <m/>
    <m/>
    <x v="365"/>
    <s v="MY Staff"/>
    <m/>
    <s v="Statutory Contribution - 09/26"/>
    <x v="10"/>
    <x v="8"/>
    <x v="10"/>
    <x v="1"/>
    <m/>
    <m/>
    <m/>
    <m/>
    <m/>
  </r>
  <r>
    <x v="1"/>
    <x v="1"/>
    <d v="2026-09-30T00:00:00"/>
    <d v="2026-09-30T00:00:00"/>
    <x v="56"/>
    <s v="MYR"/>
    <m/>
    <m/>
    <m/>
    <x v="366"/>
    <s v="MY Staff"/>
    <m/>
    <s v="Net Pay - 09/26"/>
    <x v="17"/>
    <x v="8"/>
    <x v="0"/>
    <x v="0"/>
    <m/>
    <m/>
    <m/>
    <m/>
    <m/>
  </r>
  <r>
    <x v="1"/>
    <x v="1"/>
    <d v="2026-09-30T00:00:00"/>
    <d v="2026-09-30T00:00:00"/>
    <x v="56"/>
    <s v="MYR"/>
    <m/>
    <m/>
    <m/>
    <x v="360"/>
    <s v="MY Staff"/>
    <m/>
    <s v="Net Pay - 09/26"/>
    <x v="17"/>
    <x v="8"/>
    <x v="0"/>
    <x v="0"/>
    <m/>
    <m/>
    <m/>
    <m/>
    <m/>
  </r>
  <r>
    <x v="1"/>
    <x v="1"/>
    <d v="2026-09-30T00:00:00"/>
    <d v="2026-09-30T00:00:00"/>
    <x v="56"/>
    <s v="MYR"/>
    <m/>
    <m/>
    <m/>
    <x v="367"/>
    <s v="MY Staff"/>
    <m/>
    <s v="Statutory Contribution - 09/26"/>
    <x v="10"/>
    <x v="8"/>
    <x v="0"/>
    <x v="0"/>
    <m/>
    <m/>
    <m/>
    <m/>
    <m/>
  </r>
  <r>
    <x v="1"/>
    <x v="1"/>
    <d v="2026-09-30T00:00:00"/>
    <d v="2026-09-30T00:00:00"/>
    <x v="56"/>
    <s v="MYR"/>
    <m/>
    <m/>
    <m/>
    <x v="366"/>
    <s v="MY Staff"/>
    <m/>
    <s v="Net Pay - 09/26"/>
    <x v="17"/>
    <x v="8"/>
    <x v="3"/>
    <x v="0"/>
    <m/>
    <m/>
    <m/>
    <m/>
    <m/>
  </r>
  <r>
    <x v="1"/>
    <x v="1"/>
    <d v="2026-09-30T00:00:00"/>
    <d v="2026-09-30T00:00:00"/>
    <x v="56"/>
    <s v="MYR"/>
    <m/>
    <m/>
    <m/>
    <x v="367"/>
    <s v="MY Staff"/>
    <m/>
    <s v="Statutory Contribution - 09/26"/>
    <x v="10"/>
    <x v="8"/>
    <x v="3"/>
    <x v="0"/>
    <m/>
    <m/>
    <m/>
    <m/>
    <m/>
  </r>
  <r>
    <x v="1"/>
    <x v="1"/>
    <d v="2026-09-30T00:00:00"/>
    <d v="2026-09-30T00:00:00"/>
    <x v="56"/>
    <s v="MYR"/>
    <m/>
    <m/>
    <m/>
    <x v="363"/>
    <s v="MY Staff"/>
    <m/>
    <s v="Net Pay - 09/26"/>
    <x v="17"/>
    <x v="8"/>
    <x v="8"/>
    <x v="2"/>
    <m/>
    <m/>
    <m/>
    <m/>
    <m/>
  </r>
  <r>
    <x v="1"/>
    <x v="1"/>
    <d v="2026-09-30T00:00:00"/>
    <d v="2026-09-30T00:00:00"/>
    <x v="56"/>
    <s v="MYR"/>
    <m/>
    <m/>
    <m/>
    <x v="92"/>
    <s v="MY Staff"/>
    <m/>
    <s v="Net Pay - 09/26"/>
    <x v="17"/>
    <x v="8"/>
    <x v="8"/>
    <x v="2"/>
    <m/>
    <m/>
    <m/>
    <m/>
    <m/>
  </r>
  <r>
    <x v="1"/>
    <x v="1"/>
    <d v="2026-09-30T00:00:00"/>
    <d v="2026-09-30T00:00:00"/>
    <x v="56"/>
    <s v="MYR"/>
    <m/>
    <m/>
    <m/>
    <x v="360"/>
    <s v="MY Staff"/>
    <m/>
    <s v="Statutory Contribution - 09/26"/>
    <x v="10"/>
    <x v="8"/>
    <x v="8"/>
    <x v="2"/>
    <m/>
    <m/>
    <m/>
    <m/>
    <m/>
  </r>
  <r>
    <x v="1"/>
    <x v="1"/>
    <d v="2026-09-30T00:00:00"/>
    <d v="2026-09-30T00:00:00"/>
    <x v="56"/>
    <s v="MYR"/>
    <m/>
    <m/>
    <m/>
    <x v="364"/>
    <s v="MY Staff"/>
    <m/>
    <s v="Statutory Contribution - 09/26"/>
    <x v="10"/>
    <x v="8"/>
    <x v="3"/>
    <x v="0"/>
    <m/>
    <m/>
    <m/>
    <m/>
    <m/>
  </r>
  <r>
    <x v="1"/>
    <x v="1"/>
    <d v="2026-10-15T00:00:00"/>
    <m/>
    <x v="57"/>
    <s v="MYR"/>
    <n v="16837"/>
    <n v="0"/>
    <n v="16837"/>
    <x v="205"/>
    <s v="Lembaga Hasil Dalam Negeri (LHDN-Tax)"/>
    <m/>
    <s v="Company Tax Instalment 09/2026"/>
    <x v="33"/>
    <x v="24"/>
    <x v="0"/>
    <x v="0"/>
    <m/>
    <m/>
    <m/>
    <m/>
    <m/>
  </r>
  <r>
    <x v="1"/>
    <x v="1"/>
    <d v="2026-10-01T00:00:00"/>
    <d v="2026-10-01T00:00:00"/>
    <x v="58"/>
    <s v="MYR"/>
    <n v="9764.7999999999993"/>
    <n v="585.89"/>
    <n v="10350.69"/>
    <x v="329"/>
    <s v="Bandar Utama City Sdn Bhd"/>
    <m/>
    <s v="Rental October 2026"/>
    <x v="23"/>
    <x v="17"/>
    <x v="1"/>
    <x v="0"/>
    <m/>
    <m/>
    <m/>
    <m/>
    <m/>
  </r>
  <r>
    <x v="1"/>
    <x v="1"/>
    <d v="2026-10-01T00:00:00"/>
    <d v="2026-10-01T00:00:00"/>
    <x v="58"/>
    <s v="MYR"/>
    <n v="6000"/>
    <n v="0"/>
    <n v="6000"/>
    <x v="101"/>
    <s v="Golden Dragon Technology Sdn Bhd"/>
    <m/>
    <s v="Laptop Leasing payment for October 2026"/>
    <x v="13"/>
    <x v="11"/>
    <x v="5"/>
    <x v="0"/>
    <m/>
    <m/>
    <m/>
    <m/>
    <m/>
  </r>
  <r>
    <x v="1"/>
    <x v="1"/>
    <d v="2026-10-25T00:00:00"/>
    <d v="2026-10-25T00:00:00"/>
    <x v="58"/>
    <s v="MYR"/>
    <n v="450"/>
    <n v="0"/>
    <n v="450"/>
    <x v="102"/>
    <s v="TM Technology Services Sdn Bhd "/>
    <m/>
    <s v="Wifi  September 2026"/>
    <x v="26"/>
    <x v="19"/>
    <x v="5"/>
    <x v="0"/>
    <m/>
    <m/>
    <m/>
    <m/>
    <m/>
  </r>
  <r>
    <x v="1"/>
    <x v="1"/>
    <d v="2026-10-31T00:00:00"/>
    <d v="2026-10-31T00:00:00"/>
    <x v="59"/>
    <s v="MYR"/>
    <m/>
    <m/>
    <m/>
    <x v="359"/>
    <s v="MY Staff"/>
    <m/>
    <s v="Net Pay - 10/26"/>
    <x v="17"/>
    <x v="8"/>
    <x v="4"/>
    <x v="2"/>
    <m/>
    <m/>
    <m/>
    <m/>
    <m/>
  </r>
  <r>
    <x v="1"/>
    <x v="1"/>
    <d v="2026-10-31T00:00:00"/>
    <d v="2026-10-31T00:00:00"/>
    <x v="59"/>
    <s v="MYR"/>
    <m/>
    <m/>
    <m/>
    <x v="360"/>
    <s v="MY Staff"/>
    <m/>
    <s v="Net Pay - 10/26"/>
    <x v="17"/>
    <x v="8"/>
    <x v="4"/>
    <x v="2"/>
    <m/>
    <m/>
    <m/>
    <m/>
    <m/>
  </r>
  <r>
    <x v="1"/>
    <x v="1"/>
    <d v="2026-10-31T00:00:00"/>
    <d v="2026-10-31T00:00:00"/>
    <x v="59"/>
    <s v="MYR"/>
    <m/>
    <m/>
    <m/>
    <x v="361"/>
    <s v="MY Staff"/>
    <m/>
    <s v="Statutory Contribution - 10/26"/>
    <x v="10"/>
    <x v="8"/>
    <x v="4"/>
    <x v="2"/>
    <m/>
    <m/>
    <m/>
    <m/>
    <m/>
  </r>
  <r>
    <x v="1"/>
    <x v="1"/>
    <d v="2026-10-31T00:00:00"/>
    <d v="2026-10-31T00:00:00"/>
    <x v="59"/>
    <s v="MYR"/>
    <m/>
    <m/>
    <m/>
    <x v="362"/>
    <s v="MY Staff"/>
    <m/>
    <s v="Net Pay - 10/26"/>
    <x v="17"/>
    <x v="8"/>
    <x v="10"/>
    <x v="1"/>
    <m/>
    <m/>
    <m/>
    <m/>
    <m/>
  </r>
  <r>
    <x v="1"/>
    <x v="1"/>
    <d v="2026-10-31T00:00:00"/>
    <d v="2026-10-31T00:00:00"/>
    <x v="59"/>
    <s v="MYR"/>
    <m/>
    <m/>
    <m/>
    <x v="359"/>
    <s v="MY Staff"/>
    <m/>
    <s v="Net Pay - 10/26"/>
    <x v="17"/>
    <x v="8"/>
    <x v="9"/>
    <x v="4"/>
    <m/>
    <m/>
    <m/>
    <m/>
    <m/>
  </r>
  <r>
    <x v="1"/>
    <x v="1"/>
    <d v="2026-10-31T00:00:00"/>
    <d v="2026-10-31T00:00:00"/>
    <x v="59"/>
    <s v="MYR"/>
    <m/>
    <m/>
    <m/>
    <x v="363"/>
    <s v="MY Staff"/>
    <m/>
    <s v="Net Pay - 10/26"/>
    <x v="17"/>
    <x v="8"/>
    <x v="10"/>
    <x v="1"/>
    <m/>
    <m/>
    <m/>
    <m/>
    <m/>
  </r>
  <r>
    <x v="1"/>
    <x v="1"/>
    <d v="2026-10-31T00:00:00"/>
    <d v="2026-10-31T00:00:00"/>
    <x v="59"/>
    <s v="MYR"/>
    <m/>
    <m/>
    <m/>
    <x v="364"/>
    <s v="MY Staff"/>
    <m/>
    <s v="Net Pay - 10/26"/>
    <x v="17"/>
    <x v="8"/>
    <x v="9"/>
    <x v="4"/>
    <m/>
    <m/>
    <m/>
    <m/>
    <m/>
  </r>
  <r>
    <x v="1"/>
    <x v="1"/>
    <d v="2026-10-31T00:00:00"/>
    <d v="2026-10-31T00:00:00"/>
    <x v="59"/>
    <s v="MYR"/>
    <m/>
    <m/>
    <m/>
    <x v="365"/>
    <s v="MY Staff"/>
    <m/>
    <s v="Statutory Contribution - 10/26"/>
    <x v="10"/>
    <x v="8"/>
    <x v="10"/>
    <x v="1"/>
    <m/>
    <m/>
    <m/>
    <m/>
    <m/>
  </r>
  <r>
    <x v="1"/>
    <x v="1"/>
    <d v="2026-10-31T00:00:00"/>
    <d v="2026-10-31T00:00:00"/>
    <x v="59"/>
    <s v="MYR"/>
    <m/>
    <m/>
    <m/>
    <x v="360"/>
    <s v="MY Staff"/>
    <m/>
    <s v="Statutory Contribution - 10/26"/>
    <x v="10"/>
    <x v="8"/>
    <x v="9"/>
    <x v="4"/>
    <m/>
    <m/>
    <m/>
    <m/>
    <m/>
  </r>
  <r>
    <x v="1"/>
    <x v="1"/>
    <d v="2026-10-31T00:00:00"/>
    <d v="2026-10-31T00:00:00"/>
    <x v="59"/>
    <s v="MYR"/>
    <m/>
    <m/>
    <m/>
    <x v="366"/>
    <s v="MY Staff"/>
    <m/>
    <s v="Net Pay - 10/26"/>
    <x v="17"/>
    <x v="8"/>
    <x v="0"/>
    <x v="0"/>
    <m/>
    <m/>
    <m/>
    <m/>
    <m/>
  </r>
  <r>
    <x v="1"/>
    <x v="1"/>
    <d v="2026-10-31T00:00:00"/>
    <d v="2026-10-31T00:00:00"/>
    <x v="59"/>
    <s v="MYR"/>
    <m/>
    <m/>
    <m/>
    <x v="360"/>
    <s v="MY Staff"/>
    <m/>
    <s v="Net Pay - 10/26"/>
    <x v="17"/>
    <x v="8"/>
    <x v="0"/>
    <x v="0"/>
    <m/>
    <m/>
    <m/>
    <m/>
    <m/>
  </r>
  <r>
    <x v="1"/>
    <x v="1"/>
    <d v="2026-10-31T00:00:00"/>
    <d v="2026-10-31T00:00:00"/>
    <x v="59"/>
    <s v="MYR"/>
    <m/>
    <m/>
    <m/>
    <x v="367"/>
    <s v="MY Staff"/>
    <m/>
    <s v="Statutory Contribution - 10/26"/>
    <x v="10"/>
    <x v="8"/>
    <x v="0"/>
    <x v="0"/>
    <m/>
    <m/>
    <m/>
    <m/>
    <m/>
  </r>
  <r>
    <x v="1"/>
    <x v="1"/>
    <d v="2026-10-31T00:00:00"/>
    <d v="2026-10-31T00:00:00"/>
    <x v="59"/>
    <s v="MYR"/>
    <m/>
    <m/>
    <m/>
    <x v="366"/>
    <s v="MY Staff"/>
    <m/>
    <s v="Net Pay - 10/26"/>
    <x v="17"/>
    <x v="8"/>
    <x v="3"/>
    <x v="0"/>
    <m/>
    <m/>
    <m/>
    <m/>
    <m/>
  </r>
  <r>
    <x v="1"/>
    <x v="1"/>
    <d v="2026-10-31T00:00:00"/>
    <d v="2026-10-31T00:00:00"/>
    <x v="59"/>
    <s v="MYR"/>
    <m/>
    <m/>
    <m/>
    <x v="360"/>
    <s v="MY Staff"/>
    <m/>
    <s v="Net Pay - 10/26"/>
    <x v="17"/>
    <x v="8"/>
    <x v="3"/>
    <x v="0"/>
    <m/>
    <m/>
    <m/>
    <m/>
    <m/>
  </r>
  <r>
    <x v="1"/>
    <x v="1"/>
    <d v="2026-10-31T00:00:00"/>
    <d v="2026-10-31T00:00:00"/>
    <x v="59"/>
    <s v="MYR"/>
    <m/>
    <m/>
    <m/>
    <x v="367"/>
    <s v="MY Staff"/>
    <m/>
    <s v="Statutory Contribution - 10/26"/>
    <x v="10"/>
    <x v="8"/>
    <x v="3"/>
    <x v="0"/>
    <m/>
    <m/>
    <m/>
    <m/>
    <m/>
  </r>
  <r>
    <x v="1"/>
    <x v="1"/>
    <d v="2026-10-31T00:00:00"/>
    <d v="2026-10-31T00:00:00"/>
    <x v="59"/>
    <s v="MYR"/>
    <m/>
    <m/>
    <m/>
    <x v="363"/>
    <s v="MY Staff"/>
    <m/>
    <s v="Net Pay - 10/26"/>
    <x v="17"/>
    <x v="8"/>
    <x v="8"/>
    <x v="2"/>
    <m/>
    <m/>
    <m/>
    <m/>
    <m/>
  </r>
  <r>
    <x v="1"/>
    <x v="1"/>
    <d v="2026-10-31T00:00:00"/>
    <d v="2026-10-31T00:00:00"/>
    <x v="59"/>
    <s v="MYR"/>
    <m/>
    <m/>
    <m/>
    <x v="92"/>
    <s v="MY Staff"/>
    <m/>
    <s v="Net Pay - 10/26"/>
    <x v="17"/>
    <x v="8"/>
    <x v="8"/>
    <x v="2"/>
    <m/>
    <m/>
    <m/>
    <m/>
    <m/>
  </r>
  <r>
    <x v="1"/>
    <x v="1"/>
    <d v="2026-10-31T00:00:00"/>
    <d v="2026-10-31T00:00:00"/>
    <x v="59"/>
    <s v="MYR"/>
    <m/>
    <m/>
    <m/>
    <x v="360"/>
    <s v="MY Staff"/>
    <m/>
    <s v="Statutory Contribution - 10/26"/>
    <x v="10"/>
    <x v="8"/>
    <x v="8"/>
    <x v="2"/>
    <m/>
    <m/>
    <m/>
    <m/>
    <m/>
  </r>
  <r>
    <x v="1"/>
    <x v="1"/>
    <d v="2026-10-31T00:00:00"/>
    <d v="2026-10-31T00:00:00"/>
    <x v="59"/>
    <s v="MYR"/>
    <m/>
    <m/>
    <m/>
    <x v="368"/>
    <s v="MY Staff"/>
    <m/>
    <s v="Net Pay - 10/26"/>
    <x v="17"/>
    <x v="8"/>
    <x v="3"/>
    <x v="0"/>
    <m/>
    <m/>
    <m/>
    <m/>
    <m/>
  </r>
  <r>
    <x v="1"/>
    <x v="1"/>
    <d v="2026-10-31T00:00:00"/>
    <d v="2026-10-31T00:00:00"/>
    <x v="59"/>
    <s v="MYR"/>
    <m/>
    <m/>
    <m/>
    <x v="364"/>
    <s v="MY Staff"/>
    <m/>
    <s v="Statutory Contribution - 10/26"/>
    <x v="10"/>
    <x v="8"/>
    <x v="3"/>
    <x v="0"/>
    <m/>
    <m/>
    <m/>
    <m/>
    <m/>
  </r>
  <r>
    <x v="1"/>
    <x v="1"/>
    <d v="2026-11-15T00:00:00"/>
    <m/>
    <x v="60"/>
    <s v="MYR"/>
    <n v="16837"/>
    <n v="0"/>
    <n v="16837"/>
    <x v="205"/>
    <s v="Lembaga Hasil Dalam Negeri (LHDN-Tax)"/>
    <m/>
    <s v="Company Tax Instalment 10/2026"/>
    <x v="33"/>
    <x v="24"/>
    <x v="0"/>
    <x v="0"/>
    <m/>
    <m/>
    <m/>
    <m/>
    <m/>
  </r>
  <r>
    <x v="1"/>
    <x v="1"/>
    <d v="2026-11-01T00:00:00"/>
    <d v="2026-11-01T00:00:00"/>
    <x v="61"/>
    <s v="MYR"/>
    <n v="9764.7999999999993"/>
    <n v="585.89"/>
    <n v="10350.69"/>
    <x v="329"/>
    <s v="Bandar Utama City Sdn Bhd"/>
    <m/>
    <s v="Rental November 2026"/>
    <x v="23"/>
    <x v="17"/>
    <x v="1"/>
    <x v="0"/>
    <m/>
    <m/>
    <m/>
    <m/>
    <m/>
  </r>
  <r>
    <x v="1"/>
    <x v="1"/>
    <d v="2026-11-01T00:00:00"/>
    <d v="2026-11-01T00:00:00"/>
    <x v="61"/>
    <s v="MYR"/>
    <n v="6000"/>
    <n v="0"/>
    <n v="6000"/>
    <x v="101"/>
    <s v="Golden Dragon Technology Sdn Bhd"/>
    <m/>
    <s v="Laptop Leasing payment for November 2026"/>
    <x v="13"/>
    <x v="11"/>
    <x v="5"/>
    <x v="0"/>
    <m/>
    <m/>
    <m/>
    <m/>
    <m/>
  </r>
  <r>
    <x v="1"/>
    <x v="1"/>
    <d v="2026-11-25T00:00:00"/>
    <d v="2026-11-25T00:00:00"/>
    <x v="61"/>
    <s v="MYR"/>
    <n v="450"/>
    <n v="0"/>
    <n v="450"/>
    <x v="102"/>
    <s v="TM Technology Services Sdn Bhd "/>
    <m/>
    <s v="Wifis October 2026"/>
    <x v="26"/>
    <x v="19"/>
    <x v="5"/>
    <x v="0"/>
    <m/>
    <m/>
    <m/>
    <m/>
    <m/>
  </r>
  <r>
    <x v="1"/>
    <x v="1"/>
    <d v="2026-11-30T00:00:00"/>
    <d v="2026-11-30T00:00:00"/>
    <x v="62"/>
    <s v="MYR"/>
    <m/>
    <m/>
    <m/>
    <x v="359"/>
    <s v="MY Staff"/>
    <m/>
    <s v="Net Pay - 11/26"/>
    <x v="17"/>
    <x v="8"/>
    <x v="4"/>
    <x v="2"/>
    <m/>
    <m/>
    <m/>
    <m/>
    <m/>
  </r>
  <r>
    <x v="1"/>
    <x v="1"/>
    <d v="2026-11-30T00:00:00"/>
    <d v="2026-11-30T00:00:00"/>
    <x v="62"/>
    <s v="MYR"/>
    <m/>
    <m/>
    <m/>
    <x v="360"/>
    <s v="MY Staff"/>
    <m/>
    <s v="Net Pay - 11/26"/>
    <x v="17"/>
    <x v="8"/>
    <x v="4"/>
    <x v="2"/>
    <m/>
    <m/>
    <m/>
    <m/>
    <m/>
  </r>
  <r>
    <x v="1"/>
    <x v="1"/>
    <d v="2026-11-30T00:00:00"/>
    <d v="2026-11-30T00:00:00"/>
    <x v="62"/>
    <s v="MYR"/>
    <m/>
    <m/>
    <m/>
    <x v="361"/>
    <s v="MY Staff"/>
    <m/>
    <s v="Statutory Contribution - 11/26"/>
    <x v="10"/>
    <x v="8"/>
    <x v="4"/>
    <x v="2"/>
    <m/>
    <m/>
    <m/>
    <m/>
    <m/>
  </r>
  <r>
    <x v="1"/>
    <x v="1"/>
    <d v="2026-11-30T00:00:00"/>
    <d v="2026-11-30T00:00:00"/>
    <x v="62"/>
    <s v="MYR"/>
    <m/>
    <m/>
    <m/>
    <x v="362"/>
    <s v="MY Staff"/>
    <m/>
    <s v="Net Pay - 11/26"/>
    <x v="17"/>
    <x v="8"/>
    <x v="10"/>
    <x v="1"/>
    <m/>
    <m/>
    <m/>
    <m/>
    <m/>
  </r>
  <r>
    <x v="1"/>
    <x v="1"/>
    <d v="2026-11-30T00:00:00"/>
    <d v="2026-11-30T00:00:00"/>
    <x v="62"/>
    <s v="MYR"/>
    <m/>
    <m/>
    <m/>
    <x v="359"/>
    <s v="MY Staff"/>
    <m/>
    <s v="Net Pay - 11/26"/>
    <x v="17"/>
    <x v="8"/>
    <x v="9"/>
    <x v="4"/>
    <m/>
    <m/>
    <m/>
    <m/>
    <m/>
  </r>
  <r>
    <x v="1"/>
    <x v="1"/>
    <d v="2026-11-30T00:00:00"/>
    <d v="2026-11-30T00:00:00"/>
    <x v="62"/>
    <s v="MYR"/>
    <m/>
    <m/>
    <m/>
    <x v="363"/>
    <s v="MY Staff"/>
    <m/>
    <s v="Net Pay - 11/26"/>
    <x v="17"/>
    <x v="8"/>
    <x v="10"/>
    <x v="1"/>
    <m/>
    <m/>
    <m/>
    <m/>
    <m/>
  </r>
  <r>
    <x v="1"/>
    <x v="1"/>
    <d v="2026-11-30T00:00:00"/>
    <d v="2026-11-30T00:00:00"/>
    <x v="62"/>
    <s v="MYR"/>
    <m/>
    <m/>
    <m/>
    <x v="364"/>
    <s v="MY Staff"/>
    <m/>
    <s v="Net Pay - 11/26"/>
    <x v="17"/>
    <x v="8"/>
    <x v="9"/>
    <x v="4"/>
    <m/>
    <m/>
    <m/>
    <m/>
    <m/>
  </r>
  <r>
    <x v="1"/>
    <x v="1"/>
    <d v="2026-11-30T00:00:00"/>
    <d v="2026-11-30T00:00:00"/>
    <x v="62"/>
    <s v="MYR"/>
    <m/>
    <m/>
    <m/>
    <x v="365"/>
    <s v="MY Staff"/>
    <m/>
    <s v="Statutory Contribution - 11/26"/>
    <x v="10"/>
    <x v="8"/>
    <x v="10"/>
    <x v="1"/>
    <m/>
    <m/>
    <m/>
    <m/>
    <m/>
  </r>
  <r>
    <x v="1"/>
    <x v="1"/>
    <d v="2026-11-30T00:00:00"/>
    <d v="2026-11-30T00:00:00"/>
    <x v="62"/>
    <s v="MYR"/>
    <m/>
    <m/>
    <m/>
    <x v="360"/>
    <s v="MY Staff"/>
    <m/>
    <s v="Statutory Contribution - 11/26"/>
    <x v="10"/>
    <x v="8"/>
    <x v="9"/>
    <x v="4"/>
    <m/>
    <m/>
    <m/>
    <m/>
    <m/>
  </r>
  <r>
    <x v="1"/>
    <x v="1"/>
    <d v="2026-11-30T00:00:00"/>
    <d v="2026-11-30T00:00:00"/>
    <x v="62"/>
    <s v="MYR"/>
    <m/>
    <m/>
    <m/>
    <x v="366"/>
    <s v="MY Staff"/>
    <m/>
    <s v="Net Pay - 11/26"/>
    <x v="17"/>
    <x v="8"/>
    <x v="0"/>
    <x v="0"/>
    <m/>
    <m/>
    <m/>
    <m/>
    <m/>
  </r>
  <r>
    <x v="1"/>
    <x v="1"/>
    <d v="2026-11-30T00:00:00"/>
    <d v="2026-11-30T00:00:00"/>
    <x v="62"/>
    <s v="MYR"/>
    <m/>
    <m/>
    <m/>
    <x v="360"/>
    <s v="MY Staff"/>
    <m/>
    <s v="Net Pay - 11/26"/>
    <x v="17"/>
    <x v="8"/>
    <x v="0"/>
    <x v="0"/>
    <m/>
    <m/>
    <m/>
    <m/>
    <m/>
  </r>
  <r>
    <x v="1"/>
    <x v="1"/>
    <d v="2026-11-30T00:00:00"/>
    <d v="2026-11-30T00:00:00"/>
    <x v="62"/>
    <s v="MYR"/>
    <m/>
    <m/>
    <m/>
    <x v="367"/>
    <s v="MY Staff"/>
    <m/>
    <s v="Statutory Contribution - 11/26"/>
    <x v="10"/>
    <x v="8"/>
    <x v="0"/>
    <x v="0"/>
    <m/>
    <m/>
    <m/>
    <m/>
    <m/>
  </r>
  <r>
    <x v="1"/>
    <x v="1"/>
    <d v="2026-11-30T00:00:00"/>
    <d v="2026-11-30T00:00:00"/>
    <x v="62"/>
    <s v="MYR"/>
    <m/>
    <m/>
    <m/>
    <x v="366"/>
    <s v="MY Staff"/>
    <m/>
    <s v="Net Pay - 11/26"/>
    <x v="17"/>
    <x v="8"/>
    <x v="3"/>
    <x v="0"/>
    <m/>
    <m/>
    <m/>
    <m/>
    <m/>
  </r>
  <r>
    <x v="1"/>
    <x v="1"/>
    <d v="2026-11-30T00:00:00"/>
    <d v="2026-11-30T00:00:00"/>
    <x v="62"/>
    <s v="MYR"/>
    <m/>
    <m/>
    <m/>
    <x v="360"/>
    <s v="MY Staff"/>
    <m/>
    <s v="Net Pay - 11/26"/>
    <x v="17"/>
    <x v="8"/>
    <x v="3"/>
    <x v="0"/>
    <m/>
    <m/>
    <m/>
    <m/>
    <m/>
  </r>
  <r>
    <x v="1"/>
    <x v="1"/>
    <d v="2026-11-30T00:00:00"/>
    <d v="2026-11-30T00:00:00"/>
    <x v="62"/>
    <s v="MYR"/>
    <m/>
    <m/>
    <m/>
    <x v="367"/>
    <s v="MY Staff"/>
    <m/>
    <s v="Statutory Contribution - 11/26"/>
    <x v="10"/>
    <x v="8"/>
    <x v="3"/>
    <x v="0"/>
    <m/>
    <m/>
    <m/>
    <m/>
    <m/>
  </r>
  <r>
    <x v="1"/>
    <x v="1"/>
    <d v="2026-11-30T00:00:00"/>
    <d v="2026-11-30T00:00:00"/>
    <x v="62"/>
    <s v="MYR"/>
    <m/>
    <m/>
    <m/>
    <x v="363"/>
    <s v="MY Staff"/>
    <m/>
    <s v="Net Pay - 11/26"/>
    <x v="17"/>
    <x v="8"/>
    <x v="8"/>
    <x v="2"/>
    <m/>
    <m/>
    <m/>
    <m/>
    <m/>
  </r>
  <r>
    <x v="1"/>
    <x v="1"/>
    <d v="2026-11-30T00:00:00"/>
    <d v="2026-11-30T00:00:00"/>
    <x v="62"/>
    <s v="MYR"/>
    <m/>
    <m/>
    <m/>
    <x v="92"/>
    <s v="MY Staff"/>
    <m/>
    <s v="Net Pay - 11/26"/>
    <x v="17"/>
    <x v="8"/>
    <x v="8"/>
    <x v="2"/>
    <m/>
    <m/>
    <m/>
    <m/>
    <m/>
  </r>
  <r>
    <x v="1"/>
    <x v="1"/>
    <d v="2026-11-30T00:00:00"/>
    <d v="2026-11-30T00:00:00"/>
    <x v="62"/>
    <s v="MYR"/>
    <m/>
    <m/>
    <m/>
    <x v="360"/>
    <s v="MY Staff"/>
    <m/>
    <s v="Statutory Contribution - 11/26"/>
    <x v="10"/>
    <x v="8"/>
    <x v="8"/>
    <x v="2"/>
    <m/>
    <m/>
    <m/>
    <m/>
    <m/>
  </r>
  <r>
    <x v="1"/>
    <x v="1"/>
    <d v="2026-11-30T00:00:00"/>
    <d v="2026-11-30T00:00:00"/>
    <x v="62"/>
    <s v="MYR"/>
    <m/>
    <m/>
    <m/>
    <x v="368"/>
    <s v="MY Staff"/>
    <m/>
    <s v="Net Pay - 11/26"/>
    <x v="17"/>
    <x v="8"/>
    <x v="3"/>
    <x v="0"/>
    <m/>
    <m/>
    <m/>
    <m/>
    <m/>
  </r>
  <r>
    <x v="1"/>
    <x v="1"/>
    <d v="2026-11-30T00:00:00"/>
    <d v="2026-11-30T00:00:00"/>
    <x v="62"/>
    <s v="MYR"/>
    <m/>
    <m/>
    <m/>
    <x v="364"/>
    <s v="MY Staff"/>
    <m/>
    <s v="Statutory Contribution - 11/26"/>
    <x v="10"/>
    <x v="8"/>
    <x v="3"/>
    <x v="0"/>
    <m/>
    <m/>
    <m/>
    <m/>
    <m/>
  </r>
  <r>
    <x v="1"/>
    <x v="1"/>
    <d v="2026-12-15T00:00:00"/>
    <m/>
    <x v="63"/>
    <s v="MYR"/>
    <n v="16837"/>
    <n v="0"/>
    <n v="16837"/>
    <x v="205"/>
    <s v="Lembaga Hasil Dalam Negeri (LHDN-Tax)"/>
    <m/>
    <s v="Company Tax Instalment 11/2026"/>
    <x v="33"/>
    <x v="24"/>
    <x v="0"/>
    <x v="0"/>
    <m/>
    <m/>
    <m/>
    <m/>
    <m/>
  </r>
  <r>
    <x v="1"/>
    <x v="1"/>
    <d v="2026-12-01T00:00:00"/>
    <d v="2026-12-01T00:00:00"/>
    <x v="64"/>
    <s v="MYR"/>
    <n v="9764.7999999999993"/>
    <n v="585.89"/>
    <n v="10350.69"/>
    <x v="329"/>
    <s v="Bandar Utama City Sdn Bhd"/>
    <m/>
    <s v="Rental December 2026"/>
    <x v="23"/>
    <x v="17"/>
    <x v="1"/>
    <x v="0"/>
    <m/>
    <m/>
    <m/>
    <m/>
    <m/>
  </r>
  <r>
    <x v="1"/>
    <x v="1"/>
    <d v="2026-12-01T00:00:00"/>
    <d v="2026-12-01T00:00:00"/>
    <x v="64"/>
    <s v="MYR"/>
    <n v="6000"/>
    <n v="0"/>
    <n v="6000"/>
    <x v="101"/>
    <s v="Golden Dragon Technology Sdn Bhd"/>
    <m/>
    <s v="Laptop Leasing payment for December 2026"/>
    <x v="13"/>
    <x v="11"/>
    <x v="5"/>
    <x v="0"/>
    <m/>
    <m/>
    <m/>
    <m/>
    <m/>
  </r>
  <r>
    <x v="1"/>
    <x v="1"/>
    <d v="2026-12-25T00:00:00"/>
    <d v="2026-12-25T00:00:00"/>
    <x v="64"/>
    <s v="MYR"/>
    <n v="450"/>
    <n v="0"/>
    <n v="450"/>
    <x v="102"/>
    <s v="TM Technology Services Sdn Bhd "/>
    <m/>
    <s v="Wifi November 2026"/>
    <x v="26"/>
    <x v="19"/>
    <x v="5"/>
    <x v="0"/>
    <m/>
    <m/>
    <m/>
    <m/>
    <m/>
  </r>
  <r>
    <x v="1"/>
    <x v="1"/>
    <d v="2026-12-31T00:00:00"/>
    <d v="2026-12-31T00:00:00"/>
    <x v="65"/>
    <s v="MYR"/>
    <m/>
    <m/>
    <m/>
    <x v="359"/>
    <s v="MY Staff"/>
    <m/>
    <s v="Net Pay - 12/26"/>
    <x v="17"/>
    <x v="8"/>
    <x v="4"/>
    <x v="2"/>
    <m/>
    <m/>
    <m/>
    <m/>
    <m/>
  </r>
  <r>
    <x v="1"/>
    <x v="1"/>
    <d v="2026-12-31T00:00:00"/>
    <d v="2026-12-31T00:00:00"/>
    <x v="65"/>
    <s v="MYR"/>
    <m/>
    <m/>
    <m/>
    <x v="360"/>
    <s v="MY Staff"/>
    <m/>
    <s v="Net Pay - 12/26"/>
    <x v="17"/>
    <x v="8"/>
    <x v="4"/>
    <x v="2"/>
    <m/>
    <m/>
    <m/>
    <m/>
    <m/>
  </r>
  <r>
    <x v="1"/>
    <x v="1"/>
    <d v="2026-12-31T00:00:00"/>
    <d v="2026-12-31T00:00:00"/>
    <x v="65"/>
    <s v="MYR"/>
    <m/>
    <m/>
    <m/>
    <x v="361"/>
    <s v="MY Staff"/>
    <m/>
    <s v="Statutory Contribution - 12/26"/>
    <x v="10"/>
    <x v="8"/>
    <x v="4"/>
    <x v="2"/>
    <m/>
    <m/>
    <m/>
    <m/>
    <m/>
  </r>
  <r>
    <x v="1"/>
    <x v="1"/>
    <d v="2026-12-31T00:00:00"/>
    <d v="2026-12-31T00:00:00"/>
    <x v="65"/>
    <s v="MYR"/>
    <m/>
    <m/>
    <m/>
    <x v="362"/>
    <s v="MY Staff"/>
    <m/>
    <s v="Net Pay - 12/26"/>
    <x v="17"/>
    <x v="8"/>
    <x v="10"/>
    <x v="1"/>
    <m/>
    <m/>
    <m/>
    <m/>
    <m/>
  </r>
  <r>
    <x v="1"/>
    <x v="1"/>
    <d v="2026-12-31T00:00:00"/>
    <d v="2026-12-31T00:00:00"/>
    <x v="65"/>
    <s v="MYR"/>
    <m/>
    <m/>
    <m/>
    <x v="359"/>
    <s v="MY Staff"/>
    <m/>
    <s v="Net Pay - 12/26"/>
    <x v="17"/>
    <x v="8"/>
    <x v="9"/>
    <x v="4"/>
    <m/>
    <m/>
    <m/>
    <m/>
    <m/>
  </r>
  <r>
    <x v="1"/>
    <x v="1"/>
    <d v="2026-12-31T00:00:00"/>
    <d v="2026-12-31T00:00:00"/>
    <x v="65"/>
    <s v="MYR"/>
    <m/>
    <m/>
    <m/>
    <x v="363"/>
    <s v="MY Staff"/>
    <m/>
    <s v="Net Pay - 12/26"/>
    <x v="17"/>
    <x v="8"/>
    <x v="10"/>
    <x v="1"/>
    <m/>
    <m/>
    <m/>
    <m/>
    <m/>
  </r>
  <r>
    <x v="1"/>
    <x v="1"/>
    <d v="2026-12-31T00:00:00"/>
    <d v="2026-12-31T00:00:00"/>
    <x v="65"/>
    <s v="MYR"/>
    <m/>
    <m/>
    <m/>
    <x v="364"/>
    <s v="MY Staff"/>
    <m/>
    <s v="Net Pay - 12/26"/>
    <x v="17"/>
    <x v="8"/>
    <x v="9"/>
    <x v="4"/>
    <m/>
    <m/>
    <m/>
    <m/>
    <m/>
  </r>
  <r>
    <x v="1"/>
    <x v="1"/>
    <d v="2026-12-31T00:00:00"/>
    <d v="2026-12-31T00:00:00"/>
    <x v="65"/>
    <s v="MYR"/>
    <m/>
    <m/>
    <m/>
    <x v="365"/>
    <s v="MY Staff"/>
    <m/>
    <s v="Statutory Contribution - 12/26"/>
    <x v="10"/>
    <x v="8"/>
    <x v="10"/>
    <x v="1"/>
    <m/>
    <m/>
    <m/>
    <m/>
    <m/>
  </r>
  <r>
    <x v="1"/>
    <x v="1"/>
    <d v="2026-12-31T00:00:00"/>
    <d v="2026-12-31T00:00:00"/>
    <x v="65"/>
    <s v="MYR"/>
    <m/>
    <m/>
    <m/>
    <x v="360"/>
    <s v="MY Staff"/>
    <m/>
    <s v="Statutory Contribution - 12/26"/>
    <x v="10"/>
    <x v="8"/>
    <x v="9"/>
    <x v="4"/>
    <m/>
    <m/>
    <m/>
    <m/>
    <m/>
  </r>
  <r>
    <x v="1"/>
    <x v="1"/>
    <d v="2026-12-31T00:00:00"/>
    <d v="2026-12-31T00:00:00"/>
    <x v="65"/>
    <s v="MYR"/>
    <m/>
    <m/>
    <m/>
    <x v="366"/>
    <s v="MY Staff"/>
    <m/>
    <s v="Net Pay - 12/26"/>
    <x v="17"/>
    <x v="8"/>
    <x v="0"/>
    <x v="0"/>
    <m/>
    <m/>
    <m/>
    <m/>
    <m/>
  </r>
  <r>
    <x v="1"/>
    <x v="1"/>
    <d v="2026-12-31T00:00:00"/>
    <d v="2026-12-31T00:00:00"/>
    <x v="65"/>
    <s v="MYR"/>
    <m/>
    <m/>
    <m/>
    <x v="360"/>
    <s v="MY Staff"/>
    <m/>
    <s v="Net Pay - 12/26"/>
    <x v="17"/>
    <x v="8"/>
    <x v="0"/>
    <x v="0"/>
    <m/>
    <m/>
    <m/>
    <m/>
    <m/>
  </r>
  <r>
    <x v="1"/>
    <x v="1"/>
    <d v="2026-12-31T00:00:00"/>
    <d v="2026-12-31T00:00:00"/>
    <x v="65"/>
    <s v="MYR"/>
    <m/>
    <m/>
    <m/>
    <x v="367"/>
    <s v="MY Staff"/>
    <m/>
    <s v="Statutory Contribution - 12/26"/>
    <x v="10"/>
    <x v="8"/>
    <x v="0"/>
    <x v="0"/>
    <m/>
    <m/>
    <m/>
    <m/>
    <m/>
  </r>
  <r>
    <x v="1"/>
    <x v="1"/>
    <d v="2026-12-31T00:00:00"/>
    <d v="2026-12-31T00:00:00"/>
    <x v="65"/>
    <s v="MYR"/>
    <m/>
    <m/>
    <m/>
    <x v="366"/>
    <s v="MY Staff"/>
    <m/>
    <s v="Net Pay - 12/26"/>
    <x v="17"/>
    <x v="8"/>
    <x v="3"/>
    <x v="0"/>
    <m/>
    <m/>
    <m/>
    <m/>
    <m/>
  </r>
  <r>
    <x v="1"/>
    <x v="1"/>
    <d v="2026-12-31T00:00:00"/>
    <d v="2026-12-31T00:00:00"/>
    <x v="65"/>
    <s v="MYR"/>
    <m/>
    <m/>
    <m/>
    <x v="360"/>
    <s v="MY Staff"/>
    <m/>
    <s v="Net Pay - 12/26"/>
    <x v="17"/>
    <x v="8"/>
    <x v="3"/>
    <x v="0"/>
    <m/>
    <m/>
    <m/>
    <m/>
    <m/>
  </r>
  <r>
    <x v="1"/>
    <x v="1"/>
    <d v="2026-12-31T00:00:00"/>
    <d v="2026-12-31T00:00:00"/>
    <x v="65"/>
    <s v="MYR"/>
    <m/>
    <m/>
    <m/>
    <x v="367"/>
    <s v="MY Staff"/>
    <m/>
    <s v="Statutory Contribution - 12/26"/>
    <x v="10"/>
    <x v="8"/>
    <x v="3"/>
    <x v="0"/>
    <m/>
    <m/>
    <m/>
    <m/>
    <m/>
  </r>
  <r>
    <x v="1"/>
    <x v="1"/>
    <d v="2026-12-31T00:00:00"/>
    <d v="2026-12-31T00:00:00"/>
    <x v="65"/>
    <s v="MYR"/>
    <m/>
    <m/>
    <m/>
    <x v="363"/>
    <s v="MY Staff"/>
    <m/>
    <s v="Net Pay - 12/26"/>
    <x v="17"/>
    <x v="8"/>
    <x v="8"/>
    <x v="2"/>
    <m/>
    <m/>
    <m/>
    <m/>
    <m/>
  </r>
  <r>
    <x v="1"/>
    <x v="1"/>
    <d v="2026-12-31T00:00:00"/>
    <d v="2026-12-31T00:00:00"/>
    <x v="65"/>
    <s v="MYR"/>
    <m/>
    <m/>
    <m/>
    <x v="92"/>
    <s v="MY Staff"/>
    <m/>
    <s v="Net Pay - 12/26"/>
    <x v="17"/>
    <x v="8"/>
    <x v="8"/>
    <x v="2"/>
    <m/>
    <m/>
    <m/>
    <m/>
    <m/>
  </r>
  <r>
    <x v="1"/>
    <x v="1"/>
    <d v="2026-12-31T00:00:00"/>
    <d v="2026-12-31T00:00:00"/>
    <x v="65"/>
    <s v="MYR"/>
    <m/>
    <m/>
    <m/>
    <x v="360"/>
    <s v="MY Staff"/>
    <m/>
    <s v="Statutory Contribution - 12/26"/>
    <x v="10"/>
    <x v="8"/>
    <x v="8"/>
    <x v="2"/>
    <m/>
    <m/>
    <m/>
    <m/>
    <m/>
  </r>
  <r>
    <x v="1"/>
    <x v="1"/>
    <d v="2026-12-31T00:00:00"/>
    <d v="2026-12-31T00:00:00"/>
    <x v="65"/>
    <s v="MYR"/>
    <m/>
    <m/>
    <m/>
    <x v="368"/>
    <s v="MY Staff"/>
    <m/>
    <s v="Net Pay - 12/26"/>
    <x v="17"/>
    <x v="8"/>
    <x v="3"/>
    <x v="0"/>
    <m/>
    <m/>
    <m/>
    <m/>
    <m/>
  </r>
  <r>
    <x v="1"/>
    <x v="1"/>
    <d v="2026-12-31T00:00:00"/>
    <d v="2026-12-31T00:00:00"/>
    <x v="65"/>
    <s v="MYR"/>
    <m/>
    <m/>
    <m/>
    <x v="360"/>
    <s v="MY Staff"/>
    <m/>
    <s v="Net Pay - 12/26"/>
    <x v="17"/>
    <x v="8"/>
    <x v="4"/>
    <x v="2"/>
    <m/>
    <m/>
    <m/>
    <m/>
    <m/>
  </r>
  <r>
    <x v="2"/>
    <x v="1"/>
    <d v="2026-06-19T00:00:00"/>
    <d v="2026-06-19T00:00:00"/>
    <x v="28"/>
    <s v="MYR"/>
    <n v="6100"/>
    <n v="488"/>
    <n v="6588"/>
    <x v="372"/>
    <s v="CJ Phang &amp; Co PLT"/>
    <s v="AUDX.22646"/>
    <s v="Audit Fee for Financial Year Ended 31 December 2025"/>
    <x v="11"/>
    <x v="9"/>
    <x v="1"/>
    <x v="0"/>
    <m/>
    <m/>
    <m/>
    <m/>
    <m/>
  </r>
  <r>
    <x v="2"/>
    <x v="1"/>
    <d v="2026-06-19T00:00:00"/>
    <d v="2026-06-19T00:00:00"/>
    <x v="28"/>
    <s v="MYR"/>
    <n v="250"/>
    <n v="20"/>
    <n v="270"/>
    <x v="373"/>
    <s v="CJ Phang &amp; Co PLT"/>
    <s v="AUDX.22646"/>
    <s v="Disbursement - Printing &amp; Stationery"/>
    <x v="29"/>
    <x v="5"/>
    <x v="1"/>
    <x v="0"/>
    <m/>
    <m/>
    <m/>
    <m/>
    <m/>
  </r>
  <r>
    <x v="1"/>
    <x v="1"/>
    <d v="2027-01-15T00:00:00"/>
    <m/>
    <x v="66"/>
    <s v="MYR"/>
    <n v="16837"/>
    <n v="0"/>
    <n v="16837"/>
    <x v="205"/>
    <s v="Lembaga Hasil Dalam Negeri (LHDN-Tax)"/>
    <m/>
    <s v="Company Tax Instalment 12/2026"/>
    <x v="33"/>
    <x v="24"/>
    <x v="0"/>
    <x v="0"/>
    <m/>
    <m/>
    <m/>
    <m/>
    <m/>
  </r>
  <r>
    <x v="1"/>
    <x v="1"/>
    <d v="2027-01-25T00:00:00"/>
    <d v="2027-01-25T00:00:00"/>
    <x v="67"/>
    <s v="MYR"/>
    <n v="450"/>
    <n v="0"/>
    <n v="450"/>
    <x v="102"/>
    <s v="TM Technology Services Sdn Bhd "/>
    <m/>
    <s v="Wifi December 2026"/>
    <x v="26"/>
    <x v="19"/>
    <x v="5"/>
    <x v="0"/>
    <m/>
    <m/>
    <m/>
    <m/>
    <m/>
  </r>
  <r>
    <x v="2"/>
    <x v="1"/>
    <d v="2026-05-31T00:00:00"/>
    <d v="2026-06-30T00:00:00"/>
    <x v="28"/>
    <s v="MYR"/>
    <n v="470"/>
    <n v="0"/>
    <n v="470"/>
    <x v="374"/>
    <s v="H Space Holdings Sdn Bhd"/>
    <s v="2605006"/>
    <s v="Monthly cleaning service May 2026"/>
    <x v="41"/>
    <x v="31"/>
    <x v="1"/>
    <x v="0"/>
    <m/>
    <m/>
    <m/>
    <m/>
    <m/>
  </r>
  <r>
    <x v="2"/>
    <x v="1"/>
    <d v="2026-05-31T00:00:00"/>
    <d v="2026-06-30T00:00:00"/>
    <x v="28"/>
    <s v="MYR"/>
    <n v="120"/>
    <n v="0"/>
    <n v="120"/>
    <x v="375"/>
    <s v="H Space Holdings Sdn Bhd"/>
    <s v="2605006"/>
    <s v="Supply 5 Bottles x 19L mineral water: 26 May 2026"/>
    <x v="5"/>
    <x v="5"/>
    <x v="1"/>
    <x v="0"/>
    <m/>
    <m/>
    <m/>
    <m/>
    <m/>
  </r>
  <r>
    <x v="2"/>
    <x v="1"/>
    <d v="2026-06-23T00:00:00"/>
    <d v="2026-07-22T00:00:00"/>
    <x v="50"/>
    <s v="MYR"/>
    <n v="470"/>
    <m/>
    <n v="470"/>
    <x v="374"/>
    <s v="H Space Holdings Sdn Bhd"/>
    <n v="2606005"/>
    <s v="Monthly cleaning service June 2026"/>
    <x v="41"/>
    <x v="31"/>
    <x v="1"/>
    <x v="0"/>
    <m/>
    <m/>
    <m/>
    <m/>
    <m/>
  </r>
  <r>
    <x v="2"/>
    <x v="1"/>
    <d v="2026-06-23T00:00:00"/>
    <d v="2026-07-22T00:00:00"/>
    <x v="50"/>
    <s v="MYR"/>
    <n v="312"/>
    <m/>
    <n v="312"/>
    <x v="376"/>
    <s v="H Space Holdings Sdn Bhd"/>
    <n v="2606005"/>
    <s v="Supply 13 Bottles x 19L mineral water: 11 &amp; 23 June 2026"/>
    <x v="5"/>
    <x v="5"/>
    <x v="1"/>
    <x v="0"/>
    <m/>
    <m/>
    <m/>
    <m/>
    <m/>
  </r>
  <r>
    <x v="1"/>
    <x v="1"/>
    <d v="2026-07-31T00:00:00"/>
    <d v="2026-08-31T00:00:00"/>
    <x v="52"/>
    <s v="MYR"/>
    <n v="470"/>
    <n v="0"/>
    <n v="470"/>
    <x v="374"/>
    <s v="H Space Holdings Sdn Bhd"/>
    <m/>
    <s v="Monthly cleaning service July 2026"/>
    <x v="41"/>
    <x v="31"/>
    <x v="1"/>
    <x v="0"/>
    <m/>
    <m/>
    <m/>
    <m/>
    <m/>
  </r>
  <r>
    <x v="1"/>
    <x v="1"/>
    <d v="2026-07-31T00:00:00"/>
    <d v="2026-08-31T00:00:00"/>
    <x v="52"/>
    <s v="MYR"/>
    <n v="120"/>
    <n v="0"/>
    <n v="120"/>
    <x v="375"/>
    <s v="H Space Holdings Sdn Bhd"/>
    <m/>
    <s v="Supply 5 Bottles x 19L mineral water July 2026"/>
    <x v="5"/>
    <x v="5"/>
    <x v="1"/>
    <x v="0"/>
    <m/>
    <m/>
    <m/>
    <m/>
    <m/>
  </r>
  <r>
    <x v="1"/>
    <x v="1"/>
    <d v="2026-08-31T00:00:00"/>
    <d v="2026-09-30T00:00:00"/>
    <x v="55"/>
    <s v="MYR"/>
    <n v="470"/>
    <n v="0"/>
    <n v="470"/>
    <x v="374"/>
    <s v="H Space Holdings Sdn Bhd"/>
    <m/>
    <s v="Monthly cleaning service August 2026"/>
    <x v="41"/>
    <x v="31"/>
    <x v="1"/>
    <x v="0"/>
    <m/>
    <m/>
    <m/>
    <m/>
    <m/>
  </r>
  <r>
    <x v="1"/>
    <x v="1"/>
    <d v="2026-08-31T00:00:00"/>
    <d v="2026-09-30T00:00:00"/>
    <x v="55"/>
    <s v="MYR"/>
    <n v="120"/>
    <n v="0"/>
    <n v="120"/>
    <x v="375"/>
    <s v="H Space Holdings Sdn Bhd"/>
    <m/>
    <s v="Supply 5 Bottles x 19L mineral water August 2026"/>
    <x v="5"/>
    <x v="5"/>
    <x v="1"/>
    <x v="0"/>
    <m/>
    <m/>
    <m/>
    <m/>
    <m/>
  </r>
  <r>
    <x v="1"/>
    <x v="1"/>
    <d v="2026-09-30T00:00:00"/>
    <d v="2026-10-31T00:00:00"/>
    <x v="58"/>
    <s v="MYR"/>
    <n v="470"/>
    <n v="0"/>
    <n v="470"/>
    <x v="374"/>
    <s v="H Space Holdings Sdn Bhd"/>
    <m/>
    <s v="Monthly cleaning service September 2026"/>
    <x v="41"/>
    <x v="31"/>
    <x v="1"/>
    <x v="0"/>
    <m/>
    <m/>
    <m/>
    <m/>
    <m/>
  </r>
  <r>
    <x v="1"/>
    <x v="1"/>
    <d v="2026-09-30T00:00:00"/>
    <d v="2026-10-31T00:00:00"/>
    <x v="58"/>
    <s v="MYR"/>
    <n v="120"/>
    <n v="0"/>
    <n v="120"/>
    <x v="375"/>
    <s v="H Space Holdings Sdn Bhd"/>
    <m/>
    <s v="Supply 5 Bottles x 19L mineral water September 2026"/>
    <x v="5"/>
    <x v="5"/>
    <x v="1"/>
    <x v="0"/>
    <m/>
    <m/>
    <m/>
    <m/>
    <m/>
  </r>
  <r>
    <x v="1"/>
    <x v="1"/>
    <d v="2026-10-31T00:00:00"/>
    <d v="2026-11-30T00:00:00"/>
    <x v="61"/>
    <s v="MYR"/>
    <n v="470"/>
    <n v="0"/>
    <n v="470"/>
    <x v="374"/>
    <s v="H Space Holdings Sdn Bhd"/>
    <m/>
    <s v="Monthly cleaning service October 2026"/>
    <x v="41"/>
    <x v="31"/>
    <x v="1"/>
    <x v="0"/>
    <m/>
    <m/>
    <m/>
    <m/>
    <m/>
  </r>
  <r>
    <x v="1"/>
    <x v="1"/>
    <d v="2026-10-31T00:00:00"/>
    <d v="2026-11-30T00:00:00"/>
    <x v="61"/>
    <s v="MYR"/>
    <n v="120"/>
    <n v="0"/>
    <n v="120"/>
    <x v="375"/>
    <s v="H Space Holdings Sdn Bhd"/>
    <m/>
    <s v="Supply 5 Bottles x 19L mineral water October2026"/>
    <x v="5"/>
    <x v="5"/>
    <x v="1"/>
    <x v="0"/>
    <m/>
    <m/>
    <m/>
    <m/>
    <m/>
  </r>
  <r>
    <x v="1"/>
    <x v="1"/>
    <d v="2026-11-30T00:00:00"/>
    <d v="2026-12-31T00:00:00"/>
    <x v="64"/>
    <s v="MYR"/>
    <n v="470"/>
    <n v="0"/>
    <n v="470"/>
    <x v="374"/>
    <s v="H Space Holdings Sdn Bhd"/>
    <m/>
    <s v="Monthly cleaning service November 2026"/>
    <x v="41"/>
    <x v="31"/>
    <x v="1"/>
    <x v="0"/>
    <m/>
    <m/>
    <m/>
    <m/>
    <m/>
  </r>
  <r>
    <x v="1"/>
    <x v="1"/>
    <d v="2026-11-30T00:00:00"/>
    <d v="2026-12-31T00:00:00"/>
    <x v="64"/>
    <s v="MYR"/>
    <n v="120"/>
    <n v="0"/>
    <n v="120"/>
    <x v="375"/>
    <s v="H Space Holdings Sdn Bhd"/>
    <m/>
    <s v="Supply 5 Bottles x 19L mineral water November 2026"/>
    <x v="5"/>
    <x v="5"/>
    <x v="1"/>
    <x v="0"/>
    <m/>
    <m/>
    <m/>
    <m/>
    <m/>
  </r>
  <r>
    <x v="1"/>
    <x v="1"/>
    <d v="2026-12-31T00:00:00"/>
    <d v="2027-01-31T00:00:00"/>
    <x v="67"/>
    <s v="MYR"/>
    <n v="470"/>
    <n v="0"/>
    <n v="470"/>
    <x v="374"/>
    <s v="H Space Holdings Sdn Bhd"/>
    <m/>
    <s v="Monthly cleaning service December 2026"/>
    <x v="41"/>
    <x v="31"/>
    <x v="1"/>
    <x v="0"/>
    <m/>
    <m/>
    <m/>
    <m/>
    <m/>
  </r>
  <r>
    <x v="1"/>
    <x v="1"/>
    <d v="2026-12-31T00:00:00"/>
    <d v="2027-01-31T00:00:00"/>
    <x v="67"/>
    <s v="MYR"/>
    <n v="120"/>
    <n v="0"/>
    <n v="120"/>
    <x v="375"/>
    <s v="H Space Holdings Sdn Bhd"/>
    <m/>
    <s v="Supply 5 Bottles x 19L mineral water December2026"/>
    <x v="5"/>
    <x v="5"/>
    <x v="1"/>
    <x v="0"/>
    <m/>
    <m/>
    <m/>
    <m/>
    <m/>
  </r>
  <r>
    <x v="2"/>
    <x v="2"/>
    <d v="2026-06-08T00:00:00"/>
    <d v="2026-06-08T00:00:00"/>
    <x v="28"/>
    <s v="USD"/>
    <n v="440"/>
    <n v="0"/>
    <n v="440"/>
    <x v="377"/>
    <s v="eeCheck Limited"/>
    <n v="12026270034"/>
    <s v="Malaysia_Passport Check"/>
    <x v="43"/>
    <x v="15"/>
    <x v="9"/>
    <x v="4"/>
    <m/>
    <m/>
    <m/>
    <m/>
    <m/>
  </r>
  <r>
    <x v="2"/>
    <x v="2"/>
    <d v="2026-05-31T00:00:00"/>
    <d v="2026-05-31T00:00:00"/>
    <x v="28"/>
    <s v="SGD"/>
    <n v="436"/>
    <n v="0"/>
    <n v="436"/>
    <x v="378"/>
    <s v="Singapore Business Federation"/>
    <n v="26022687"/>
    <s v="SBF Subscription Fee for the period from Jan To Dec 2026"/>
    <x v="8"/>
    <x v="6"/>
    <x v="12"/>
    <x v="2"/>
    <m/>
    <m/>
    <m/>
    <m/>
    <m/>
  </r>
  <r>
    <x v="2"/>
    <x v="2"/>
    <d v="2026-04-01T00:00:00"/>
    <d v="2026-06-01T00:00:00"/>
    <x v="65"/>
    <s v="SGD"/>
    <n v="154.13999999999999"/>
    <n v="13.87"/>
    <n v="168.01"/>
    <x v="379"/>
    <s v="FLO Energy"/>
    <s v="T2610004197"/>
    <s v="Electricity Bill for #14-04 - May 2026"/>
    <x v="12"/>
    <x v="10"/>
    <x v="1"/>
    <x v="0"/>
    <m/>
    <m/>
    <m/>
    <m/>
    <m/>
  </r>
  <r>
    <x v="2"/>
    <x v="2"/>
    <d v="2026-04-14T00:00:00"/>
    <s v="14/06/2026"/>
    <x v="65"/>
    <s v="SGD"/>
    <n v="4426.57"/>
    <n v="398.39129999999994"/>
    <n v="4824.9612999999999"/>
    <x v="380"/>
    <s v="Gtrontec Technology Pte Ltd"/>
    <s v="GCES-2025-0349-01-IN03"/>
    <s v="Travelling Expenses  - January to March 2026"/>
    <x v="7"/>
    <x v="1"/>
    <x v="9"/>
    <x v="4"/>
    <m/>
    <m/>
    <m/>
    <m/>
    <m/>
  </r>
  <r>
    <x v="2"/>
    <x v="2"/>
    <d v="2026-06-01T00:00:00"/>
    <d v="2026-06-01T00:00:00"/>
    <x v="28"/>
    <s v="SGD"/>
    <n v="788.26"/>
    <n v="70.94"/>
    <n v="859.2"/>
    <x v="381"/>
    <s v="Gtrontec Technology Pte Ltd"/>
    <s v="GCES-2025-0349-01-IN05"/>
    <s v="Travelling Expenses  - November 2025"/>
    <x v="7"/>
    <x v="1"/>
    <x v="9"/>
    <x v="4"/>
    <m/>
    <m/>
    <m/>
    <m/>
    <m/>
  </r>
  <r>
    <x v="2"/>
    <x v="2"/>
    <d v="2026-04-01T00:00:00"/>
    <d v="2026-05-01T00:00:00"/>
    <x v="28"/>
    <s v="SGD"/>
    <n v="23892"/>
    <n v="2150.2800000000002"/>
    <n v="26042.28"/>
    <x v="382"/>
    <s v="HTSG A/C Suntec Reit"/>
    <s v="SOT3-020953"/>
    <s v="Rental for July 2026"/>
    <x v="23"/>
    <x v="17"/>
    <x v="1"/>
    <x v="0"/>
    <m/>
    <m/>
    <m/>
    <m/>
    <m/>
  </r>
  <r>
    <x v="2"/>
    <x v="2"/>
    <d v="2026-04-01T00:00:00"/>
    <d v="2026-05-01T00:00:00"/>
    <x v="28"/>
    <s v="SGD"/>
    <n v="158"/>
    <n v="14.22"/>
    <n v="172.22"/>
    <x v="383"/>
    <s v="JK Technology Pte Ltd"/>
    <s v="I26048340"/>
    <s v="Lease liability - Apr26"/>
    <x v="13"/>
    <x v="11"/>
    <x v="5"/>
    <x v="0"/>
    <m/>
    <m/>
    <m/>
    <m/>
    <m/>
  </r>
  <r>
    <x v="2"/>
    <x v="2"/>
    <d v="2026-04-01T00:00:00"/>
    <d v="2026-05-01T00:00:00"/>
    <x v="28"/>
    <s v="SGD"/>
    <n v="70"/>
    <n v="6.3"/>
    <n v="76.3"/>
    <x v="384"/>
    <s v="JK Technology Pte Ltd"/>
    <s v="I26048339"/>
    <s v="Lease liability - Apr26"/>
    <x v="13"/>
    <x v="11"/>
    <x v="5"/>
    <x v="0"/>
    <m/>
    <m/>
    <m/>
    <m/>
    <m/>
  </r>
  <r>
    <x v="2"/>
    <x v="2"/>
    <d v="2026-02-26T00:00:00"/>
    <d v="2026-03-25T00:00:00"/>
    <x v="28"/>
    <s v="SGD"/>
    <n v="584.1"/>
    <n v="52.57"/>
    <n v="636.66999999999996"/>
    <x v="385"/>
    <s v="JK Technology Pte Ltd"/>
    <s v="I26048338"/>
    <s v="Lease liability - Apr26"/>
    <x v="13"/>
    <x v="11"/>
    <x v="5"/>
    <x v="0"/>
    <m/>
    <m/>
    <m/>
    <m/>
    <m/>
  </r>
  <r>
    <x v="2"/>
    <x v="2"/>
    <d v="2026-06-02T00:00:00"/>
    <d v="2026-07-02T00:00:00"/>
    <x v="50"/>
    <s v="SGD"/>
    <n v="316"/>
    <n v="28.44"/>
    <n v="344.44"/>
    <x v="386"/>
    <s v="JK Technology Pte Ltd"/>
    <s v="I26031287"/>
    <s v="Lease liability - Feb26 (Invoice dated 26Feb2026, received on 12Jun2026)"/>
    <x v="13"/>
    <x v="11"/>
    <x v="5"/>
    <x v="0"/>
    <m/>
    <m/>
    <m/>
    <m/>
    <m/>
  </r>
  <r>
    <x v="2"/>
    <x v="2"/>
    <d v="2026-06-02T00:00:00"/>
    <d v="2026-07-02T00:00:00"/>
    <x v="50"/>
    <s v="SGD"/>
    <n v="158"/>
    <n v="14.22"/>
    <n v="172.22"/>
    <x v="383"/>
    <s v="JK Technology Pte Ltd"/>
    <s v="I26062038"/>
    <s v="Lease liability - Jun26"/>
    <x v="13"/>
    <x v="11"/>
    <x v="5"/>
    <x v="0"/>
    <m/>
    <m/>
    <m/>
    <m/>
    <m/>
  </r>
  <r>
    <x v="2"/>
    <x v="2"/>
    <d v="2026-06-02T00:00:00"/>
    <d v="2026-07-02T00:00:00"/>
    <x v="50"/>
    <s v="SGD"/>
    <n v="70"/>
    <n v="6.3"/>
    <n v="76.3"/>
    <x v="384"/>
    <s v="JK Technology Pte Ltd"/>
    <s v="I26062037"/>
    <s v="Lease liability - Jun26"/>
    <x v="13"/>
    <x v="11"/>
    <x v="5"/>
    <x v="0"/>
    <m/>
    <m/>
    <m/>
    <m/>
    <m/>
  </r>
  <r>
    <x v="2"/>
    <x v="2"/>
    <d v="2026-05-28T00:00:00"/>
    <d v="2026-06-28T00:00:00"/>
    <x v="28"/>
    <s v="SGD"/>
    <n v="584.1"/>
    <n v="52.57"/>
    <n v="636.66999999999996"/>
    <x v="385"/>
    <s v="JK Technology Pte Ltd"/>
    <s v="I26062036"/>
    <s v="Lease liability - Jun26"/>
    <x v="13"/>
    <x v="11"/>
    <x v="5"/>
    <x v="0"/>
    <m/>
    <m/>
    <m/>
    <m/>
    <m/>
  </r>
  <r>
    <x v="2"/>
    <x v="2"/>
    <d v="2026-05-28T00:00:00"/>
    <d v="2026-06-28T00:00:00"/>
    <x v="28"/>
    <s v="SGD"/>
    <n v="6145.67"/>
    <n v="553.11029999999994"/>
    <n v="6698.7803000000004"/>
    <x v="387"/>
    <s v="JK Technology Pte Ltd"/>
    <s v="I26061436"/>
    <s v="AWS Consumption March 2026"/>
    <x v="26"/>
    <x v="19"/>
    <x v="13"/>
    <x v="1"/>
    <m/>
    <m/>
    <m/>
    <m/>
    <m/>
  </r>
  <r>
    <x v="2"/>
    <x v="2"/>
    <d v="2026-05-28T00:00:00"/>
    <d v="2026-06-28T00:00:00"/>
    <x v="28"/>
    <s v="SGD"/>
    <n v="186.49"/>
    <n v="16.784099999999999"/>
    <n v="203.2741"/>
    <x v="388"/>
    <s v="JK Technology Pte Ltd"/>
    <s v="I26061436"/>
    <s v="AWS Consumption March 2026"/>
    <x v="26"/>
    <x v="19"/>
    <x v="14"/>
    <x v="1"/>
    <m/>
    <m/>
    <m/>
    <m/>
    <m/>
  </r>
  <r>
    <x v="2"/>
    <x v="2"/>
    <d v="2026-05-25T00:00:00"/>
    <d v="2026-05-25T00:00:00"/>
    <x v="50"/>
    <s v="SGD"/>
    <n v="150.84"/>
    <n v="13.5756"/>
    <n v="164.41560000000001"/>
    <x v="389"/>
    <s v="JK Technology Pte Ltd"/>
    <s v="I26061436"/>
    <s v="AWS Consumption March 2026"/>
    <x v="26"/>
    <x v="19"/>
    <x v="15"/>
    <x v="1"/>
    <m/>
    <m/>
    <m/>
    <m/>
    <m/>
  </r>
  <r>
    <x v="2"/>
    <x v="2"/>
    <d v="2026-05-25T00:00:00"/>
    <d v="2026-05-25T00:00:00"/>
    <x v="50"/>
    <s v="SGD"/>
    <n v="5478.71"/>
    <n v="493.08389999999997"/>
    <n v="5971.7938999999997"/>
    <x v="390"/>
    <s v="JK Technology Pte Ltd"/>
    <s v="I26061448"/>
    <s v="AWS Consumption April 2026"/>
    <x v="26"/>
    <x v="19"/>
    <x v="13"/>
    <x v="1"/>
    <m/>
    <m/>
    <m/>
    <m/>
    <m/>
  </r>
  <r>
    <x v="2"/>
    <x v="2"/>
    <d v="2026-05-25T00:00:00"/>
    <d v="2026-05-25T00:00:00"/>
    <x v="50"/>
    <s v="SGD"/>
    <n v="151.44"/>
    <n v="13.6296"/>
    <n v="165.06960000000001"/>
    <x v="391"/>
    <s v="JK Technology Pte Ltd"/>
    <s v="I26061448"/>
    <s v="AWS Consumption April 2026"/>
    <x v="26"/>
    <x v="19"/>
    <x v="14"/>
    <x v="1"/>
    <m/>
    <m/>
    <m/>
    <m/>
    <m/>
  </r>
  <r>
    <x v="2"/>
    <x v="2"/>
    <d v="2025-11-30T00:00:00"/>
    <d v="2025-05-12T00:00:00"/>
    <x v="68"/>
    <s v="SGD"/>
    <n v="135.30000000000001"/>
    <n v="12.177000000000001"/>
    <n v="147.477"/>
    <x v="392"/>
    <s v="JK Technology Pte Ltd"/>
    <s v="I26061448"/>
    <s v="AWS Consumption April 2026"/>
    <x v="26"/>
    <x v="19"/>
    <x v="15"/>
    <x v="1"/>
    <m/>
    <m/>
    <m/>
    <m/>
    <m/>
  </r>
  <r>
    <x v="2"/>
    <x v="2"/>
    <d v="2026-06-02T00:00:00"/>
    <d v="2026-07-02T00:00:00"/>
    <x v="30"/>
    <s v="SGD"/>
    <n v="16000"/>
    <n v="0"/>
    <n v="16000"/>
    <x v="393"/>
    <s v="Juyee Consulting Pte Ltd"/>
    <n v="20251102"/>
    <s v="Professional Fee - Nov &amp; Dec25, swift code : DHBKHKHH"/>
    <x v="11"/>
    <x v="9"/>
    <x v="1"/>
    <x v="0"/>
    <m/>
    <m/>
    <m/>
    <m/>
    <m/>
  </r>
  <r>
    <x v="2"/>
    <x v="2"/>
    <d v="2026-06-02T00:00:00"/>
    <d v="2026-07-02T00:00:00"/>
    <x v="30"/>
    <s v="SGD"/>
    <n v="400"/>
    <n v="36"/>
    <n v="436"/>
    <x v="378"/>
    <s v="Juyee Consulting Pte Ltd"/>
    <n v="20260602"/>
    <s v="Reimbursement for Shenzhen Ziteng IP Agency Co., Ltd. "/>
    <x v="44"/>
    <x v="15"/>
    <x v="1"/>
    <x v="0"/>
    <m/>
    <m/>
    <m/>
    <m/>
    <m/>
  </r>
  <r>
    <x v="2"/>
    <x v="2"/>
    <d v="2026-05-19T00:00:00"/>
    <s v="18/06/2026"/>
    <x v="28"/>
    <s v="SGD"/>
    <n v="40000"/>
    <n v="0"/>
    <n v="40000"/>
    <x v="394"/>
    <s v="Juyee Consulting Pte Ltd"/>
    <n v="20260602"/>
    <s v="Consulation fee - Jan 2026 to May 2026"/>
    <x v="11"/>
    <x v="9"/>
    <x v="1"/>
    <x v="0"/>
    <m/>
    <m/>
    <m/>
    <m/>
    <m/>
  </r>
  <r>
    <x v="2"/>
    <x v="2"/>
    <d v="2026-06-12T00:00:00"/>
    <d v="2026-07-12T00:00:00"/>
    <x v="50"/>
    <s v="SGD"/>
    <n v="66.5"/>
    <n v="5.99"/>
    <n v="72.489999999999995"/>
    <x v="395"/>
    <s v="Kumpulan Development (S) Pte Ltd"/>
    <s v="CE/2931962"/>
    <s v="Ice Mountain Pure Drinking Water 19L"/>
    <x v="5"/>
    <x v="5"/>
    <x v="1"/>
    <x v="0"/>
    <m/>
    <m/>
    <m/>
    <m/>
    <m/>
  </r>
  <r>
    <x v="2"/>
    <x v="2"/>
    <d v="2026-05-17T00:00:00"/>
    <d v="2026-06-01T00:00:00"/>
    <x v="28"/>
    <s v="SGD"/>
    <n v="66.5"/>
    <n v="5.99"/>
    <n v="72.489999999999995"/>
    <x v="395"/>
    <s v="Kumpulan Development (S) Pte Ltd"/>
    <s v="CE/2937450"/>
    <s v="Ice Mountain Pure Drinking Water 19L"/>
    <x v="5"/>
    <x v="5"/>
    <x v="1"/>
    <x v="0"/>
    <m/>
    <m/>
    <m/>
    <m/>
    <m/>
  </r>
  <r>
    <x v="2"/>
    <x v="2"/>
    <d v="2026-06-17T00:00:00"/>
    <d v="2026-07-01T00:00:00"/>
    <x v="28"/>
    <s v="SGD"/>
    <n v="129.26"/>
    <n v="11.63"/>
    <n v="140.88999999999999"/>
    <x v="396"/>
    <s v="Singapore Telecommunications Limited"/>
    <s v="63721230/0024"/>
    <s v="Internet 12May26 to 11Jun26"/>
    <x v="26"/>
    <x v="19"/>
    <x v="5"/>
    <x v="0"/>
    <m/>
    <m/>
    <m/>
    <m/>
    <m/>
  </r>
  <r>
    <x v="2"/>
    <x v="2"/>
    <d v="2026-06-17T00:00:00"/>
    <d v="2026-07-01T00:00:00"/>
    <x v="28"/>
    <s v="SGD"/>
    <n v="129.26"/>
    <n v="11.63"/>
    <n v="140.88999999999999"/>
    <x v="396"/>
    <s v="Singapore Telecommunications Limited"/>
    <s v="63721230/0025"/>
    <s v="Internet 12Jun26 to 11Jul26"/>
    <x v="26"/>
    <x v="19"/>
    <x v="5"/>
    <x v="0"/>
    <m/>
    <m/>
    <m/>
    <m/>
    <m/>
  </r>
  <r>
    <x v="0"/>
    <x v="2"/>
    <d v="2026-01-03T00:00:00"/>
    <d v="2026-01-03T00:00:00"/>
    <x v="69"/>
    <s v="SGD"/>
    <n v="294.35000000000002"/>
    <n v="0"/>
    <n v="294.35000000000002"/>
    <x v="397"/>
    <s v="Sarai Fine Thai Cuisine Singapore "/>
    <s v="Debit Card 3/1/2026"/>
    <s v="Sarai Fine Thai Cuisine Singapore "/>
    <x v="18"/>
    <x v="4"/>
    <x v="11"/>
    <x v="0"/>
    <s v="Leon Chan"/>
    <s v="-"/>
    <s v="-"/>
    <m/>
    <m/>
  </r>
  <r>
    <x v="0"/>
    <x v="2"/>
    <d v="2026-01-05T00:00:00"/>
    <d v="2026-01-05T00:00:00"/>
    <x v="70"/>
    <s v="SGD"/>
    <n v="10"/>
    <n v="0"/>
    <n v="10"/>
    <x v="319"/>
    <s v="OCBC SGD"/>
    <s v="Bank Charges 05/01/2026"/>
    <s v="Bank Charges"/>
    <x v="0"/>
    <x v="0"/>
    <x v="0"/>
    <x v="0"/>
    <s v="Direct"/>
    <s v="-"/>
    <s v="-"/>
    <m/>
    <m/>
  </r>
  <r>
    <x v="0"/>
    <x v="2"/>
    <d v="2026-01-12T00:00:00"/>
    <d v="2026-01-12T00:00:00"/>
    <x v="71"/>
    <s v="SGD"/>
    <n v="51030"/>
    <n v="0"/>
    <n v="51030"/>
    <x v="398"/>
    <s v="Central Provident Fund "/>
    <s v="CPF 2025/12"/>
    <s v="CPF Contribution for December 2025"/>
    <x v="28"/>
    <x v="21"/>
    <x v="3"/>
    <x v="0"/>
    <s v="Stephanie "/>
    <s v="Fan Li"/>
    <s v="CK Beh"/>
    <m/>
    <m/>
  </r>
  <r>
    <x v="0"/>
    <x v="2"/>
    <d v="2026-01-01T00:00:00"/>
    <d v="2026-01-01T00:00:00"/>
    <x v="72"/>
    <s v="SGD"/>
    <n v="500"/>
    <n v="0"/>
    <n v="500"/>
    <x v="399"/>
    <s v="Sutin Kwok Kwai Lian"/>
    <s v="Decemeber2025"/>
    <s v="Cleaning Fees for December 2025"/>
    <x v="28"/>
    <x v="21"/>
    <x v="1"/>
    <x v="0"/>
    <s v="Mei Inn"/>
    <s v="Cathfrine Low"/>
    <s v="CK Beh"/>
    <m/>
    <m/>
  </r>
  <r>
    <x v="0"/>
    <x v="2"/>
    <d v="2025-12-18T00:00:00"/>
    <d v="2026-01-15T00:00:00"/>
    <x v="72"/>
    <s v="SGD"/>
    <n v="47.5"/>
    <n v="4.28"/>
    <n v="51.78"/>
    <x v="400"/>
    <s v="Kumpulan Development (S) Pte Ltd"/>
    <s v="CE/2896961"/>
    <s v="Drink water for office "/>
    <x v="18"/>
    <x v="4"/>
    <x v="1"/>
    <x v="0"/>
    <s v="Mei Inn"/>
    <s v="Cathfrine Low"/>
    <s v="CK Beh"/>
    <m/>
    <m/>
  </r>
  <r>
    <x v="0"/>
    <x v="2"/>
    <d v="2026-01-15T00:00:00"/>
    <d v="2026-01-15T00:00:00"/>
    <x v="2"/>
    <s v="SGD"/>
    <n v="1626.0900000000001"/>
    <n v="0"/>
    <n v="1626.0900000000001"/>
    <x v="401"/>
    <s v="Staff Claim Dec25"/>
    <s v="Staff Claim 2025/12"/>
    <s v="Total Accommodation - International"/>
    <x v="31"/>
    <x v="1"/>
    <x v="11"/>
    <x v="0"/>
    <m/>
    <m/>
    <m/>
    <m/>
    <m/>
  </r>
  <r>
    <x v="0"/>
    <x v="2"/>
    <d v="2026-01-15T00:00:00"/>
    <d v="2026-01-15T00:00:00"/>
    <x v="2"/>
    <s v="SGD"/>
    <n v="1067.0999999999999"/>
    <n v="0"/>
    <n v="1067.0999999999999"/>
    <x v="402"/>
    <s v="Staff Claim Dec25"/>
    <s v="Staff Claim 2025/12"/>
    <s v="Total Accommodation - International"/>
    <x v="31"/>
    <x v="1"/>
    <x v="3"/>
    <x v="0"/>
    <m/>
    <m/>
    <m/>
    <m/>
    <m/>
  </r>
  <r>
    <x v="0"/>
    <x v="2"/>
    <d v="2026-01-15T00:00:00"/>
    <d v="2026-01-15T00:00:00"/>
    <x v="2"/>
    <s v="SGD"/>
    <n v="686.64"/>
    <n v="0"/>
    <n v="686.64"/>
    <x v="403"/>
    <s v="Staff Claim Dec25"/>
    <s v="Staff Claim 2025/12"/>
    <s v="Total Business Meals - International"/>
    <x v="45"/>
    <x v="25"/>
    <x v="11"/>
    <x v="0"/>
    <m/>
    <m/>
    <m/>
    <m/>
    <m/>
  </r>
  <r>
    <x v="0"/>
    <x v="2"/>
    <d v="2026-01-15T00:00:00"/>
    <d v="2026-01-15T00:00:00"/>
    <x v="2"/>
    <s v="SGD"/>
    <n v="311.02999999999997"/>
    <n v="0"/>
    <n v="311.02999999999997"/>
    <x v="404"/>
    <s v="Staff Claim Dec25"/>
    <s v="Staff Claim 2025/12"/>
    <s v="Total Business Meals - International"/>
    <x v="45"/>
    <x v="25"/>
    <x v="3"/>
    <x v="0"/>
    <m/>
    <m/>
    <m/>
    <m/>
    <m/>
  </r>
  <r>
    <x v="0"/>
    <x v="2"/>
    <d v="2026-01-15T00:00:00"/>
    <d v="2026-01-15T00:00:00"/>
    <x v="2"/>
    <s v="SGD"/>
    <n v="29.95"/>
    <n v="2.69"/>
    <n v="32.64"/>
    <x v="405"/>
    <s v="Staff Claim Dec25"/>
    <s v="Staff Claim 2025/12"/>
    <s v="Total Business Meals - National"/>
    <x v="34"/>
    <x v="25"/>
    <x v="3"/>
    <x v="0"/>
    <m/>
    <m/>
    <m/>
    <m/>
    <m/>
  </r>
  <r>
    <x v="0"/>
    <x v="2"/>
    <d v="2026-01-15T00:00:00"/>
    <d v="2026-01-15T00:00:00"/>
    <x v="2"/>
    <s v="SGD"/>
    <n v="935.55"/>
    <n v="84.2"/>
    <n v="1019.75"/>
    <x v="406"/>
    <s v="Staff Claim Dec25"/>
    <s v="Staff Claim 2025/12"/>
    <s v="Total Business Meals - National"/>
    <x v="34"/>
    <x v="25"/>
    <x v="4"/>
    <x v="2"/>
    <m/>
    <m/>
    <m/>
    <m/>
    <m/>
  </r>
  <r>
    <x v="0"/>
    <x v="2"/>
    <d v="2026-01-15T00:00:00"/>
    <d v="2026-01-15T00:00:00"/>
    <x v="2"/>
    <s v="SGD"/>
    <n v="1509.43"/>
    <n v="116.27"/>
    <n v="1625.7"/>
    <x v="407"/>
    <s v="Staff Claim Dec25"/>
    <s v="Staff Claim 2025/12"/>
    <s v="Total Business Meals - National"/>
    <x v="34"/>
    <x v="25"/>
    <x v="11"/>
    <x v="0"/>
    <m/>
    <m/>
    <m/>
    <m/>
    <m/>
  </r>
  <r>
    <x v="0"/>
    <x v="2"/>
    <d v="2026-01-15T00:00:00"/>
    <d v="2026-01-15T00:00:00"/>
    <x v="2"/>
    <s v="SGD"/>
    <n v="75.569999999999993"/>
    <n v="4.03"/>
    <n v="79.599999999999994"/>
    <x v="408"/>
    <s v="Staff Claim Dec25"/>
    <s v="Staff Claim 2025/12"/>
    <s v="Total Consumable Tools"/>
    <x v="46"/>
    <x v="5"/>
    <x v="1"/>
    <x v="0"/>
    <m/>
    <m/>
    <m/>
    <m/>
    <m/>
  </r>
  <r>
    <x v="0"/>
    <x v="2"/>
    <d v="2026-01-15T00:00:00"/>
    <d v="2026-01-15T00:00:00"/>
    <x v="2"/>
    <s v="SGD"/>
    <n v="52"/>
    <n v="0"/>
    <n v="52"/>
    <x v="409"/>
    <s v="Staff Claim Dec25"/>
    <s v="Staff Claim 2025/12"/>
    <s v="Total Consumable Tools"/>
    <x v="46"/>
    <x v="5"/>
    <x v="13"/>
    <x v="1"/>
    <m/>
    <m/>
    <m/>
    <m/>
    <m/>
  </r>
  <r>
    <x v="0"/>
    <x v="2"/>
    <d v="2026-01-15T00:00:00"/>
    <d v="2026-01-15T00:00:00"/>
    <x v="2"/>
    <s v="SGD"/>
    <n v="3.92"/>
    <n v="0"/>
    <n v="3.92"/>
    <x v="410"/>
    <s v="Staff Claim Dec25"/>
    <s v="Staff Claim 2025/12"/>
    <s v="Total Courier Charges"/>
    <x v="2"/>
    <x v="2"/>
    <x v="3"/>
    <x v="0"/>
    <m/>
    <m/>
    <m/>
    <m/>
    <m/>
  </r>
  <r>
    <x v="0"/>
    <x v="2"/>
    <d v="2026-01-15T00:00:00"/>
    <d v="2026-01-15T00:00:00"/>
    <x v="2"/>
    <s v="SGD"/>
    <n v="33"/>
    <n v="0"/>
    <n v="33"/>
    <x v="411"/>
    <s v="Staff Claim Dec25"/>
    <s v="Staff Claim 2025/12"/>
    <s v="Total Courier Charges"/>
    <x v="2"/>
    <x v="2"/>
    <x v="1"/>
    <x v="0"/>
    <m/>
    <m/>
    <m/>
    <m/>
    <m/>
  </r>
  <r>
    <x v="0"/>
    <x v="2"/>
    <d v="2026-01-15T00:00:00"/>
    <d v="2026-01-15T00:00:00"/>
    <x v="2"/>
    <s v="SGD"/>
    <n v="189.44"/>
    <n v="0"/>
    <n v="189.44"/>
    <x v="412"/>
    <s v="Staff Claim Dec25"/>
    <s v="Staff Claim 2025/12"/>
    <s v="Total Hampers &amp; Gift"/>
    <x v="47"/>
    <x v="25"/>
    <x v="11"/>
    <x v="0"/>
    <m/>
    <m/>
    <m/>
    <m/>
    <m/>
  </r>
  <r>
    <x v="0"/>
    <x v="2"/>
    <d v="2026-01-15T00:00:00"/>
    <d v="2026-01-15T00:00:00"/>
    <x v="2"/>
    <s v="SGD"/>
    <n v="62.46"/>
    <n v="0"/>
    <n v="62.46"/>
    <x v="413"/>
    <s v="Staff Claim Dec25"/>
    <s v="Staff Claim 2025/12"/>
    <s v="Total Hampers &amp; Gift"/>
    <x v="47"/>
    <x v="25"/>
    <x v="4"/>
    <x v="2"/>
    <m/>
    <m/>
    <m/>
    <m/>
    <m/>
  </r>
  <r>
    <x v="0"/>
    <x v="2"/>
    <d v="2026-01-15T00:00:00"/>
    <d v="2026-01-15T00:00:00"/>
    <x v="2"/>
    <s v="SGD"/>
    <n v="18.32"/>
    <n v="0"/>
    <n v="18.32"/>
    <x v="414"/>
    <s v="Staff Claim Dec25"/>
    <s v="Staff Claim 2025/12"/>
    <s v="Total Intercompany - China"/>
    <x v="44"/>
    <x v="15"/>
    <x v="13"/>
    <x v="1"/>
    <m/>
    <m/>
    <m/>
    <m/>
    <m/>
  </r>
  <r>
    <x v="0"/>
    <x v="2"/>
    <d v="2026-01-15T00:00:00"/>
    <d v="2026-01-15T00:00:00"/>
    <x v="2"/>
    <s v="SGD"/>
    <n v="334.06"/>
    <n v="9.19"/>
    <n v="343.25"/>
    <x v="415"/>
    <s v="Staff Claim Dec25"/>
    <s v="Staff Claim 2025/12"/>
    <s v="Total Office Supplies"/>
    <x v="5"/>
    <x v="5"/>
    <x v="1"/>
    <x v="0"/>
    <m/>
    <m/>
    <m/>
    <m/>
    <m/>
  </r>
  <r>
    <x v="0"/>
    <x v="2"/>
    <d v="2026-01-15T00:00:00"/>
    <d v="2026-01-15T00:00:00"/>
    <x v="2"/>
    <s v="SGD"/>
    <n v="57.16"/>
    <n v="0"/>
    <n v="57.16"/>
    <x v="416"/>
    <s v="Staff Claim Dec25"/>
    <s v="Staff Claim 2025/12"/>
    <s v="Total Personal Meals - International"/>
    <x v="19"/>
    <x v="1"/>
    <x v="11"/>
    <x v="0"/>
    <m/>
    <m/>
    <m/>
    <m/>
    <m/>
  </r>
  <r>
    <x v="0"/>
    <x v="2"/>
    <d v="2026-01-15T00:00:00"/>
    <d v="2026-01-15T00:00:00"/>
    <x v="2"/>
    <s v="SGD"/>
    <n v="40.490000000000009"/>
    <n v="0"/>
    <n v="40.490000000000009"/>
    <x v="417"/>
    <s v="Staff Claim Dec25"/>
    <s v="Staff Claim 2025/12"/>
    <s v="Total Personal Meals - International"/>
    <x v="19"/>
    <x v="1"/>
    <x v="3"/>
    <x v="0"/>
    <m/>
    <m/>
    <m/>
    <m/>
    <m/>
  </r>
  <r>
    <x v="0"/>
    <x v="2"/>
    <d v="2026-01-15T00:00:00"/>
    <d v="2026-01-15T00:00:00"/>
    <x v="2"/>
    <s v="SGD"/>
    <n v="9.17"/>
    <n v="0.83"/>
    <n v="10"/>
    <x v="418"/>
    <s v="Staff Claim Dec25"/>
    <s v="Staff Claim 2025/12"/>
    <s v="Total Personal Meals - National"/>
    <x v="22"/>
    <x v="1"/>
    <x v="3"/>
    <x v="0"/>
    <m/>
    <m/>
    <m/>
    <m/>
    <m/>
  </r>
  <r>
    <x v="0"/>
    <x v="2"/>
    <d v="2026-01-15T00:00:00"/>
    <d v="2026-01-15T00:00:00"/>
    <x v="2"/>
    <s v="SGD"/>
    <n v="212.55"/>
    <n v="0"/>
    <n v="212.55"/>
    <x v="419"/>
    <s v="Staff Claim Dec25"/>
    <s v="Staff Claim 2025/12"/>
    <s v="Total Professional &amp; Consultancy Fees"/>
    <x v="11"/>
    <x v="9"/>
    <x v="1"/>
    <x v="0"/>
    <m/>
    <m/>
    <m/>
    <m/>
    <m/>
  </r>
  <r>
    <x v="0"/>
    <x v="2"/>
    <d v="2026-01-15T00:00:00"/>
    <d v="2026-01-15T00:00:00"/>
    <x v="2"/>
    <s v="SGD"/>
    <n v="1557.0000000000002"/>
    <n v="0"/>
    <n v="1557.0000000000002"/>
    <x v="420"/>
    <s v="Staff Claim Dec25"/>
    <s v="Staff Claim 2025/12"/>
    <s v="Total Small Value Assets"/>
    <x v="48"/>
    <x v="32"/>
    <x v="1"/>
    <x v="0"/>
    <m/>
    <m/>
    <m/>
    <m/>
    <m/>
  </r>
  <r>
    <x v="0"/>
    <x v="2"/>
    <d v="2026-01-15T00:00:00"/>
    <d v="2026-01-15T00:00:00"/>
    <x v="2"/>
    <s v="SGD"/>
    <n v="1230.28"/>
    <n v="110.72"/>
    <n v="1341"/>
    <x v="421"/>
    <s v="Staff Claim Dec25"/>
    <s v="Staff Claim 2025/12"/>
    <s v="Total Small Value Assets"/>
    <x v="48"/>
    <x v="32"/>
    <x v="5"/>
    <x v="0"/>
    <m/>
    <m/>
    <m/>
    <m/>
    <m/>
  </r>
  <r>
    <x v="0"/>
    <x v="2"/>
    <d v="2026-01-15T00:00:00"/>
    <d v="2026-01-15T00:00:00"/>
    <x v="2"/>
    <s v="SGD"/>
    <n v="909.63"/>
    <n v="78.259999999999991"/>
    <n v="987.89"/>
    <x v="422"/>
    <s v="Staff Claim Dec25"/>
    <s v="Staff Claim 2025/12"/>
    <s v="Total Staff Welfare - Meal &amp; Refreshment"/>
    <x v="18"/>
    <x v="4"/>
    <x v="11"/>
    <x v="0"/>
    <m/>
    <m/>
    <m/>
    <m/>
    <m/>
  </r>
  <r>
    <x v="0"/>
    <x v="2"/>
    <d v="2026-01-15T00:00:00"/>
    <d v="2026-01-15T00:00:00"/>
    <x v="2"/>
    <s v="SGD"/>
    <n v="56.53"/>
    <n v="0"/>
    <n v="56.53"/>
    <x v="423"/>
    <s v="Staff Claim Dec25"/>
    <s v="Staff Claim 2025/12"/>
    <s v="Total Subscription Fee"/>
    <x v="8"/>
    <x v="6"/>
    <x v="13"/>
    <x v="1"/>
    <m/>
    <m/>
    <m/>
    <m/>
    <m/>
  </r>
  <r>
    <x v="0"/>
    <x v="2"/>
    <d v="2026-01-15T00:00:00"/>
    <d v="2026-01-15T00:00:00"/>
    <x v="2"/>
    <s v="SGD"/>
    <n v="1271.74"/>
    <n v="0"/>
    <n v="1271.74"/>
    <x v="424"/>
    <s v="Staff Claim Dec25"/>
    <s v="Staff Claim 2025/12"/>
    <s v="Total Transportation fee - International"/>
    <x v="6"/>
    <x v="1"/>
    <x v="3"/>
    <x v="0"/>
    <m/>
    <m/>
    <m/>
    <m/>
    <m/>
  </r>
  <r>
    <x v="0"/>
    <x v="2"/>
    <d v="2026-01-15T00:00:00"/>
    <d v="2026-01-15T00:00:00"/>
    <x v="2"/>
    <s v="SGD"/>
    <n v="7533.22"/>
    <n v="0"/>
    <n v="7533.22"/>
    <x v="425"/>
    <s v="Staff Claim Dec25"/>
    <s v="Staff Claim 2025/12"/>
    <s v="Total Transportation fee - International"/>
    <x v="6"/>
    <x v="1"/>
    <x v="11"/>
    <x v="0"/>
    <m/>
    <m/>
    <m/>
    <m/>
    <m/>
  </r>
  <r>
    <x v="0"/>
    <x v="2"/>
    <d v="2026-01-15T00:00:00"/>
    <d v="2026-01-15T00:00:00"/>
    <x v="2"/>
    <s v="SGD"/>
    <n v="467.93"/>
    <n v="0"/>
    <n v="467.93"/>
    <x v="426"/>
    <s v="Staff Claim Dec25"/>
    <s v="Staff Claim 2025/12"/>
    <s v="Total Transportation fee - International"/>
    <x v="6"/>
    <x v="1"/>
    <x v="13"/>
    <x v="1"/>
    <m/>
    <m/>
    <m/>
    <m/>
    <m/>
  </r>
  <r>
    <x v="0"/>
    <x v="2"/>
    <d v="2026-01-15T00:00:00"/>
    <d v="2026-01-15T00:00:00"/>
    <x v="2"/>
    <s v="SGD"/>
    <n v="69.7"/>
    <n v="0"/>
    <n v="69.7"/>
    <x v="427"/>
    <s v="Staff Claim Dec25"/>
    <s v="Staff Claim 2025/12"/>
    <s v="Total Transportation fee - National"/>
    <x v="7"/>
    <x v="1"/>
    <x v="3"/>
    <x v="0"/>
    <m/>
    <m/>
    <m/>
    <m/>
    <m/>
  </r>
  <r>
    <x v="0"/>
    <x v="2"/>
    <d v="2026-01-15T00:00:00"/>
    <d v="2026-01-15T00:00:00"/>
    <x v="2"/>
    <s v="SGD"/>
    <n v="52.5"/>
    <n v="0"/>
    <n v="52.5"/>
    <x v="428"/>
    <s v="Staff Claim Dec25"/>
    <s v="Staff Claim 2025/12"/>
    <s v="Total Transportation fee - National"/>
    <x v="7"/>
    <x v="1"/>
    <x v="13"/>
    <x v="1"/>
    <m/>
    <m/>
    <m/>
    <m/>
    <m/>
  </r>
  <r>
    <x v="0"/>
    <x v="2"/>
    <d v="2026-01-15T00:00:00"/>
    <d v="2026-01-15T00:00:00"/>
    <x v="2"/>
    <s v="SGD"/>
    <n v="480"/>
    <n v="0"/>
    <n v="480"/>
    <x v="429"/>
    <s v="Staff Claim Dec25"/>
    <s v="Staff Claim 2025/12"/>
    <s v="Total Upkeep of Offices"/>
    <x v="40"/>
    <x v="31"/>
    <x v="1"/>
    <x v="0"/>
    <m/>
    <m/>
    <m/>
    <m/>
    <m/>
  </r>
  <r>
    <x v="0"/>
    <x v="2"/>
    <d v="2026-01-15T00:00:00"/>
    <d v="2026-01-15T00:00:00"/>
    <x v="2"/>
    <s v="SGD"/>
    <n v="2593"/>
    <n v="0"/>
    <n v="2593"/>
    <x v="430"/>
    <s v="OCBC USD"/>
    <s v="Internal Transfer 2026/01-01"/>
    <s v="Internal Transfer from SGD to USD"/>
    <x v="24"/>
    <x v="18"/>
    <x v="6"/>
    <x v="3"/>
    <s v="Cathfrine"/>
    <s v="Leon Chan"/>
    <s v="Cathfrine Low"/>
    <m/>
    <m/>
  </r>
  <r>
    <x v="0"/>
    <x v="2"/>
    <d v="2026-01-17T00:00:00"/>
    <d v="2026-01-17T00:00:00"/>
    <x v="73"/>
    <s v="SGD"/>
    <n v="473.7"/>
    <n v="0"/>
    <n v="473.7"/>
    <x v="431"/>
    <s v="Ceki Geo "/>
    <s v="Debit Card 17/1/2026"/>
    <s v="Ceki Geo "/>
    <x v="18"/>
    <x v="4"/>
    <x v="11"/>
    <x v="0"/>
    <s v="Leon Chan"/>
    <s v="-"/>
    <s v="-"/>
    <m/>
    <m/>
  </r>
  <r>
    <x v="0"/>
    <x v="2"/>
    <d v="2026-01-23T00:00:00"/>
    <d v="2026-01-23T00:00:00"/>
    <x v="4"/>
    <s v="SGD"/>
    <n v="-300000"/>
    <n v="0"/>
    <n v="-300000"/>
    <x v="432"/>
    <s v="OCBC SGD"/>
    <s v="Internal Transfer 2026/01-02"/>
    <s v="Internal Transfer from USD to SGD"/>
    <x v="24"/>
    <x v="18"/>
    <x v="0"/>
    <x v="0"/>
    <s v="Cathfrine"/>
    <s v="Leon Chan"/>
    <s v="Cathfrine Low"/>
    <m/>
    <m/>
  </r>
  <r>
    <x v="0"/>
    <x v="2"/>
    <d v="2025-12-18T00:00:00"/>
    <d v="2025-12-25T00:00:00"/>
    <x v="74"/>
    <s v="SGD"/>
    <n v="7525"/>
    <n v="0"/>
    <n v="7525"/>
    <x v="433"/>
    <s v="Cube Creation "/>
    <s v="CubeC/INV25-0021"/>
    <s v="Renovation fees - Balance 50%"/>
    <x v="49"/>
    <x v="33"/>
    <x v="6"/>
    <x v="3"/>
    <s v="Mei Inn"/>
    <s v="Fan Li"/>
    <s v="CK Beh"/>
    <m/>
    <m/>
  </r>
  <r>
    <x v="0"/>
    <x v="2"/>
    <d v="2025-11-30T00:00:00"/>
    <d v="2025-12-31T00:00:00"/>
    <x v="74"/>
    <s v="SGD"/>
    <n v="1801.74"/>
    <n v="0"/>
    <n v="1801.74"/>
    <x v="434"/>
    <s v="Mednefits Singapore Pte. Ltd"/>
    <s v="SG-C01740-020017025"/>
    <s v="Mednefits Postpaid Card (Panel) 01/11/2025 to 30/11/2025"/>
    <x v="35"/>
    <x v="4"/>
    <x v="3"/>
    <x v="0"/>
    <s v="Direct"/>
    <s v="Cathfrine Low"/>
    <s v="CK Beh"/>
    <m/>
    <m/>
  </r>
  <r>
    <x v="0"/>
    <x v="2"/>
    <d v="2025-12-24T00:00:00"/>
    <d v="2026-01-23T00:00:00"/>
    <x v="74"/>
    <s v="SGD"/>
    <n v="1404.83"/>
    <n v="0"/>
    <n v="1404.83"/>
    <x v="435"/>
    <s v="AIG Asia Pacific Insurance Pte Ltd "/>
    <s v="D26NB7403649"/>
    <s v="Singapore travel insurance policy 1/1/2026-31/12/2026"/>
    <x v="4"/>
    <x v="4"/>
    <x v="3"/>
    <x v="0"/>
    <s v="Rosemary "/>
    <s v="Fan Li"/>
    <s v="CK Beh"/>
    <m/>
    <m/>
  </r>
  <r>
    <x v="0"/>
    <x v="2"/>
    <d v="2025-12-31T00:00:00"/>
    <d v="2026-01-30T00:00:00"/>
    <x v="74"/>
    <s v="SGD"/>
    <n v="3470.09"/>
    <n v="0"/>
    <n v="3470.09"/>
    <x v="436"/>
    <s v="Mednefits Singapore Pte. Ltd"/>
    <s v="SG-C01740-020017563"/>
    <s v="Mednefits Postpaid Card (Panel) 01/12/2025 to 31/12/2025"/>
    <x v="35"/>
    <x v="4"/>
    <x v="3"/>
    <x v="0"/>
    <s v="Direct"/>
    <s v="Cathfrine Low"/>
    <s v="CK Beh"/>
    <m/>
    <m/>
  </r>
  <r>
    <x v="0"/>
    <x v="2"/>
    <d v="2026-01-05T00:00:00"/>
    <d v="2026-01-05T00:00:00"/>
    <x v="75"/>
    <s v="SGD"/>
    <n v="40"/>
    <n v="0"/>
    <n v="40"/>
    <x v="319"/>
    <s v="OCBC SGD"/>
    <s v="Bank Charges 27/01/2026"/>
    <s v="Bank Charges"/>
    <x v="0"/>
    <x v="0"/>
    <x v="0"/>
    <x v="0"/>
    <s v="Direct"/>
    <s v="-"/>
    <s v="-"/>
    <m/>
    <m/>
  </r>
  <r>
    <x v="0"/>
    <x v="2"/>
    <d v="2026-01-08T00:00:00"/>
    <d v="2026-01-22T00:00:00"/>
    <x v="75"/>
    <s v="SGD"/>
    <n v="97.36"/>
    <n v="8.76"/>
    <n v="106.12"/>
    <x v="437"/>
    <s v="FLO Energy"/>
    <s v="T2610000338"/>
    <s v="Electricity Bill for #14-04 (9/12/2025 - 31/12/2025)"/>
    <x v="12"/>
    <x v="10"/>
    <x v="1"/>
    <x v="0"/>
    <s v="Mei Inn"/>
    <s v="Cathfrine Low"/>
    <s v="CK Beh"/>
    <m/>
    <m/>
  </r>
  <r>
    <x v="0"/>
    <x v="2"/>
    <d v="2026-01-08T00:00:00"/>
    <d v="2026-01-22T00:00:00"/>
    <x v="75"/>
    <s v="SGD"/>
    <n v="63.42"/>
    <n v="5.71"/>
    <n v="69.13"/>
    <x v="438"/>
    <s v="FLO Energy"/>
    <s v="T2610000232"/>
    <s v="Electricity Bill for #19-05 (1/12/2025 - 31/12/2025)"/>
    <x v="12"/>
    <x v="10"/>
    <x v="1"/>
    <x v="0"/>
    <s v="Mei Inn"/>
    <s v="Cathfrine Low"/>
    <s v="CK Beh"/>
    <m/>
    <m/>
  </r>
  <r>
    <x v="0"/>
    <x v="2"/>
    <d v="2026-01-27T00:00:00"/>
    <d v="2026-01-27T00:00:00"/>
    <x v="75"/>
    <s v="SGD"/>
    <n v="-7.58"/>
    <n v="0"/>
    <n v="-7.58"/>
    <x v="439"/>
    <s v="OCBC SGD"/>
    <s v="Bank Charges 27/01/2026"/>
    <s v="Cash Rebate"/>
    <x v="0"/>
    <x v="0"/>
    <x v="0"/>
    <x v="0"/>
    <s v="Direct"/>
    <s v="-"/>
    <s v="-"/>
    <m/>
    <m/>
  </r>
  <r>
    <x v="0"/>
    <x v="2"/>
    <d v="2025-11-04T00:00:00"/>
    <d v="2025-11-08T00:00:00"/>
    <x v="75"/>
    <s v="SGD"/>
    <n v="35350"/>
    <n v="0"/>
    <n v="35350"/>
    <x v="440"/>
    <s v="Juyee Consulting Pte Ltd"/>
    <s v="20251101"/>
    <s v="Legal Consultation fees from July to October 2025"/>
    <x v="11"/>
    <x v="9"/>
    <x v="1"/>
    <x v="0"/>
    <s v="Lucca Lam"/>
    <s v="Fan Li"/>
    <s v="CK Beh"/>
    <m/>
    <m/>
  </r>
  <r>
    <x v="0"/>
    <x v="2"/>
    <d v="2026-01-29T00:00:00"/>
    <d v="2026-01-29T00:00:00"/>
    <x v="33"/>
    <s v="SGD"/>
    <n v="-627.23"/>
    <n v="0"/>
    <n v="-627.23"/>
    <x v="441"/>
    <s v="MSF - Government "/>
    <s v="GOV-GPL CLE1VP3Z7QK605C"/>
    <s v="MSF-Gov Paid Leave "/>
    <x v="17"/>
    <x v="8"/>
    <x v="3"/>
    <x v="0"/>
    <s v="Stephanie "/>
    <s v="-"/>
    <s v="CK Beh"/>
    <m/>
    <m/>
  </r>
  <r>
    <x v="0"/>
    <x v="2"/>
    <d v="2026-01-29T00:00:00"/>
    <d v="2026-01-29T00:00:00"/>
    <x v="33"/>
    <s v="SGD"/>
    <n v="-1000"/>
    <n v="0"/>
    <n v="-1000"/>
    <x v="442"/>
    <s v="MSF - Government "/>
    <s v="GOV-GPL CLE1VP39RBCSTRC"/>
    <s v="MSF-Gov Paid Leave "/>
    <x v="17"/>
    <x v="8"/>
    <x v="3"/>
    <x v="0"/>
    <s v="Stephanie "/>
    <s v="-"/>
    <s v="CK Beh"/>
    <m/>
    <m/>
  </r>
  <r>
    <x v="0"/>
    <x v="2"/>
    <d v="2025-11-26T00:00:00"/>
    <d v="2025-12-26T00:00:00"/>
    <x v="5"/>
    <s v="SGD"/>
    <n v="5000"/>
    <n v="450"/>
    <n v="5450"/>
    <x v="443"/>
    <s v="National University of Singapore"/>
    <s v="20050545"/>
    <s v="NUS Membership - Computing Membership (Gigabyte)"/>
    <x v="8"/>
    <x v="6"/>
    <x v="14"/>
    <x v="1"/>
    <s v="Danny Kwok"/>
    <s v="Cathfrine Low"/>
    <s v="CK Beh"/>
    <s v="Passed through committee review"/>
    <m/>
  </r>
  <r>
    <x v="0"/>
    <x v="2"/>
    <d v="2026-01-02T00:00:00"/>
    <d v="2026-01-02T00:00:00"/>
    <x v="5"/>
    <s v="SGD"/>
    <n v="70"/>
    <n v="6.3"/>
    <n v="76.3"/>
    <x v="444"/>
    <s v="JK Technology Pte Lted"/>
    <s v="I26010037"/>
    <s v="Laptop Leasing "/>
    <x v="13"/>
    <x v="11"/>
    <x v="5"/>
    <x v="0"/>
    <s v="Danny Kwok"/>
    <s v="Cathfrine Low"/>
    <s v="CK Beh"/>
    <m/>
    <m/>
  </r>
  <r>
    <x v="0"/>
    <x v="2"/>
    <d v="2026-01-02T00:00:00"/>
    <d v="2026-01-02T00:00:00"/>
    <x v="5"/>
    <s v="SGD"/>
    <n v="584.1"/>
    <n v="52.57"/>
    <n v="636.67000000000007"/>
    <x v="445"/>
    <s v="JK Technology Pte Lted"/>
    <s v="I26010036"/>
    <s v="Laptop Leasing "/>
    <x v="13"/>
    <x v="11"/>
    <x v="5"/>
    <x v="0"/>
    <s v="Danny Kwok"/>
    <s v="Cathfrine Low"/>
    <s v="CK Beh"/>
    <m/>
    <m/>
  </r>
  <r>
    <x v="0"/>
    <x v="2"/>
    <d v="2025-12-30T00:00:00"/>
    <d v="2026-01-25T00:00:00"/>
    <x v="5"/>
    <s v="SGD"/>
    <n v="92.58"/>
    <n v="0"/>
    <n v="92.58"/>
    <x v="446"/>
    <s v="DHL Express (Singapore)"/>
    <s v="SINR014726420"/>
    <s v="Courier Fees for December 2025"/>
    <x v="2"/>
    <x v="2"/>
    <x v="1"/>
    <x v="0"/>
    <s v="Mei Inn"/>
    <s v="Cathfrine Low"/>
    <s v="CK Beh"/>
    <m/>
    <m/>
  </r>
  <r>
    <x v="0"/>
    <x v="2"/>
    <d v="2026-01-14T00:00:00"/>
    <d v="2026-01-30T00:00:00"/>
    <x v="5"/>
    <s v="SGD"/>
    <n v="47.5"/>
    <n v="4.28"/>
    <n v="51.78"/>
    <x v="400"/>
    <s v="Kumpulan Development (S) Pte Ltd"/>
    <s v="CE2902279"/>
    <s v="Drink water for office "/>
    <x v="18"/>
    <x v="4"/>
    <x v="1"/>
    <x v="0"/>
    <s v="Mei Inn"/>
    <s v="Cathfrine Low"/>
    <s v="CK Beh"/>
    <m/>
    <m/>
  </r>
  <r>
    <x v="0"/>
    <x v="2"/>
    <d v="2026-01-30T00:00:00"/>
    <d v="2026-01-30T00:00:00"/>
    <x v="5"/>
    <s v="SGD"/>
    <n v="207.45"/>
    <n v="0"/>
    <n v="207.45"/>
    <x v="447"/>
    <s v="XERO "/>
    <s v="INV-63554"/>
    <s v="XERO for Singapore - Debit Card 30/1/2026"/>
    <x v="8"/>
    <x v="6"/>
    <x v="0"/>
    <x v="0"/>
    <s v="Direct"/>
    <s v="-"/>
    <s v="CK Beh"/>
    <m/>
    <m/>
  </r>
  <r>
    <x v="0"/>
    <x v="2"/>
    <d v="2026-01-30T00:00:00"/>
    <d v="2026-01-30T00:00:00"/>
    <x v="5"/>
    <s v="SGD"/>
    <n v="82.04"/>
    <n v="0"/>
    <n v="82.04"/>
    <x v="448"/>
    <s v="XERO "/>
    <s v="IN-6396728"/>
    <s v="XERO for Malaysia  - Debit Card 30/1/2026"/>
    <x v="43"/>
    <x v="15"/>
    <x v="0"/>
    <x v="0"/>
    <s v="Direct"/>
    <s v="-"/>
    <s v="CK Beh"/>
    <m/>
    <m/>
  </r>
  <r>
    <x v="0"/>
    <x v="2"/>
    <d v="2026-01-17T00:00:00"/>
    <d v="2026-01-31T00:00:00"/>
    <x v="5"/>
    <s v="SGD"/>
    <n v="1012.35"/>
    <n v="0"/>
    <n v="1012.35"/>
    <x v="449"/>
    <s v="Singtel "/>
    <s v="0020"/>
    <s v="Wifi and network"/>
    <x v="26"/>
    <x v="19"/>
    <x v="5"/>
    <x v="0"/>
    <s v="Danny Kwok"/>
    <s v="Cathfrine Low"/>
    <s v="CK Beh"/>
    <m/>
    <m/>
  </r>
  <r>
    <x v="0"/>
    <x v="2"/>
    <d v="2026-01-31T00:00:00"/>
    <d v="2026-01-31T00:00:00"/>
    <x v="5"/>
    <s v="SGD"/>
    <m/>
    <m/>
    <n v="207752.77"/>
    <x v="450"/>
    <s v="SG Staff"/>
    <m/>
    <s v="Net Pay - January 2026"/>
    <x v="17"/>
    <x v="8"/>
    <x v="4"/>
    <x v="2"/>
    <m/>
    <m/>
    <m/>
    <m/>
    <m/>
  </r>
  <r>
    <x v="0"/>
    <x v="2"/>
    <d v="2026-01-31T00:00:00"/>
    <d v="2026-01-31T00:00:00"/>
    <x v="5"/>
    <s v="SGD"/>
    <m/>
    <m/>
    <m/>
    <x v="451"/>
    <s v="SG Staff"/>
    <m/>
    <s v="Net Pay - January 2026"/>
    <x v="17"/>
    <x v="8"/>
    <x v="9"/>
    <x v="4"/>
    <m/>
    <m/>
    <m/>
    <m/>
    <m/>
  </r>
  <r>
    <x v="0"/>
    <x v="2"/>
    <d v="2026-01-31T00:00:00"/>
    <d v="2026-01-31T00:00:00"/>
    <x v="5"/>
    <s v="SGD"/>
    <m/>
    <m/>
    <m/>
    <x v="452"/>
    <s v="SG Staff"/>
    <m/>
    <s v="Net Pay - January 2026"/>
    <x v="17"/>
    <x v="8"/>
    <x v="12"/>
    <x v="2"/>
    <m/>
    <m/>
    <m/>
    <m/>
    <m/>
  </r>
  <r>
    <x v="0"/>
    <x v="2"/>
    <d v="2026-01-31T00:00:00"/>
    <d v="2026-01-31T00:00:00"/>
    <x v="5"/>
    <s v="SGD"/>
    <m/>
    <m/>
    <m/>
    <x v="453"/>
    <s v="SG Staff"/>
    <m/>
    <s v="Net Pay - January 2026"/>
    <x v="17"/>
    <x v="8"/>
    <x v="3"/>
    <x v="0"/>
    <m/>
    <m/>
    <m/>
    <m/>
    <m/>
  </r>
  <r>
    <x v="0"/>
    <x v="2"/>
    <d v="2026-01-31T00:00:00"/>
    <d v="2026-01-31T00:00:00"/>
    <x v="5"/>
    <s v="SGD"/>
    <m/>
    <m/>
    <m/>
    <x v="454"/>
    <s v="SG Staff"/>
    <m/>
    <s v="Net Pay - January 2026"/>
    <x v="17"/>
    <x v="8"/>
    <x v="11"/>
    <x v="0"/>
    <m/>
    <m/>
    <m/>
    <m/>
    <m/>
  </r>
  <r>
    <x v="0"/>
    <x v="2"/>
    <d v="2026-01-31T00:00:00"/>
    <d v="2026-01-31T00:00:00"/>
    <x v="5"/>
    <s v="SGD"/>
    <m/>
    <m/>
    <m/>
    <x v="455"/>
    <s v="SG Staff"/>
    <m/>
    <s v="Net Pay - January 2026"/>
    <x v="17"/>
    <x v="8"/>
    <x v="14"/>
    <x v="1"/>
    <m/>
    <m/>
    <m/>
    <m/>
    <m/>
  </r>
  <r>
    <x v="0"/>
    <x v="2"/>
    <d v="2026-01-31T00:00:00"/>
    <d v="2026-01-31T00:00:00"/>
    <x v="5"/>
    <s v="SGD"/>
    <m/>
    <m/>
    <m/>
    <x v="456"/>
    <s v="SG Staff"/>
    <m/>
    <s v="Net Pay - January 2026"/>
    <x v="17"/>
    <x v="8"/>
    <x v="15"/>
    <x v="1"/>
    <m/>
    <m/>
    <m/>
    <m/>
    <m/>
  </r>
  <r>
    <x v="0"/>
    <x v="2"/>
    <d v="2026-01-31T00:00:00"/>
    <d v="2026-01-31T00:00:00"/>
    <x v="5"/>
    <s v="SGD"/>
    <m/>
    <m/>
    <m/>
    <x v="457"/>
    <s v="SG Staff"/>
    <m/>
    <s v="Net Pay - January 2026"/>
    <x v="17"/>
    <x v="8"/>
    <x v="13"/>
    <x v="1"/>
    <m/>
    <m/>
    <m/>
    <m/>
    <m/>
  </r>
  <r>
    <x v="0"/>
    <x v="2"/>
    <d v="2026-01-31T00:00:00"/>
    <d v="2026-01-31T00:00:00"/>
    <x v="5"/>
    <s v="SGD"/>
    <m/>
    <m/>
    <m/>
    <x v="458"/>
    <s v="SG Staff"/>
    <m/>
    <s v="Net Pay - January 2026"/>
    <x v="17"/>
    <x v="8"/>
    <x v="8"/>
    <x v="2"/>
    <m/>
    <m/>
    <m/>
    <m/>
    <m/>
  </r>
  <r>
    <x v="0"/>
    <x v="2"/>
    <d v="2026-02-01T00:00:00"/>
    <d v="2026-02-01T00:00:00"/>
    <x v="5"/>
    <s v="SGD"/>
    <n v="23892"/>
    <n v="2150.2800000000002"/>
    <n v="26042.28"/>
    <x v="459"/>
    <s v="HTSG A/C Suntec Reit"/>
    <s v="SOT3-020461"/>
    <s v="Rental for February 2026"/>
    <x v="23"/>
    <x v="17"/>
    <x v="1"/>
    <x v="0"/>
    <s v="Mei Inn"/>
    <s v="Cathfrine Low"/>
    <s v="CK Beh"/>
    <m/>
    <m/>
  </r>
  <r>
    <x v="0"/>
    <x v="2"/>
    <d v="2026-02-03T00:00:00"/>
    <d v="2026-02-03T00:00:00"/>
    <x v="76"/>
    <s v="SGD"/>
    <n v="10"/>
    <n v="0"/>
    <n v="10"/>
    <x v="319"/>
    <s v="OCBC SGD"/>
    <s v="Bank Charges 05/01/2026"/>
    <s v="Bank Charges"/>
    <x v="0"/>
    <x v="0"/>
    <x v="0"/>
    <x v="0"/>
    <s v="Direct"/>
    <s v="-"/>
    <s v="-"/>
    <m/>
    <m/>
  </r>
  <r>
    <x v="0"/>
    <x v="2"/>
    <d v="2026-01-31T00:00:00"/>
    <d v="2026-01-31T00:00:00"/>
    <x v="77"/>
    <s v="SGD"/>
    <m/>
    <m/>
    <m/>
    <x v="460"/>
    <s v="SG Staff"/>
    <m/>
    <s v="Net Pay - January 2026"/>
    <x v="17"/>
    <x v="8"/>
    <x v="4"/>
    <x v="2"/>
    <m/>
    <m/>
    <m/>
    <m/>
    <m/>
  </r>
  <r>
    <x v="0"/>
    <x v="2"/>
    <d v="2026-01-31T00:00:00"/>
    <d v="2026-01-31T00:00:00"/>
    <x v="77"/>
    <s v="SGD"/>
    <m/>
    <m/>
    <m/>
    <x v="461"/>
    <s v="SG Staff"/>
    <m/>
    <s v="Statutory Contribution - January 2026"/>
    <x v="10"/>
    <x v="8"/>
    <x v="4"/>
    <x v="2"/>
    <m/>
    <m/>
    <m/>
    <m/>
    <m/>
  </r>
  <r>
    <x v="0"/>
    <x v="2"/>
    <d v="2026-01-31T00:00:00"/>
    <d v="2026-01-31T00:00:00"/>
    <x v="77"/>
    <s v="SGD"/>
    <m/>
    <m/>
    <m/>
    <x v="462"/>
    <s v="SG Staff"/>
    <m/>
    <s v="Net Pay - January 2026"/>
    <x v="17"/>
    <x v="8"/>
    <x v="9"/>
    <x v="4"/>
    <m/>
    <m/>
    <m/>
    <m/>
    <m/>
  </r>
  <r>
    <x v="0"/>
    <x v="2"/>
    <d v="2026-01-31T00:00:00"/>
    <d v="2026-01-31T00:00:00"/>
    <x v="77"/>
    <s v="SGD"/>
    <m/>
    <m/>
    <m/>
    <x v="463"/>
    <s v="SG Staff"/>
    <m/>
    <s v="Statutory Contribution - January 2026"/>
    <x v="10"/>
    <x v="8"/>
    <x v="9"/>
    <x v="4"/>
    <m/>
    <m/>
    <m/>
    <m/>
    <m/>
  </r>
  <r>
    <x v="0"/>
    <x v="2"/>
    <d v="2026-01-31T00:00:00"/>
    <d v="2026-01-31T00:00:00"/>
    <x v="77"/>
    <s v="SGD"/>
    <m/>
    <m/>
    <m/>
    <x v="464"/>
    <s v="SG Staff"/>
    <m/>
    <s v="Net Pay - January 2026"/>
    <x v="17"/>
    <x v="8"/>
    <x v="12"/>
    <x v="2"/>
    <m/>
    <m/>
    <m/>
    <m/>
    <m/>
  </r>
  <r>
    <x v="0"/>
    <x v="2"/>
    <d v="2026-01-31T00:00:00"/>
    <d v="2026-01-31T00:00:00"/>
    <x v="77"/>
    <s v="SGD"/>
    <m/>
    <m/>
    <m/>
    <x v="465"/>
    <s v="SG Staff"/>
    <m/>
    <s v="Statutory Contribution - January 2026"/>
    <x v="10"/>
    <x v="8"/>
    <x v="12"/>
    <x v="2"/>
    <m/>
    <m/>
    <m/>
    <m/>
    <m/>
  </r>
  <r>
    <x v="0"/>
    <x v="2"/>
    <d v="2026-01-31T00:00:00"/>
    <d v="2026-01-31T00:00:00"/>
    <x v="77"/>
    <s v="SGD"/>
    <m/>
    <m/>
    <m/>
    <x v="466"/>
    <s v="SG Staff"/>
    <m/>
    <s v="Net Pay - January 2026"/>
    <x v="17"/>
    <x v="8"/>
    <x v="3"/>
    <x v="0"/>
    <m/>
    <m/>
    <m/>
    <m/>
    <m/>
  </r>
  <r>
    <x v="0"/>
    <x v="2"/>
    <d v="2026-01-31T00:00:00"/>
    <d v="2026-01-31T00:00:00"/>
    <x v="77"/>
    <s v="SGD"/>
    <m/>
    <m/>
    <m/>
    <x v="467"/>
    <s v="SG Staff"/>
    <m/>
    <s v="Statutory Contribution - January 2026"/>
    <x v="10"/>
    <x v="8"/>
    <x v="3"/>
    <x v="0"/>
    <m/>
    <m/>
    <m/>
    <m/>
    <m/>
  </r>
  <r>
    <x v="0"/>
    <x v="2"/>
    <d v="2026-01-31T00:00:00"/>
    <d v="2026-01-31T00:00:00"/>
    <x v="77"/>
    <s v="SGD"/>
    <m/>
    <m/>
    <m/>
    <x v="468"/>
    <s v="SG Staff"/>
    <m/>
    <s v="Statutory Contribution - January 2026"/>
    <x v="10"/>
    <x v="8"/>
    <x v="11"/>
    <x v="0"/>
    <m/>
    <m/>
    <m/>
    <m/>
    <m/>
  </r>
  <r>
    <x v="0"/>
    <x v="2"/>
    <d v="2026-01-31T00:00:00"/>
    <d v="2026-01-31T00:00:00"/>
    <x v="77"/>
    <s v="SGD"/>
    <m/>
    <m/>
    <m/>
    <x v="469"/>
    <s v="SG Staff"/>
    <m/>
    <s v="Net Pay - January 2026"/>
    <x v="17"/>
    <x v="8"/>
    <x v="14"/>
    <x v="1"/>
    <m/>
    <m/>
    <m/>
    <m/>
    <m/>
  </r>
  <r>
    <x v="0"/>
    <x v="2"/>
    <d v="2026-01-31T00:00:00"/>
    <d v="2026-01-31T00:00:00"/>
    <x v="77"/>
    <s v="SGD"/>
    <m/>
    <m/>
    <m/>
    <x v="470"/>
    <s v="SG Staff"/>
    <m/>
    <s v="Statutory Contribution - January 2026"/>
    <x v="10"/>
    <x v="8"/>
    <x v="14"/>
    <x v="1"/>
    <m/>
    <m/>
    <m/>
    <m/>
    <m/>
  </r>
  <r>
    <x v="0"/>
    <x v="2"/>
    <d v="2026-01-31T00:00:00"/>
    <d v="2026-01-31T00:00:00"/>
    <x v="77"/>
    <s v="SGD"/>
    <m/>
    <m/>
    <m/>
    <x v="468"/>
    <s v="SG Staff"/>
    <m/>
    <s v="Statutory Contribution - January 2026"/>
    <x v="10"/>
    <x v="8"/>
    <x v="15"/>
    <x v="1"/>
    <m/>
    <m/>
    <m/>
    <m/>
    <m/>
  </r>
  <r>
    <x v="0"/>
    <x v="2"/>
    <d v="2026-01-31T00:00:00"/>
    <d v="2026-01-31T00:00:00"/>
    <x v="77"/>
    <s v="SGD"/>
    <m/>
    <m/>
    <m/>
    <x v="471"/>
    <s v="SG Staff"/>
    <m/>
    <s v="Statutory Contribution - January 2026"/>
    <x v="10"/>
    <x v="8"/>
    <x v="13"/>
    <x v="1"/>
    <m/>
    <m/>
    <m/>
    <m/>
    <m/>
  </r>
  <r>
    <x v="0"/>
    <x v="2"/>
    <d v="2026-01-31T00:00:00"/>
    <d v="2026-01-31T00:00:00"/>
    <x v="77"/>
    <s v="SGD"/>
    <m/>
    <m/>
    <m/>
    <x v="472"/>
    <s v="SG Staff"/>
    <m/>
    <s v="Net Pay - January 2026"/>
    <x v="17"/>
    <x v="8"/>
    <x v="8"/>
    <x v="2"/>
    <m/>
    <m/>
    <m/>
    <m/>
    <m/>
  </r>
  <r>
    <x v="0"/>
    <x v="2"/>
    <d v="2026-01-31T00:00:00"/>
    <d v="2026-01-31T00:00:00"/>
    <x v="77"/>
    <s v="SGD"/>
    <m/>
    <m/>
    <m/>
    <x v="473"/>
    <s v="SG Staff"/>
    <m/>
    <s v="Statutory Contribution - January 2026"/>
    <x v="10"/>
    <x v="8"/>
    <x v="8"/>
    <x v="2"/>
    <m/>
    <m/>
    <m/>
    <m/>
    <m/>
  </r>
  <r>
    <x v="0"/>
    <x v="2"/>
    <d v="2026-02-05T00:00:00"/>
    <d v="2026-02-05T00:00:00"/>
    <x v="77"/>
    <s v="SGD"/>
    <n v="30202.5"/>
    <n v="0"/>
    <n v="30202.5"/>
    <x v="474"/>
    <s v="Central Provident Fund "/>
    <s v="CPF 2026/01"/>
    <s v="CPF Contribution for January 2026"/>
    <x v="17"/>
    <x v="8"/>
    <x v="3"/>
    <x v="0"/>
    <m/>
    <m/>
    <m/>
    <m/>
    <m/>
  </r>
  <r>
    <x v="0"/>
    <x v="2"/>
    <d v="2026-02-05T00:00:00"/>
    <d v="2026-02-05T00:00:00"/>
    <x v="78"/>
    <s v="SGD"/>
    <n v="1074.7"/>
    <n v="96.72"/>
    <n v="1171.42"/>
    <x v="475"/>
    <s v="Paulaner Brauhaus Micro Brewery Restaurant"/>
    <s v="Bill.569770"/>
    <s v="Paulaner Brauhaus Micro Brewery Restaurant"/>
    <x v="18"/>
    <x v="4"/>
    <x v="11"/>
    <x v="0"/>
    <s v="Leon Chan"/>
    <s v="Fan Li"/>
    <m/>
    <m/>
    <m/>
  </r>
  <r>
    <x v="0"/>
    <x v="2"/>
    <d v="2026-02-13T00:00:00"/>
    <d v="2026-02-13T00:00:00"/>
    <x v="8"/>
    <s v="SGD"/>
    <n v="11.56"/>
    <n v="1.04"/>
    <n v="12.600000000000001"/>
    <x v="476"/>
    <s v="Staff Claim Jan26"/>
    <s v="Staff Claim Jan26"/>
    <s v="Total Accommodation - International"/>
    <x v="31"/>
    <x v="1"/>
    <x v="11"/>
    <x v="0"/>
    <m/>
    <m/>
    <m/>
    <m/>
    <m/>
  </r>
  <r>
    <x v="0"/>
    <x v="2"/>
    <d v="2026-02-13T00:00:00"/>
    <d v="2026-02-13T00:00:00"/>
    <x v="8"/>
    <s v="SGD"/>
    <n v="2903.11"/>
    <n v="96.89"/>
    <n v="3000"/>
    <x v="477"/>
    <s v="Staff Claim Jan26"/>
    <s v="Staff Claim Jan26"/>
    <s v="Total Accommodation - National"/>
    <x v="1"/>
    <x v="1"/>
    <x v="8"/>
    <x v="2"/>
    <m/>
    <m/>
    <m/>
    <m/>
    <m/>
  </r>
  <r>
    <x v="0"/>
    <x v="2"/>
    <d v="2026-02-13T00:00:00"/>
    <d v="2026-02-13T00:00:00"/>
    <x v="8"/>
    <s v="SGD"/>
    <n v="153.63999999999999"/>
    <n v="0"/>
    <n v="153.63999999999999"/>
    <x v="478"/>
    <s v="Staff Claim Jan26"/>
    <s v="Staff Claim Jan26"/>
    <s v="Total Accrual"/>
    <x v="28"/>
    <x v="21"/>
    <x v="14"/>
    <x v="1"/>
    <m/>
    <m/>
    <m/>
    <s v="Subscription fees for software in 2025"/>
    <m/>
  </r>
  <r>
    <x v="0"/>
    <x v="2"/>
    <d v="2026-02-13T00:00:00"/>
    <d v="2026-02-13T00:00:00"/>
    <x v="8"/>
    <s v="SGD"/>
    <n v="454.48"/>
    <n v="25.09"/>
    <n v="479.57"/>
    <x v="479"/>
    <s v="Staff Claim Jan26"/>
    <s v="Staff Claim Jan26"/>
    <s v="Total Business Meals - International"/>
    <x v="45"/>
    <x v="25"/>
    <x v="11"/>
    <x v="0"/>
    <m/>
    <m/>
    <m/>
    <m/>
    <m/>
  </r>
  <r>
    <x v="0"/>
    <x v="2"/>
    <d v="2026-02-13T00:00:00"/>
    <d v="2026-02-13T00:00:00"/>
    <x v="8"/>
    <s v="SGD"/>
    <n v="184.82"/>
    <n v="16.63"/>
    <n v="201.45"/>
    <x v="480"/>
    <s v="Staff Claim Jan26"/>
    <s v="Staff Claim Jan26"/>
    <s v="Total Business Meals - National"/>
    <x v="34"/>
    <x v="25"/>
    <x v="8"/>
    <x v="2"/>
    <m/>
    <m/>
    <m/>
    <m/>
    <m/>
  </r>
  <r>
    <x v="0"/>
    <x v="2"/>
    <d v="2026-02-13T00:00:00"/>
    <d v="2026-02-13T00:00:00"/>
    <x v="8"/>
    <s v="SGD"/>
    <n v="4526.32"/>
    <n v="107.39"/>
    <n v="4633.71"/>
    <x v="481"/>
    <s v="Staff Claim Jan26"/>
    <s v="Staff Claim Jan26"/>
    <s v="Total Business Meals - National"/>
    <x v="34"/>
    <x v="25"/>
    <x v="11"/>
    <x v="0"/>
    <m/>
    <m/>
    <m/>
    <m/>
    <m/>
  </r>
  <r>
    <x v="0"/>
    <x v="2"/>
    <d v="2026-02-13T00:00:00"/>
    <d v="2026-02-13T00:00:00"/>
    <x v="8"/>
    <s v="SGD"/>
    <n v="260"/>
    <n v="0"/>
    <n v="260"/>
    <x v="482"/>
    <s v="Staff Claim Jan26"/>
    <s v="Staff Claim Jan26"/>
    <s v="Total General Expenses"/>
    <x v="20"/>
    <x v="4"/>
    <x v="11"/>
    <x v="0"/>
    <m/>
    <m/>
    <m/>
    <m/>
    <m/>
  </r>
  <r>
    <x v="0"/>
    <x v="2"/>
    <d v="2026-02-13T00:00:00"/>
    <d v="2026-02-13T00:00:00"/>
    <x v="8"/>
    <s v="SGD"/>
    <n v="17.059999999999999"/>
    <n v="1.54"/>
    <n v="18.599999999999998"/>
    <x v="483"/>
    <s v="Staff Claim Jan26"/>
    <s v="Staff Claim Jan26"/>
    <s v="Total Hampers &amp; Gift"/>
    <x v="47"/>
    <x v="25"/>
    <x v="11"/>
    <x v="0"/>
    <m/>
    <m/>
    <m/>
    <m/>
    <m/>
  </r>
  <r>
    <x v="0"/>
    <x v="2"/>
    <d v="2026-02-13T00:00:00"/>
    <d v="2026-02-13T00:00:00"/>
    <x v="8"/>
    <s v="SGD"/>
    <n v="28"/>
    <n v="0"/>
    <n v="28"/>
    <x v="484"/>
    <s v="Staff Claim Jan26"/>
    <s v="Staff Claim Jan26"/>
    <s v="Total Insurance expenses"/>
    <x v="4"/>
    <x v="4"/>
    <x v="13"/>
    <x v="1"/>
    <m/>
    <m/>
    <m/>
    <m/>
    <m/>
  </r>
  <r>
    <x v="0"/>
    <x v="2"/>
    <d v="2026-02-13T00:00:00"/>
    <d v="2026-02-13T00:00:00"/>
    <x v="8"/>
    <s v="SGD"/>
    <n v="160.87"/>
    <n v="11.64"/>
    <n v="172.51"/>
    <x v="485"/>
    <s v="Staff Claim Jan26"/>
    <s v="Staff Claim Jan26"/>
    <s v="Total Office Supplies"/>
    <x v="5"/>
    <x v="5"/>
    <x v="1"/>
    <x v="0"/>
    <m/>
    <m/>
    <m/>
    <m/>
    <m/>
  </r>
  <r>
    <x v="0"/>
    <x v="2"/>
    <d v="2026-02-13T00:00:00"/>
    <d v="2026-02-13T00:00:00"/>
    <x v="8"/>
    <s v="SGD"/>
    <n v="266.62"/>
    <n v="23.99"/>
    <n v="290.61"/>
    <x v="486"/>
    <s v="Staff Claim Jan26"/>
    <s v="Staff Claim Jan26"/>
    <s v="Total Personal Meals - International"/>
    <x v="19"/>
    <x v="1"/>
    <x v="13"/>
    <x v="1"/>
    <m/>
    <m/>
    <m/>
    <m/>
    <m/>
  </r>
  <r>
    <x v="0"/>
    <x v="2"/>
    <d v="2026-02-13T00:00:00"/>
    <d v="2026-02-13T00:00:00"/>
    <x v="8"/>
    <s v="SGD"/>
    <n v="23.84"/>
    <n v="0"/>
    <n v="23.84"/>
    <x v="487"/>
    <s v="Staff Claim Jan26"/>
    <s v="Staff Claim Jan26"/>
    <s v="Total Personal Meals - International"/>
    <x v="19"/>
    <x v="1"/>
    <x v="11"/>
    <x v="0"/>
    <m/>
    <m/>
    <m/>
    <m/>
    <m/>
  </r>
  <r>
    <x v="0"/>
    <x v="2"/>
    <d v="2026-02-13T00:00:00"/>
    <d v="2026-02-13T00:00:00"/>
    <x v="8"/>
    <s v="SGD"/>
    <n v="233.86"/>
    <n v="15.09"/>
    <n v="248.95000000000002"/>
    <x v="488"/>
    <s v="Staff Claim Jan26"/>
    <s v="Staff Claim Jan26"/>
    <s v="Total Personal Meals - National"/>
    <x v="22"/>
    <x v="1"/>
    <x v="8"/>
    <x v="2"/>
    <m/>
    <m/>
    <m/>
    <m/>
    <m/>
  </r>
  <r>
    <x v="0"/>
    <x v="2"/>
    <d v="2026-02-13T00:00:00"/>
    <d v="2026-02-13T00:00:00"/>
    <x v="8"/>
    <s v="SGD"/>
    <n v="190.44"/>
    <n v="17.13"/>
    <n v="207.57"/>
    <x v="489"/>
    <s v="Staff Claim Jan26"/>
    <s v="Staff Claim Jan26"/>
    <s v="Total Personal Meals - National"/>
    <x v="22"/>
    <x v="1"/>
    <x v="11"/>
    <x v="0"/>
    <m/>
    <m/>
    <m/>
    <m/>
    <m/>
  </r>
  <r>
    <x v="0"/>
    <x v="2"/>
    <d v="2026-02-13T00:00:00"/>
    <d v="2026-02-13T00:00:00"/>
    <x v="8"/>
    <s v="SGD"/>
    <n v="90"/>
    <n v="0"/>
    <n v="90"/>
    <x v="490"/>
    <s v="Staff Claim Jan26"/>
    <s v="Staff Claim Jan26"/>
    <s v="Total Professional &amp; Consultancy Fees"/>
    <x v="11"/>
    <x v="9"/>
    <x v="3"/>
    <x v="0"/>
    <m/>
    <m/>
    <m/>
    <s v="Court case filing"/>
    <m/>
  </r>
  <r>
    <x v="0"/>
    <x v="2"/>
    <d v="2026-02-13T00:00:00"/>
    <d v="2026-02-13T00:00:00"/>
    <x v="8"/>
    <s v="SGD"/>
    <n v="179.85"/>
    <n v="0"/>
    <n v="179.85"/>
    <x v="491"/>
    <s v="Staff Claim Jan26"/>
    <s v="Staff Claim Jan26"/>
    <s v="Total Professional &amp; Consultancy Fees"/>
    <x v="50"/>
    <x v="15"/>
    <x v="1"/>
    <x v="0"/>
    <m/>
    <m/>
    <m/>
    <m/>
    <m/>
  </r>
  <r>
    <x v="0"/>
    <x v="2"/>
    <d v="2026-02-13T00:00:00"/>
    <d v="2026-02-13T00:00:00"/>
    <x v="8"/>
    <s v="SGD"/>
    <n v="87.16"/>
    <n v="7.84"/>
    <n v="95"/>
    <x v="492"/>
    <s v="Staff Claim Jan26"/>
    <s v="Staff Claim Jan26"/>
    <s v="Total Repair &amp; Maintenance"/>
    <x v="51"/>
    <x v="34"/>
    <x v="1"/>
    <x v="0"/>
    <m/>
    <m/>
    <m/>
    <m/>
    <m/>
  </r>
  <r>
    <x v="0"/>
    <x v="2"/>
    <d v="2026-02-13T00:00:00"/>
    <d v="2026-02-13T00:00:00"/>
    <x v="8"/>
    <s v="SGD"/>
    <n v="468.2"/>
    <n v="42.14"/>
    <n v="510.34"/>
    <x v="493"/>
    <s v="Staff Claim Jan26"/>
    <s v="Staff Claim Jan26"/>
    <s v="Total Staff Welfare - Meal &amp; Refreshment"/>
    <x v="18"/>
    <x v="4"/>
    <x v="3"/>
    <x v="0"/>
    <m/>
    <m/>
    <m/>
    <m/>
    <m/>
  </r>
  <r>
    <x v="0"/>
    <x v="2"/>
    <d v="2026-02-13T00:00:00"/>
    <d v="2026-02-13T00:00:00"/>
    <x v="8"/>
    <s v="SGD"/>
    <n v="1931.66"/>
    <n v="37.869999999999997"/>
    <n v="1969.53"/>
    <x v="494"/>
    <s v="Staff Claim Jan26"/>
    <s v="Staff Claim Jan26"/>
    <s v="Total Staff Welfare - Meal &amp; Refreshment"/>
    <x v="18"/>
    <x v="4"/>
    <x v="11"/>
    <x v="0"/>
    <m/>
    <m/>
    <m/>
    <m/>
    <m/>
  </r>
  <r>
    <x v="0"/>
    <x v="2"/>
    <d v="2026-02-13T00:00:00"/>
    <d v="2026-02-13T00:00:00"/>
    <x v="8"/>
    <s v="SGD"/>
    <n v="359.94"/>
    <n v="0"/>
    <n v="359.94"/>
    <x v="495"/>
    <s v="Staff Claim Jan26"/>
    <s v="Staff Claim Jan26"/>
    <s v="Total Staff Welfare - Recreation, Training &amp; Events"/>
    <x v="52"/>
    <x v="4"/>
    <x v="5"/>
    <x v="0"/>
    <m/>
    <m/>
    <m/>
    <m/>
    <m/>
  </r>
  <r>
    <x v="0"/>
    <x v="2"/>
    <d v="2026-02-13T00:00:00"/>
    <d v="2026-02-13T00:00:00"/>
    <x v="8"/>
    <s v="SGD"/>
    <n v="9.17"/>
    <n v="0.83"/>
    <n v="10"/>
    <x v="496"/>
    <s v="Staff Claim Jan26"/>
    <s v="Staff Claim Jan26"/>
    <s v="Total Staff Welfare - Recreation, Training &amp; Events"/>
    <x v="52"/>
    <x v="4"/>
    <x v="4"/>
    <x v="2"/>
    <m/>
    <m/>
    <m/>
    <m/>
    <m/>
  </r>
  <r>
    <x v="0"/>
    <x v="2"/>
    <d v="2026-02-13T00:00:00"/>
    <d v="2026-02-13T00:00:00"/>
    <x v="8"/>
    <s v="SGD"/>
    <n v="131.55000000000001"/>
    <n v="0"/>
    <n v="131.55000000000001"/>
    <x v="497"/>
    <s v="Staff Claim Jan26"/>
    <s v="Staff Claim Jan26"/>
    <s v="Total Subscription Fee"/>
    <x v="8"/>
    <x v="6"/>
    <x v="13"/>
    <x v="1"/>
    <m/>
    <m/>
    <m/>
    <m/>
    <m/>
  </r>
  <r>
    <x v="0"/>
    <x v="2"/>
    <d v="2026-02-13T00:00:00"/>
    <d v="2026-02-13T00:00:00"/>
    <x v="8"/>
    <s v="SGD"/>
    <n v="934.86"/>
    <n v="0"/>
    <n v="934.86"/>
    <x v="498"/>
    <s v="Staff Claim Jan26"/>
    <s v="Staff Claim Jan26"/>
    <s v="Total Transportation fee - International"/>
    <x v="6"/>
    <x v="1"/>
    <x v="13"/>
    <x v="1"/>
    <m/>
    <m/>
    <m/>
    <m/>
    <m/>
  </r>
  <r>
    <x v="0"/>
    <x v="2"/>
    <d v="2026-02-13T00:00:00"/>
    <d v="2026-02-13T00:00:00"/>
    <x v="8"/>
    <s v="SGD"/>
    <n v="697.67"/>
    <n v="0"/>
    <n v="697.67"/>
    <x v="499"/>
    <s v="Staff Claim Jan26"/>
    <s v="Staff Claim Jan26"/>
    <s v="Total Transportation fee - International"/>
    <x v="6"/>
    <x v="1"/>
    <x v="11"/>
    <x v="0"/>
    <m/>
    <m/>
    <m/>
    <m/>
    <m/>
  </r>
  <r>
    <x v="0"/>
    <x v="2"/>
    <d v="2026-02-13T00:00:00"/>
    <d v="2026-02-13T00:00:00"/>
    <x v="8"/>
    <s v="SGD"/>
    <n v="5.3"/>
    <n v="0"/>
    <n v="5.3"/>
    <x v="500"/>
    <s v="Staff Claim Jan26"/>
    <s v="Staff Claim Jan26"/>
    <s v="Total Transportation fee - International"/>
    <x v="6"/>
    <x v="1"/>
    <x v="3"/>
    <x v="0"/>
    <m/>
    <m/>
    <m/>
    <m/>
    <m/>
  </r>
  <r>
    <x v="0"/>
    <x v="2"/>
    <d v="2026-02-13T00:00:00"/>
    <d v="2026-02-13T00:00:00"/>
    <x v="8"/>
    <s v="SGD"/>
    <n v="413.29"/>
    <n v="0"/>
    <n v="413.29"/>
    <x v="501"/>
    <s v="Staff Claim Jan26"/>
    <s v="Staff Claim Jan26"/>
    <s v="Total Transportation fee - International"/>
    <x v="6"/>
    <x v="1"/>
    <x v="8"/>
    <x v="2"/>
    <m/>
    <m/>
    <m/>
    <m/>
    <m/>
  </r>
  <r>
    <x v="0"/>
    <x v="2"/>
    <d v="2026-02-13T00:00:00"/>
    <d v="2026-02-13T00:00:00"/>
    <x v="8"/>
    <s v="SGD"/>
    <n v="369.46999999999997"/>
    <n v="0"/>
    <n v="369.46999999999997"/>
    <x v="502"/>
    <s v="Staff Claim Jan26"/>
    <s v="Staff Claim Jan26"/>
    <s v="Total Transportation fee - National"/>
    <x v="7"/>
    <x v="1"/>
    <x v="8"/>
    <x v="2"/>
    <m/>
    <m/>
    <m/>
    <m/>
    <m/>
  </r>
  <r>
    <x v="0"/>
    <x v="2"/>
    <d v="2026-02-13T00:00:00"/>
    <d v="2026-02-13T00:00:00"/>
    <x v="8"/>
    <s v="SGD"/>
    <n v="162.55000000000001"/>
    <n v="0"/>
    <n v="162.55000000000001"/>
    <x v="503"/>
    <s v="Staff Claim Jan26"/>
    <s v="Staff Claim Jan26"/>
    <s v="Total Transportation fee - National"/>
    <x v="7"/>
    <x v="1"/>
    <x v="13"/>
    <x v="1"/>
    <m/>
    <m/>
    <m/>
    <m/>
    <m/>
  </r>
  <r>
    <x v="0"/>
    <x v="2"/>
    <d v="2026-02-13T00:00:00"/>
    <d v="2026-02-13T00:00:00"/>
    <x v="8"/>
    <s v="SGD"/>
    <n v="37.599999999999994"/>
    <n v="0"/>
    <n v="37.599999999999994"/>
    <x v="504"/>
    <s v="Staff Claim Jan26"/>
    <s v="Staff Claim Jan26"/>
    <s v="Total Transportation fee - National"/>
    <x v="7"/>
    <x v="1"/>
    <x v="3"/>
    <x v="0"/>
    <m/>
    <m/>
    <m/>
    <m/>
    <m/>
  </r>
  <r>
    <x v="0"/>
    <x v="2"/>
    <d v="2026-02-13T00:00:00"/>
    <d v="2026-02-13T00:00:00"/>
    <x v="8"/>
    <s v="SGD"/>
    <n v="79.900000000000006"/>
    <n v="0"/>
    <n v="79.900000000000006"/>
    <x v="505"/>
    <s v="Staff Claim Jan26"/>
    <s v="Staff Claim Jan26"/>
    <s v="Total Transportation fee - National"/>
    <x v="7"/>
    <x v="1"/>
    <x v="11"/>
    <x v="0"/>
    <m/>
    <m/>
    <m/>
    <m/>
    <m/>
  </r>
  <r>
    <x v="0"/>
    <x v="2"/>
    <d v="2026-02-13T00:00:00"/>
    <d v="2026-02-13T00:00:00"/>
    <x v="8"/>
    <s v="SGD"/>
    <n v="15.5"/>
    <n v="0"/>
    <n v="15.5"/>
    <x v="506"/>
    <s v="Staff Claim Jan26"/>
    <s v="Staff Claim Jan26"/>
    <s v="Total Transportation fee - National"/>
    <x v="7"/>
    <x v="1"/>
    <x v="1"/>
    <x v="0"/>
    <m/>
    <m/>
    <m/>
    <s v="Grab to do notary"/>
    <m/>
  </r>
  <r>
    <x v="0"/>
    <x v="2"/>
    <d v="2026-02-13T00:00:00"/>
    <d v="2026-02-13T00:00:00"/>
    <x v="8"/>
    <s v="SGD"/>
    <n v="40"/>
    <n v="0"/>
    <n v="40"/>
    <x v="507"/>
    <s v="Staff Claim Jan26"/>
    <s v="Staff Claim Jan26"/>
    <s v="Total Upkeep of Offices"/>
    <x v="40"/>
    <x v="31"/>
    <x v="1"/>
    <x v="0"/>
    <m/>
    <m/>
    <m/>
    <m/>
    <m/>
  </r>
  <r>
    <x v="0"/>
    <x v="2"/>
    <d v="2026-02-13T00:00:00"/>
    <d v="2026-02-13T00:00:00"/>
    <x v="8"/>
    <s v="SGD"/>
    <n v="290"/>
    <n v="26.1"/>
    <n v="316.10000000000002"/>
    <x v="508"/>
    <s v="Dor-Com Door Specialist Pte Ltd"/>
    <s v="Inv17439"/>
    <s v="Replace faulty parts for double leaf"/>
    <x v="51"/>
    <x v="34"/>
    <x v="1"/>
    <x v="0"/>
    <s v="Mei Inn"/>
    <m/>
    <m/>
    <m/>
    <m/>
  </r>
  <r>
    <x v="0"/>
    <x v="2"/>
    <d v="2026-02-13T00:00:00"/>
    <d v="2026-02-13T00:00:00"/>
    <x v="8"/>
    <s v="SGD"/>
    <n v="654.1"/>
    <n v="58.87"/>
    <n v="712.97"/>
    <x v="509"/>
    <s v="JK Technology Pte Ltd"/>
    <s v="I26027812 &amp; I26027811"/>
    <s v="Leasing liabilities - FA"/>
    <x v="13"/>
    <x v="11"/>
    <x v="5"/>
    <x v="0"/>
    <s v="Danny Kwok"/>
    <m/>
    <m/>
    <m/>
    <m/>
  </r>
  <r>
    <x v="0"/>
    <x v="2"/>
    <d v="2026-02-13T00:00:00"/>
    <d v="2026-02-13T00:00:00"/>
    <x v="8"/>
    <s v="SGD"/>
    <n v="600"/>
    <n v="0"/>
    <n v="600"/>
    <x v="510"/>
    <s v="Sulin Kwok Kwai Lian"/>
    <s v="January2026"/>
    <s v="Office cleaning service - Jan26"/>
    <x v="41"/>
    <x v="31"/>
    <x v="1"/>
    <x v="0"/>
    <s v="Mei Inn"/>
    <m/>
    <m/>
    <m/>
    <m/>
  </r>
  <r>
    <x v="0"/>
    <x v="2"/>
    <d v="2026-02-13T00:00:00"/>
    <d v="2026-02-13T00:00:00"/>
    <x v="8"/>
    <s v="SGD"/>
    <n v="-11683.98"/>
    <n v="0"/>
    <n v="-11683.98"/>
    <x v="511"/>
    <s v="HTSG A/C SUNTEC REIT"/>
    <s v="OR2602001"/>
    <s v="Deposit refund - SUNTEC"/>
    <x v="39"/>
    <x v="30"/>
    <x v="1"/>
    <x v="0"/>
    <m/>
    <m/>
    <m/>
    <m/>
    <m/>
  </r>
  <r>
    <x v="0"/>
    <x v="2"/>
    <d v="2026-02-16T00:00:00"/>
    <d v="2026-02-16T00:00:00"/>
    <x v="79"/>
    <s v="SGD"/>
    <n v="8171"/>
    <n v="0"/>
    <n v="8171"/>
    <x v="512"/>
    <s v="GST"/>
    <s v="PV2602007"/>
    <s v="GST - Oct-Dec25"/>
    <x v="32"/>
    <x v="23"/>
    <x v="1"/>
    <x v="0"/>
    <m/>
    <m/>
    <m/>
    <m/>
    <m/>
  </r>
  <r>
    <x v="0"/>
    <x v="2"/>
    <d v="2026-02-16T00:00:00"/>
    <d v="2026-02-16T00:00:00"/>
    <x v="80"/>
    <s v="SGD"/>
    <n v="9833"/>
    <n v="884.97"/>
    <n v="10717.97"/>
    <x v="513"/>
    <s v="Insur-Asia Pte Ltd"/>
    <s v="M2026-3194"/>
    <s v="Directors &amp; Officers Liability Insurance"/>
    <x v="4"/>
    <x v="4"/>
    <x v="11"/>
    <x v="0"/>
    <s v="Cathfrine"/>
    <m/>
    <m/>
    <m/>
    <m/>
  </r>
  <r>
    <x v="0"/>
    <x v="2"/>
    <d v="2026-02-25T00:00:00"/>
    <d v="2026-02-25T00:00:00"/>
    <x v="81"/>
    <s v="SGD"/>
    <n v="484.77"/>
    <n v="43.63"/>
    <n v="528.4"/>
    <x v="514"/>
    <s v="Zingrill Pte Ltd"/>
    <s v="Bill.003-273984"/>
    <s v="Zingrill Pte Ltd - New year team lunch"/>
    <x v="18"/>
    <x v="4"/>
    <x v="11"/>
    <x v="0"/>
    <s v="Leon Chan"/>
    <s v="Fan Li"/>
    <m/>
    <m/>
    <m/>
  </r>
  <r>
    <x v="0"/>
    <x v="2"/>
    <d v="2026-02-26T00:00:00"/>
    <d v="2026-02-26T00:00:00"/>
    <x v="81"/>
    <s v="SGD"/>
    <n v="-4.42"/>
    <n v="0"/>
    <n v="-4.42"/>
    <x v="515"/>
    <s v="OCBC SGD"/>
    <s v="Bank Charges 26/02/2026"/>
    <s v="Cash Rebate"/>
    <x v="0"/>
    <x v="0"/>
    <x v="0"/>
    <x v="0"/>
    <s v="Direct"/>
    <s v="-"/>
    <s v="-"/>
    <m/>
    <m/>
  </r>
  <r>
    <x v="0"/>
    <x v="2"/>
    <d v="2026-02-27T00:00:00"/>
    <d v="2026-02-27T00:00:00"/>
    <x v="10"/>
    <s v="SGD"/>
    <n v="-31900"/>
    <n v="-2421"/>
    <n v="-34321"/>
    <x v="516"/>
    <s v="Armstrong Industrial Corporation Limited"/>
    <s v="2601002 &amp; 2601003"/>
    <s v="Implementation fees – CN-Suzhou (UAT Completion)_x000a_AX JIT - IOT BOX"/>
    <x v="53"/>
    <x v="13"/>
    <x v="14"/>
    <x v="1"/>
    <m/>
    <m/>
    <m/>
    <m/>
    <m/>
  </r>
  <r>
    <x v="0"/>
    <x v="2"/>
    <d v="2026-02-28T00:00:00"/>
    <d v="2026-02-28T00:00:00"/>
    <x v="11"/>
    <s v="SGD"/>
    <m/>
    <m/>
    <m/>
    <x v="517"/>
    <s v="SG Staff"/>
    <m/>
    <s v="Net Pay - February 2026"/>
    <x v="17"/>
    <x v="8"/>
    <x v="4"/>
    <x v="2"/>
    <m/>
    <m/>
    <m/>
    <m/>
    <m/>
  </r>
  <r>
    <x v="0"/>
    <x v="2"/>
    <d v="2026-02-28T00:00:00"/>
    <d v="2026-02-28T00:00:00"/>
    <x v="11"/>
    <s v="SGD"/>
    <m/>
    <m/>
    <m/>
    <x v="518"/>
    <s v="SG Staff"/>
    <m/>
    <s v="Net Pay - February 2026"/>
    <x v="17"/>
    <x v="8"/>
    <x v="9"/>
    <x v="4"/>
    <m/>
    <m/>
    <m/>
    <m/>
    <m/>
  </r>
  <r>
    <x v="0"/>
    <x v="2"/>
    <d v="2026-02-28T00:00:00"/>
    <d v="2026-02-28T00:00:00"/>
    <x v="11"/>
    <s v="SGD"/>
    <m/>
    <m/>
    <m/>
    <x v="519"/>
    <s v="SG Staff"/>
    <m/>
    <s v="Net Pay - February 2026"/>
    <x v="17"/>
    <x v="8"/>
    <x v="12"/>
    <x v="2"/>
    <m/>
    <m/>
    <m/>
    <m/>
    <m/>
  </r>
  <r>
    <x v="0"/>
    <x v="2"/>
    <d v="2026-02-28T00:00:00"/>
    <d v="2026-02-28T00:00:00"/>
    <x v="11"/>
    <s v="SGD"/>
    <m/>
    <m/>
    <m/>
    <x v="520"/>
    <s v="SG Staff"/>
    <m/>
    <s v="Net Pay - February 2026"/>
    <x v="17"/>
    <x v="8"/>
    <x v="3"/>
    <x v="0"/>
    <m/>
    <m/>
    <m/>
    <m/>
    <m/>
  </r>
  <r>
    <x v="0"/>
    <x v="2"/>
    <d v="2026-02-28T00:00:00"/>
    <d v="2026-02-28T00:00:00"/>
    <x v="11"/>
    <s v="SGD"/>
    <m/>
    <m/>
    <m/>
    <x v="521"/>
    <s v="SG Staff"/>
    <m/>
    <s v="Net Pay - February 2026"/>
    <x v="17"/>
    <x v="8"/>
    <x v="11"/>
    <x v="0"/>
    <m/>
    <m/>
    <m/>
    <m/>
    <m/>
  </r>
  <r>
    <x v="0"/>
    <x v="2"/>
    <d v="2026-02-28T00:00:00"/>
    <d v="2026-02-28T00:00:00"/>
    <x v="11"/>
    <s v="SGD"/>
    <m/>
    <m/>
    <m/>
    <x v="522"/>
    <s v="SG Staff"/>
    <m/>
    <s v="Net Pay - February 2026"/>
    <x v="17"/>
    <x v="8"/>
    <x v="14"/>
    <x v="1"/>
    <m/>
    <m/>
    <m/>
    <m/>
    <m/>
  </r>
  <r>
    <x v="0"/>
    <x v="2"/>
    <d v="2026-02-28T00:00:00"/>
    <d v="2026-02-28T00:00:00"/>
    <x v="11"/>
    <s v="SGD"/>
    <m/>
    <m/>
    <m/>
    <x v="523"/>
    <s v="SG Staff"/>
    <m/>
    <s v="Net Pay - February 2026"/>
    <x v="17"/>
    <x v="8"/>
    <x v="15"/>
    <x v="1"/>
    <m/>
    <m/>
    <m/>
    <m/>
    <m/>
  </r>
  <r>
    <x v="0"/>
    <x v="2"/>
    <d v="2026-02-28T00:00:00"/>
    <d v="2026-02-28T00:00:00"/>
    <x v="11"/>
    <s v="SGD"/>
    <m/>
    <m/>
    <m/>
    <x v="524"/>
    <s v="SG Staff"/>
    <m/>
    <s v="Net Pay - February 2026"/>
    <x v="17"/>
    <x v="8"/>
    <x v="13"/>
    <x v="1"/>
    <m/>
    <m/>
    <m/>
    <m/>
    <m/>
  </r>
  <r>
    <x v="0"/>
    <x v="2"/>
    <d v="2026-02-28T00:00:00"/>
    <d v="2026-02-28T00:00:00"/>
    <x v="11"/>
    <s v="SGD"/>
    <m/>
    <m/>
    <m/>
    <x v="525"/>
    <s v="SG Staff"/>
    <m/>
    <s v="Net Pay - February 2026"/>
    <x v="17"/>
    <x v="8"/>
    <x v="8"/>
    <x v="2"/>
    <m/>
    <m/>
    <m/>
    <m/>
    <m/>
  </r>
  <r>
    <x v="0"/>
    <x v="2"/>
    <d v="2026-03-02T00:00:00"/>
    <d v="2026-03-02T00:00:00"/>
    <x v="11"/>
    <s v="SGD"/>
    <n v="210.51"/>
    <n v="18.940000000000001"/>
    <n v="229.45"/>
    <x v="526"/>
    <s v="Xero (Singapore) Pte. Ltd."/>
    <s v="INV-654490"/>
    <s v="Xero accounting software"/>
    <x v="8"/>
    <x v="6"/>
    <x v="0"/>
    <x v="0"/>
    <m/>
    <m/>
    <m/>
    <m/>
    <m/>
  </r>
  <r>
    <x v="0"/>
    <x v="2"/>
    <d v="2026-03-02T00:00:00"/>
    <d v="2026-03-02T00:00:00"/>
    <x v="11"/>
    <s v="SGD"/>
    <n v="79.180000000000007"/>
    <n v="0"/>
    <n v="79.180000000000007"/>
    <x v="527"/>
    <s v="Xero "/>
    <s v="IN-6472279"/>
    <s v="XERO for Malaysia - 28 Fen to 27 Mar 2026"/>
    <x v="43"/>
    <x v="15"/>
    <x v="0"/>
    <x v="0"/>
    <m/>
    <m/>
    <m/>
    <m/>
    <m/>
  </r>
  <r>
    <x v="0"/>
    <x v="2"/>
    <d v="2026-03-02T00:00:00"/>
    <d v="2026-03-02T00:00:00"/>
    <x v="11"/>
    <s v="SGD"/>
    <n v="-15086.4"/>
    <n v="0"/>
    <n v="-15086.4"/>
    <x v="528"/>
    <s v="OCBC SGD"/>
    <s v="Internal Transfer"/>
    <s v="Internal Transfer from USD to SGD"/>
    <x v="24"/>
    <x v="18"/>
    <x v="6"/>
    <x v="3"/>
    <m/>
    <m/>
    <m/>
    <m/>
    <m/>
  </r>
  <r>
    <x v="0"/>
    <x v="2"/>
    <d v="2026-03-02T00:00:00"/>
    <d v="2026-03-02T00:00:00"/>
    <x v="11"/>
    <s v="SGD"/>
    <n v="-2191.54"/>
    <n v="0"/>
    <n v="-2191.54"/>
    <x v="529"/>
    <s v="OCBC SGD"/>
    <s v="Internal Transfer"/>
    <s v="Internal Transfer from CNH to SGD"/>
    <x v="24"/>
    <x v="18"/>
    <x v="6"/>
    <x v="3"/>
    <m/>
    <m/>
    <m/>
    <m/>
    <m/>
  </r>
  <r>
    <x v="0"/>
    <x v="2"/>
    <d v="2026-03-02T00:00:00"/>
    <d v="2026-03-02T00:00:00"/>
    <x v="11"/>
    <s v="SGD"/>
    <n v="-252600"/>
    <n v="0"/>
    <n v="-252600"/>
    <x v="530"/>
    <s v="OCBC SGD"/>
    <s v="Internal Transfer"/>
    <s v="Internal Transfer from USD to SGD"/>
    <x v="24"/>
    <x v="18"/>
    <x v="6"/>
    <x v="3"/>
    <m/>
    <m/>
    <m/>
    <m/>
    <m/>
  </r>
  <r>
    <x v="0"/>
    <x v="2"/>
    <d v="2026-03-02T00:00:00"/>
    <d v="2026-03-02T00:00:00"/>
    <x v="11"/>
    <s v="SGD"/>
    <n v="23892"/>
    <n v="2150.2799999999997"/>
    <n v="26042.28"/>
    <x v="382"/>
    <s v="HTSG A/C SUNTEC REIT"/>
    <s v="SOT3-020565"/>
    <s v="Office rental for March 2026"/>
    <x v="23"/>
    <x v="17"/>
    <x v="1"/>
    <x v="0"/>
    <m/>
    <m/>
    <m/>
    <m/>
    <m/>
  </r>
  <r>
    <x v="0"/>
    <x v="2"/>
    <d v="2026-03-02T00:00:00"/>
    <d v="2026-03-02T00:00:00"/>
    <x v="11"/>
    <s v="SGD"/>
    <n v="129.26"/>
    <n v="11.633399999999998"/>
    <n v="140.89339999999999"/>
    <x v="531"/>
    <s v="Singtel "/>
    <s v="63721230/0021"/>
    <s v="SG office internet from 12 Feb to 11 Mar 2026"/>
    <x v="26"/>
    <x v="19"/>
    <x v="5"/>
    <x v="0"/>
    <m/>
    <m/>
    <m/>
    <m/>
    <m/>
  </r>
  <r>
    <x v="0"/>
    <x v="2"/>
    <d v="2026-03-02T00:00:00"/>
    <d v="2026-03-02T00:00:00"/>
    <x v="11"/>
    <s v="SGD"/>
    <n v="29179"/>
    <n v="2356.11"/>
    <n v="31535.11"/>
    <x v="532"/>
    <s v="AIA Singapore Private Limited"/>
    <s v="Policy-0000086365"/>
    <s v="Staff Insurance Jan- Dec 2026"/>
    <x v="4"/>
    <x v="4"/>
    <x v="3"/>
    <x v="0"/>
    <m/>
    <m/>
    <m/>
    <m/>
    <m/>
  </r>
  <r>
    <x v="0"/>
    <x v="2"/>
    <d v="2026-03-02T00:00:00"/>
    <d v="2026-03-02T00:00:00"/>
    <x v="11"/>
    <s v="SGD"/>
    <n v="57"/>
    <n v="5.13"/>
    <n v="62.13"/>
    <x v="533"/>
    <s v="Kumpulan Development (S) Pte Ltd"/>
    <s v="CE12907922"/>
    <s v="Drinking water for office - February 2026"/>
    <x v="5"/>
    <x v="5"/>
    <x v="1"/>
    <x v="0"/>
    <m/>
    <m/>
    <m/>
    <m/>
    <m/>
  </r>
  <r>
    <x v="0"/>
    <x v="2"/>
    <d v="2026-03-02T00:00:00"/>
    <d v="2026-03-02T00:00:00"/>
    <x v="11"/>
    <s v="SGD"/>
    <n v="3670"/>
    <n v="330.3"/>
    <n v="4000.3"/>
    <x v="534"/>
    <s v="LG Electronics Singapore Pte Ltd"/>
    <s v="INV0000001"/>
    <s v="Fixed Assets takeover"/>
    <x v="48"/>
    <x v="32"/>
    <x v="6"/>
    <x v="3"/>
    <m/>
    <m/>
    <m/>
    <m/>
    <m/>
  </r>
  <r>
    <x v="0"/>
    <x v="2"/>
    <d v="2026-03-02T00:00:00"/>
    <d v="2026-03-02T00:00:00"/>
    <x v="11"/>
    <s v="SGD"/>
    <n v="7897.34"/>
    <n v="710.76059999999995"/>
    <n v="8608.1005999999998"/>
    <x v="535"/>
    <s v="JK Technology Pte Ltd"/>
    <s v="I25124426"/>
    <s v="AWS - Oct25 usage"/>
    <x v="26"/>
    <x v="19"/>
    <x v="13"/>
    <x v="1"/>
    <m/>
    <m/>
    <m/>
    <m/>
    <m/>
  </r>
  <r>
    <x v="0"/>
    <x v="2"/>
    <d v="2026-03-02T00:00:00"/>
    <d v="2026-03-02T00:00:00"/>
    <x v="11"/>
    <s v="SGD"/>
    <n v="293.19"/>
    <n v="26.3871"/>
    <n v="319.57709999999997"/>
    <x v="536"/>
    <s v="JK Technology Pte Ltd"/>
    <s v="I25124426"/>
    <s v="AWS - Oct25 usage"/>
    <x v="26"/>
    <x v="19"/>
    <x v="14"/>
    <x v="1"/>
    <m/>
    <m/>
    <m/>
    <m/>
    <m/>
  </r>
  <r>
    <x v="0"/>
    <x v="2"/>
    <d v="2026-03-02T00:00:00"/>
    <d v="2026-03-02T00:00:00"/>
    <x v="11"/>
    <s v="SGD"/>
    <n v="194.25"/>
    <n v="17.482499999999998"/>
    <n v="211.73249999999999"/>
    <x v="537"/>
    <s v="JK Technology Pte Ltd"/>
    <s v="I25124426"/>
    <s v="AWS - Oct25 usage"/>
    <x v="26"/>
    <x v="19"/>
    <x v="15"/>
    <x v="1"/>
    <m/>
    <m/>
    <m/>
    <m/>
    <m/>
  </r>
  <r>
    <x v="0"/>
    <x v="2"/>
    <d v="2026-03-02T00:00:00"/>
    <d v="2026-03-02T00:00:00"/>
    <x v="11"/>
    <s v="SGD"/>
    <n v="180.11"/>
    <n v="0"/>
    <n v="180.11"/>
    <x v="538"/>
    <s v="FLO Energy"/>
    <m/>
    <s v="Overpaid SGD180.11, offset subsequent"/>
    <x v="54"/>
    <x v="30"/>
    <x v="1"/>
    <x v="0"/>
    <m/>
    <m/>
    <m/>
    <m/>
    <m/>
  </r>
  <r>
    <x v="0"/>
    <x v="2"/>
    <d v="2026-03-03T00:00:00"/>
    <d v="2026-03-03T00:00:00"/>
    <x v="82"/>
    <s v="SGD"/>
    <n v="805.87"/>
    <n v="0"/>
    <n v="805.87"/>
    <x v="539"/>
    <s v="Wu Xiaoli"/>
    <m/>
    <s v="Salary - March 2026"/>
    <x v="17"/>
    <x v="8"/>
    <x v="3"/>
    <x v="0"/>
    <m/>
    <m/>
    <m/>
    <m/>
    <m/>
  </r>
  <r>
    <x v="0"/>
    <x v="2"/>
    <d v="2026-03-03T00:00:00"/>
    <d v="2026-03-03T00:00:00"/>
    <x v="82"/>
    <s v="SGD"/>
    <n v="-240498.35"/>
    <n v="0"/>
    <n v="-240498.35"/>
    <x v="540"/>
    <s v="Alpha X Innovation Sdn Bhd"/>
    <m/>
    <s v="Loan repayment from Alpha X Innovation Sdn Bhd"/>
    <x v="43"/>
    <x v="15"/>
    <x v="6"/>
    <x v="3"/>
    <m/>
    <m/>
    <m/>
    <m/>
    <m/>
  </r>
  <r>
    <x v="0"/>
    <x v="2"/>
    <d v="2026-03-03T00:00:00"/>
    <d v="2026-03-03T00:00:00"/>
    <x v="82"/>
    <s v="SGD"/>
    <n v="11422.09"/>
    <s v=" -   "/>
    <n v="11422.09"/>
    <x v="541"/>
    <s v="IRAS"/>
    <m/>
    <s v="Tax Clearance / Withholding Tax for Foreign Employees (Form IR21)"/>
    <x v="33"/>
    <x v="24"/>
    <x v="3"/>
    <x v="0"/>
    <m/>
    <m/>
    <m/>
    <m/>
    <m/>
  </r>
  <r>
    <x v="0"/>
    <x v="2"/>
    <d v="2026-03-03T00:00:00"/>
    <d v="2026-03-03T00:00:00"/>
    <x v="82"/>
    <s v="SGD"/>
    <n v="10"/>
    <n v="0"/>
    <n v="10"/>
    <x v="319"/>
    <s v="OCBC SGD"/>
    <s v="Bank Charges 03/03/2026"/>
    <s v="Bank Charges"/>
    <x v="0"/>
    <x v="0"/>
    <x v="0"/>
    <x v="0"/>
    <m/>
    <m/>
    <m/>
    <m/>
    <m/>
  </r>
  <r>
    <x v="0"/>
    <x v="2"/>
    <d v="2026-03-03T00:00:00"/>
    <d v="2026-03-03T00:00:00"/>
    <x v="82"/>
    <s v="SGD"/>
    <m/>
    <m/>
    <m/>
    <x v="542"/>
    <s v="SG Staff"/>
    <m/>
    <s v="Net Pay - March 2026"/>
    <x v="17"/>
    <x v="8"/>
    <x v="9"/>
    <x v="4"/>
    <m/>
    <m/>
    <m/>
    <m/>
    <m/>
  </r>
  <r>
    <x v="0"/>
    <x v="2"/>
    <d v="2026-03-17T00:00:00"/>
    <d v="2026-03-17T00:00:00"/>
    <x v="82"/>
    <s v="SGD"/>
    <m/>
    <m/>
    <m/>
    <x v="541"/>
    <s v="SG Staff"/>
    <m/>
    <s v="Net Pay - March 2026"/>
    <x v="17"/>
    <x v="8"/>
    <x v="15"/>
    <x v="1"/>
    <m/>
    <m/>
    <m/>
    <m/>
    <m/>
  </r>
  <r>
    <x v="0"/>
    <x v="2"/>
    <d v="2026-03-06T00:00:00"/>
    <d v="2026-03-06T00:00:00"/>
    <x v="83"/>
    <s v="SGD"/>
    <n v="-2099"/>
    <n v="-188.91"/>
    <n v="-2287.91"/>
    <x v="543"/>
    <s v="Infinix Hospitality Management Pte Ltd"/>
    <s v="INV 2603004"/>
    <s v="AI Scheduler Setup Fee (Phase 1) + AI Scheduler Monthly Subscription"/>
    <x v="15"/>
    <x v="13"/>
    <x v="12"/>
    <x v="2"/>
    <m/>
    <m/>
    <m/>
    <m/>
    <m/>
  </r>
  <r>
    <x v="0"/>
    <x v="2"/>
    <d v="2026-02-28T00:00:00"/>
    <d v="2026-02-28T00:00:00"/>
    <x v="84"/>
    <s v="SGD"/>
    <m/>
    <m/>
    <m/>
    <x v="544"/>
    <s v="SG Staff"/>
    <m/>
    <s v="Statutory Contribution - February 2026"/>
    <x v="10"/>
    <x v="8"/>
    <x v="4"/>
    <x v="2"/>
    <m/>
    <m/>
    <m/>
    <m/>
    <m/>
  </r>
  <r>
    <x v="0"/>
    <x v="2"/>
    <d v="2026-02-28T00:00:00"/>
    <d v="2026-02-28T00:00:00"/>
    <x v="84"/>
    <s v="SGD"/>
    <m/>
    <m/>
    <m/>
    <x v="545"/>
    <s v="SG Staff"/>
    <m/>
    <s v="Statutory Contribution - February 2026"/>
    <x v="10"/>
    <x v="8"/>
    <x v="9"/>
    <x v="4"/>
    <m/>
    <m/>
    <m/>
    <m/>
    <m/>
  </r>
  <r>
    <x v="0"/>
    <x v="2"/>
    <d v="2026-02-28T00:00:00"/>
    <d v="2026-02-28T00:00:00"/>
    <x v="84"/>
    <s v="SGD"/>
    <m/>
    <m/>
    <m/>
    <x v="546"/>
    <s v="SG Staff"/>
    <m/>
    <s v="Statutory Contribution - February 2026"/>
    <x v="10"/>
    <x v="8"/>
    <x v="12"/>
    <x v="2"/>
    <m/>
    <m/>
    <m/>
    <m/>
    <m/>
  </r>
  <r>
    <x v="0"/>
    <x v="2"/>
    <d v="2026-02-28T00:00:00"/>
    <d v="2026-02-28T00:00:00"/>
    <x v="84"/>
    <s v="SGD"/>
    <m/>
    <m/>
    <m/>
    <x v="547"/>
    <s v="SG Staff"/>
    <m/>
    <s v="Statutory Contribution - February 2026"/>
    <x v="10"/>
    <x v="8"/>
    <x v="3"/>
    <x v="0"/>
    <m/>
    <m/>
    <m/>
    <m/>
    <m/>
  </r>
  <r>
    <x v="0"/>
    <x v="2"/>
    <d v="2026-02-28T00:00:00"/>
    <d v="2026-02-28T00:00:00"/>
    <x v="84"/>
    <s v="SGD"/>
    <m/>
    <m/>
    <m/>
    <x v="548"/>
    <s v="SG Staff"/>
    <m/>
    <s v="Statutory Contribution - February 2026"/>
    <x v="10"/>
    <x v="8"/>
    <x v="11"/>
    <x v="0"/>
    <m/>
    <m/>
    <m/>
    <m/>
    <m/>
  </r>
  <r>
    <x v="0"/>
    <x v="2"/>
    <d v="2026-02-28T00:00:00"/>
    <d v="2026-02-28T00:00:00"/>
    <x v="84"/>
    <s v="SGD"/>
    <m/>
    <m/>
    <m/>
    <x v="549"/>
    <s v="SG Staff"/>
    <m/>
    <s v="Statutory Contribution - February 2026"/>
    <x v="10"/>
    <x v="8"/>
    <x v="14"/>
    <x v="1"/>
    <m/>
    <m/>
    <m/>
    <m/>
    <m/>
  </r>
  <r>
    <x v="0"/>
    <x v="2"/>
    <d v="2026-02-28T00:00:00"/>
    <d v="2026-02-28T00:00:00"/>
    <x v="84"/>
    <s v="SGD"/>
    <m/>
    <m/>
    <m/>
    <x v="548"/>
    <s v="SG Staff"/>
    <m/>
    <s v="Statutory Contribution - February 2026"/>
    <x v="10"/>
    <x v="8"/>
    <x v="15"/>
    <x v="1"/>
    <m/>
    <m/>
    <m/>
    <m/>
    <m/>
  </r>
  <r>
    <x v="0"/>
    <x v="2"/>
    <d v="2026-02-28T00:00:00"/>
    <d v="2026-02-28T00:00:00"/>
    <x v="84"/>
    <s v="SGD"/>
    <m/>
    <m/>
    <m/>
    <x v="550"/>
    <s v="SG Staff"/>
    <m/>
    <s v="Statutory Contribution - February 2026"/>
    <x v="10"/>
    <x v="8"/>
    <x v="13"/>
    <x v="1"/>
    <m/>
    <m/>
    <m/>
    <m/>
    <m/>
  </r>
  <r>
    <x v="0"/>
    <x v="2"/>
    <d v="2026-02-28T00:00:00"/>
    <d v="2026-02-28T00:00:00"/>
    <x v="84"/>
    <s v="SGD"/>
    <m/>
    <m/>
    <m/>
    <x v="551"/>
    <s v="SG Staff"/>
    <m/>
    <s v="Statutory Contribution - February 2026"/>
    <x v="10"/>
    <x v="8"/>
    <x v="8"/>
    <x v="2"/>
    <m/>
    <m/>
    <m/>
    <m/>
    <m/>
  </r>
  <r>
    <x v="0"/>
    <x v="2"/>
    <d v="2026-03-09T00:00:00"/>
    <d v="2026-03-09T00:00:00"/>
    <x v="84"/>
    <s v="SGD"/>
    <n v="26034.5"/>
    <n v="0"/>
    <n v="26034.5"/>
    <x v="552"/>
    <s v="Central Provident Fund "/>
    <s v="CPF 2026/02"/>
    <s v="CPF Contribution for Febuary 2026"/>
    <x v="17"/>
    <x v="8"/>
    <x v="3"/>
    <x v="0"/>
    <m/>
    <m/>
    <m/>
    <m/>
    <m/>
  </r>
  <r>
    <x v="0"/>
    <x v="2"/>
    <d v="2026-03-12T00:00:00"/>
    <d v="2026-03-12T00:00:00"/>
    <x v="85"/>
    <s v="SGD"/>
    <n v="-4100"/>
    <n v="0"/>
    <n v="-4100"/>
    <x v="553"/>
    <s v="IRAS"/>
    <m/>
    <s v="_x0009_Grant Received"/>
    <x v="55"/>
    <x v="14"/>
    <x v="1"/>
    <x v="0"/>
    <m/>
    <m/>
    <m/>
    <m/>
    <m/>
  </r>
  <r>
    <x v="0"/>
    <x v="2"/>
    <d v="2026-03-13T00:00:00"/>
    <d v="2026-03-13T00:00:00"/>
    <x v="40"/>
    <s v="SGD"/>
    <n v="152.6"/>
    <n v="0"/>
    <n v="152.6"/>
    <x v="554"/>
    <s v="Jurong Centre Clinic Pte Ltd"/>
    <s v="INV39666, INV39749, INV39903"/>
    <s v="healthcare service for SG staff"/>
    <x v="35"/>
    <x v="4"/>
    <x v="1"/>
    <x v="0"/>
    <m/>
    <m/>
    <m/>
    <s v="Non-deductible expenses as it is from 2025"/>
    <m/>
  </r>
  <r>
    <x v="0"/>
    <x v="2"/>
    <d v="2026-03-13T00:00:00"/>
    <d v="2026-03-13T00:00:00"/>
    <x v="40"/>
    <s v="SGD"/>
    <n v="558.39"/>
    <n v="0"/>
    <n v="558.39"/>
    <x v="555"/>
    <s v="Staff Claim Feb26"/>
    <s v="Staff Claim Feb26"/>
    <s v="Total Accommodation - International"/>
    <x v="31"/>
    <x v="1"/>
    <x v="13"/>
    <x v="1"/>
    <m/>
    <m/>
    <m/>
    <m/>
    <m/>
  </r>
  <r>
    <x v="0"/>
    <x v="2"/>
    <d v="2026-03-13T00:00:00"/>
    <d v="2026-03-13T00:00:00"/>
    <x v="40"/>
    <s v="SGD"/>
    <n v="110.43"/>
    <n v="0"/>
    <n v="110.43"/>
    <x v="556"/>
    <s v="Staff Claim Feb26"/>
    <s v="Staff Claim Feb26"/>
    <s v="Total Accommodation - International"/>
    <x v="31"/>
    <x v="1"/>
    <x v="8"/>
    <x v="2"/>
    <m/>
    <m/>
    <m/>
    <m/>
    <m/>
  </r>
  <r>
    <x v="0"/>
    <x v="2"/>
    <d v="2026-03-13T00:00:00"/>
    <d v="2026-03-13T00:00:00"/>
    <x v="40"/>
    <s v="SGD"/>
    <n v="440"/>
    <n v="39.6"/>
    <n v="479.6"/>
    <x v="557"/>
    <s v="Staff Claim Feb26"/>
    <s v="Staff Claim Feb26"/>
    <s v="Total Accommodation - National"/>
    <x v="1"/>
    <x v="1"/>
    <x v="4"/>
    <x v="2"/>
    <m/>
    <m/>
    <m/>
    <m/>
    <m/>
  </r>
  <r>
    <x v="0"/>
    <x v="2"/>
    <d v="2026-03-13T00:00:00"/>
    <d v="2026-03-13T00:00:00"/>
    <x v="40"/>
    <s v="SGD"/>
    <n v="1009.79"/>
    <n v="90.88"/>
    <n v="1100.67"/>
    <x v="558"/>
    <s v="Staff Claim Feb26"/>
    <s v="Staff Claim Feb26"/>
    <s v="Total Accommodation - National"/>
    <x v="1"/>
    <x v="1"/>
    <x v="8"/>
    <x v="2"/>
    <m/>
    <m/>
    <m/>
    <m/>
    <m/>
  </r>
  <r>
    <x v="0"/>
    <x v="2"/>
    <d v="2026-03-13T00:00:00"/>
    <d v="2026-03-13T00:00:00"/>
    <x v="40"/>
    <s v="SGD"/>
    <n v="587.80999999999995"/>
    <n v="42.19"/>
    <n v="630"/>
    <x v="559"/>
    <s v="Staff Claim Feb26"/>
    <s v="Staff Claim Feb26"/>
    <s v="Total Business Development Cost (Entertainment)"/>
    <x v="56"/>
    <x v="25"/>
    <x v="8"/>
    <x v="2"/>
    <m/>
    <m/>
    <m/>
    <m/>
    <m/>
  </r>
  <r>
    <x v="0"/>
    <x v="2"/>
    <d v="2026-03-13T00:00:00"/>
    <d v="2026-03-13T00:00:00"/>
    <x v="40"/>
    <s v="SGD"/>
    <n v="999.75"/>
    <n v="0"/>
    <n v="999.75"/>
    <x v="560"/>
    <s v="Staff Claim Feb26"/>
    <s v="Staff Claim Feb26"/>
    <s v="Total Business Meals - International"/>
    <x v="45"/>
    <x v="25"/>
    <x v="11"/>
    <x v="0"/>
    <m/>
    <m/>
    <m/>
    <m/>
    <m/>
  </r>
  <r>
    <x v="0"/>
    <x v="2"/>
    <d v="2026-03-13T00:00:00"/>
    <d v="2026-03-13T00:00:00"/>
    <x v="40"/>
    <s v="SGD"/>
    <n v="623.57000000000005"/>
    <n v="53.44"/>
    <n v="677.01"/>
    <x v="561"/>
    <s v="Staff Claim Feb26"/>
    <s v="Staff Claim Feb26"/>
    <s v="Total Business Meals - National"/>
    <x v="34"/>
    <x v="25"/>
    <x v="11"/>
    <x v="0"/>
    <m/>
    <m/>
    <m/>
    <m/>
    <m/>
  </r>
  <r>
    <x v="0"/>
    <x v="2"/>
    <d v="2026-03-13T00:00:00"/>
    <d v="2026-03-13T00:00:00"/>
    <x v="40"/>
    <s v="SGD"/>
    <n v="773.21"/>
    <n v="69.58"/>
    <n v="842.79000000000008"/>
    <x v="562"/>
    <s v="Staff Claim Feb26"/>
    <s v="Staff Claim Feb26"/>
    <s v="Total Business Meals - National"/>
    <x v="34"/>
    <x v="25"/>
    <x v="8"/>
    <x v="2"/>
    <m/>
    <m/>
    <m/>
    <m/>
    <m/>
  </r>
  <r>
    <x v="0"/>
    <x v="2"/>
    <d v="2026-03-13T00:00:00"/>
    <d v="2026-03-13T00:00:00"/>
    <x v="40"/>
    <s v="SGD"/>
    <n v="233.71"/>
    <n v="0"/>
    <n v="233.71"/>
    <x v="563"/>
    <s v="Staff Claim Feb26"/>
    <s v="Staff Claim Feb26"/>
    <s v="Total Hampers &amp; Gift"/>
    <x v="47"/>
    <x v="25"/>
    <x v="11"/>
    <x v="0"/>
    <m/>
    <m/>
    <m/>
    <m/>
    <m/>
  </r>
  <r>
    <x v="0"/>
    <x v="2"/>
    <d v="2026-03-13T00:00:00"/>
    <d v="2026-03-13T00:00:00"/>
    <x v="40"/>
    <s v="SGD"/>
    <n v="225"/>
    <n v="0"/>
    <n v="225"/>
    <x v="564"/>
    <s v="Staff Claim Feb26"/>
    <s v="Staff Claim Feb26"/>
    <s v="Total License Fee"/>
    <x v="57"/>
    <x v="35"/>
    <x v="3"/>
    <x v="0"/>
    <m/>
    <m/>
    <m/>
    <m/>
    <m/>
  </r>
  <r>
    <x v="0"/>
    <x v="2"/>
    <d v="2026-03-13T00:00:00"/>
    <d v="2026-03-13T00:00:00"/>
    <x v="40"/>
    <s v="SGD"/>
    <n v="28.59"/>
    <n v="0"/>
    <n v="28.59"/>
    <x v="565"/>
    <s v="Staff Claim Feb26"/>
    <s v="Staff Claim Feb26"/>
    <s v="Total Marketing Expense"/>
    <x v="58"/>
    <x v="36"/>
    <x v="12"/>
    <x v="2"/>
    <m/>
    <m/>
    <m/>
    <m/>
    <m/>
  </r>
  <r>
    <x v="0"/>
    <x v="2"/>
    <d v="2026-03-13T00:00:00"/>
    <d v="2026-03-13T00:00:00"/>
    <x v="40"/>
    <s v="SGD"/>
    <n v="213.01999999999998"/>
    <n v="0"/>
    <n v="213.01999999999998"/>
    <x v="566"/>
    <s v="Staff Claim Feb26"/>
    <s v="Staff Claim Feb26"/>
    <s v="Total Personal Meals - International"/>
    <x v="19"/>
    <x v="1"/>
    <x v="13"/>
    <x v="1"/>
    <m/>
    <m/>
    <m/>
    <m/>
    <m/>
  </r>
  <r>
    <x v="0"/>
    <x v="2"/>
    <d v="2026-03-13T00:00:00"/>
    <d v="2026-03-13T00:00:00"/>
    <x v="40"/>
    <s v="SGD"/>
    <n v="68.45"/>
    <n v="0"/>
    <n v="68.45"/>
    <x v="567"/>
    <s v="Staff Claim Feb26"/>
    <s v="Staff Claim Feb26"/>
    <s v="Total Personal Meals - International"/>
    <x v="19"/>
    <x v="1"/>
    <x v="11"/>
    <x v="0"/>
    <m/>
    <m/>
    <m/>
    <m/>
    <m/>
  </r>
  <r>
    <x v="0"/>
    <x v="2"/>
    <d v="2026-03-13T00:00:00"/>
    <d v="2026-03-13T00:00:00"/>
    <x v="40"/>
    <s v="SGD"/>
    <n v="8.7200000000000006"/>
    <n v="0.78"/>
    <n v="9.5"/>
    <x v="568"/>
    <s v="Staff Claim Feb26"/>
    <s v="Staff Claim Feb26"/>
    <s v="Total Personal Meals - National"/>
    <x v="22"/>
    <x v="1"/>
    <x v="4"/>
    <x v="2"/>
    <m/>
    <m/>
    <m/>
    <m/>
    <m/>
  </r>
  <r>
    <x v="0"/>
    <x v="2"/>
    <d v="2026-03-13T00:00:00"/>
    <d v="2026-03-13T00:00:00"/>
    <x v="40"/>
    <s v="SGD"/>
    <n v="21.89"/>
    <n v="1.97"/>
    <n v="23.86"/>
    <x v="569"/>
    <s v="Staff Claim Feb26"/>
    <s v="Staff Claim Feb26"/>
    <s v="Total Personal Meals - National"/>
    <x v="22"/>
    <x v="1"/>
    <x v="11"/>
    <x v="0"/>
    <m/>
    <m/>
    <m/>
    <m/>
    <m/>
  </r>
  <r>
    <x v="0"/>
    <x v="2"/>
    <d v="2026-03-13T00:00:00"/>
    <d v="2026-03-13T00:00:00"/>
    <x v="40"/>
    <s v="SGD"/>
    <n v="82.03"/>
    <n v="4.7699999999999996"/>
    <n v="86.8"/>
    <x v="570"/>
    <s v="Staff Claim Feb26"/>
    <s v="Staff Claim Feb26"/>
    <s v="Total Personal Meals - National"/>
    <x v="22"/>
    <x v="1"/>
    <x v="8"/>
    <x v="2"/>
    <m/>
    <m/>
    <m/>
    <m/>
    <m/>
  </r>
  <r>
    <x v="0"/>
    <x v="2"/>
    <d v="2026-03-13T00:00:00"/>
    <d v="2026-03-13T00:00:00"/>
    <x v="40"/>
    <s v="SGD"/>
    <n v="80"/>
    <n v="0"/>
    <n v="80"/>
    <x v="571"/>
    <s v="Staff Claim Feb26"/>
    <s v="Staff Claim Feb26"/>
    <s v="Total Professional &amp; Consultancy Fees"/>
    <x v="11"/>
    <x v="9"/>
    <x v="3"/>
    <x v="0"/>
    <m/>
    <m/>
    <m/>
    <m/>
    <m/>
  </r>
  <r>
    <x v="0"/>
    <x v="2"/>
    <d v="2026-03-13T00:00:00"/>
    <d v="2026-03-13T00:00:00"/>
    <x v="40"/>
    <s v="SGD"/>
    <n v="-0.01"/>
    <n v="0"/>
    <n v="-0.01"/>
    <x v="572"/>
    <s v="Staff Claim Feb26"/>
    <s v="Staff Claim Feb26"/>
    <s v="Total Rounding"/>
    <x v="6"/>
    <x v="1"/>
    <x v="13"/>
    <x v="1"/>
    <m/>
    <m/>
    <m/>
    <m/>
    <m/>
  </r>
  <r>
    <x v="0"/>
    <x v="2"/>
    <d v="2026-03-13T00:00:00"/>
    <d v="2026-03-13T00:00:00"/>
    <x v="40"/>
    <s v="SGD"/>
    <n v="79.900000000000006"/>
    <n v="0"/>
    <n v="79.900000000000006"/>
    <x v="505"/>
    <s v="Staff Claim Feb26"/>
    <s v="Staff Claim Feb26"/>
    <s v="Total Staff Welfare - Gift &amp; Tokens"/>
    <x v="20"/>
    <x v="4"/>
    <x v="3"/>
    <x v="0"/>
    <m/>
    <m/>
    <m/>
    <m/>
    <m/>
  </r>
  <r>
    <x v="0"/>
    <x v="2"/>
    <d v="2026-03-13T00:00:00"/>
    <d v="2026-03-13T00:00:00"/>
    <x v="40"/>
    <s v="SGD"/>
    <n v="155.66"/>
    <n v="13.3"/>
    <n v="168.96"/>
    <x v="573"/>
    <s v="Staff Claim Feb26"/>
    <s v="Staff Claim Feb26"/>
    <s v="Total Staff Welfare - Meal &amp; Refreshment"/>
    <x v="18"/>
    <x v="4"/>
    <x v="1"/>
    <x v="0"/>
    <m/>
    <m/>
    <m/>
    <m/>
    <m/>
  </r>
  <r>
    <x v="0"/>
    <x v="2"/>
    <d v="2026-03-13T00:00:00"/>
    <d v="2026-03-13T00:00:00"/>
    <x v="40"/>
    <s v="SGD"/>
    <n v="826.75999999999988"/>
    <n v="70.92"/>
    <n v="897.67999999999984"/>
    <x v="574"/>
    <s v="Staff Claim Feb26"/>
    <s v="Staff Claim Feb26"/>
    <s v="Total Staff Welfare - Meal &amp; Refreshment"/>
    <x v="18"/>
    <x v="4"/>
    <x v="11"/>
    <x v="0"/>
    <m/>
    <m/>
    <m/>
    <m/>
    <m/>
  </r>
  <r>
    <x v="0"/>
    <x v="2"/>
    <d v="2026-03-13T00:00:00"/>
    <d v="2026-03-13T00:00:00"/>
    <x v="40"/>
    <s v="SGD"/>
    <n v="75.150000000000006"/>
    <n v="0"/>
    <n v="75.150000000000006"/>
    <x v="575"/>
    <s v="Staff Claim Feb26"/>
    <s v="Staff Claim Feb26"/>
    <s v="Total Subscription Fee"/>
    <x v="8"/>
    <x v="6"/>
    <x v="13"/>
    <x v="1"/>
    <m/>
    <m/>
    <m/>
    <m/>
    <m/>
  </r>
  <r>
    <x v="0"/>
    <x v="2"/>
    <d v="2026-03-13T00:00:00"/>
    <d v="2026-03-13T00:00:00"/>
    <x v="40"/>
    <s v="SGD"/>
    <n v="87.21"/>
    <n v="0"/>
    <n v="87.21"/>
    <x v="576"/>
    <s v="Staff Claim Feb26"/>
    <s v="Staff Claim Feb26"/>
    <s v="Total Subscription Fee"/>
    <x v="8"/>
    <x v="6"/>
    <x v="14"/>
    <x v="1"/>
    <m/>
    <m/>
    <m/>
    <m/>
    <m/>
  </r>
  <r>
    <x v="0"/>
    <x v="2"/>
    <d v="2026-03-13T00:00:00"/>
    <d v="2026-03-13T00:00:00"/>
    <x v="40"/>
    <s v="SGD"/>
    <n v="267.83999999999997"/>
    <n v="0"/>
    <n v="267.83999999999997"/>
    <x v="577"/>
    <s v="Staff Claim Feb26"/>
    <s v="Staff Claim Feb26"/>
    <s v="Total Transportation fee - International"/>
    <x v="6"/>
    <x v="1"/>
    <x v="4"/>
    <x v="2"/>
    <m/>
    <m/>
    <m/>
    <m/>
    <m/>
  </r>
  <r>
    <x v="0"/>
    <x v="2"/>
    <d v="2026-03-13T00:00:00"/>
    <d v="2026-03-13T00:00:00"/>
    <x v="40"/>
    <s v="SGD"/>
    <n v="9310.6999999999989"/>
    <n v="0"/>
    <n v="9310.6999999999989"/>
    <x v="578"/>
    <s v="Staff Claim Feb26"/>
    <s v="Staff Claim Feb26"/>
    <s v="Total Transportation fee - International"/>
    <x v="6"/>
    <x v="1"/>
    <x v="11"/>
    <x v="0"/>
    <m/>
    <m/>
    <m/>
    <m/>
    <m/>
  </r>
  <r>
    <x v="0"/>
    <x v="2"/>
    <d v="2026-03-13T00:00:00"/>
    <d v="2026-03-13T00:00:00"/>
    <x v="40"/>
    <s v="SGD"/>
    <n v="3032.41"/>
    <n v="0"/>
    <n v="3032.41"/>
    <x v="579"/>
    <s v="Staff Claim Feb26"/>
    <s v="Staff Claim Feb26"/>
    <s v="Total Transportation fee - International"/>
    <x v="6"/>
    <x v="1"/>
    <x v="13"/>
    <x v="1"/>
    <m/>
    <m/>
    <m/>
    <m/>
    <m/>
  </r>
  <r>
    <x v="0"/>
    <x v="2"/>
    <d v="2026-03-13T00:00:00"/>
    <d v="2026-03-13T00:00:00"/>
    <x v="40"/>
    <s v="SGD"/>
    <n v="598.34"/>
    <n v="0"/>
    <n v="598.34"/>
    <x v="580"/>
    <s v="Staff Claim Feb26"/>
    <s v="Staff Claim Feb26"/>
    <s v="Total Transportation fee - International"/>
    <x v="6"/>
    <x v="1"/>
    <x v="8"/>
    <x v="2"/>
    <m/>
    <m/>
    <m/>
    <m/>
    <m/>
  </r>
  <r>
    <x v="0"/>
    <x v="2"/>
    <d v="2026-03-13T00:00:00"/>
    <d v="2026-03-13T00:00:00"/>
    <x v="40"/>
    <s v="SGD"/>
    <n v="22.66"/>
    <n v="0"/>
    <n v="22.66"/>
    <x v="581"/>
    <s v="Staff Claim Feb26"/>
    <s v="Staff Claim Feb26"/>
    <s v="Total Transportation fee - National"/>
    <x v="7"/>
    <x v="1"/>
    <x v="4"/>
    <x v="2"/>
    <m/>
    <m/>
    <m/>
    <m/>
    <m/>
  </r>
  <r>
    <x v="0"/>
    <x v="2"/>
    <d v="2026-03-13T00:00:00"/>
    <d v="2026-03-13T00:00:00"/>
    <x v="40"/>
    <s v="SGD"/>
    <n v="11.35"/>
    <n v="0"/>
    <n v="11.35"/>
    <x v="582"/>
    <s v="Staff Claim Feb26"/>
    <s v="Staff Claim Feb26"/>
    <s v="Total Transportation fee - National"/>
    <x v="7"/>
    <x v="1"/>
    <x v="5"/>
    <x v="0"/>
    <m/>
    <m/>
    <m/>
    <m/>
    <m/>
  </r>
  <r>
    <x v="0"/>
    <x v="2"/>
    <d v="2026-03-13T00:00:00"/>
    <d v="2026-03-13T00:00:00"/>
    <x v="40"/>
    <s v="SGD"/>
    <n v="19.75"/>
    <n v="0"/>
    <n v="19.75"/>
    <x v="583"/>
    <s v="Staff Claim Feb26"/>
    <s v="Staff Claim Feb26"/>
    <s v="Total Transportation fee - National"/>
    <x v="7"/>
    <x v="1"/>
    <x v="14"/>
    <x v="1"/>
    <m/>
    <m/>
    <m/>
    <m/>
    <m/>
  </r>
  <r>
    <x v="0"/>
    <x v="2"/>
    <d v="2026-03-13T00:00:00"/>
    <d v="2026-03-13T00:00:00"/>
    <x v="40"/>
    <s v="SGD"/>
    <n v="225.78999999999996"/>
    <n v="0"/>
    <n v="225.78999999999996"/>
    <x v="584"/>
    <s v="Staff Claim Feb26"/>
    <s v="Staff Claim Feb26"/>
    <s v="Total Transportation fee - National"/>
    <x v="7"/>
    <x v="1"/>
    <x v="13"/>
    <x v="1"/>
    <m/>
    <m/>
    <m/>
    <m/>
    <m/>
  </r>
  <r>
    <x v="0"/>
    <x v="2"/>
    <d v="2026-03-13T00:00:00"/>
    <d v="2026-03-13T00:00:00"/>
    <x v="40"/>
    <s v="SGD"/>
    <n v="213.69"/>
    <n v="6.29"/>
    <n v="219.98"/>
    <x v="585"/>
    <s v="Staff Claim Feb26"/>
    <s v="Staff Claim Feb26"/>
    <s v="Total Transportation fee - National"/>
    <x v="7"/>
    <x v="1"/>
    <x v="8"/>
    <x v="2"/>
    <m/>
    <m/>
    <m/>
    <m/>
    <m/>
  </r>
  <r>
    <x v="0"/>
    <x v="2"/>
    <d v="2026-03-13T00:00:00"/>
    <d v="2026-03-13T00:00:00"/>
    <x v="40"/>
    <s v="SGD"/>
    <n v="277.0366972477064"/>
    <n v="24.933302752293574"/>
    <n v="301.96999999999997"/>
    <x v="586"/>
    <s v="FLO Energy"/>
    <s v="T2610001012, T2610000724, T2610002128_x0009_"/>
    <s v="FLO Utilities - Feb26 - Tower 3_x000a_FLO Utilities - Jan26 - Tower 3_x000a_FLO Utilities - 01Jan26 - Tower 4"/>
    <x v="12"/>
    <x v="10"/>
    <x v="1"/>
    <x v="0"/>
    <m/>
    <m/>
    <m/>
    <m/>
    <m/>
  </r>
  <r>
    <x v="0"/>
    <x v="2"/>
    <d v="2026-03-13T00:00:00"/>
    <d v="2026-03-13T00:00:00"/>
    <x v="86"/>
    <s v="SGD"/>
    <n v="57"/>
    <n v="5.13"/>
    <n v="62.13"/>
    <x v="533"/>
    <s v="Kumpulan Development (S) Pte Ltd"/>
    <s v="CE/2914515"/>
    <s v="Drinking water for office - Mar26"/>
    <x v="5"/>
    <x v="5"/>
    <x v="1"/>
    <x v="0"/>
    <m/>
    <m/>
    <m/>
    <m/>
    <m/>
  </r>
  <r>
    <x v="0"/>
    <x v="2"/>
    <d v="2026-03-13T00:00:00"/>
    <d v="2026-03-13T00:00:00"/>
    <x v="86"/>
    <s v="SGD"/>
    <n v="1000"/>
    <n v="90"/>
    <n v="1090"/>
    <x v="587"/>
    <s v="B D E Technology Pte Ltd"/>
    <s v="INV-2512035"/>
    <s v="Office Door access system "/>
    <x v="48"/>
    <x v="32"/>
    <x v="1"/>
    <x v="0"/>
    <m/>
    <m/>
    <m/>
    <m/>
    <m/>
  </r>
  <r>
    <x v="0"/>
    <x v="2"/>
    <d v="2026-03-13T00:00:00"/>
    <d v="2026-03-13T00:00:00"/>
    <x v="86"/>
    <s v="SGD"/>
    <n v="600"/>
    <n v="0"/>
    <n v="600"/>
    <x v="510"/>
    <s v="Sutin Kwok Kwai Lian"/>
    <s v="Febuary 2026"/>
    <s v="Office Cleaning Service - Feb26"/>
    <x v="41"/>
    <x v="31"/>
    <x v="1"/>
    <x v="0"/>
    <m/>
    <m/>
    <m/>
    <m/>
    <m/>
  </r>
  <r>
    <x v="0"/>
    <x v="2"/>
    <d v="2026-03-20T00:00:00"/>
    <d v="2026-03-14T00:00:00"/>
    <x v="86"/>
    <s v="SGD"/>
    <n v="48868"/>
    <n v="4398.12"/>
    <n v="53266.12"/>
    <x v="588"/>
    <s v="Gtrontec Technology Pte Ltd "/>
    <s v="GCES-2025-0349-01-IN02, GCES-2025-0349-01-IN01"/>
    <s v="30% payment upon project kick-off - ARMSTRONG, Travel expenses Sept25-ARMSTRONG"/>
    <x v="7"/>
    <x v="1"/>
    <x v="9"/>
    <x v="4"/>
    <m/>
    <m/>
    <m/>
    <m/>
    <m/>
  </r>
  <r>
    <x v="0"/>
    <x v="2"/>
    <d v="2026-03-17T00:00:00"/>
    <d v="2026-03-17T00:00:00"/>
    <x v="87"/>
    <s v="SGD"/>
    <n v="654.1"/>
    <n v="58.869"/>
    <n v="712.96900000000005"/>
    <x v="589"/>
    <s v="JK Technology Pte Ltd"/>
    <s v="I26032861, I26032862"/>
    <s v="Lease liability - Mar26, Lease liability - Mar26"/>
    <x v="13"/>
    <x v="11"/>
    <x v="5"/>
    <x v="0"/>
    <m/>
    <m/>
    <m/>
    <m/>
    <m/>
  </r>
  <r>
    <x v="0"/>
    <x v="2"/>
    <d v="2026-03-17T00:00:00"/>
    <d v="2026-03-17T00:00:00"/>
    <x v="87"/>
    <s v="SGD"/>
    <n v="446.1"/>
    <n v="40.15"/>
    <n v="486.25"/>
    <x v="590"/>
    <s v="JK Technology Pte Ltd"/>
    <s v="I25129460, I26017728"/>
    <s v="AWS Usage - Nov25, AWS Usage - Dec25"/>
    <x v="26"/>
    <x v="19"/>
    <x v="14"/>
    <x v="1"/>
    <m/>
    <m/>
    <m/>
    <m/>
    <m/>
  </r>
  <r>
    <x v="0"/>
    <x v="2"/>
    <d v="2026-03-17T00:00:00"/>
    <d v="2026-03-17T00:00:00"/>
    <x v="87"/>
    <s v="SGD"/>
    <n v="679"/>
    <n v="61.11"/>
    <n v="740.11"/>
    <x v="591"/>
    <s v="JK Technology Pte Ltd"/>
    <s v="I25129460, I26017728"/>
    <s v="AWS Usage - Nov25, AWS Usage - Dec25"/>
    <x v="26"/>
    <x v="19"/>
    <x v="15"/>
    <x v="1"/>
    <m/>
    <m/>
    <m/>
    <m/>
    <m/>
  </r>
  <r>
    <x v="0"/>
    <x v="2"/>
    <d v="2026-03-17T00:00:00"/>
    <d v="2026-03-17T00:00:00"/>
    <x v="87"/>
    <s v="SGD"/>
    <n v="15198.16"/>
    <n v="1367.8344"/>
    <n v="16566.004399999998"/>
    <x v="592"/>
    <s v="JK Technology Pte Ltd"/>
    <s v="I25129460, I26017728"/>
    <s v="AWS Usage - Nov25, AWS Usage - Dec25"/>
    <x v="26"/>
    <x v="19"/>
    <x v="13"/>
    <x v="1"/>
    <m/>
    <m/>
    <m/>
    <m/>
    <m/>
  </r>
  <r>
    <x v="0"/>
    <x v="2"/>
    <d v="2026-03-17T00:00:00"/>
    <d v="2026-03-17T00:00:00"/>
    <x v="87"/>
    <s v="SGD"/>
    <m/>
    <m/>
    <m/>
    <x v="593"/>
    <s v="SG Staff"/>
    <m/>
    <s v="Net Pay - March 2026"/>
    <x v="17"/>
    <x v="8"/>
    <x v="15"/>
    <x v="1"/>
    <m/>
    <m/>
    <m/>
    <m/>
    <m/>
  </r>
  <r>
    <x v="0"/>
    <x v="2"/>
    <d v="2026-03-23T00:00:00"/>
    <d v="2026-03-23T00:00:00"/>
    <x v="88"/>
    <s v="SGD"/>
    <n v="2.57"/>
    <n v="0.23129999999999998"/>
    <n v="2.8012999999999999"/>
    <x v="594"/>
    <s v="Compose Coffee - Coffee"/>
    <m/>
    <s v="Compose Coffee - Coffee"/>
    <x v="22"/>
    <x v="1"/>
    <x v="11"/>
    <x v="0"/>
    <m/>
    <m/>
    <m/>
    <m/>
    <m/>
  </r>
  <r>
    <x v="0"/>
    <x v="2"/>
    <d v="2026-03-23T00:00:00"/>
    <d v="2026-03-23T00:00:00"/>
    <x v="88"/>
    <s v="SGD"/>
    <n v="49.28"/>
    <n v="4.4352"/>
    <n v="53.715200000000003"/>
    <x v="595"/>
    <s v="Go Ang Pratunam Chicken Rice"/>
    <m/>
    <s v="Go Ang Pratunam Chicken Rice - Team meal"/>
    <x v="18"/>
    <x v="4"/>
    <x v="11"/>
    <x v="0"/>
    <m/>
    <m/>
    <m/>
    <m/>
    <m/>
  </r>
  <r>
    <x v="0"/>
    <x v="2"/>
    <d v="2026-03-24T00:00:00"/>
    <d v="2026-03-24T00:00:00"/>
    <x v="88"/>
    <s v="SGD"/>
    <n v="91.95"/>
    <n v="8.2754999999999992"/>
    <n v="100.2255"/>
    <x v="596"/>
    <s v="Shu xiang fang"/>
    <m/>
    <s v="Shu xiang fang - Business meal"/>
    <x v="34"/>
    <x v="25"/>
    <x v="11"/>
    <x v="0"/>
    <m/>
    <m/>
    <m/>
    <m/>
    <m/>
  </r>
  <r>
    <x v="0"/>
    <x v="2"/>
    <d v="2026-03-27T00:00:00"/>
    <d v="2026-03-27T00:00:00"/>
    <x v="13"/>
    <s v="SGD"/>
    <n v="203.83"/>
    <n v="0"/>
    <n v="203.83"/>
    <x v="597"/>
    <s v="Peking Chamber"/>
    <m/>
    <s v="Peking Chamber - Business dinner"/>
    <x v="18"/>
    <x v="4"/>
    <x v="11"/>
    <x v="0"/>
    <m/>
    <m/>
    <m/>
    <m/>
    <m/>
  </r>
  <r>
    <x v="0"/>
    <x v="2"/>
    <d v="2026-03-23T00:00:00"/>
    <d v="2026-03-23T00:00:00"/>
    <x v="89"/>
    <s v="SGD"/>
    <n v="62.7"/>
    <n v="5.6429999999999998"/>
    <n v="68.343000000000004"/>
    <x v="598"/>
    <s v="Paradise Dynasty"/>
    <m/>
    <s v="Paradise Dynasty"/>
    <x v="18"/>
    <x v="4"/>
    <x v="11"/>
    <x v="0"/>
    <m/>
    <m/>
    <m/>
    <m/>
    <m/>
  </r>
  <r>
    <x v="0"/>
    <x v="2"/>
    <d v="2026-03-23T00:00:00"/>
    <d v="2026-03-23T00:00:00"/>
    <x v="89"/>
    <s v="SGD"/>
    <n v="108.46"/>
    <n v="9.7613999999999983"/>
    <n v="118.22139999999999"/>
    <x v="599"/>
    <s v="Pang Pang"/>
    <m/>
    <s v="Pang Pang"/>
    <x v="34"/>
    <x v="25"/>
    <x v="11"/>
    <x v="0"/>
    <m/>
    <m/>
    <m/>
    <m/>
    <m/>
  </r>
  <r>
    <x v="0"/>
    <x v="2"/>
    <d v="2026-03-25T00:00:00"/>
    <d v="2026-03-25T00:00:00"/>
    <x v="89"/>
    <s v="SGD"/>
    <n v="214.04"/>
    <n v="19.260000000000002"/>
    <n v="233.29999999999998"/>
    <x v="600"/>
    <s v="Astons Suntec City"/>
    <m/>
    <s v="Astons Suntec City - Team meal"/>
    <x v="18"/>
    <x v="4"/>
    <x v="11"/>
    <x v="0"/>
    <m/>
    <m/>
    <m/>
    <m/>
    <m/>
  </r>
  <r>
    <x v="0"/>
    <x v="2"/>
    <d v="2026-03-26T00:00:00"/>
    <d v="2026-03-26T00:00:00"/>
    <x v="90"/>
    <s v="SGD"/>
    <n v="112.66"/>
    <n v="10.14"/>
    <n v="122.8"/>
    <x v="601"/>
    <s v="Uncle Fong Hot Pot Restaurant"/>
    <m/>
    <s v="Uncle Fong Hot Pot Restaurant - Business dinner"/>
    <x v="18"/>
    <x v="4"/>
    <x v="11"/>
    <x v="0"/>
    <m/>
    <m/>
    <m/>
    <m/>
    <m/>
  </r>
  <r>
    <x v="0"/>
    <x v="2"/>
    <d v="2026-03-25T00:00:00"/>
    <d v="2026-03-25T00:00:00"/>
    <x v="91"/>
    <s v="SGD"/>
    <n v="-126960"/>
    <n v="0"/>
    <n v="-126960"/>
    <x v="602"/>
    <s v="OCBC SGD"/>
    <s v="Internal Transfer"/>
    <s v="Internal Transfer from USD to SGD"/>
    <x v="24"/>
    <x v="18"/>
    <x v="0"/>
    <x v="0"/>
    <m/>
    <m/>
    <m/>
    <m/>
    <m/>
  </r>
  <r>
    <x v="0"/>
    <x v="2"/>
    <d v="2026-03-26T00:00:00"/>
    <d v="2026-03-26T00:00:00"/>
    <x v="92"/>
    <s v="SGD"/>
    <n v="-3.39"/>
    <n v="0"/>
    <n v="-3.39"/>
    <x v="603"/>
    <s v="OCBC SGD"/>
    <m/>
    <s v="Cash Rebate"/>
    <x v="16"/>
    <x v="14"/>
    <x v="0"/>
    <x v="0"/>
    <m/>
    <m/>
    <m/>
    <m/>
    <m/>
  </r>
  <r>
    <x v="0"/>
    <x v="2"/>
    <d v="2026-03-27T00:00:00"/>
    <d v="2026-03-27T00:00:00"/>
    <x v="93"/>
    <s v="SGD"/>
    <n v="-9664.67"/>
    <n v="0"/>
    <n v="-9664.67"/>
    <x v="604"/>
    <s v="VisionPower Semiconductor Manufacturing Company Pte Ltd"/>
    <s v="INV 2601001"/>
    <s v="POWER BI CONSULTANTS AS QUO : AXQ00015 for the month of Dec 2025"/>
    <x v="15"/>
    <x v="13"/>
    <x v="8"/>
    <x v="2"/>
    <m/>
    <m/>
    <m/>
    <m/>
    <m/>
  </r>
  <r>
    <x v="0"/>
    <x v="2"/>
    <d v="2026-03-28T00:00:00"/>
    <d v="2026-03-28T00:00:00"/>
    <x v="94"/>
    <s v="SGD"/>
    <n v="-5000"/>
    <n v="0"/>
    <n v="-5000"/>
    <x v="605"/>
    <s v="HTSG A/C SUNTEC REIT"/>
    <m/>
    <s v="_x0009_Refund for Fit in and Fit out deposit for unit #14-04"/>
    <x v="39"/>
    <x v="30"/>
    <x v="1"/>
    <x v="0"/>
    <m/>
    <m/>
    <m/>
    <m/>
    <m/>
  </r>
  <r>
    <x v="0"/>
    <x v="2"/>
    <d v="2026-03-30T00:00:00"/>
    <d v="2026-03-30T00:00:00"/>
    <x v="95"/>
    <s v="SGD"/>
    <n v="1323.04"/>
    <n v="0"/>
    <n v="1323.04"/>
    <x v="606"/>
    <s v="SEMI "/>
    <s v="10-043582"/>
    <s v="Corporate Startup Membership - 01Apr26 to 31Mar27"/>
    <x v="58"/>
    <x v="36"/>
    <x v="12"/>
    <x v="2"/>
    <m/>
    <m/>
    <m/>
    <m/>
    <m/>
  </r>
  <r>
    <x v="0"/>
    <x v="2"/>
    <d v="2026-03-30T00:00:00"/>
    <d v="2026-03-30T00:00:00"/>
    <x v="95"/>
    <s v="SGD"/>
    <n v="211.45"/>
    <n v="0"/>
    <n v="211.45"/>
    <x v="607"/>
    <s v="Xero (Singapore) Pte. Ltd."/>
    <s v="INV-673635"/>
    <s v="Xero accounting software"/>
    <x v="8"/>
    <x v="6"/>
    <x v="0"/>
    <x v="0"/>
    <m/>
    <m/>
    <m/>
    <m/>
    <m/>
  </r>
  <r>
    <x v="0"/>
    <x v="2"/>
    <d v="2026-03-31T00:00:00"/>
    <d v="2026-03-31T00:00:00"/>
    <x v="14"/>
    <s v="SGD"/>
    <n v="70.5"/>
    <n v="0"/>
    <n v="70.5"/>
    <x v="608"/>
    <s v="Xero (NZ) Ltd "/>
    <s v="IN-6545814"/>
    <s v="Xero accounting software"/>
    <x v="43"/>
    <x v="15"/>
    <x v="0"/>
    <x v="0"/>
    <m/>
    <m/>
    <m/>
    <m/>
    <m/>
  </r>
  <r>
    <x v="0"/>
    <x v="2"/>
    <d v="2026-03-31T00:00:00"/>
    <d v="2026-03-31T00:00:00"/>
    <x v="14"/>
    <s v="SGD"/>
    <n v="-186.36"/>
    <n v="0"/>
    <n v="-186.36"/>
    <x v="609"/>
    <s v="IRAS"/>
    <m/>
    <s v="CPF Transition Offset"/>
    <x v="10"/>
    <x v="8"/>
    <x v="3"/>
    <x v="0"/>
    <m/>
    <m/>
    <m/>
    <m/>
    <m/>
  </r>
  <r>
    <x v="0"/>
    <x v="2"/>
    <d v="2026-03-31T00:00:00"/>
    <d v="2026-03-31T00:00:00"/>
    <x v="14"/>
    <s v="SGD"/>
    <n v="23892"/>
    <n v="2150.2799999999997"/>
    <n v="26042.28"/>
    <x v="382"/>
    <s v="HTSG A/C SUNTEC REIT"/>
    <s v="SOT3-020659"/>
    <s v="Rental for April 2026"/>
    <x v="23"/>
    <x v="17"/>
    <x v="1"/>
    <x v="0"/>
    <m/>
    <m/>
    <m/>
    <m/>
    <m/>
  </r>
  <r>
    <x v="0"/>
    <x v="2"/>
    <d v="2026-03-31T00:00:00"/>
    <d v="2026-03-31T00:00:00"/>
    <x v="14"/>
    <s v="SGD"/>
    <n v="84.84"/>
    <n v="0"/>
    <n v="84.84"/>
    <x v="610"/>
    <s v="DHL Express (Singapore) Pte Ltd"/>
    <s v="SINR014792873;014896605"/>
    <s v="Courier Charges"/>
    <x v="2"/>
    <x v="2"/>
    <x v="1"/>
    <x v="0"/>
    <m/>
    <m/>
    <m/>
    <m/>
    <m/>
  </r>
  <r>
    <x v="0"/>
    <x v="2"/>
    <d v="2026-03-31T00:00:00"/>
    <d v="2026-03-31T00:00:00"/>
    <x v="14"/>
    <s v="SGD"/>
    <n v="2937"/>
    <n v="270"/>
    <n v="3207"/>
    <x v="611"/>
    <s v="JobStreet.com Pte Ltd"/>
    <s v="SGTX100000081234"/>
    <s v="Branded Plus Ad Budget - Upfront"/>
    <x v="57"/>
    <x v="35"/>
    <x v="3"/>
    <x v="0"/>
    <m/>
    <m/>
    <m/>
    <m/>
    <m/>
  </r>
  <r>
    <x v="0"/>
    <x v="2"/>
    <d v="2026-03-31T00:00:00"/>
    <d v="2026-03-31T00:00:00"/>
    <x v="14"/>
    <s v="SGD"/>
    <n v="1200"/>
    <n v="108"/>
    <n v="1308"/>
    <x v="612"/>
    <s v="NLA DFK Pte Ltd"/>
    <s v="IV-01449"/>
    <s v="Professional fee for preparation of financial statements in XBRL for the financial year ended 31.03.2025"/>
    <x v="11"/>
    <x v="9"/>
    <x v="0"/>
    <x v="0"/>
    <m/>
    <m/>
    <m/>
    <m/>
    <m/>
  </r>
  <r>
    <x v="0"/>
    <x v="2"/>
    <d v="2026-03-31T00:00:00"/>
    <d v="2026-03-31T00:00:00"/>
    <x v="14"/>
    <s v="SGD"/>
    <n v="300"/>
    <n v="0"/>
    <n v="300"/>
    <x v="613"/>
    <s v="NLA DFK Pte Ltd"/>
    <s v="IV-01692"/>
    <s v="Penalty fee payable to ACRA for filing of AR for FYE 31.03.2025"/>
    <x v="59"/>
    <x v="37"/>
    <x v="0"/>
    <x v="0"/>
    <m/>
    <m/>
    <m/>
    <m/>
    <m/>
  </r>
  <r>
    <x v="0"/>
    <x v="2"/>
    <d v="2026-03-31T00:00:00"/>
    <d v="2026-03-31T00:00:00"/>
    <x v="14"/>
    <s v="SGD"/>
    <n v="5731.44"/>
    <n v="515.83000000000004"/>
    <n v="6247.2599999999993"/>
    <x v="614"/>
    <s v="JK Technology Pte Ltd"/>
    <s v="I26032438 "/>
    <s v="AWS for January 2026"/>
    <x v="26"/>
    <x v="19"/>
    <x v="13"/>
    <x v="1"/>
    <m/>
    <m/>
    <m/>
    <m/>
    <m/>
  </r>
  <r>
    <x v="0"/>
    <x v="2"/>
    <d v="2026-03-31T00:00:00"/>
    <d v="2026-03-31T00:00:00"/>
    <x v="14"/>
    <s v="SGD"/>
    <n v="188.52"/>
    <n v="16.97"/>
    <n v="205.49"/>
    <x v="615"/>
    <s v="JK Technology Pte Ltd"/>
    <s v="I26032438 "/>
    <s v="AWS for January 2026"/>
    <x v="26"/>
    <x v="19"/>
    <x v="14"/>
    <x v="1"/>
    <m/>
    <m/>
    <m/>
    <m/>
    <m/>
  </r>
  <r>
    <x v="0"/>
    <x v="2"/>
    <d v="2026-03-31T00:00:00"/>
    <d v="2026-03-31T00:00:00"/>
    <x v="14"/>
    <s v="SGD"/>
    <n v="141.85"/>
    <n v="12.77"/>
    <n v="154.62"/>
    <x v="616"/>
    <s v="JK Technology Pte Ltd"/>
    <s v="I26032438 "/>
    <s v="AWS for January 2026"/>
    <x v="26"/>
    <x v="19"/>
    <x v="15"/>
    <x v="1"/>
    <m/>
    <m/>
    <m/>
    <m/>
    <m/>
  </r>
  <r>
    <x v="0"/>
    <x v="2"/>
    <d v="2026-03-31T00:00:00"/>
    <d v="2026-03-31T00:00:00"/>
    <x v="14"/>
    <s v="SGD"/>
    <n v="128.76"/>
    <n v="11.59"/>
    <n v="140.35"/>
    <x v="617"/>
    <s v="Singapore Telecommunications Limited"/>
    <s v="63721230/0022"/>
    <s v="Internet 12Mar26 to 11Apr26"/>
    <x v="26"/>
    <x v="19"/>
    <x v="5"/>
    <x v="0"/>
    <m/>
    <m/>
    <m/>
    <m/>
    <m/>
  </r>
  <r>
    <x v="0"/>
    <x v="2"/>
    <d v="2026-03-31T00:00:00"/>
    <d v="2026-03-31T00:00:00"/>
    <x v="14"/>
    <s v="SGD"/>
    <m/>
    <m/>
    <m/>
    <x v="618"/>
    <s v="SG Staff"/>
    <m/>
    <s v="Net Pay - March 2026"/>
    <x v="17"/>
    <x v="8"/>
    <x v="4"/>
    <x v="2"/>
    <m/>
    <m/>
    <m/>
    <m/>
    <m/>
  </r>
  <r>
    <x v="0"/>
    <x v="2"/>
    <d v="2026-03-31T00:00:00"/>
    <d v="2026-03-31T00:00:00"/>
    <x v="14"/>
    <s v="SGD"/>
    <m/>
    <m/>
    <m/>
    <x v="619"/>
    <s v="SG Staff"/>
    <m/>
    <s v="Net Pay - March 2026"/>
    <x v="17"/>
    <x v="8"/>
    <x v="9"/>
    <x v="4"/>
    <m/>
    <m/>
    <m/>
    <m/>
    <m/>
  </r>
  <r>
    <x v="0"/>
    <x v="2"/>
    <d v="2026-03-31T00:00:00"/>
    <d v="2026-03-31T00:00:00"/>
    <x v="14"/>
    <s v="SGD"/>
    <m/>
    <m/>
    <m/>
    <x v="620"/>
    <s v="SG Staff"/>
    <m/>
    <s v="Net Pay - March 2026"/>
    <x v="17"/>
    <x v="8"/>
    <x v="12"/>
    <x v="2"/>
    <m/>
    <m/>
    <m/>
    <m/>
    <m/>
  </r>
  <r>
    <x v="0"/>
    <x v="2"/>
    <d v="2026-03-31T00:00:00"/>
    <d v="2026-03-31T00:00:00"/>
    <x v="14"/>
    <s v="SGD"/>
    <m/>
    <m/>
    <m/>
    <x v="621"/>
    <s v="SG Staff"/>
    <m/>
    <s v="Bonus - March 2026"/>
    <x v="17"/>
    <x v="8"/>
    <x v="12"/>
    <x v="2"/>
    <m/>
    <m/>
    <m/>
    <m/>
    <m/>
  </r>
  <r>
    <x v="0"/>
    <x v="2"/>
    <d v="2026-03-31T00:00:00"/>
    <d v="2026-03-31T00:00:00"/>
    <x v="14"/>
    <s v="SGD"/>
    <m/>
    <m/>
    <m/>
    <x v="622"/>
    <s v="SG Staff"/>
    <m/>
    <s v="Net Pay - March 2026"/>
    <x v="17"/>
    <x v="8"/>
    <x v="3"/>
    <x v="0"/>
    <m/>
    <m/>
    <m/>
    <m/>
    <m/>
  </r>
  <r>
    <x v="0"/>
    <x v="2"/>
    <d v="2026-03-31T00:00:00"/>
    <d v="2026-03-31T00:00:00"/>
    <x v="14"/>
    <s v="SGD"/>
    <m/>
    <m/>
    <m/>
    <x v="623"/>
    <s v="SG Staff"/>
    <m/>
    <s v="Bonus - March 2026"/>
    <x v="17"/>
    <x v="8"/>
    <x v="3"/>
    <x v="0"/>
    <m/>
    <m/>
    <m/>
    <m/>
    <m/>
  </r>
  <r>
    <x v="0"/>
    <x v="2"/>
    <d v="2026-03-31T00:00:00"/>
    <d v="2026-03-31T00:00:00"/>
    <x v="14"/>
    <s v="SGD"/>
    <m/>
    <m/>
    <m/>
    <x v="624"/>
    <s v="SG Staff"/>
    <m/>
    <s v="Net Pay - March 2026"/>
    <x v="17"/>
    <x v="8"/>
    <x v="5"/>
    <x v="0"/>
    <m/>
    <m/>
    <m/>
    <m/>
    <m/>
  </r>
  <r>
    <x v="0"/>
    <x v="2"/>
    <d v="2026-03-31T00:00:00"/>
    <d v="2026-03-31T00:00:00"/>
    <x v="14"/>
    <s v="SGD"/>
    <m/>
    <m/>
    <m/>
    <x v="625"/>
    <s v="SG Staff"/>
    <m/>
    <s v="Net Pay - March 2026"/>
    <x v="17"/>
    <x v="8"/>
    <x v="11"/>
    <x v="0"/>
    <m/>
    <m/>
    <m/>
    <m/>
    <m/>
  </r>
  <r>
    <x v="0"/>
    <x v="2"/>
    <d v="2026-03-31T00:00:00"/>
    <d v="2026-03-31T00:00:00"/>
    <x v="14"/>
    <s v="SGD"/>
    <m/>
    <m/>
    <m/>
    <x v="626"/>
    <s v="SG Staff"/>
    <m/>
    <s v="Net Pay - March 2026"/>
    <x v="17"/>
    <x v="8"/>
    <x v="14"/>
    <x v="1"/>
    <m/>
    <m/>
    <m/>
    <m/>
    <m/>
  </r>
  <r>
    <x v="0"/>
    <x v="2"/>
    <d v="2026-03-31T00:00:00"/>
    <d v="2026-03-31T00:00:00"/>
    <x v="14"/>
    <s v="SGD"/>
    <m/>
    <m/>
    <m/>
    <x v="623"/>
    <s v="SG Staff"/>
    <m/>
    <s v="Bonus - March 2026"/>
    <x v="17"/>
    <x v="8"/>
    <x v="14"/>
    <x v="1"/>
    <m/>
    <m/>
    <m/>
    <m/>
    <m/>
  </r>
  <r>
    <x v="0"/>
    <x v="2"/>
    <d v="2026-03-31T00:00:00"/>
    <d v="2026-03-31T00:00:00"/>
    <x v="14"/>
    <s v="SGD"/>
    <m/>
    <m/>
    <m/>
    <x v="627"/>
    <s v="SG Staff"/>
    <m/>
    <s v="Net Pay - March 2026"/>
    <x v="17"/>
    <x v="8"/>
    <x v="13"/>
    <x v="1"/>
    <m/>
    <m/>
    <m/>
    <m/>
    <m/>
  </r>
  <r>
    <x v="0"/>
    <x v="2"/>
    <d v="2026-03-31T00:00:00"/>
    <d v="2026-03-31T00:00:00"/>
    <x v="14"/>
    <s v="SGD"/>
    <m/>
    <m/>
    <m/>
    <x v="628"/>
    <s v="SG Staff"/>
    <m/>
    <s v="Net Pay - March 2026"/>
    <x v="17"/>
    <x v="8"/>
    <x v="8"/>
    <x v="2"/>
    <m/>
    <m/>
    <m/>
    <m/>
    <m/>
  </r>
  <r>
    <x v="0"/>
    <x v="2"/>
    <d v="2026-04-02T00:00:00"/>
    <d v="2026-03-29T00:00:00"/>
    <x v="96"/>
    <s v="SGD"/>
    <n v="142.9"/>
    <n v="12.86"/>
    <n v="155.76"/>
    <x v="629"/>
    <s v="The Boiler Pte Ltd"/>
    <s v="Debit Purchase"/>
    <s v="The Boiler Pte Ltd - Business dinner"/>
    <x v="34"/>
    <x v="25"/>
    <x v="11"/>
    <x v="0"/>
    <s v="Leon Chan"/>
    <m/>
    <m/>
    <m/>
    <m/>
  </r>
  <r>
    <x v="0"/>
    <x v="2"/>
    <d v="2026-04-02T00:00:00"/>
    <d v="2026-03-29T00:00:00"/>
    <x v="96"/>
    <s v="SGD"/>
    <n v="39.450000000000003"/>
    <n v="3.55"/>
    <n v="43"/>
    <x v="630"/>
    <s v="Wildseed Café"/>
    <s v="Debit Purchase"/>
    <s v="Wildseed Cafe - Business meal"/>
    <x v="34"/>
    <x v="25"/>
    <x v="11"/>
    <x v="0"/>
    <s v="Leon Chan"/>
    <m/>
    <m/>
    <m/>
    <m/>
  </r>
  <r>
    <x v="0"/>
    <x v="2"/>
    <d v="2026-04-01T00:00:00"/>
    <d v="2026-03-31T00:00:00"/>
    <x v="96"/>
    <s v="SGD"/>
    <n v="487.52"/>
    <n v="43.88"/>
    <n v="531.4"/>
    <x v="631"/>
    <s v="Uncle Fong Hot Pot"/>
    <s v="Debit Purchase"/>
    <s v="Uncle Fong Hot Pot - Business meal"/>
    <x v="34"/>
    <x v="25"/>
    <x v="11"/>
    <x v="0"/>
    <s v="Leon Chan"/>
    <m/>
    <m/>
    <m/>
    <m/>
  </r>
  <r>
    <x v="0"/>
    <x v="2"/>
    <d v="2026-04-04T00:00:00"/>
    <d v="2026-04-02T00:00:00"/>
    <x v="97"/>
    <s v="SGD"/>
    <n v="100.21"/>
    <n v="9.02"/>
    <n v="109.22999999999999"/>
    <x v="632"/>
    <s v="Paradise Dynasty"/>
    <s v="Debit Purchase"/>
    <s v="Paradise Dynasty - Business meal"/>
    <x v="34"/>
    <x v="25"/>
    <x v="11"/>
    <x v="0"/>
    <s v="Leon Chan"/>
    <m/>
    <m/>
    <m/>
    <m/>
  </r>
  <r>
    <x v="0"/>
    <x v="2"/>
    <d v="2026-04-06T00:00:00"/>
    <d v="2026-04-06T00:00:00"/>
    <x v="98"/>
    <s v="SGD"/>
    <n v="10"/>
    <n v="0"/>
    <n v="10"/>
    <x v="319"/>
    <s v="OCBC SGD"/>
    <s v="Bank Charges 06/04/2026"/>
    <s v="Bank Charges"/>
    <x v="0"/>
    <x v="0"/>
    <x v="0"/>
    <x v="0"/>
    <m/>
    <m/>
    <m/>
    <m/>
    <m/>
  </r>
  <r>
    <x v="0"/>
    <x v="2"/>
    <d v="2026-03-03T00:00:00"/>
    <d v="2026-03-03T00:00:00"/>
    <x v="99"/>
    <s v="SGD"/>
    <m/>
    <m/>
    <m/>
    <x v="633"/>
    <s v="SG Staff"/>
    <m/>
    <s v="Net Pay - March 2026"/>
    <x v="17"/>
    <x v="8"/>
    <x v="9"/>
    <x v="4"/>
    <m/>
    <m/>
    <m/>
    <m/>
    <m/>
  </r>
  <r>
    <x v="0"/>
    <x v="2"/>
    <d v="2026-03-03T00:00:00"/>
    <d v="2026-03-03T00:00:00"/>
    <x v="99"/>
    <s v="SGD"/>
    <m/>
    <m/>
    <m/>
    <x v="634"/>
    <s v="SG Staff"/>
    <m/>
    <s v="Statutory Contribution - March 2026"/>
    <x v="10"/>
    <x v="8"/>
    <x v="9"/>
    <x v="4"/>
    <m/>
    <m/>
    <m/>
    <m/>
    <m/>
  </r>
  <r>
    <x v="0"/>
    <x v="2"/>
    <d v="2026-03-17T00:00:00"/>
    <d v="2026-03-17T00:00:00"/>
    <x v="99"/>
    <s v="SGD"/>
    <m/>
    <m/>
    <m/>
    <x v="635"/>
    <s v="SG Staff"/>
    <m/>
    <s v="Statutory Contribution - March 2026"/>
    <x v="10"/>
    <x v="8"/>
    <x v="15"/>
    <x v="1"/>
    <m/>
    <m/>
    <m/>
    <m/>
    <m/>
  </r>
  <r>
    <x v="0"/>
    <x v="2"/>
    <d v="2026-03-31T00:00:00"/>
    <d v="2026-03-31T00:00:00"/>
    <x v="99"/>
    <s v="SGD"/>
    <m/>
    <m/>
    <m/>
    <x v="636"/>
    <s v="SG Staff"/>
    <m/>
    <s v="Net Pay - March 2026"/>
    <x v="17"/>
    <x v="8"/>
    <x v="4"/>
    <x v="2"/>
    <m/>
    <m/>
    <m/>
    <m/>
    <m/>
  </r>
  <r>
    <x v="0"/>
    <x v="2"/>
    <d v="2026-03-31T00:00:00"/>
    <d v="2026-03-31T00:00:00"/>
    <x v="99"/>
    <s v="SGD"/>
    <m/>
    <m/>
    <m/>
    <x v="637"/>
    <s v="SG Staff"/>
    <m/>
    <s v="Statutory Contribution - March 2026"/>
    <x v="10"/>
    <x v="8"/>
    <x v="4"/>
    <x v="2"/>
    <m/>
    <m/>
    <m/>
    <m/>
    <m/>
  </r>
  <r>
    <x v="0"/>
    <x v="2"/>
    <d v="2026-03-31T00:00:00"/>
    <d v="2026-03-31T00:00:00"/>
    <x v="99"/>
    <s v="SGD"/>
    <m/>
    <m/>
    <m/>
    <x v="638"/>
    <s v="SG Staff"/>
    <m/>
    <s v="Net Pay - March 2026"/>
    <x v="17"/>
    <x v="8"/>
    <x v="9"/>
    <x v="4"/>
    <m/>
    <m/>
    <m/>
    <m/>
    <m/>
  </r>
  <r>
    <x v="0"/>
    <x v="2"/>
    <d v="2026-03-31T00:00:00"/>
    <d v="2026-03-31T00:00:00"/>
    <x v="99"/>
    <s v="SGD"/>
    <m/>
    <m/>
    <m/>
    <x v="639"/>
    <s v="SG Staff"/>
    <m/>
    <s v="Statutory Contribution - March 2026"/>
    <x v="10"/>
    <x v="8"/>
    <x v="9"/>
    <x v="4"/>
    <m/>
    <m/>
    <m/>
    <m/>
    <m/>
  </r>
  <r>
    <x v="0"/>
    <x v="2"/>
    <d v="2026-03-31T00:00:00"/>
    <d v="2026-03-31T00:00:00"/>
    <x v="99"/>
    <s v="SGD"/>
    <m/>
    <m/>
    <m/>
    <x v="636"/>
    <s v="SG Staff"/>
    <m/>
    <s v="Net Pay - March 2026"/>
    <x v="17"/>
    <x v="8"/>
    <x v="12"/>
    <x v="2"/>
    <m/>
    <m/>
    <m/>
    <m/>
    <m/>
  </r>
  <r>
    <x v="0"/>
    <x v="2"/>
    <d v="2026-03-31T00:00:00"/>
    <d v="2026-03-31T00:00:00"/>
    <x v="99"/>
    <s v="SGD"/>
    <m/>
    <m/>
    <m/>
    <x v="640"/>
    <s v="SG Staff"/>
    <m/>
    <s v="Statutory Contribution - March 2026"/>
    <x v="10"/>
    <x v="8"/>
    <x v="12"/>
    <x v="2"/>
    <m/>
    <m/>
    <m/>
    <m/>
    <m/>
  </r>
  <r>
    <x v="0"/>
    <x v="2"/>
    <d v="2026-03-31T00:00:00"/>
    <d v="2026-03-31T00:00:00"/>
    <x v="99"/>
    <s v="SGD"/>
    <m/>
    <m/>
    <m/>
    <x v="641"/>
    <s v="SG Staff"/>
    <m/>
    <s v="Net Pay - March 2026"/>
    <x v="17"/>
    <x v="8"/>
    <x v="3"/>
    <x v="0"/>
    <m/>
    <m/>
    <m/>
    <m/>
    <m/>
  </r>
  <r>
    <x v="0"/>
    <x v="2"/>
    <d v="2026-03-31T00:00:00"/>
    <d v="2026-03-31T00:00:00"/>
    <x v="99"/>
    <s v="SGD"/>
    <m/>
    <m/>
    <m/>
    <x v="642"/>
    <s v="SG Staff"/>
    <m/>
    <s v="Statutory Contribution - March 2026"/>
    <x v="10"/>
    <x v="8"/>
    <x v="3"/>
    <x v="0"/>
    <m/>
    <m/>
    <m/>
    <m/>
    <m/>
  </r>
  <r>
    <x v="0"/>
    <x v="2"/>
    <d v="2026-03-31T00:00:00"/>
    <d v="2026-03-31T00:00:00"/>
    <x v="99"/>
    <s v="SGD"/>
    <m/>
    <m/>
    <m/>
    <x v="49"/>
    <s v="SG Staff"/>
    <m/>
    <s v="Net Pay - March 2026"/>
    <x v="17"/>
    <x v="8"/>
    <x v="5"/>
    <x v="0"/>
    <m/>
    <m/>
    <m/>
    <m/>
    <m/>
  </r>
  <r>
    <x v="0"/>
    <x v="2"/>
    <d v="2026-03-31T00:00:00"/>
    <d v="2026-03-31T00:00:00"/>
    <x v="99"/>
    <s v="SGD"/>
    <m/>
    <m/>
    <m/>
    <x v="643"/>
    <s v="SG Staff"/>
    <m/>
    <s v="Statutory Contribution - March 2026"/>
    <x v="10"/>
    <x v="8"/>
    <x v="5"/>
    <x v="0"/>
    <m/>
    <m/>
    <m/>
    <m/>
    <m/>
  </r>
  <r>
    <x v="0"/>
    <x v="2"/>
    <d v="2026-03-31T00:00:00"/>
    <d v="2026-03-31T00:00:00"/>
    <x v="99"/>
    <s v="SGD"/>
    <m/>
    <m/>
    <m/>
    <x v="644"/>
    <s v="SG Staff"/>
    <m/>
    <s v="Statutory Contribution - March 2026"/>
    <x v="10"/>
    <x v="8"/>
    <x v="11"/>
    <x v="0"/>
    <m/>
    <m/>
    <m/>
    <m/>
    <m/>
  </r>
  <r>
    <x v="0"/>
    <x v="2"/>
    <d v="2026-03-31T00:00:00"/>
    <d v="2026-03-31T00:00:00"/>
    <x v="99"/>
    <s v="SGD"/>
    <m/>
    <m/>
    <m/>
    <x v="645"/>
    <s v="SG Staff"/>
    <m/>
    <s v="Net Pay - March 2026"/>
    <x v="17"/>
    <x v="8"/>
    <x v="14"/>
    <x v="1"/>
    <m/>
    <m/>
    <m/>
    <m/>
    <m/>
  </r>
  <r>
    <x v="0"/>
    <x v="2"/>
    <d v="2026-03-31T00:00:00"/>
    <d v="2026-03-31T00:00:00"/>
    <x v="99"/>
    <s v="SGD"/>
    <m/>
    <m/>
    <m/>
    <x v="646"/>
    <s v="SG Staff"/>
    <m/>
    <s v="Statutory Contribution - March 2026"/>
    <x v="10"/>
    <x v="8"/>
    <x v="14"/>
    <x v="1"/>
    <m/>
    <m/>
    <m/>
    <m/>
    <m/>
  </r>
  <r>
    <x v="0"/>
    <x v="2"/>
    <d v="2026-03-31T00:00:00"/>
    <d v="2026-03-31T00:00:00"/>
    <x v="99"/>
    <s v="SGD"/>
    <m/>
    <m/>
    <m/>
    <x v="644"/>
    <s v="SG Staff"/>
    <m/>
    <s v="Statutory Contribution - March 2026"/>
    <x v="10"/>
    <x v="8"/>
    <x v="13"/>
    <x v="1"/>
    <m/>
    <m/>
    <m/>
    <m/>
    <m/>
  </r>
  <r>
    <x v="0"/>
    <x v="2"/>
    <d v="2026-03-31T00:00:00"/>
    <d v="2026-03-31T00:00:00"/>
    <x v="99"/>
    <s v="SGD"/>
    <m/>
    <m/>
    <m/>
    <x v="647"/>
    <s v="SG Staff"/>
    <m/>
    <s v="Net Pay - March 2026"/>
    <x v="17"/>
    <x v="8"/>
    <x v="8"/>
    <x v="2"/>
    <m/>
    <m/>
    <m/>
    <m/>
    <m/>
  </r>
  <r>
    <x v="0"/>
    <x v="2"/>
    <d v="2026-03-31T00:00:00"/>
    <d v="2026-03-31T00:00:00"/>
    <x v="99"/>
    <s v="SGD"/>
    <m/>
    <m/>
    <m/>
    <x v="648"/>
    <s v="SG Staff"/>
    <m/>
    <s v="Statutory Contribution - March 2026"/>
    <x v="10"/>
    <x v="8"/>
    <x v="8"/>
    <x v="2"/>
    <m/>
    <m/>
    <m/>
    <m/>
    <m/>
  </r>
  <r>
    <x v="0"/>
    <x v="2"/>
    <d v="2026-04-08T00:00:00"/>
    <d v="2026-04-07T00:00:00"/>
    <x v="99"/>
    <s v="SGD"/>
    <n v="109.1"/>
    <n v="0"/>
    <n v="109.1"/>
    <x v="649"/>
    <s v="Cheval Group Pte Ltd"/>
    <s v="Debit Purchase"/>
    <s v="Cheval Group Pte Ltd - Business lunch"/>
    <x v="34"/>
    <x v="25"/>
    <x v="11"/>
    <x v="0"/>
    <s v="Leon Chan"/>
    <m/>
    <m/>
    <m/>
    <m/>
  </r>
  <r>
    <x v="0"/>
    <x v="2"/>
    <d v="2026-04-08T00:00:00"/>
    <d v="2026-04-08T00:00:00"/>
    <x v="99"/>
    <s v="SGD"/>
    <n v="33437"/>
    <n v="0"/>
    <n v="33437"/>
    <x v="650"/>
    <s v="Central Provident Fund "/>
    <s v="CPF 2026/03"/>
    <s v="CPF Contribution for March 2026"/>
    <x v="17"/>
    <x v="8"/>
    <x v="3"/>
    <x v="0"/>
    <m/>
    <m/>
    <m/>
    <m/>
    <m/>
  </r>
  <r>
    <x v="0"/>
    <x v="2"/>
    <d v="2026-04-09T00:00:00"/>
    <d v="2026-04-09T00:00:00"/>
    <x v="100"/>
    <s v="SGD"/>
    <n v="-4650"/>
    <n v="0"/>
    <n v="-4650"/>
    <x v="651"/>
    <s v="Enterprise Singapore"/>
    <m/>
    <s v="Claim : 25102JMR-CL01 (A.I.) INFO-TECH Cloud HRMS Version 8.0 - Package (InfoHRMS Lite 50)"/>
    <x v="55"/>
    <x v="14"/>
    <x v="3"/>
    <x v="0"/>
    <m/>
    <m/>
    <m/>
    <m/>
    <m/>
  </r>
  <r>
    <x v="0"/>
    <x v="2"/>
    <d v="2026-04-13T00:00:00"/>
    <d v="2026-04-13T00:00:00"/>
    <x v="100"/>
    <s v="SGD"/>
    <n v="131.94"/>
    <n v="0"/>
    <n v="131.94"/>
    <x v="652"/>
    <s v="Tansen Izakaya Mamafuku"/>
    <m/>
    <s v="_x0009_Tansen Izakaya Mamafuku - Business meal"/>
    <x v="45"/>
    <x v="25"/>
    <x v="11"/>
    <x v="0"/>
    <s v="Leon Chan"/>
    <m/>
    <m/>
    <m/>
    <m/>
  </r>
  <r>
    <x v="0"/>
    <x v="2"/>
    <d v="2026-04-13T00:00:00"/>
    <d v="2026-04-13T00:00:00"/>
    <x v="101"/>
    <s v="SGD"/>
    <n v="337.97"/>
    <n v="0"/>
    <n v="337.97"/>
    <x v="653"/>
    <s v="Marco 1utama"/>
    <m/>
    <s v="Marco 1utama - Business meal"/>
    <x v="45"/>
    <x v="25"/>
    <x v="11"/>
    <x v="0"/>
    <s v="Leon Chan"/>
    <m/>
    <m/>
    <m/>
    <m/>
  </r>
  <r>
    <x v="0"/>
    <x v="2"/>
    <d v="2026-04-13T00:00:00"/>
    <d v="2026-04-13T00:00:00"/>
    <x v="102"/>
    <s v="SGD"/>
    <n v="-31457.926605504585"/>
    <n v="-2831.2133944954126"/>
    <n v="-34289.14"/>
    <x v="654"/>
    <s v="Armstrong Industrial Corporation Limited"/>
    <s v="INV 2602003, INV 2602004, INV 2602005"/>
    <s v="Implementation fees – CN-Tianjin (UAT Completion)"/>
    <x v="15"/>
    <x v="13"/>
    <x v="14"/>
    <x v="1"/>
    <m/>
    <m/>
    <m/>
    <m/>
    <m/>
  </r>
  <r>
    <x v="0"/>
    <x v="2"/>
    <d v="2026-04-14T00:00:00"/>
    <d v="2026-04-13T00:00:00"/>
    <x v="102"/>
    <s v="SGD"/>
    <n v="-1350"/>
    <n v="0"/>
    <n v="-1350"/>
    <x v="655"/>
    <s v="The Management Corporation Strata Title Plan No 2197"/>
    <m/>
    <s v="Refund of Security Deposit (PV2407001)"/>
    <x v="39"/>
    <x v="30"/>
    <x v="1"/>
    <x v="0"/>
    <m/>
    <m/>
    <m/>
    <m/>
    <m/>
  </r>
  <r>
    <x v="0"/>
    <x v="2"/>
    <d v="2026-04-15T00:00:00"/>
    <d v="2026-04-15T00:00:00"/>
    <x v="16"/>
    <s v="SGD"/>
    <n v="384"/>
    <n v="0"/>
    <n v="384"/>
    <x v="656"/>
    <s v="Staff Claim Mar26"/>
    <s v="Staff Claim Mar26"/>
    <s v="Total Accommodation - International"/>
    <x v="31"/>
    <x v="1"/>
    <x v="4"/>
    <x v="2"/>
    <m/>
    <m/>
    <m/>
    <m/>
    <m/>
  </r>
  <r>
    <x v="0"/>
    <x v="2"/>
    <d v="2026-04-15T00:00:00"/>
    <d v="2026-04-15T00:00:00"/>
    <x v="16"/>
    <s v="SGD"/>
    <n v="306.64999999999998"/>
    <n v="0"/>
    <n v="306.64999999999998"/>
    <x v="657"/>
    <s v="Staff Claim Mar26"/>
    <s v="Staff Claim Mar26"/>
    <s v="Total Accommodation - International"/>
    <x v="31"/>
    <x v="1"/>
    <x v="14"/>
    <x v="1"/>
    <m/>
    <m/>
    <m/>
    <m/>
    <m/>
  </r>
  <r>
    <x v="0"/>
    <x v="2"/>
    <d v="2026-04-15T00:00:00"/>
    <d v="2026-04-15T00:00:00"/>
    <x v="16"/>
    <s v="SGD"/>
    <n v="36.83"/>
    <n v="0"/>
    <n v="36.83"/>
    <x v="658"/>
    <s v="Staff Claim Mar26"/>
    <s v="Staff Claim Mar26"/>
    <s v="Total Business Meals - International"/>
    <x v="45"/>
    <x v="25"/>
    <x v="14"/>
    <x v="1"/>
    <m/>
    <m/>
    <m/>
    <m/>
    <m/>
  </r>
  <r>
    <x v="0"/>
    <x v="2"/>
    <d v="2026-04-15T00:00:00"/>
    <d v="2026-04-15T00:00:00"/>
    <x v="16"/>
    <s v="SGD"/>
    <n v="2395.5299999999997"/>
    <n v="204.19999999999996"/>
    <n v="2599.7299999999996"/>
    <x v="659"/>
    <s v="Staff Claim Mar26"/>
    <s v="Staff Claim Mar26"/>
    <s v="Total Business Meals - National"/>
    <x v="34"/>
    <x v="25"/>
    <x v="11"/>
    <x v="0"/>
    <m/>
    <m/>
    <m/>
    <m/>
    <m/>
  </r>
  <r>
    <x v="0"/>
    <x v="2"/>
    <d v="2026-04-15T00:00:00"/>
    <d v="2026-04-15T00:00:00"/>
    <x v="16"/>
    <s v="SGD"/>
    <n v="5.05"/>
    <n v="0.45"/>
    <n v="5.5"/>
    <x v="660"/>
    <s v="Staff Claim Mar26"/>
    <s v="Staff Claim Mar26"/>
    <s v="Total General Expenses"/>
    <x v="3"/>
    <x v="3"/>
    <x v="0"/>
    <x v="0"/>
    <m/>
    <m/>
    <m/>
    <m/>
    <m/>
  </r>
  <r>
    <x v="0"/>
    <x v="2"/>
    <d v="2026-04-15T00:00:00"/>
    <d v="2026-04-15T00:00:00"/>
    <x v="16"/>
    <s v="SGD"/>
    <n v="2834.2"/>
    <n v="0"/>
    <n v="2834.2"/>
    <x v="661"/>
    <s v="Staff Claim Mar26"/>
    <s v="Staff Claim Mar26"/>
    <s v="Total Insurance expenses"/>
    <x v="4"/>
    <x v="4"/>
    <x v="11"/>
    <x v="0"/>
    <m/>
    <m/>
    <m/>
    <m/>
    <m/>
  </r>
  <r>
    <x v="0"/>
    <x v="2"/>
    <d v="2026-04-15T00:00:00"/>
    <d v="2026-04-15T00:00:00"/>
    <x v="16"/>
    <s v="SGD"/>
    <n v="9.08"/>
    <n v="0.82"/>
    <n v="9.9"/>
    <x v="662"/>
    <s v="Staff Claim Mar26"/>
    <s v="Staff Claim Mar26"/>
    <s v="Total Office Supplies"/>
    <x v="5"/>
    <x v="5"/>
    <x v="1"/>
    <x v="0"/>
    <m/>
    <m/>
    <m/>
    <m/>
    <m/>
  </r>
  <r>
    <x v="0"/>
    <x v="2"/>
    <d v="2026-04-15T00:00:00"/>
    <d v="2026-04-15T00:00:00"/>
    <x v="16"/>
    <s v="SGD"/>
    <n v="36.56"/>
    <n v="0"/>
    <n v="36.56"/>
    <x v="663"/>
    <s v="Staff Claim Mar26"/>
    <s v="Staff Claim Mar26"/>
    <s v="Total Personal Meals - International"/>
    <x v="19"/>
    <x v="1"/>
    <x v="11"/>
    <x v="0"/>
    <m/>
    <m/>
    <m/>
    <m/>
    <m/>
  </r>
  <r>
    <x v="0"/>
    <x v="2"/>
    <d v="2026-04-15T00:00:00"/>
    <d v="2026-04-15T00:00:00"/>
    <x v="16"/>
    <s v="SGD"/>
    <n v="42.56"/>
    <n v="3.83"/>
    <n v="46.39"/>
    <x v="664"/>
    <s v="Staff Claim Mar26"/>
    <s v="Staff Claim Mar26"/>
    <s v="Total Personal Meals - National"/>
    <x v="22"/>
    <x v="1"/>
    <x v="11"/>
    <x v="0"/>
    <m/>
    <m/>
    <m/>
    <m/>
    <m/>
  </r>
  <r>
    <x v="0"/>
    <x v="2"/>
    <d v="2026-04-15T00:00:00"/>
    <d v="2026-04-15T00:00:00"/>
    <x v="16"/>
    <s v="SGD"/>
    <n v="2.57"/>
    <n v="0"/>
    <n v="2.57"/>
    <x v="665"/>
    <s v="Staff Claim Mar26"/>
    <s v="Staff Claim Mar26"/>
    <s v="Total Printing &amp; Stationery"/>
    <x v="29"/>
    <x v="5"/>
    <x v="1"/>
    <x v="0"/>
    <m/>
    <m/>
    <m/>
    <m/>
    <m/>
  </r>
  <r>
    <x v="0"/>
    <x v="2"/>
    <d v="2026-04-15T00:00:00"/>
    <d v="2026-04-15T00:00:00"/>
    <x v="16"/>
    <s v="SGD"/>
    <n v="10000"/>
    <n v="0"/>
    <n v="10000"/>
    <x v="666"/>
    <s v="Staff Claim Mar26"/>
    <s v="Staff Claim Mar26"/>
    <s v="Total Staff Allowance"/>
    <x v="60"/>
    <x v="8"/>
    <x v="13"/>
    <x v="1"/>
    <m/>
    <m/>
    <m/>
    <m/>
    <m/>
  </r>
  <r>
    <x v="0"/>
    <x v="2"/>
    <d v="2026-04-15T00:00:00"/>
    <d v="2026-04-15T00:00:00"/>
    <x v="16"/>
    <s v="SGD"/>
    <n v="158.66"/>
    <n v="14.28"/>
    <n v="172.94"/>
    <x v="667"/>
    <s v="Staff Claim Mar26"/>
    <s v="Staff Claim Mar26"/>
    <s v="Total Staff Welfare - Gift &amp; Tokens"/>
    <x v="20"/>
    <x v="4"/>
    <x v="3"/>
    <x v="0"/>
    <m/>
    <m/>
    <m/>
    <m/>
    <m/>
  </r>
  <r>
    <x v="0"/>
    <x v="2"/>
    <d v="2026-04-15T00:00:00"/>
    <d v="2026-04-15T00:00:00"/>
    <x v="16"/>
    <s v="SGD"/>
    <n v="1722.8700000000001"/>
    <n v="103.67"/>
    <n v="1826.5400000000002"/>
    <x v="668"/>
    <s v="Staff Claim Mar26"/>
    <s v="Staff Claim Mar26"/>
    <s v="Total Staff Welfare - Meal &amp; Refreshment"/>
    <x v="18"/>
    <x v="4"/>
    <x v="11"/>
    <x v="0"/>
    <m/>
    <m/>
    <m/>
    <m/>
    <m/>
  </r>
  <r>
    <x v="0"/>
    <x v="2"/>
    <d v="2026-04-15T00:00:00"/>
    <d v="2026-04-15T00:00:00"/>
    <x v="16"/>
    <s v="SGD"/>
    <n v="31.56"/>
    <n v="2.84"/>
    <n v="34.4"/>
    <x v="669"/>
    <s v="Staff Claim Mar26"/>
    <s v="Staff Claim Mar26"/>
    <s v="Total Staff Welfare - Meal &amp; Refreshment"/>
    <x v="18"/>
    <x v="4"/>
    <x v="1"/>
    <x v="0"/>
    <m/>
    <m/>
    <m/>
    <m/>
    <m/>
  </r>
  <r>
    <x v="0"/>
    <x v="2"/>
    <d v="2026-04-15T00:00:00"/>
    <d v="2026-04-15T00:00:00"/>
    <x v="16"/>
    <s v="SGD"/>
    <n v="348.04"/>
    <n v="9.43"/>
    <n v="357.47"/>
    <x v="670"/>
    <s v="Staff Claim Mar26"/>
    <s v="Staff Claim Mar26"/>
    <s v="Total Subscription Fee"/>
    <x v="8"/>
    <x v="6"/>
    <x v="14"/>
    <x v="1"/>
    <m/>
    <m/>
    <m/>
    <m/>
    <m/>
  </r>
  <r>
    <x v="0"/>
    <x v="2"/>
    <d v="2026-04-15T00:00:00"/>
    <d v="2026-04-15T00:00:00"/>
    <x v="16"/>
    <s v="SGD"/>
    <n v="28.89"/>
    <n v="0"/>
    <n v="28.89"/>
    <x v="671"/>
    <s v="Staff Claim Mar26"/>
    <s v="Staff Claim Mar26"/>
    <s v="Total Subscription Fee"/>
    <x v="8"/>
    <x v="6"/>
    <x v="12"/>
    <x v="2"/>
    <m/>
    <m/>
    <m/>
    <m/>
    <m/>
  </r>
  <r>
    <x v="0"/>
    <x v="2"/>
    <d v="2026-04-15T00:00:00"/>
    <d v="2026-04-15T00:00:00"/>
    <x v="16"/>
    <s v="SGD"/>
    <n v="298.17"/>
    <n v="0"/>
    <n v="298.17"/>
    <x v="672"/>
    <s v="Staff Claim Mar26"/>
    <s v="Staff Claim Mar26"/>
    <s v="Total Transportation fee - International"/>
    <x v="6"/>
    <x v="1"/>
    <x v="11"/>
    <x v="0"/>
    <m/>
    <m/>
    <m/>
    <m/>
    <m/>
  </r>
  <r>
    <x v="0"/>
    <x v="2"/>
    <d v="2026-04-15T00:00:00"/>
    <d v="2026-04-15T00:00:00"/>
    <x v="16"/>
    <s v="SGD"/>
    <n v="1087.8800000000001"/>
    <n v="0"/>
    <n v="1087.8800000000001"/>
    <x v="673"/>
    <s v="Staff Claim Mar26"/>
    <s v="Staff Claim Mar26"/>
    <s v="Total Transportation fee - International"/>
    <x v="6"/>
    <x v="1"/>
    <x v="13"/>
    <x v="1"/>
    <m/>
    <m/>
    <m/>
    <m/>
    <m/>
  </r>
  <r>
    <x v="0"/>
    <x v="2"/>
    <d v="2026-04-15T00:00:00"/>
    <d v="2026-04-15T00:00:00"/>
    <x v="16"/>
    <s v="SGD"/>
    <n v="478.34"/>
    <n v="0"/>
    <n v="478.34"/>
    <x v="674"/>
    <s v="Staff Claim Mar26"/>
    <s v="Staff Claim Mar26"/>
    <s v="Total Transportation fee - International"/>
    <x v="6"/>
    <x v="1"/>
    <x v="14"/>
    <x v="1"/>
    <m/>
    <m/>
    <m/>
    <m/>
    <m/>
  </r>
  <r>
    <x v="0"/>
    <x v="2"/>
    <d v="2026-04-15T00:00:00"/>
    <d v="2026-04-15T00:00:00"/>
    <x v="16"/>
    <s v="SGD"/>
    <n v="2119.8900000000003"/>
    <n v="0"/>
    <n v="2119.8900000000003"/>
    <x v="675"/>
    <s v="Staff Claim Mar26"/>
    <s v="Staff Claim Mar26"/>
    <s v="Total Transportation fee - National"/>
    <x v="7"/>
    <x v="1"/>
    <x v="11"/>
    <x v="0"/>
    <m/>
    <m/>
    <m/>
    <m/>
    <m/>
  </r>
  <r>
    <x v="0"/>
    <x v="2"/>
    <d v="2026-04-15T00:00:00"/>
    <d v="2026-04-15T00:00:00"/>
    <x v="16"/>
    <s v="SGD"/>
    <n v="100.72"/>
    <n v="0"/>
    <n v="100.72"/>
    <x v="676"/>
    <s v="Staff Claim Mar26"/>
    <s v="Staff Claim Mar26"/>
    <s v="Total Transportation fee - National"/>
    <x v="7"/>
    <x v="1"/>
    <x v="14"/>
    <x v="1"/>
    <m/>
    <m/>
    <m/>
    <m/>
    <m/>
  </r>
  <r>
    <x v="0"/>
    <x v="2"/>
    <d v="2026-04-15T00:00:00"/>
    <d v="2026-04-15T00:00:00"/>
    <x v="16"/>
    <s v="SGD"/>
    <n v="38.010000000000005"/>
    <n v="0"/>
    <n v="38.010000000000005"/>
    <x v="677"/>
    <s v="Staff Claim Mar26"/>
    <s v="Staff Claim Mar26"/>
    <s v="Total Transportation fee - National"/>
    <x v="7"/>
    <x v="1"/>
    <x v="13"/>
    <x v="1"/>
    <m/>
    <m/>
    <m/>
    <m/>
    <m/>
  </r>
  <r>
    <x v="0"/>
    <x v="2"/>
    <d v="2026-04-15T00:00:00"/>
    <d v="2026-04-15T00:00:00"/>
    <x v="16"/>
    <s v="SGD"/>
    <n v="63"/>
    <n v="0"/>
    <n v="63"/>
    <x v="678"/>
    <s v="JobStreet.com Pte Ltd"/>
    <s v="SGTX100000081234"/>
    <s v="Branded Plus Ad Budget - Upfront"/>
    <x v="57"/>
    <x v="35"/>
    <x v="3"/>
    <x v="0"/>
    <m/>
    <m/>
    <m/>
    <m/>
    <m/>
  </r>
  <r>
    <x v="0"/>
    <x v="2"/>
    <d v="2026-04-15T00:00:00"/>
    <d v="2026-04-15T00:00:00"/>
    <x v="16"/>
    <s v="SGD"/>
    <n v="600"/>
    <n v="0"/>
    <n v="600"/>
    <x v="510"/>
    <s v="Sulin Kwok Kwai Lian"/>
    <s v="March2026"/>
    <s v="Office Cleaning Service - Mar26"/>
    <x v="41"/>
    <x v="31"/>
    <x v="1"/>
    <x v="0"/>
    <m/>
    <m/>
    <m/>
    <m/>
    <m/>
  </r>
  <r>
    <x v="0"/>
    <x v="2"/>
    <d v="2026-04-16T00:00:00"/>
    <d v="2026-04-16T00:00:00"/>
    <x v="17"/>
    <s v="SGD"/>
    <n v="279.45"/>
    <n v="0"/>
    <n v="279.45"/>
    <x v="679"/>
    <s v="Steaks HEIRLOOM Sdn Bhd"/>
    <m/>
    <s v="Steaks HEIRLOOM Sdn Bhd - Business meal"/>
    <x v="18"/>
    <x v="4"/>
    <x v="11"/>
    <x v="0"/>
    <m/>
    <m/>
    <m/>
    <m/>
    <m/>
  </r>
  <r>
    <x v="0"/>
    <x v="2"/>
    <d v="2026-04-20T00:00:00"/>
    <d v="2026-04-20T00:00:00"/>
    <x v="103"/>
    <s v="SGD"/>
    <n v="196.9"/>
    <n v="17.72"/>
    <n v="214.62"/>
    <x v="680"/>
    <s v="Synthesis"/>
    <m/>
    <s v="Synthesis - Business meal"/>
    <x v="34"/>
    <x v="25"/>
    <x v="11"/>
    <x v="0"/>
    <m/>
    <m/>
    <m/>
    <m/>
    <m/>
  </r>
  <r>
    <x v="0"/>
    <x v="2"/>
    <d v="2026-04-20T00:00:00"/>
    <d v="2026-04-20T00:00:00"/>
    <x v="103"/>
    <s v="SGD"/>
    <n v="540.85"/>
    <n v="0"/>
    <n v="540.85"/>
    <x v="681"/>
    <s v="Air China"/>
    <m/>
    <s v="Flight from SG to Shanghai"/>
    <x v="6"/>
    <x v="1"/>
    <x v="11"/>
    <x v="0"/>
    <m/>
    <m/>
    <m/>
    <m/>
    <m/>
  </r>
  <r>
    <x v="0"/>
    <x v="2"/>
    <d v="2026-04-23T00:00:00"/>
    <d v="2026-04-23T00:00:00"/>
    <x v="41"/>
    <s v="SGD"/>
    <n v="-250000"/>
    <n v="0"/>
    <n v="-250000"/>
    <x v="682"/>
    <s v="OCBC USD"/>
    <s v="Internal Transfer "/>
    <s v="Internal Transfer received from USD to SGD"/>
    <x v="24"/>
    <x v="18"/>
    <x v="6"/>
    <x v="3"/>
    <m/>
    <m/>
    <s v="OR2604004"/>
    <s v="No"/>
    <m/>
  </r>
  <r>
    <x v="0"/>
    <x v="2"/>
    <d v="2026-04-23T00:00:00"/>
    <d v="2026-04-23T00:00:00"/>
    <x v="41"/>
    <s v="SGD"/>
    <n v="161.76"/>
    <n v="0"/>
    <n v="161.76"/>
    <x v="683"/>
    <s v="FLO Energy"/>
    <s v="T2610002852"/>
    <s v="Electricity - 1 Mar 2026 - 31 Mar 2026"/>
    <x v="12"/>
    <x v="10"/>
    <x v="1"/>
    <x v="0"/>
    <m/>
    <m/>
    <m/>
    <s v="Yes"/>
    <m/>
  </r>
  <r>
    <x v="0"/>
    <x v="2"/>
    <d v="2026-04-27T00:00:00"/>
    <d v="2026-04-27T00:00:00"/>
    <x v="104"/>
    <s v="SGD"/>
    <n v="4275.6400000000003"/>
    <n v="0"/>
    <n v="4275.6400000000003"/>
    <x v="684"/>
    <s v="Expedia"/>
    <s v="Debit Purchase"/>
    <s v="Expedia - Flight to US"/>
    <x v="6"/>
    <x v="1"/>
    <x v="11"/>
    <x v="0"/>
    <m/>
    <m/>
    <m/>
    <m/>
    <m/>
  </r>
  <r>
    <x v="0"/>
    <x v="2"/>
    <d v="2026-02-03T00:00:00"/>
    <d v="2026-03-05T00:00:00"/>
    <x v="105"/>
    <s v="SGD"/>
    <n v="-9664.67"/>
    <n v="0"/>
    <n v="-9664.67"/>
    <x v="604"/>
    <s v="VisionPower Semiconductor Manufacturing Company Pte Ltd"/>
    <s v="INV 2602001"/>
    <s v="POWER BI CONSULTANTS AS QUO : AXQ00015 for the month of Jan 2026"/>
    <x v="15"/>
    <x v="13"/>
    <x v="8"/>
    <x v="2"/>
    <s v="OCBC SGD"/>
    <m/>
    <m/>
    <m/>
    <m/>
  </r>
  <r>
    <x v="0"/>
    <x v="2"/>
    <d v="2026-03-25T00:00:00"/>
    <d v="2026-04-24T00:00:00"/>
    <x v="19"/>
    <s v="SGD"/>
    <n v="5304.13"/>
    <n v="477.37"/>
    <n v="5781.5"/>
    <x v="685"/>
    <s v="JK Technology Pte Ltd"/>
    <s v="I26036779"/>
    <s v="AWS for February 2026"/>
    <x v="26"/>
    <x v="19"/>
    <x v="13"/>
    <x v="1"/>
    <s v="OCBC SGD"/>
    <m/>
    <m/>
    <m/>
    <m/>
  </r>
  <r>
    <x v="0"/>
    <x v="2"/>
    <d v="2026-03-25T00:00:00"/>
    <d v="2026-04-24T00:00:00"/>
    <x v="19"/>
    <s v="SGD"/>
    <n v="159.63999999999999"/>
    <n v="14.37"/>
    <n v="174.01"/>
    <x v="686"/>
    <s v="JK Technology Pte Ltd"/>
    <s v="I26036779"/>
    <s v="AWS for February 2026"/>
    <x v="26"/>
    <x v="19"/>
    <x v="14"/>
    <x v="1"/>
    <s v="OCBC SGD"/>
    <m/>
    <m/>
    <m/>
    <m/>
  </r>
  <r>
    <x v="0"/>
    <x v="2"/>
    <d v="2026-03-25T00:00:00"/>
    <d v="2026-04-24T00:00:00"/>
    <x v="19"/>
    <s v="SGD"/>
    <n v="131.11000000000001"/>
    <n v="11.8"/>
    <n v="142.91000000000003"/>
    <x v="687"/>
    <s v="JK Technology Pte Ltd"/>
    <s v="I26036779"/>
    <s v="AWS for February 2026"/>
    <x v="26"/>
    <x v="19"/>
    <x v="15"/>
    <x v="1"/>
    <s v="OCBC SGD"/>
    <m/>
    <m/>
    <m/>
    <m/>
  </r>
  <r>
    <x v="0"/>
    <x v="2"/>
    <d v="2026-04-28T00:00:00"/>
    <d v="2026-04-28T00:00:00"/>
    <x v="19"/>
    <s v="SGD"/>
    <n v="162.21999999999997"/>
    <n v="0"/>
    <n v="162.21999999999997"/>
    <x v="688"/>
    <s v="Xero (Singapore) Pte. Ltd."/>
    <s v="INV-695328"/>
    <s v="Monthly Subscription, Additional Expenses Charges, Expenses"/>
    <x v="8"/>
    <x v="6"/>
    <x v="0"/>
    <x v="0"/>
    <s v="OCBC SGD"/>
    <m/>
    <m/>
    <m/>
    <m/>
  </r>
  <r>
    <x v="0"/>
    <x v="2"/>
    <d v="2026-04-28T00:00:00"/>
    <d v="2026-04-28T00:00:00"/>
    <x v="19"/>
    <s v="SGD"/>
    <n v="75.23"/>
    <n v="0"/>
    <n v="75.23"/>
    <x v="689"/>
    <s v="Xero (Singapore) Pte. Ltd."/>
    <s v="INV-695328"/>
    <s v="Additional Project Charges, Monthly fee, Projects"/>
    <x v="8"/>
    <x v="6"/>
    <x v="4"/>
    <x v="2"/>
    <s v="OCBC SGD"/>
    <m/>
    <m/>
    <m/>
    <m/>
  </r>
  <r>
    <x v="0"/>
    <x v="2"/>
    <d v="2026-04-28T00:00:00"/>
    <d v="2026-04-28T00:00:00"/>
    <x v="19"/>
    <s v="SGD"/>
    <n v="63.32"/>
    <n v="0"/>
    <n v="63.32"/>
    <x v="690"/>
    <s v="Xero (NZ) Ltd"/>
    <s v="IN-6634195"/>
    <s v="XERO for Malaysia - 28 Apr 2026 to 27 May 2026"/>
    <x v="43"/>
    <x v="15"/>
    <x v="0"/>
    <x v="0"/>
    <s v="OCBC SGD"/>
    <m/>
    <m/>
    <m/>
    <m/>
  </r>
  <r>
    <x v="0"/>
    <x v="2"/>
    <d v="2026-04-30T00:00:00"/>
    <d v="2026-04-30T00:00:00"/>
    <x v="19"/>
    <s v="SGD"/>
    <n v="-8.77"/>
    <n v="0"/>
    <n v="-8.77"/>
    <x v="691"/>
    <s v="OCBC SGD"/>
    <m/>
    <s v="Cash Rebate"/>
    <x v="16"/>
    <x v="14"/>
    <x v="0"/>
    <x v="0"/>
    <s v="OCBC SGD"/>
    <m/>
    <m/>
    <m/>
    <m/>
  </r>
  <r>
    <x v="0"/>
    <x v="2"/>
    <d v="2026-04-30T00:00:00"/>
    <d v="2026-04-30T00:00:00"/>
    <x v="19"/>
    <s v="SGD"/>
    <n v="600"/>
    <n v="0"/>
    <n v="600"/>
    <x v="510"/>
    <s v="Sulin Kwok Kwai Lian"/>
    <s v="April2026"/>
    <s v="Office Cleaning Service - Apr26"/>
    <x v="41"/>
    <x v="31"/>
    <x v="1"/>
    <x v="0"/>
    <s v="OCBC SGD"/>
    <m/>
    <m/>
    <s v="PV2604013"/>
    <m/>
  </r>
  <r>
    <x v="0"/>
    <x v="2"/>
    <d v="2026-04-30T00:00:00"/>
    <d v="2026-04-30T00:00:00"/>
    <x v="19"/>
    <s v="SGD"/>
    <n v="-10035.68"/>
    <n v="0"/>
    <n v="-10035.68"/>
    <x v="692"/>
    <s v="IRAS"/>
    <s v="GST 202416094W IBG GIRO"/>
    <s v="GST Refund for GST Jan to Mar26 ($501.40) &amp; Pre-Registration GST Submission F7 ($9534.28)"/>
    <x v="32"/>
    <x v="23"/>
    <x v="0"/>
    <x v="0"/>
    <s v="OCBC SGD"/>
    <m/>
    <m/>
    <m/>
    <m/>
  </r>
  <r>
    <x v="0"/>
    <x v="2"/>
    <d v="2026-04-30T00:00:00"/>
    <d v="2026-04-30T00:00:00"/>
    <x v="19"/>
    <s v="SGD"/>
    <m/>
    <m/>
    <m/>
    <x v="693"/>
    <s v="SG Staff"/>
    <m/>
    <s v="Net Pay - April 2026"/>
    <x v="17"/>
    <x v="8"/>
    <x v="4"/>
    <x v="2"/>
    <m/>
    <m/>
    <m/>
    <m/>
    <m/>
  </r>
  <r>
    <x v="0"/>
    <x v="2"/>
    <d v="2026-04-30T00:00:00"/>
    <d v="2026-04-30T00:00:00"/>
    <x v="19"/>
    <s v="SGD"/>
    <m/>
    <m/>
    <m/>
    <x v="694"/>
    <s v="SG Staff"/>
    <m/>
    <s v="Net Pay - April 2026"/>
    <x v="17"/>
    <x v="8"/>
    <x v="9"/>
    <x v="4"/>
    <m/>
    <m/>
    <m/>
    <m/>
    <m/>
  </r>
  <r>
    <x v="0"/>
    <x v="2"/>
    <d v="2026-04-30T00:00:00"/>
    <d v="2026-04-30T00:00:00"/>
    <x v="19"/>
    <s v="SGD"/>
    <m/>
    <m/>
    <m/>
    <x v="695"/>
    <s v="SG Staff"/>
    <m/>
    <s v="Net Pay - April 2026"/>
    <x v="17"/>
    <x v="8"/>
    <x v="12"/>
    <x v="2"/>
    <m/>
    <m/>
    <m/>
    <m/>
    <m/>
  </r>
  <r>
    <x v="0"/>
    <x v="2"/>
    <d v="2026-04-30T00:00:00"/>
    <d v="2026-04-30T00:00:00"/>
    <x v="19"/>
    <s v="SGD"/>
    <m/>
    <m/>
    <m/>
    <x v="696"/>
    <s v="SG Staff"/>
    <m/>
    <s v="Net Pay - April 2026"/>
    <x v="17"/>
    <x v="8"/>
    <x v="0"/>
    <x v="0"/>
    <m/>
    <m/>
    <m/>
    <m/>
    <m/>
  </r>
  <r>
    <x v="0"/>
    <x v="2"/>
    <d v="2026-04-30T00:00:00"/>
    <d v="2026-04-30T00:00:00"/>
    <x v="19"/>
    <s v="SGD"/>
    <m/>
    <m/>
    <m/>
    <x v="697"/>
    <s v="SG Staff"/>
    <m/>
    <s v="Net Pay - April 2026"/>
    <x v="17"/>
    <x v="8"/>
    <x v="3"/>
    <x v="0"/>
    <m/>
    <m/>
    <m/>
    <m/>
    <m/>
  </r>
  <r>
    <x v="0"/>
    <x v="2"/>
    <d v="2026-04-30T00:00:00"/>
    <d v="2026-04-30T00:00:00"/>
    <x v="19"/>
    <s v="SGD"/>
    <m/>
    <m/>
    <m/>
    <x v="698"/>
    <s v="SG Staff"/>
    <m/>
    <s v="Net Pay - April 2026"/>
    <x v="17"/>
    <x v="8"/>
    <x v="5"/>
    <x v="0"/>
    <m/>
    <m/>
    <m/>
    <m/>
    <m/>
  </r>
  <r>
    <x v="0"/>
    <x v="2"/>
    <d v="2026-04-30T00:00:00"/>
    <d v="2026-04-30T00:00:00"/>
    <x v="19"/>
    <s v="SGD"/>
    <m/>
    <m/>
    <m/>
    <x v="699"/>
    <s v="SG Staff"/>
    <m/>
    <s v="Net Pay - April 2026"/>
    <x v="17"/>
    <x v="8"/>
    <x v="11"/>
    <x v="0"/>
    <m/>
    <m/>
    <m/>
    <m/>
    <m/>
  </r>
  <r>
    <x v="0"/>
    <x v="2"/>
    <d v="2026-04-30T00:00:00"/>
    <d v="2026-04-30T00:00:00"/>
    <x v="19"/>
    <s v="SGD"/>
    <m/>
    <m/>
    <m/>
    <x v="700"/>
    <s v="SG Staff"/>
    <m/>
    <s v="Net Pay - April 2026"/>
    <x v="17"/>
    <x v="8"/>
    <x v="14"/>
    <x v="1"/>
    <m/>
    <m/>
    <m/>
    <m/>
    <m/>
  </r>
  <r>
    <x v="0"/>
    <x v="2"/>
    <d v="2026-04-30T00:00:00"/>
    <d v="2026-04-30T00:00:00"/>
    <x v="19"/>
    <s v="SGD"/>
    <m/>
    <m/>
    <m/>
    <x v="701"/>
    <s v="SG Staff"/>
    <m/>
    <s v="Net Pay - April 2026"/>
    <x v="17"/>
    <x v="8"/>
    <x v="13"/>
    <x v="1"/>
    <m/>
    <m/>
    <m/>
    <m/>
    <m/>
  </r>
  <r>
    <x v="0"/>
    <x v="2"/>
    <d v="2026-04-30T00:00:00"/>
    <d v="2026-04-30T00:00:00"/>
    <x v="19"/>
    <s v="SGD"/>
    <m/>
    <m/>
    <m/>
    <x v="702"/>
    <s v="SG Staff"/>
    <m/>
    <s v="Net Pay - April 2026"/>
    <x v="17"/>
    <x v="8"/>
    <x v="8"/>
    <x v="2"/>
    <m/>
    <m/>
    <m/>
    <m/>
    <m/>
  </r>
  <r>
    <x v="0"/>
    <x v="2"/>
    <d v="2026-05-01T00:00:00"/>
    <d v="2026-05-01T00:00:00"/>
    <x v="19"/>
    <s v="SGD"/>
    <n v="26042.28"/>
    <n v="0"/>
    <n v="26042.28"/>
    <x v="382"/>
    <s v="HTSG A/C SUNTEC REIT"/>
    <s v="SOT3-020756"/>
    <s v="Office Rental - 14-04, TOWER3, SG - May 2026"/>
    <x v="23"/>
    <x v="17"/>
    <x v="1"/>
    <x v="0"/>
    <s v="OCBC SGD"/>
    <m/>
    <m/>
    <m/>
    <m/>
  </r>
  <r>
    <x v="0"/>
    <x v="2"/>
    <d v="2026-04-17T00:00:00"/>
    <d v="2026-05-02T00:00:00"/>
    <x v="19"/>
    <s v="SGD"/>
    <n v="140.35"/>
    <n v="0"/>
    <n v="140.35"/>
    <x v="617"/>
    <s v="Singapore Telecommunications Limited"/>
    <s v="63721230/0023"/>
    <s v="Internet 12Apr26 to 11May26"/>
    <x v="26"/>
    <x v="19"/>
    <x v="5"/>
    <x v="0"/>
    <s v="OCBC SGD"/>
    <m/>
    <m/>
    <m/>
    <m/>
  </r>
  <r>
    <x v="0"/>
    <x v="2"/>
    <d v="2026-04-17T00:00:00"/>
    <d v="2026-05-17T00:00:00"/>
    <x v="19"/>
    <s v="SGD"/>
    <n v="287.06"/>
    <n v="0"/>
    <n v="287.06"/>
    <x v="703"/>
    <s v="AIG Asia Pacific Insurance Pte Ltd"/>
    <s v="SG22032678"/>
    <s v="General Liability Insurance"/>
    <x v="4"/>
    <x v="4"/>
    <x v="1"/>
    <x v="0"/>
    <s v="OCBC SGD"/>
    <m/>
    <m/>
    <m/>
    <m/>
  </r>
  <r>
    <x v="0"/>
    <x v="2"/>
    <d v="2026-05-04T00:00:00"/>
    <d v="2026-05-04T00:00:00"/>
    <x v="106"/>
    <s v="SGD"/>
    <n v="10"/>
    <n v="0"/>
    <n v="10"/>
    <x v="319"/>
    <s v="OCBC SGD"/>
    <s v="Bank Charges 04/05/2026"/>
    <s v="Bank Charges"/>
    <x v="0"/>
    <x v="0"/>
    <x v="0"/>
    <x v="0"/>
    <s v="OCBC SGD"/>
    <m/>
    <m/>
    <m/>
    <m/>
  </r>
  <r>
    <x v="0"/>
    <x v="2"/>
    <d v="2026-04-30T00:00:00"/>
    <d v="2026-04-30T00:00:00"/>
    <x v="107"/>
    <s v="SGD"/>
    <m/>
    <m/>
    <m/>
    <x v="704"/>
    <s v="SG Staff"/>
    <m/>
    <s v="Net Pay - April 2026"/>
    <x v="17"/>
    <x v="8"/>
    <x v="4"/>
    <x v="2"/>
    <m/>
    <m/>
    <m/>
    <m/>
    <m/>
  </r>
  <r>
    <x v="0"/>
    <x v="2"/>
    <d v="2026-04-30T00:00:00"/>
    <d v="2026-04-30T00:00:00"/>
    <x v="107"/>
    <s v="SGD"/>
    <m/>
    <m/>
    <m/>
    <x v="705"/>
    <s v="SG Staff"/>
    <m/>
    <s v="Statutory Contribution - April 2026"/>
    <x v="10"/>
    <x v="8"/>
    <x v="4"/>
    <x v="2"/>
    <m/>
    <m/>
    <m/>
    <m/>
    <m/>
  </r>
  <r>
    <x v="0"/>
    <x v="2"/>
    <d v="2026-04-30T00:00:00"/>
    <d v="2026-04-30T00:00:00"/>
    <x v="107"/>
    <s v="SGD"/>
    <m/>
    <m/>
    <m/>
    <x v="706"/>
    <s v="SG Staff"/>
    <m/>
    <s v="Net Pay - April 2026"/>
    <x v="17"/>
    <x v="8"/>
    <x v="9"/>
    <x v="4"/>
    <m/>
    <m/>
    <m/>
    <m/>
    <m/>
  </r>
  <r>
    <x v="0"/>
    <x v="2"/>
    <d v="2026-04-30T00:00:00"/>
    <d v="2026-04-30T00:00:00"/>
    <x v="107"/>
    <s v="SGD"/>
    <m/>
    <m/>
    <m/>
    <x v="707"/>
    <s v="SG Staff"/>
    <m/>
    <s v="Statutory Contribution - April 2026"/>
    <x v="10"/>
    <x v="8"/>
    <x v="9"/>
    <x v="4"/>
    <m/>
    <m/>
    <m/>
    <m/>
    <m/>
  </r>
  <r>
    <x v="0"/>
    <x v="2"/>
    <d v="2026-04-30T00:00:00"/>
    <d v="2026-04-30T00:00:00"/>
    <x v="107"/>
    <s v="SGD"/>
    <m/>
    <m/>
    <m/>
    <x v="636"/>
    <s v="SG Staff"/>
    <m/>
    <s v="Net Pay - April 2026"/>
    <x v="17"/>
    <x v="8"/>
    <x v="12"/>
    <x v="2"/>
    <m/>
    <m/>
    <m/>
    <m/>
    <m/>
  </r>
  <r>
    <x v="0"/>
    <x v="2"/>
    <d v="2026-04-30T00:00:00"/>
    <d v="2026-04-30T00:00:00"/>
    <x v="107"/>
    <s v="SGD"/>
    <m/>
    <m/>
    <m/>
    <x v="708"/>
    <s v="SG Staff"/>
    <m/>
    <s v="Statutory Contribution - April 2026"/>
    <x v="10"/>
    <x v="8"/>
    <x v="12"/>
    <x v="2"/>
    <m/>
    <m/>
    <m/>
    <m/>
    <m/>
  </r>
  <r>
    <x v="0"/>
    <x v="2"/>
    <d v="2026-04-30T00:00:00"/>
    <d v="2026-04-30T00:00:00"/>
    <x v="107"/>
    <s v="SGD"/>
    <m/>
    <m/>
    <m/>
    <x v="709"/>
    <s v="SG Staff"/>
    <m/>
    <s v="Net Pay - April 2026"/>
    <x v="17"/>
    <x v="8"/>
    <x v="0"/>
    <x v="0"/>
    <m/>
    <m/>
    <m/>
    <m/>
    <m/>
  </r>
  <r>
    <x v="0"/>
    <x v="2"/>
    <d v="2026-04-30T00:00:00"/>
    <d v="2026-04-30T00:00:00"/>
    <x v="107"/>
    <s v="SGD"/>
    <m/>
    <m/>
    <m/>
    <x v="710"/>
    <s v="SG Staff"/>
    <m/>
    <s v="Statutory Contribution - April 2026"/>
    <x v="10"/>
    <x v="8"/>
    <x v="0"/>
    <x v="0"/>
    <m/>
    <m/>
    <m/>
    <m/>
    <m/>
  </r>
  <r>
    <x v="0"/>
    <x v="2"/>
    <d v="2026-04-30T00:00:00"/>
    <d v="2026-04-30T00:00:00"/>
    <x v="107"/>
    <s v="SGD"/>
    <m/>
    <m/>
    <m/>
    <x v="711"/>
    <s v="SG Staff"/>
    <m/>
    <s v="Net Pay - April 2026"/>
    <x v="17"/>
    <x v="8"/>
    <x v="3"/>
    <x v="0"/>
    <m/>
    <m/>
    <m/>
    <m/>
    <m/>
  </r>
  <r>
    <x v="0"/>
    <x v="2"/>
    <d v="2026-04-30T00:00:00"/>
    <d v="2026-04-30T00:00:00"/>
    <x v="107"/>
    <s v="SGD"/>
    <m/>
    <m/>
    <m/>
    <x v="712"/>
    <s v="SG Staff"/>
    <m/>
    <s v="Statutory Contribution - April 2026"/>
    <x v="10"/>
    <x v="8"/>
    <x v="3"/>
    <x v="0"/>
    <m/>
    <m/>
    <m/>
    <m/>
    <m/>
  </r>
  <r>
    <x v="0"/>
    <x v="2"/>
    <d v="2026-04-30T00:00:00"/>
    <d v="2026-04-30T00:00:00"/>
    <x v="107"/>
    <s v="SGD"/>
    <m/>
    <m/>
    <m/>
    <x v="713"/>
    <s v="SG Staff"/>
    <m/>
    <s v="Net Pay - April 2026"/>
    <x v="17"/>
    <x v="8"/>
    <x v="5"/>
    <x v="0"/>
    <m/>
    <m/>
    <m/>
    <m/>
    <m/>
  </r>
  <r>
    <x v="0"/>
    <x v="2"/>
    <d v="2026-04-30T00:00:00"/>
    <d v="2026-04-30T00:00:00"/>
    <x v="107"/>
    <s v="SGD"/>
    <m/>
    <m/>
    <m/>
    <x v="714"/>
    <s v="SG Staff"/>
    <m/>
    <s v="Statutory Contribution - April 2026"/>
    <x v="10"/>
    <x v="8"/>
    <x v="5"/>
    <x v="0"/>
    <m/>
    <m/>
    <m/>
    <m/>
    <m/>
  </r>
  <r>
    <x v="0"/>
    <x v="2"/>
    <d v="2026-04-30T00:00:00"/>
    <d v="2026-04-30T00:00:00"/>
    <x v="107"/>
    <s v="SGD"/>
    <m/>
    <m/>
    <m/>
    <x v="635"/>
    <s v="SG Staff"/>
    <m/>
    <s v="Statutory Contribution - April 2026"/>
    <x v="10"/>
    <x v="8"/>
    <x v="11"/>
    <x v="0"/>
    <m/>
    <m/>
    <m/>
    <m/>
    <m/>
  </r>
  <r>
    <x v="0"/>
    <x v="2"/>
    <d v="2026-04-30T00:00:00"/>
    <d v="2026-04-30T00:00:00"/>
    <x v="107"/>
    <s v="SGD"/>
    <m/>
    <m/>
    <m/>
    <x v="636"/>
    <s v="SG Staff"/>
    <m/>
    <s v="Net Pay - April 2026"/>
    <x v="17"/>
    <x v="8"/>
    <x v="14"/>
    <x v="1"/>
    <m/>
    <m/>
    <m/>
    <m/>
    <m/>
  </r>
  <r>
    <x v="0"/>
    <x v="2"/>
    <d v="2026-04-30T00:00:00"/>
    <d v="2026-04-30T00:00:00"/>
    <x v="107"/>
    <s v="SGD"/>
    <m/>
    <m/>
    <m/>
    <x v="708"/>
    <s v="SG Staff"/>
    <m/>
    <s v="Statutory Contribution - April 2026"/>
    <x v="10"/>
    <x v="8"/>
    <x v="14"/>
    <x v="1"/>
    <m/>
    <m/>
    <m/>
    <m/>
    <m/>
  </r>
  <r>
    <x v="0"/>
    <x v="2"/>
    <d v="2026-04-30T00:00:00"/>
    <d v="2026-04-30T00:00:00"/>
    <x v="107"/>
    <s v="SGD"/>
    <m/>
    <m/>
    <m/>
    <x v="644"/>
    <s v="SG Staff"/>
    <m/>
    <s v="Statutory Contribution - April 2026"/>
    <x v="10"/>
    <x v="8"/>
    <x v="13"/>
    <x v="1"/>
    <m/>
    <m/>
    <m/>
    <m/>
    <m/>
  </r>
  <r>
    <x v="0"/>
    <x v="2"/>
    <d v="2026-04-30T00:00:00"/>
    <d v="2026-04-30T00:00:00"/>
    <x v="107"/>
    <s v="SGD"/>
    <m/>
    <m/>
    <m/>
    <x v="711"/>
    <s v="SG Staff"/>
    <m/>
    <s v="Net Pay - April 2026"/>
    <x v="17"/>
    <x v="8"/>
    <x v="8"/>
    <x v="2"/>
    <m/>
    <m/>
    <m/>
    <m/>
    <m/>
  </r>
  <r>
    <x v="0"/>
    <x v="2"/>
    <d v="2026-04-30T00:00:00"/>
    <d v="2026-04-30T00:00:00"/>
    <x v="107"/>
    <s v="SGD"/>
    <m/>
    <m/>
    <m/>
    <x v="715"/>
    <s v="SG Staff"/>
    <m/>
    <s v="Statutory Contribution - April 2026"/>
    <x v="10"/>
    <x v="8"/>
    <x v="8"/>
    <x v="2"/>
    <m/>
    <m/>
    <m/>
    <m/>
    <m/>
  </r>
  <r>
    <x v="0"/>
    <x v="2"/>
    <d v="2026-04-30T00:00:00"/>
    <d v="2026-05-06T00:00:00"/>
    <x v="107"/>
    <s v="SGD"/>
    <n v="30241.5"/>
    <s v=" -   "/>
    <n v="30241.5"/>
    <x v="716"/>
    <s v="Central Provident Fund "/>
    <s v="CPF 2026/04"/>
    <s v="CPF Contribution for April 2026"/>
    <x v="17"/>
    <x v="8"/>
    <x v="3"/>
    <x v="0"/>
    <s v="OCBC SGD"/>
    <m/>
    <m/>
    <m/>
    <m/>
  </r>
  <r>
    <x v="0"/>
    <x v="2"/>
    <d v="2026-03-03T00:00:00"/>
    <d v="2026-04-02T00:00:00"/>
    <x v="42"/>
    <s v="SGD"/>
    <n v="-8866.67"/>
    <n v="-798"/>
    <n v="-9664.67"/>
    <x v="717"/>
    <s v="VisionPower Semiconductor Manufacturing Company Pte Ltd"/>
    <s v="INV 2603002"/>
    <s v="POWER BI CONSULTANTS AS QUO : AXQ00015 for the month of Feb 2026"/>
    <x v="15"/>
    <x v="13"/>
    <x v="8"/>
    <x v="2"/>
    <s v="OCBC SGD"/>
    <m/>
    <m/>
    <m/>
    <m/>
  </r>
  <r>
    <x v="0"/>
    <x v="2"/>
    <d v="2026-05-05T00:00:00"/>
    <d v="2026-05-05T00:00:00"/>
    <x v="21"/>
    <s v="SGD"/>
    <n v="225.75"/>
    <s v=" -   "/>
    <n v="225.75"/>
    <x v="718"/>
    <s v="SHU DA XIA - Team meal"/>
    <m/>
    <s v="SHU DA XIA - Team meal"/>
    <x v="18"/>
    <x v="4"/>
    <x v="11"/>
    <x v="0"/>
    <s v="OCBC SGD"/>
    <m/>
    <m/>
    <m/>
    <m/>
  </r>
  <r>
    <x v="0"/>
    <x v="2"/>
    <d v="2026-05-08T00:00:00"/>
    <d v="2026-05-08T00:00:00"/>
    <x v="21"/>
    <s v="SGD"/>
    <m/>
    <m/>
    <m/>
    <x v="719"/>
    <s v="SG Staff"/>
    <m/>
    <s v="Net Pay - May 2026"/>
    <x v="17"/>
    <x v="8"/>
    <x v="8"/>
    <x v="2"/>
    <m/>
    <m/>
    <m/>
    <m/>
    <m/>
  </r>
  <r>
    <x v="0"/>
    <x v="2"/>
    <d v="2026-05-06T00:00:00"/>
    <d v="2026-05-06T00:00:00"/>
    <x v="108"/>
    <s v="SGD"/>
    <n v="170.72"/>
    <n v="15.36"/>
    <n v="186.08"/>
    <x v="720"/>
    <s v="Datou Software Technology Co., Ltd"/>
    <m/>
    <s v="Business dinner with Kong"/>
    <x v="34"/>
    <x v="25"/>
    <x v="11"/>
    <x v="0"/>
    <s v="OCBC SGD"/>
    <m/>
    <m/>
    <m/>
    <m/>
  </r>
  <r>
    <x v="0"/>
    <x v="2"/>
    <d v="2026-05-07T00:00:00"/>
    <d v="2026-05-07T00:00:00"/>
    <x v="108"/>
    <s v="SGD"/>
    <n v="1172.6400000000001"/>
    <s v=" -   "/>
    <n v="1172.6400000000001"/>
    <x v="721"/>
    <s v="ACCA"/>
    <s v="GB11SI0350034, GB11SI0350035"/>
    <s v="Training Expenses"/>
    <x v="52"/>
    <x v="4"/>
    <x v="3"/>
    <x v="0"/>
    <s v="OCBC SGD"/>
    <m/>
    <m/>
    <m/>
    <m/>
  </r>
  <r>
    <x v="0"/>
    <x v="2"/>
    <d v="2026-05-07T00:00:00"/>
    <d v="2026-05-07T00:00:00"/>
    <x v="109"/>
    <s v="SGD"/>
    <n v="46.2"/>
    <n v="4.16"/>
    <n v="50.36"/>
    <x v="722"/>
    <s v="PAULANER BRAUHAUS SG"/>
    <m/>
    <s v="Business meal"/>
    <x v="34"/>
    <x v="25"/>
    <x v="11"/>
    <x v="0"/>
    <s v="OCBC SGD"/>
    <m/>
    <m/>
    <m/>
    <m/>
  </r>
  <r>
    <x v="0"/>
    <x v="2"/>
    <d v="2026-05-08T00:00:00"/>
    <d v="2026-05-08T00:00:00"/>
    <x v="110"/>
    <s v="SGD"/>
    <m/>
    <m/>
    <m/>
    <x v="49"/>
    <s v="SG Staff"/>
    <m/>
    <s v="Net Pay - May 2026"/>
    <x v="17"/>
    <x v="8"/>
    <x v="8"/>
    <x v="2"/>
    <m/>
    <m/>
    <m/>
    <m/>
    <m/>
  </r>
  <r>
    <x v="0"/>
    <x v="2"/>
    <d v="2026-05-08T00:00:00"/>
    <d v="2026-05-08T00:00:00"/>
    <x v="110"/>
    <s v="SGD"/>
    <m/>
    <m/>
    <m/>
    <x v="723"/>
    <s v="SG Staff"/>
    <m/>
    <s v="Statutory Contribution - May 2026"/>
    <x v="10"/>
    <x v="8"/>
    <x v="8"/>
    <x v="2"/>
    <m/>
    <m/>
    <m/>
    <m/>
    <m/>
  </r>
  <r>
    <x v="0"/>
    <x v="2"/>
    <d v="2026-05-08T00:00:00"/>
    <d v="2026-05-08T00:00:00"/>
    <x v="109"/>
    <s v="SGD"/>
    <n v="288.70999999999998"/>
    <s v=" -   "/>
    <n v="288.70999999999998"/>
    <x v="724"/>
    <s v="MOI GANFIELDS - Team meal 11 pax"/>
    <m/>
    <s v="MOI GANFIELDS - Team meal 11 pax"/>
    <x v="18"/>
    <x v="4"/>
    <x v="11"/>
    <x v="0"/>
    <s v="OCBC SGD"/>
    <m/>
    <m/>
    <m/>
    <m/>
  </r>
  <r>
    <x v="0"/>
    <x v="2"/>
    <d v="2026-05-11T00:00:00"/>
    <d v="2026-05-11T00:00:00"/>
    <x v="109"/>
    <s v="SGD"/>
    <n v="-585.13"/>
    <n v="-52.66"/>
    <n v="-637.79"/>
    <x v="725"/>
    <s v="Armstrong Industrial Corporation Limited"/>
    <s v="INV 2603001"/>
    <s v="Consultation Fee : ATS Go Live 2 Feb - 6 Feb 2026."/>
    <x v="15"/>
    <x v="13"/>
    <x v="8"/>
    <x v="2"/>
    <s v="OCBC SGD"/>
    <m/>
    <m/>
    <m/>
    <m/>
  </r>
  <r>
    <x v="0"/>
    <x v="2"/>
    <d v="2026-05-11T00:00:00"/>
    <d v="2026-05-11T00:00:00"/>
    <x v="109"/>
    <s v="SGD"/>
    <n v="-46400"/>
    <n v="-4176"/>
    <n v="-50576"/>
    <x v="726"/>
    <s v="Armstrong Industrial Corporation Limited"/>
    <s v="INV 2603005"/>
    <s v="Implementation Fees – CN Changchun (Kick Off)"/>
    <x v="15"/>
    <x v="13"/>
    <x v="8"/>
    <x v="2"/>
    <s v="OCBC SGD"/>
    <m/>
    <m/>
    <m/>
    <m/>
  </r>
  <r>
    <x v="0"/>
    <x v="2"/>
    <d v="2026-05-11T00:00:00"/>
    <d v="2026-05-11T00:00:00"/>
    <x v="109"/>
    <s v="SGD"/>
    <n v="-107.91"/>
    <s v=" -   "/>
    <n v="-107.91"/>
    <x v="727"/>
    <s v="Infinix Hospitality Management Pte Ltd"/>
    <s v="INV 2604008"/>
    <s v="Ax Trace Monthly Subscription - AI Scheduler (April 2026)"/>
    <x v="15"/>
    <x v="13"/>
    <x v="8"/>
    <x v="2"/>
    <s v="OCBC SGD"/>
    <m/>
    <m/>
    <m/>
    <m/>
  </r>
  <r>
    <x v="0"/>
    <x v="2"/>
    <d v="2026-05-13T00:00:00"/>
    <d v="2026-05-13T00:00:00"/>
    <x v="111"/>
    <s v="SGD"/>
    <n v="79.09"/>
    <n v="7.12"/>
    <n v="86.21"/>
    <x v="728"/>
    <s v="Paradise Dynasty - Business meal"/>
    <m/>
    <s v="Paradise Dynasty - Business meal"/>
    <x v="34"/>
    <x v="25"/>
    <x v="11"/>
    <x v="0"/>
    <s v="OCBC SGD"/>
    <m/>
    <m/>
    <m/>
    <m/>
  </r>
  <r>
    <x v="0"/>
    <x v="2"/>
    <d v="2026-04-14T00:00:00"/>
    <d v="2026-05-14T00:00:00"/>
    <x v="111"/>
    <s v="SGD"/>
    <n v="-1318.69"/>
    <s v=" -   "/>
    <n v="-1318.69"/>
    <x v="729"/>
    <s v="Gtrontec Technology Pte Ltd"/>
    <s v="INV 2604009"/>
    <s v="Ax Trace Digital Marketing Solution_x000a_a) Website content audit &amp; revamp plan_x000a_b) New LinkedIn page setup blog framework &amp; ongoing blog / content creation (weekly)_x000a_Period : 19 Mar 2026 – 18 Apr 2026"/>
    <x v="15"/>
    <x v="13"/>
    <x v="8"/>
    <x v="2"/>
    <s v="OCBC SGD"/>
    <m/>
    <m/>
    <m/>
    <m/>
  </r>
  <r>
    <x v="0"/>
    <x v="2"/>
    <d v="2026-03-31T00:00:00"/>
    <d v="2026-04-30T00:00:00"/>
    <x v="22"/>
    <s v="SGD"/>
    <n v="47.85"/>
    <n v="0"/>
    <n v="47.85"/>
    <x v="730"/>
    <s v="DHL Express (Singapore) Pte Ltd"/>
    <s v="SINR014993774"/>
    <s v="Express Worldwide Doc"/>
    <x v="2"/>
    <x v="2"/>
    <x v="1"/>
    <x v="0"/>
    <m/>
    <m/>
    <m/>
    <m/>
    <m/>
  </r>
  <r>
    <x v="0"/>
    <x v="2"/>
    <d v="2026-04-10T00:00:00"/>
    <d v="2026-05-10T00:00:00"/>
    <x v="22"/>
    <s v="SGD"/>
    <n v="21.4"/>
    <n v="1.93"/>
    <n v="23.33"/>
    <x v="731"/>
    <s v="DHL Express (Singapore) Pte Ltd"/>
    <s v="SINR015010226"/>
    <s v="Domestic Express"/>
    <x v="2"/>
    <x v="2"/>
    <x v="1"/>
    <x v="0"/>
    <m/>
    <m/>
    <m/>
    <m/>
    <m/>
  </r>
  <r>
    <x v="0"/>
    <x v="2"/>
    <d v="2026-05-15T00:00:00"/>
    <d v="2026-05-15T00:00:00"/>
    <x v="22"/>
    <s v="SGD"/>
    <n v="139.47"/>
    <n v="0"/>
    <n v="139.47"/>
    <x v="732"/>
    <s v="Staff Claim Apr26"/>
    <s v="Staff Claim Apr26"/>
    <s v="Total Accommodation - International"/>
    <x v="31"/>
    <x v="1"/>
    <x v="3"/>
    <x v="0"/>
    <m/>
    <m/>
    <m/>
    <m/>
    <m/>
  </r>
  <r>
    <x v="0"/>
    <x v="2"/>
    <d v="2026-05-15T00:00:00"/>
    <d v="2026-05-15T00:00:00"/>
    <x v="22"/>
    <s v="SGD"/>
    <n v="918.96"/>
    <n v="0"/>
    <n v="918.96"/>
    <x v="733"/>
    <s v="Staff Claim Apr26"/>
    <s v="Staff Claim Apr26"/>
    <s v="Total Accommodation - International"/>
    <x v="31"/>
    <x v="1"/>
    <x v="11"/>
    <x v="0"/>
    <m/>
    <m/>
    <m/>
    <m/>
    <m/>
  </r>
  <r>
    <x v="0"/>
    <x v="2"/>
    <d v="2026-05-15T00:00:00"/>
    <d v="2026-05-15T00:00:00"/>
    <x v="22"/>
    <s v="SGD"/>
    <n v="371.57"/>
    <n v="0"/>
    <n v="371.57"/>
    <x v="734"/>
    <s v="Staff Claim Apr26"/>
    <s v="Staff Claim Apr26"/>
    <s v="Total Accommodation - International"/>
    <x v="31"/>
    <x v="1"/>
    <x v="12"/>
    <x v="2"/>
    <m/>
    <m/>
    <m/>
    <m/>
    <m/>
  </r>
  <r>
    <x v="0"/>
    <x v="2"/>
    <d v="2026-05-15T00:00:00"/>
    <d v="2026-05-15T00:00:00"/>
    <x v="22"/>
    <s v="SGD"/>
    <n v="943.02"/>
    <n v="0"/>
    <n v="943.02"/>
    <x v="735"/>
    <s v="Staff Claim Apr26"/>
    <s v="Staff Claim Apr26"/>
    <s v="Total Accommodation - International"/>
    <x v="31"/>
    <x v="1"/>
    <x v="14"/>
    <x v="1"/>
    <m/>
    <m/>
    <m/>
    <m/>
    <m/>
  </r>
  <r>
    <x v="0"/>
    <x v="2"/>
    <d v="2026-05-15T00:00:00"/>
    <d v="2026-05-15T00:00:00"/>
    <x v="22"/>
    <s v="SGD"/>
    <n v="30.53"/>
    <n v="2.75"/>
    <n v="33.28"/>
    <x v="736"/>
    <s v="Staff Claim Apr26"/>
    <s v="Staff Claim Apr26"/>
    <s v="Total Business Development Cost (Entertainment)"/>
    <x v="56"/>
    <x v="25"/>
    <x v="8"/>
    <x v="2"/>
    <m/>
    <m/>
    <m/>
    <m/>
    <m/>
  </r>
  <r>
    <x v="0"/>
    <x v="2"/>
    <d v="2026-05-15T00:00:00"/>
    <d v="2026-05-15T00:00:00"/>
    <x v="22"/>
    <s v="SGD"/>
    <n v="185.02"/>
    <n v="0"/>
    <n v="185.02"/>
    <x v="737"/>
    <s v="Staff Claim Apr26"/>
    <s v="Staff Claim Apr26"/>
    <s v="Total Business Meals - International"/>
    <x v="45"/>
    <x v="25"/>
    <x v="11"/>
    <x v="0"/>
    <m/>
    <m/>
    <m/>
    <m/>
    <m/>
  </r>
  <r>
    <x v="0"/>
    <x v="2"/>
    <d v="2026-05-15T00:00:00"/>
    <d v="2026-05-15T00:00:00"/>
    <x v="22"/>
    <s v="SGD"/>
    <n v="19.88"/>
    <n v="0"/>
    <n v="19.88"/>
    <x v="738"/>
    <s v="Staff Claim Apr26"/>
    <s v="Staff Claim Apr26"/>
    <s v="Total Business Meals - International"/>
    <x v="45"/>
    <x v="25"/>
    <x v="14"/>
    <x v="1"/>
    <m/>
    <m/>
    <m/>
    <m/>
    <m/>
  </r>
  <r>
    <x v="0"/>
    <x v="2"/>
    <d v="2026-05-15T00:00:00"/>
    <d v="2026-05-15T00:00:00"/>
    <x v="22"/>
    <s v="SGD"/>
    <n v="74.28"/>
    <n v="0"/>
    <n v="74.28"/>
    <x v="739"/>
    <s v="Staff Claim Apr26"/>
    <s v="Staff Claim Apr26"/>
    <s v="Total Business Meals - International"/>
    <x v="45"/>
    <x v="25"/>
    <x v="12"/>
    <x v="2"/>
    <m/>
    <m/>
    <m/>
    <m/>
    <m/>
  </r>
  <r>
    <x v="0"/>
    <x v="2"/>
    <d v="2026-05-15T00:00:00"/>
    <d v="2026-05-15T00:00:00"/>
    <x v="22"/>
    <s v="SGD"/>
    <n v="1780.8700000000001"/>
    <n v="152.28"/>
    <n v="1933.15"/>
    <x v="740"/>
    <s v="Staff Claim Apr26"/>
    <s v="Staff Claim Apr26"/>
    <s v="Total Business Meals - National"/>
    <x v="34"/>
    <x v="25"/>
    <x v="11"/>
    <x v="0"/>
    <m/>
    <m/>
    <m/>
    <m/>
    <m/>
  </r>
  <r>
    <x v="0"/>
    <x v="2"/>
    <d v="2026-05-15T00:00:00"/>
    <d v="2026-05-15T00:00:00"/>
    <x v="22"/>
    <s v="SGD"/>
    <n v="29.8"/>
    <n v="2.68"/>
    <n v="32.480000000000004"/>
    <x v="741"/>
    <s v="Staff Claim Apr26"/>
    <s v="Staff Claim Apr26"/>
    <s v="Total Business Meals - National"/>
    <x v="34"/>
    <x v="25"/>
    <x v="12"/>
    <x v="2"/>
    <m/>
    <m/>
    <m/>
    <m/>
    <m/>
  </r>
  <r>
    <x v="0"/>
    <x v="2"/>
    <d v="2026-05-15T00:00:00"/>
    <d v="2026-05-15T00:00:00"/>
    <x v="22"/>
    <s v="SGD"/>
    <n v="55.5"/>
    <n v="0"/>
    <n v="55.5"/>
    <x v="742"/>
    <s v="Staff Claim Apr26"/>
    <s v="Staff Claim Apr26"/>
    <s v="Total General Expenses"/>
    <x v="3"/>
    <x v="3"/>
    <x v="1"/>
    <x v="0"/>
    <m/>
    <m/>
    <m/>
    <m/>
    <m/>
  </r>
  <r>
    <x v="0"/>
    <x v="2"/>
    <d v="2026-05-15T00:00:00"/>
    <d v="2026-05-15T00:00:00"/>
    <x v="22"/>
    <s v="SGD"/>
    <n v="1437.79"/>
    <n v="0"/>
    <n v="1437.79"/>
    <x v="743"/>
    <s v="Staff Claim Apr26"/>
    <s v="Staff Claim Apr26"/>
    <s v="Total Insurance expenses"/>
    <x v="4"/>
    <x v="4"/>
    <x v="11"/>
    <x v="0"/>
    <m/>
    <m/>
    <m/>
    <m/>
    <m/>
  </r>
  <r>
    <x v="0"/>
    <x v="2"/>
    <d v="2026-05-15T00:00:00"/>
    <d v="2026-05-15T00:00:00"/>
    <x v="22"/>
    <s v="SGD"/>
    <n v="399"/>
    <n v="0"/>
    <n v="399"/>
    <x v="744"/>
    <s v="Staff Claim Apr26"/>
    <s v="Staff Claim Apr26"/>
    <s v="Total License Fee"/>
    <x v="61"/>
    <x v="38"/>
    <x v="5"/>
    <x v="0"/>
    <m/>
    <m/>
    <m/>
    <m/>
    <m/>
  </r>
  <r>
    <x v="0"/>
    <x v="2"/>
    <d v="2026-05-15T00:00:00"/>
    <d v="2026-05-15T00:00:00"/>
    <x v="22"/>
    <s v="SGD"/>
    <n v="210"/>
    <n v="18.899999999999999"/>
    <n v="228.9"/>
    <x v="745"/>
    <s v="Staff Claim Apr26"/>
    <s v="Staff Claim Apr26"/>
    <s v="Total Marketing Expense"/>
    <x v="58"/>
    <x v="36"/>
    <x v="12"/>
    <x v="2"/>
    <m/>
    <m/>
    <m/>
    <m/>
    <m/>
  </r>
  <r>
    <x v="0"/>
    <x v="2"/>
    <d v="2026-05-15T00:00:00"/>
    <d v="2026-05-15T00:00:00"/>
    <x v="22"/>
    <s v="SGD"/>
    <n v="45.87"/>
    <n v="4.13"/>
    <n v="50"/>
    <x v="746"/>
    <s v="Staff Claim Apr26"/>
    <s v="Staff Claim Apr26"/>
    <s v="Total Office Supplies"/>
    <x v="5"/>
    <x v="5"/>
    <x v="1"/>
    <x v="0"/>
    <m/>
    <m/>
    <m/>
    <m/>
    <m/>
  </r>
  <r>
    <x v="0"/>
    <x v="2"/>
    <d v="2026-05-15T00:00:00"/>
    <d v="2026-05-15T00:00:00"/>
    <x v="22"/>
    <s v="SGD"/>
    <n v="109.16"/>
    <n v="0"/>
    <n v="109.16"/>
    <x v="747"/>
    <s v="Staff Claim Apr26"/>
    <s v="Staff Claim Apr26"/>
    <s v="Total Office Supplies"/>
    <x v="5"/>
    <x v="5"/>
    <x v="14"/>
    <x v="1"/>
    <m/>
    <m/>
    <m/>
    <m/>
    <m/>
  </r>
  <r>
    <x v="0"/>
    <x v="2"/>
    <d v="2026-05-15T00:00:00"/>
    <d v="2026-05-15T00:00:00"/>
    <x v="22"/>
    <s v="SGD"/>
    <n v="5.7"/>
    <n v="0"/>
    <n v="5.7"/>
    <x v="748"/>
    <s v="Staff Claim Apr26"/>
    <s v="Staff Claim Apr26"/>
    <s v="Total Office Supplies"/>
    <x v="5"/>
    <x v="5"/>
    <x v="5"/>
    <x v="0"/>
    <m/>
    <m/>
    <m/>
    <m/>
    <m/>
  </r>
  <r>
    <x v="0"/>
    <x v="2"/>
    <d v="2026-05-15T00:00:00"/>
    <d v="2026-05-15T00:00:00"/>
    <x v="22"/>
    <s v="SGD"/>
    <n v="6.76"/>
    <n v="0"/>
    <n v="6.76"/>
    <x v="749"/>
    <s v="Staff Claim Apr26"/>
    <s v="Staff Claim Apr26"/>
    <s v="Total Personal Meals - International"/>
    <x v="19"/>
    <x v="1"/>
    <x v="11"/>
    <x v="0"/>
    <m/>
    <m/>
    <m/>
    <m/>
    <m/>
  </r>
  <r>
    <x v="0"/>
    <x v="2"/>
    <d v="2026-05-15T00:00:00"/>
    <d v="2026-05-15T00:00:00"/>
    <x v="22"/>
    <s v="SGD"/>
    <n v="198.72"/>
    <n v="0"/>
    <n v="198.72"/>
    <x v="750"/>
    <s v="Staff Claim Apr26"/>
    <s v="Staff Claim Apr26"/>
    <s v="Total Personal Meals - International"/>
    <x v="19"/>
    <x v="1"/>
    <x v="14"/>
    <x v="1"/>
    <m/>
    <m/>
    <m/>
    <m/>
    <m/>
  </r>
  <r>
    <x v="0"/>
    <x v="2"/>
    <d v="2026-05-15T00:00:00"/>
    <d v="2026-05-15T00:00:00"/>
    <x v="22"/>
    <s v="SGD"/>
    <n v="10.09"/>
    <n v="0"/>
    <n v="10.09"/>
    <x v="751"/>
    <s v="Staff Claim Apr26"/>
    <s v="Staff Claim Apr26"/>
    <s v="Total Personal Meals - International"/>
    <x v="19"/>
    <x v="1"/>
    <x v="12"/>
    <x v="2"/>
    <m/>
    <m/>
    <m/>
    <m/>
    <m/>
  </r>
  <r>
    <x v="0"/>
    <x v="2"/>
    <d v="2026-05-15T00:00:00"/>
    <d v="2026-05-15T00:00:00"/>
    <x v="22"/>
    <s v="SGD"/>
    <n v="16.84"/>
    <n v="1.5099999999999998"/>
    <n v="18.350000000000001"/>
    <x v="752"/>
    <s v="Staff Claim Apr26"/>
    <s v="Staff Claim Apr26"/>
    <s v="Total Personal Meals - National"/>
    <x v="22"/>
    <x v="1"/>
    <x v="11"/>
    <x v="0"/>
    <m/>
    <m/>
    <m/>
    <m/>
    <m/>
  </r>
  <r>
    <x v="0"/>
    <x v="2"/>
    <d v="2026-05-15T00:00:00"/>
    <d v="2026-05-15T00:00:00"/>
    <x v="22"/>
    <s v="SGD"/>
    <n v="109.31"/>
    <n v="8.74"/>
    <n v="118.05"/>
    <x v="753"/>
    <s v="Staff Claim Apr26"/>
    <s v="Staff Claim Apr26"/>
    <s v="Total Printing &amp; Stationery"/>
    <x v="29"/>
    <x v="5"/>
    <x v="1"/>
    <x v="0"/>
    <m/>
    <m/>
    <m/>
    <m/>
    <m/>
  </r>
  <r>
    <x v="0"/>
    <x v="2"/>
    <d v="2026-05-15T00:00:00"/>
    <d v="2026-05-15T00:00:00"/>
    <x v="22"/>
    <s v="SGD"/>
    <n v="255"/>
    <n v="0"/>
    <n v="255"/>
    <x v="754"/>
    <s v="Staff Claim Apr26"/>
    <s v="Staff Claim Apr26"/>
    <s v="Total Recruitment Related Fees"/>
    <x v="57"/>
    <x v="35"/>
    <x v="3"/>
    <x v="0"/>
    <m/>
    <m/>
    <m/>
    <m/>
    <m/>
  </r>
  <r>
    <x v="0"/>
    <x v="2"/>
    <d v="2026-05-15T00:00:00"/>
    <d v="2026-05-15T00:00:00"/>
    <x v="22"/>
    <s v="SGD"/>
    <n v="63.67"/>
    <n v="0"/>
    <n v="63.67"/>
    <x v="755"/>
    <s v="Staff Claim Apr26"/>
    <s v="Staff Claim Apr26"/>
    <s v="Total Staff Welfare - Gift &amp; Tokens"/>
    <x v="20"/>
    <x v="4"/>
    <x v="9"/>
    <x v="4"/>
    <m/>
    <m/>
    <m/>
    <m/>
    <m/>
  </r>
  <r>
    <x v="0"/>
    <x v="2"/>
    <d v="2026-05-15T00:00:00"/>
    <d v="2026-05-15T00:00:00"/>
    <x v="22"/>
    <s v="SGD"/>
    <n v="63.33"/>
    <n v="0"/>
    <n v="63.33"/>
    <x v="756"/>
    <s v="Staff Claim Apr26"/>
    <s v="Staff Claim Apr26"/>
    <s v="Total Staff Welfare - Gift &amp; Tokens"/>
    <x v="20"/>
    <x v="4"/>
    <x v="3"/>
    <x v="0"/>
    <m/>
    <m/>
    <m/>
    <m/>
    <m/>
  </r>
  <r>
    <x v="0"/>
    <x v="2"/>
    <d v="2026-05-15T00:00:00"/>
    <d v="2026-05-15T00:00:00"/>
    <x v="22"/>
    <s v="SGD"/>
    <n v="981.7399999999999"/>
    <n v="40.46"/>
    <n v="1022.1999999999999"/>
    <x v="757"/>
    <s v="Staff Claim Apr26"/>
    <s v="Staff Claim Apr26"/>
    <s v="Total Staff Welfare - Meal &amp; Refreshment"/>
    <x v="18"/>
    <x v="4"/>
    <x v="11"/>
    <x v="0"/>
    <m/>
    <m/>
    <m/>
    <m/>
    <m/>
  </r>
  <r>
    <x v="0"/>
    <x v="2"/>
    <d v="2026-05-15T00:00:00"/>
    <d v="2026-05-15T00:00:00"/>
    <x v="22"/>
    <s v="SGD"/>
    <n v="77.87"/>
    <n v="7.01"/>
    <n v="84.88000000000001"/>
    <x v="758"/>
    <s v="Staff Claim Apr26"/>
    <s v="Staff Claim Apr26"/>
    <s v="Total Staff Welfare - Meal &amp; Refreshment"/>
    <x v="18"/>
    <x v="4"/>
    <x v="1"/>
    <x v="0"/>
    <m/>
    <m/>
    <m/>
    <m/>
    <m/>
  </r>
  <r>
    <x v="0"/>
    <x v="2"/>
    <d v="2026-05-15T00:00:00"/>
    <d v="2026-05-15T00:00:00"/>
    <x v="22"/>
    <s v="SGD"/>
    <n v="136.5"/>
    <n v="0"/>
    <n v="136.5"/>
    <x v="759"/>
    <s v="Staff Claim Apr26"/>
    <s v="Staff Claim Apr26"/>
    <s v="Total Staff Welfare - Recreation, Training &amp; Events"/>
    <x v="52"/>
    <x v="4"/>
    <x v="3"/>
    <x v="0"/>
    <m/>
    <m/>
    <m/>
    <m/>
    <m/>
  </r>
  <r>
    <x v="0"/>
    <x v="2"/>
    <d v="2026-05-15T00:00:00"/>
    <d v="2026-05-15T00:00:00"/>
    <x v="22"/>
    <s v="SGD"/>
    <n v="177.74"/>
    <n v="15.989999999999998"/>
    <n v="193.73000000000002"/>
    <x v="760"/>
    <s v="Staff Claim Apr26"/>
    <s v="Staff Claim Apr26"/>
    <s v="Total Subscription Fee"/>
    <x v="8"/>
    <x v="6"/>
    <x v="12"/>
    <x v="2"/>
    <m/>
    <m/>
    <m/>
    <m/>
    <m/>
  </r>
  <r>
    <x v="0"/>
    <x v="2"/>
    <d v="2026-05-15T00:00:00"/>
    <d v="2026-05-15T00:00:00"/>
    <x v="22"/>
    <s v="SGD"/>
    <n v="64.849999999999994"/>
    <n v="0"/>
    <n v="64.849999999999994"/>
    <x v="761"/>
    <s v="Staff Claim Apr26"/>
    <s v="Staff Claim Apr26"/>
    <s v="Total Subscription Fee"/>
    <x v="8"/>
    <x v="6"/>
    <x v="11"/>
    <x v="0"/>
    <m/>
    <m/>
    <m/>
    <m/>
    <m/>
  </r>
  <r>
    <x v="0"/>
    <x v="2"/>
    <d v="2026-05-15T00:00:00"/>
    <d v="2026-05-15T00:00:00"/>
    <x v="22"/>
    <s v="SGD"/>
    <n v="213.76"/>
    <n v="9.490000000000002"/>
    <n v="223.25"/>
    <x v="762"/>
    <s v="Staff Claim Apr26"/>
    <s v="Staff Claim Apr26"/>
    <s v="Total Subscription Fee"/>
    <x v="8"/>
    <x v="6"/>
    <x v="14"/>
    <x v="1"/>
    <m/>
    <m/>
    <m/>
    <m/>
    <m/>
  </r>
  <r>
    <x v="0"/>
    <x v="2"/>
    <d v="2026-05-15T00:00:00"/>
    <d v="2026-05-15T00:00:00"/>
    <x v="22"/>
    <s v="SGD"/>
    <n v="221.7"/>
    <n v="0"/>
    <n v="221.7"/>
    <x v="763"/>
    <s v="Staff Claim Apr26"/>
    <s v="Staff Claim Apr26"/>
    <s v="Total Transportation fee - International"/>
    <x v="6"/>
    <x v="1"/>
    <x v="12"/>
    <x v="2"/>
    <m/>
    <m/>
    <m/>
    <m/>
    <m/>
  </r>
  <r>
    <x v="0"/>
    <x v="2"/>
    <d v="2026-05-15T00:00:00"/>
    <d v="2026-05-15T00:00:00"/>
    <x v="22"/>
    <s v="SGD"/>
    <n v="2160.86"/>
    <n v="0"/>
    <n v="2160.86"/>
    <x v="764"/>
    <s v="Staff Claim Apr26"/>
    <s v="Staff Claim Apr26"/>
    <s v="Total Transportation fee - International"/>
    <x v="6"/>
    <x v="1"/>
    <x v="11"/>
    <x v="0"/>
    <m/>
    <m/>
    <m/>
    <m/>
    <m/>
  </r>
  <r>
    <x v="0"/>
    <x v="2"/>
    <d v="2026-05-15T00:00:00"/>
    <d v="2026-05-15T00:00:00"/>
    <x v="22"/>
    <s v="SGD"/>
    <n v="500.57"/>
    <n v="0"/>
    <n v="500.57"/>
    <x v="765"/>
    <s v="Staff Claim Apr26"/>
    <s v="Staff Claim Apr26"/>
    <s v="Total Transportation fee - International"/>
    <x v="6"/>
    <x v="1"/>
    <x v="14"/>
    <x v="1"/>
    <m/>
    <m/>
    <m/>
    <m/>
    <m/>
  </r>
  <r>
    <x v="0"/>
    <x v="2"/>
    <d v="2026-05-15T00:00:00"/>
    <d v="2026-05-15T00:00:00"/>
    <x v="22"/>
    <s v="SGD"/>
    <n v="76.33"/>
    <n v="0"/>
    <n v="76.33"/>
    <x v="766"/>
    <s v="Staff Claim Apr26"/>
    <s v="Staff Claim Apr26"/>
    <s v="Total Transportation fee - National"/>
    <x v="7"/>
    <x v="1"/>
    <x v="12"/>
    <x v="2"/>
    <m/>
    <m/>
    <m/>
    <m/>
    <m/>
  </r>
  <r>
    <x v="0"/>
    <x v="2"/>
    <d v="2026-05-15T00:00:00"/>
    <d v="2026-05-15T00:00:00"/>
    <x v="22"/>
    <s v="SGD"/>
    <n v="31.7"/>
    <n v="0"/>
    <n v="31.7"/>
    <x v="767"/>
    <s v="Staff Claim Apr26"/>
    <s v="Staff Claim Apr26"/>
    <s v="Total Transportation fee - National"/>
    <x v="7"/>
    <x v="1"/>
    <x v="11"/>
    <x v="0"/>
    <m/>
    <m/>
    <m/>
    <m/>
    <m/>
  </r>
  <r>
    <x v="0"/>
    <x v="2"/>
    <d v="2026-05-15T00:00:00"/>
    <d v="2026-05-15T00:00:00"/>
    <x v="22"/>
    <s v="SGD"/>
    <n v="111.46"/>
    <n v="0"/>
    <n v="111.46"/>
    <x v="768"/>
    <s v="Staff Claim Apr26"/>
    <s v="Staff Claim Apr26"/>
    <s v="Total Transportation fee - National"/>
    <x v="7"/>
    <x v="1"/>
    <x v="14"/>
    <x v="1"/>
    <m/>
    <m/>
    <m/>
    <m/>
    <m/>
  </r>
  <r>
    <x v="0"/>
    <x v="2"/>
    <d v="2026-05-15T00:00:00"/>
    <d v="2026-05-15T00:00:00"/>
    <x v="22"/>
    <s v="SGD"/>
    <n v="11.3"/>
    <n v="0"/>
    <n v="11.3"/>
    <x v="769"/>
    <s v="Staff Claim Apr26"/>
    <s v="Staff Claim Apr26"/>
    <s v="Total Transportation fee - National"/>
    <x v="7"/>
    <x v="1"/>
    <x v="8"/>
    <x v="2"/>
    <m/>
    <m/>
    <m/>
    <m/>
    <m/>
  </r>
  <r>
    <x v="0"/>
    <x v="2"/>
    <d v="2026-05-15T00:00:00"/>
    <d v="2026-05-15T00:00:00"/>
    <x v="22"/>
    <s v="SGD"/>
    <n v="40.14"/>
    <n v="0"/>
    <n v="40.14"/>
    <x v="770"/>
    <s v="Staff Claim Apr26"/>
    <s v="Staff Claim Apr26"/>
    <s v="Total Transportation fee - National"/>
    <x v="7"/>
    <x v="1"/>
    <x v="3"/>
    <x v="0"/>
    <m/>
    <m/>
    <m/>
    <m/>
    <m/>
  </r>
  <r>
    <x v="0"/>
    <x v="2"/>
    <d v="2026-04-23T00:00:00"/>
    <d v="2026-05-23T00:00:00"/>
    <x v="22"/>
    <s v="SGD"/>
    <n v="66.5"/>
    <n v="5.99"/>
    <n v="72.489999999999995"/>
    <x v="771"/>
    <s v="Kumpulan Development (S) Pte Ltd"/>
    <s v="CE2925976"/>
    <s v="Ice Mountain Pure Drinking Water 19L"/>
    <x v="5"/>
    <x v="5"/>
    <x v="1"/>
    <x v="0"/>
    <m/>
    <m/>
    <m/>
    <m/>
    <m/>
  </r>
  <r>
    <x v="0"/>
    <x v="2"/>
    <d v="2026-05-07T00:00:00"/>
    <d v="2026-05-23T00:00:00"/>
    <x v="22"/>
    <s v="SGD"/>
    <n v="57"/>
    <n v="5.13"/>
    <n v="62.13"/>
    <x v="772"/>
    <s v="Kumpulan Development (S) Pte Ltd"/>
    <s v="CE/2920246"/>
    <s v="Ice Mountain Pure Drinking Water 19L"/>
    <x v="5"/>
    <x v="5"/>
    <x v="1"/>
    <x v="0"/>
    <m/>
    <m/>
    <m/>
    <m/>
    <m/>
  </r>
  <r>
    <x v="0"/>
    <x v="2"/>
    <d v="2026-05-13T00:00:00"/>
    <d v="2026-05-13T00:00:00"/>
    <x v="112"/>
    <s v="SGD"/>
    <n v="466.84"/>
    <n v="0"/>
    <n v="466.84"/>
    <x v="773"/>
    <s v="Beijiang Restaurant"/>
    <m/>
    <s v="Beijiang Restaurant - Business meal"/>
    <x v="34"/>
    <x v="25"/>
    <x v="11"/>
    <x v="0"/>
    <m/>
    <m/>
    <m/>
    <m/>
    <m/>
  </r>
  <r>
    <x v="0"/>
    <x v="2"/>
    <d v="2026-05-18T00:00:00"/>
    <d v="2026-05-18T00:00:00"/>
    <x v="113"/>
    <s v="SGD"/>
    <n v="-230000"/>
    <n v="0"/>
    <n v="-230000"/>
    <x v="774"/>
    <s v="OCBC USD"/>
    <s v="Internal Transfer "/>
    <s v="Internal Transfer received from USD to SGD"/>
    <x v="62"/>
    <x v="39"/>
    <x v="0"/>
    <x v="0"/>
    <m/>
    <m/>
    <m/>
    <m/>
    <m/>
  </r>
  <r>
    <x v="0"/>
    <x v="2"/>
    <d v="2026-05-06T00:00:00"/>
    <d v="2026-05-18T00:00:00"/>
    <x v="113"/>
    <s v="SGD"/>
    <n v="9164.7999999999993"/>
    <n v="0"/>
    <n v="9164.7999999999993"/>
    <x v="775"/>
    <s v="Iras-Income Tax"/>
    <s v="Payment Slip Number 25530281007030"/>
    <s v="Directive to Pay Tax for Jin Chao"/>
    <x v="27"/>
    <x v="20"/>
    <x v="3"/>
    <x v="0"/>
    <m/>
    <m/>
    <m/>
    <m/>
    <m/>
  </r>
  <r>
    <x v="0"/>
    <x v="2"/>
    <d v="2026-05-18T00:00:00"/>
    <d v="2026-05-18T00:00:00"/>
    <x v="43"/>
    <s v="SGD"/>
    <n v="46.64"/>
    <n v="0"/>
    <n v="46.64"/>
    <x v="776"/>
    <s v="R Beauty (Suntec City)"/>
    <m/>
    <s v="R Beauty (Suntec City)"/>
    <x v="34"/>
    <x v="25"/>
    <x v="11"/>
    <x v="0"/>
    <s v="OCBC SGD"/>
    <m/>
    <m/>
    <m/>
    <m/>
  </r>
  <r>
    <x v="0"/>
    <x v="2"/>
    <d v="2026-05-18T00:00:00"/>
    <d v="2026-05-18T00:00:00"/>
    <x v="43"/>
    <s v="SGD"/>
    <n v="70.3"/>
    <n v="0"/>
    <n v="70.3"/>
    <x v="777"/>
    <s v="Yu Yu Cun Seafood Restaurant Pte Ltd"/>
    <m/>
    <s v="Yu Yu Cun Seafood Restaurant Pte Ltd"/>
    <x v="34"/>
    <x v="25"/>
    <x v="11"/>
    <x v="0"/>
    <s v="OCBC SGD"/>
    <m/>
    <m/>
    <m/>
    <m/>
  </r>
  <r>
    <x v="0"/>
    <x v="2"/>
    <d v="2026-05-19T00:00:00"/>
    <d v="2026-05-19T00:00:00"/>
    <x v="24"/>
    <s v="SGD"/>
    <n v="108.03"/>
    <n v="0"/>
    <n v="108.03"/>
    <x v="778"/>
    <s v="TAI ER SAUERKRAUT FISH SI"/>
    <m/>
    <s v="Team meal"/>
    <x v="18"/>
    <x v="4"/>
    <x v="11"/>
    <x v="0"/>
    <s v="OCBC SGD"/>
    <m/>
    <m/>
    <m/>
    <m/>
  </r>
  <r>
    <x v="0"/>
    <x v="2"/>
    <d v="2026-05-19T00:00:00"/>
    <d v="2026-05-19T00:00:00"/>
    <x v="24"/>
    <s v="SGD"/>
    <n v="93.4"/>
    <n v="0"/>
    <n v="93.4"/>
    <x v="779"/>
    <s v="WONDERFUL BAPSANG"/>
    <m/>
    <s v="WONDERFUL BAPSANG - Business meal"/>
    <x v="34"/>
    <x v="25"/>
    <x v="11"/>
    <x v="0"/>
    <s v="OCBC SGD"/>
    <m/>
    <m/>
    <m/>
    <m/>
  </r>
  <r>
    <x v="0"/>
    <x v="2"/>
    <d v="2026-05-20T00:00:00"/>
    <d v="2026-05-20T00:00:00"/>
    <x v="114"/>
    <s v="SGD"/>
    <n v="137.21"/>
    <n v="0"/>
    <n v="137.21"/>
    <x v="780"/>
    <s v="SUHANG XIANGBAN PTE. L "/>
    <m/>
    <s v="Suhang Gourmet Pte Ltd - business meal"/>
    <x v="34"/>
    <x v="25"/>
    <x v="11"/>
    <x v="0"/>
    <s v="OCBC SGD"/>
    <m/>
    <m/>
    <m/>
    <m/>
  </r>
  <r>
    <x v="0"/>
    <x v="2"/>
    <d v="2026-05-22T00:00:00"/>
    <d v="2026-05-22T00:00:00"/>
    <x v="44"/>
    <s v="SGD"/>
    <n v="9.5"/>
    <n v="0"/>
    <n v="9.5"/>
    <x v="781"/>
    <s v="ISTEAKS SUNTEC CITY"/>
    <m/>
    <s v="Isteaks - Farewell for Charlie"/>
    <x v="18"/>
    <x v="4"/>
    <x v="11"/>
    <x v="0"/>
    <s v="OCBC SGD"/>
    <m/>
    <m/>
    <m/>
    <m/>
  </r>
  <r>
    <x v="0"/>
    <x v="2"/>
    <d v="2026-05-22T00:00:00"/>
    <d v="2026-05-22T00:00:00"/>
    <x v="44"/>
    <s v="SGD"/>
    <n v="19"/>
    <n v="0"/>
    <n v="19"/>
    <x v="782"/>
    <s v="ISTEAKS SUNTEC CITY"/>
    <m/>
    <s v="Isteaks - Farewell for Charlie"/>
    <x v="18"/>
    <x v="4"/>
    <x v="11"/>
    <x v="0"/>
    <s v="OCBC SGD"/>
    <m/>
    <m/>
    <m/>
    <m/>
  </r>
  <r>
    <x v="0"/>
    <x v="2"/>
    <d v="2026-05-22T00:00:00"/>
    <d v="2026-05-22T00:00:00"/>
    <x v="44"/>
    <s v="SGD"/>
    <n v="102.3"/>
    <n v="0"/>
    <n v="102.3"/>
    <x v="783"/>
    <s v="ISTEAKS SUNTEC CITY"/>
    <m/>
    <s v="Isteaks - Farewell for Charlie"/>
    <x v="18"/>
    <x v="4"/>
    <x v="11"/>
    <x v="0"/>
    <s v="OCBC SGD"/>
    <m/>
    <m/>
    <m/>
    <m/>
  </r>
  <r>
    <x v="0"/>
    <x v="2"/>
    <d v="2026-05-25T00:00:00"/>
    <d v="2026-05-25T00:00:00"/>
    <x v="44"/>
    <s v="SGD"/>
    <n v="2206.63"/>
    <n v="0"/>
    <n v="2206.63"/>
    <x v="784"/>
    <s v="Payroll-Jin Chao"/>
    <s v="Payroll /2020605"/>
    <s v="Salary - May 2026"/>
    <x v="17"/>
    <x v="8"/>
    <x v="3"/>
    <x v="0"/>
    <s v="OCBC SGD"/>
    <m/>
    <m/>
    <m/>
    <m/>
  </r>
  <r>
    <x v="0"/>
    <x v="2"/>
    <d v="2026-05-19T00:00:00"/>
    <d v="2026-05-29T00:00:00"/>
    <x v="115"/>
    <s v="SGD"/>
    <n v="16377.27"/>
    <n v="0"/>
    <n v="16377.27"/>
    <x v="785"/>
    <s v="Iras-Income Tax"/>
    <s v="Payment Slip Number 25530286881052"/>
    <s v="Directive to Pay Tax for Wu WenLong"/>
    <x v="27"/>
    <x v="20"/>
    <x v="3"/>
    <x v="0"/>
    <s v="OCBC SGD"/>
    <m/>
    <m/>
    <m/>
    <m/>
  </r>
  <r>
    <x v="0"/>
    <x v="2"/>
    <d v="2026-05-07T00:00:00"/>
    <d v="2026-05-21T00:00:00"/>
    <x v="45"/>
    <s v="SGD"/>
    <n v="139.38"/>
    <n v="12.54"/>
    <n v="151.91999999999999"/>
    <x v="786"/>
    <s v="Flo Energy Singapore Pte Ltd"/>
    <s v="T2610003170"/>
    <s v="Electricity for #14-04 Suntec Tower 3 (1 Apr 2026 - 30 Apr 2026)"/>
    <x v="12"/>
    <x v="10"/>
    <x v="1"/>
    <x v="0"/>
    <m/>
    <m/>
    <m/>
    <m/>
    <m/>
  </r>
  <r>
    <x v="0"/>
    <x v="2"/>
    <d v="2026-05-30T00:00:00"/>
    <d v="2026-05-30T00:00:00"/>
    <x v="116"/>
    <s v="SGD"/>
    <n v="-53.92"/>
    <n v="0"/>
    <n v="-53.92"/>
    <x v="787"/>
    <s v="OCBC SGD"/>
    <s v="Bank Charges 30/05/2026"/>
    <s v="Cash Rebate"/>
    <x v="16"/>
    <x v="14"/>
    <x v="0"/>
    <x v="0"/>
    <m/>
    <m/>
    <m/>
    <m/>
    <m/>
  </r>
  <r>
    <x v="0"/>
    <x v="2"/>
    <d v="2026-05-28T00:00:00"/>
    <d v="2026-05-28T00:00:00"/>
    <x v="116"/>
    <s v="SGD"/>
    <n v="142.62"/>
    <n v="12.83"/>
    <n v="155.44999999999999"/>
    <x v="788"/>
    <s v="Xero (Singapore) Pte. Ltd."/>
    <s v="INV-715032"/>
    <s v="Monthly Subscription, Additional Expenses Charges, Expenses"/>
    <x v="8"/>
    <x v="6"/>
    <x v="0"/>
    <x v="0"/>
    <m/>
    <m/>
    <m/>
    <m/>
    <m/>
  </r>
  <r>
    <x v="0"/>
    <x v="2"/>
    <d v="2026-05-28T00:00:00"/>
    <d v="2026-05-28T00:00:00"/>
    <x v="116"/>
    <s v="SGD"/>
    <n v="67.89"/>
    <n v="6.11"/>
    <n v="74"/>
    <x v="789"/>
    <s v="Xero (Singapore) Pte. Ltd."/>
    <s v="INV-715032"/>
    <s v="Additional Project Charges, Monthly fee, Projects"/>
    <x v="8"/>
    <x v="6"/>
    <x v="4"/>
    <x v="2"/>
    <m/>
    <m/>
    <m/>
    <m/>
    <m/>
  </r>
  <r>
    <x v="0"/>
    <x v="2"/>
    <d v="2026-05-28T00:00:00"/>
    <d v="2026-05-28T00:00:00"/>
    <x v="47"/>
    <s v="SGD"/>
    <n v="172.18"/>
    <n v="0"/>
    <n v="172.18"/>
    <x v="790"/>
    <s v="HEN LE SHAN  "/>
    <m/>
    <s v="Business meal"/>
    <x v="34"/>
    <x v="25"/>
    <x v="11"/>
    <x v="0"/>
    <m/>
    <m/>
    <m/>
    <m/>
    <m/>
  </r>
  <r>
    <x v="0"/>
    <x v="2"/>
    <d v="2026-01-06T00:00:00"/>
    <d v="2026-01-06T00:00:00"/>
    <x v="47"/>
    <s v="SGD"/>
    <n v="23892"/>
    <n v="2150.2800000000002"/>
    <n v="26042.28"/>
    <x v="791"/>
    <s v="HTSG A/C Suntec Reit"/>
    <s v="SOT3-020850"/>
    <s v="Office Rental - 14-04, TOWER3, SG - June 2026"/>
    <x v="23"/>
    <x v="17"/>
    <x v="1"/>
    <x v="0"/>
    <m/>
    <m/>
    <m/>
    <m/>
    <m/>
  </r>
  <r>
    <x v="0"/>
    <x v="2"/>
    <d v="2026-05-31T00:00:00"/>
    <d v="2026-05-31T00:00:00"/>
    <x v="47"/>
    <s v="SGD"/>
    <n v="600"/>
    <n v="0"/>
    <n v="600"/>
    <x v="510"/>
    <s v="Sulin Kwok Kwai Lian"/>
    <s v="May 2026"/>
    <s v="Cleaning Fees May 2026"/>
    <x v="41"/>
    <x v="31"/>
    <x v="1"/>
    <x v="0"/>
    <m/>
    <m/>
    <m/>
    <m/>
    <m/>
  </r>
  <r>
    <x v="0"/>
    <x v="2"/>
    <d v="2026-04-05T00:00:00"/>
    <d v="2026-03-06T00:00:00"/>
    <x v="47"/>
    <s v="SGD"/>
    <n v="158"/>
    <n v="14.22"/>
    <n v="172.22"/>
    <x v="383"/>
    <s v="JK Technology Pte Ltd"/>
    <s v="I26055701"/>
    <s v="Lease liability - May26"/>
    <x v="13"/>
    <x v="11"/>
    <x v="5"/>
    <x v="0"/>
    <m/>
    <m/>
    <m/>
    <m/>
    <m/>
  </r>
  <r>
    <x v="0"/>
    <x v="2"/>
    <d v="2026-04-05T00:00:00"/>
    <d v="2026-03-06T00:00:00"/>
    <x v="47"/>
    <s v="SGD"/>
    <n v="70"/>
    <n v="6.3"/>
    <n v="76.3"/>
    <x v="384"/>
    <s v="JK Technology Pte Ltd"/>
    <s v="I26055700"/>
    <s v="Lease liability - May26"/>
    <x v="13"/>
    <x v="11"/>
    <x v="5"/>
    <x v="0"/>
    <m/>
    <m/>
    <m/>
    <m/>
    <m/>
  </r>
  <r>
    <x v="0"/>
    <x v="2"/>
    <d v="2026-04-05T00:00:00"/>
    <d v="2026-03-06T00:00:00"/>
    <x v="47"/>
    <s v="SGD"/>
    <n v="584.1"/>
    <n v="52.57"/>
    <n v="636.66999999999996"/>
    <x v="385"/>
    <s v="JK Technology Pte Ltd"/>
    <s v="I26055699"/>
    <s v="Lease liability - May26"/>
    <x v="13"/>
    <x v="11"/>
    <x v="5"/>
    <x v="0"/>
    <m/>
    <m/>
    <m/>
    <m/>
    <m/>
  </r>
  <r>
    <x v="0"/>
    <x v="2"/>
    <d v="2026-05-08T00:00:00"/>
    <d v="2026-06-07T00:00:00"/>
    <x v="117"/>
    <s v="SGD"/>
    <n v="-295564.06"/>
    <n v="0"/>
    <n v="-295564.06"/>
    <x v="792"/>
    <s v="Getech (ShenZhen) Co., Ltd"/>
    <s v="INV 2605002"/>
    <s v="Technical Service Fee - 50% kick off payment"/>
    <x v="15"/>
    <x v="13"/>
    <x v="8"/>
    <x v="2"/>
    <m/>
    <m/>
    <m/>
    <m/>
    <m/>
  </r>
  <r>
    <x v="0"/>
    <x v="2"/>
    <d v="2026-06-03T00:00:00"/>
    <d v="2026-06-03T00:00:00"/>
    <x v="117"/>
    <s v="SGD"/>
    <n v="0.19"/>
    <n v="0"/>
    <n v="0.19"/>
    <x v="319"/>
    <s v="OCBC SGD"/>
    <s v="Bank Charges 03/06/2026"/>
    <s v="Bank Charges for the exchange rate for Inv 2605002"/>
    <x v="0"/>
    <x v="0"/>
    <x v="0"/>
    <x v="0"/>
    <m/>
    <m/>
    <m/>
    <m/>
    <m/>
  </r>
  <r>
    <x v="0"/>
    <x v="2"/>
    <d v="2026-06-02T00:00:00"/>
    <d v="2026-07-02T00:00:00"/>
    <x v="118"/>
    <s v="SGD"/>
    <m/>
    <m/>
    <n v="73.39"/>
    <x v="793"/>
    <s v="Xero (NZ) Ltd"/>
    <s v="IN-6720236"/>
    <s v="Monthly Subscription 28 May 2026 to 27 Jun 2026"/>
    <x v="43"/>
    <x v="15"/>
    <x v="0"/>
    <x v="0"/>
    <m/>
    <m/>
    <m/>
    <m/>
    <m/>
  </r>
  <r>
    <x v="0"/>
    <x v="2"/>
    <d v="2026-05-31T00:00:00"/>
    <d v="2026-06-08T00:00:00"/>
    <x v="119"/>
    <s v="SGD"/>
    <n v="31330.5"/>
    <n v="0"/>
    <n v="31330.5"/>
    <x v="794"/>
    <s v="Central Provident Fund "/>
    <s v="CPF 2026/05"/>
    <s v="CPF Contribution for May 2026"/>
    <x v="17"/>
    <x v="8"/>
    <x v="3"/>
    <x v="0"/>
    <m/>
    <m/>
    <m/>
    <m/>
    <m/>
  </r>
  <r>
    <x v="0"/>
    <x v="2"/>
    <d v="2026-06-05T00:00:00"/>
    <d v="2026-06-05T00:00:00"/>
    <x v="119"/>
    <s v="SGD"/>
    <n v="175.9"/>
    <n v="0"/>
    <n v="175.9"/>
    <x v="795"/>
    <s v="XIABU XIABU SUNTEC"/>
    <m/>
    <s v="Business meal"/>
    <x v="34"/>
    <x v="25"/>
    <x v="11"/>
    <x v="0"/>
    <m/>
    <m/>
    <m/>
    <m/>
    <m/>
  </r>
  <r>
    <x v="0"/>
    <x v="2"/>
    <d v="2026-06-08T00:00:00"/>
    <d v="2026-06-08T00:00:00"/>
    <x v="120"/>
    <s v="SGD"/>
    <n v="51.32"/>
    <n v="0"/>
    <n v="51.32"/>
    <x v="796"/>
    <s v="TAI ER SAUERKRAUT FIS"/>
    <m/>
    <s v="Team meal"/>
    <x v="18"/>
    <x v="4"/>
    <x v="11"/>
    <x v="0"/>
    <m/>
    <m/>
    <m/>
    <m/>
    <m/>
  </r>
  <r>
    <x v="0"/>
    <x v="2"/>
    <d v="2026-06-08T00:00:00"/>
    <d v="2026-06-08T00:00:00"/>
    <x v="120"/>
    <s v="SGD"/>
    <n v="125.9"/>
    <n v="0"/>
    <n v="125.9"/>
    <x v="797"/>
    <s v="NOTES  SPIRITS PTE. L"/>
    <m/>
    <s v="Business meal"/>
    <x v="34"/>
    <x v="25"/>
    <x v="11"/>
    <x v="0"/>
    <m/>
    <m/>
    <m/>
    <m/>
    <m/>
  </r>
  <r>
    <x v="0"/>
    <x v="2"/>
    <d v="2026-04-28T00:00:00"/>
    <d v="2026-06-12T00:00:00"/>
    <x v="121"/>
    <s v="SGD"/>
    <n v="245688"/>
    <n v="22111.919999999998"/>
    <n v="267799.92"/>
    <x v="798"/>
    <s v="ABeam Consulting (Singapore) Pte Ltd"/>
    <n v="1200312539"/>
    <s v="Purchase of S4 HAHA PMC License_x000a_- SAP Finance Base_x000a_- SAP Supply Chain Base_x000a_- SAP Integration Suite,Standard edition_x000a_- SAP AI Unit"/>
    <x v="38"/>
    <x v="29"/>
    <x v="0"/>
    <x v="0"/>
    <m/>
    <m/>
    <m/>
    <m/>
    <m/>
  </r>
  <r>
    <x v="0"/>
    <x v="2"/>
    <d v="2026-06-09T00:00:00"/>
    <d v="2026-06-09T00:00:00"/>
    <x v="121"/>
    <s v="SGD"/>
    <n v="58.15"/>
    <n v="0"/>
    <n v="58.15"/>
    <x v="799"/>
    <s v="XIN WANG-SUNTEC CITY"/>
    <m/>
    <s v="Team meal"/>
    <x v="18"/>
    <x v="4"/>
    <x v="11"/>
    <x v="0"/>
    <m/>
    <m/>
    <m/>
    <m/>
    <m/>
  </r>
  <r>
    <x v="0"/>
    <x v="2"/>
    <d v="2026-06-09T00:00:00"/>
    <d v="2026-06-22T00:00:00"/>
    <x v="121"/>
    <s v="SGD"/>
    <n v="31"/>
    <n v="0"/>
    <n v="31"/>
    <x v="800"/>
    <s v="SkillsFuture Singapore Agency"/>
    <m/>
    <s v="Outstanding SDL Payable for year 2025"/>
    <x v="28"/>
    <x v="21"/>
    <x v="3"/>
    <x v="0"/>
    <m/>
    <m/>
    <m/>
    <m/>
    <m/>
  </r>
  <r>
    <x v="0"/>
    <x v="2"/>
    <d v="2026-06-10T00:00:00"/>
    <d v="2026-06-10T00:00:00"/>
    <x v="122"/>
    <s v="SGD"/>
    <n v="31.65"/>
    <n v="0"/>
    <n v="31.65"/>
    <x v="801"/>
    <s v="BUTAHAGE-SNC"/>
    <m/>
    <s v="Team meal"/>
    <x v="18"/>
    <x v="4"/>
    <x v="11"/>
    <x v="0"/>
    <m/>
    <m/>
    <m/>
    <m/>
    <m/>
  </r>
  <r>
    <x v="0"/>
    <x v="2"/>
    <d v="2026-06-10T00:00:00"/>
    <d v="2026-06-10T00:00:00"/>
    <x v="122"/>
    <s v="SGD"/>
    <n v="100.23"/>
    <n v="0"/>
    <n v="100.23"/>
    <x v="802"/>
    <s v="River Snail Rice Noodl "/>
    <m/>
    <s v="Business meal"/>
    <x v="34"/>
    <x v="25"/>
    <x v="11"/>
    <x v="0"/>
    <m/>
    <m/>
    <m/>
    <m/>
    <m/>
  </r>
  <r>
    <x v="0"/>
    <x v="2"/>
    <d v="2026-06-11T00:00:00"/>
    <d v="2026-06-11T00:00:00"/>
    <x v="123"/>
    <s v="SGD"/>
    <n v="34.53"/>
    <n v="0"/>
    <n v="34.53"/>
    <x v="803"/>
    <s v="XIAHUANG CRAYFISH"/>
    <m/>
    <s v="Team meal"/>
    <x v="18"/>
    <x v="4"/>
    <x v="11"/>
    <x v="0"/>
    <m/>
    <m/>
    <m/>
    <m/>
    <m/>
  </r>
  <r>
    <x v="0"/>
    <x v="2"/>
    <d v="2026-06-12T00:00:00"/>
    <d v="2026-06-12T00:00:00"/>
    <x v="27"/>
    <s v="SGD"/>
    <n v="143.9"/>
    <n v="0"/>
    <n v="143.9"/>
    <x v="804"/>
    <s v="Mamacita Beer POOL. Pizza"/>
    <s v="Debit Purchase"/>
    <s v="Business meal"/>
    <x v="34"/>
    <x v="25"/>
    <x v="11"/>
    <x v="0"/>
    <m/>
    <m/>
    <m/>
    <m/>
    <m/>
  </r>
  <r>
    <x v="0"/>
    <x v="2"/>
    <d v="2026-04-01T00:00:00"/>
    <d v="2026-05-01T00:00:00"/>
    <x v="27"/>
    <s v="SGD"/>
    <n v="-16000"/>
    <n v="-1440"/>
    <n v="-17440"/>
    <x v="805"/>
    <s v="Armstrong Industrial Corporation Limited"/>
    <s v="INV 2604003"/>
    <s v="Project milestone: Phase 1 - 40% upon kick off AX Trace Smart Factory Data Platform"/>
    <x v="15"/>
    <x v="13"/>
    <x v="14"/>
    <x v="1"/>
    <m/>
    <m/>
    <m/>
    <m/>
    <m/>
  </r>
  <r>
    <x v="0"/>
    <x v="2"/>
    <d v="2026-04-09T00:00:00"/>
    <d v="2026-05-09T00:00:00"/>
    <x v="27"/>
    <s v="SGD"/>
    <n v="-46400"/>
    <n v="-4176"/>
    <n v="-50576"/>
    <x v="806"/>
    <s v="Armstrong Industrial Corporation Limited"/>
    <s v="INV 2604006"/>
    <s v="Implementation Fees - MY JB (Kick Off)"/>
    <x v="15"/>
    <x v="13"/>
    <x v="14"/>
    <x v="1"/>
    <m/>
    <m/>
    <m/>
    <m/>
    <m/>
  </r>
  <r>
    <x v="0"/>
    <x v="2"/>
    <d v="2026-06-15T00:00:00"/>
    <d v="2026-06-15T00:00:00"/>
    <x v="27"/>
    <s v="SGD"/>
    <n v="168.09"/>
    <n v="0"/>
    <n v="168.09"/>
    <x v="807"/>
    <s v="Staff Claim May26"/>
    <m/>
    <s v="Total Accommodation - International"/>
    <x v="31"/>
    <x v="1"/>
    <x v="11"/>
    <x v="0"/>
    <m/>
    <m/>
    <m/>
    <m/>
    <m/>
  </r>
  <r>
    <x v="0"/>
    <x v="2"/>
    <d v="2026-06-15T00:00:00"/>
    <d v="2026-06-15T00:00:00"/>
    <x v="27"/>
    <s v="SGD"/>
    <n v="1567"/>
    <n v="0"/>
    <n v="1567"/>
    <x v="808"/>
    <s v="Staff Claim May26"/>
    <m/>
    <s v="Total Business Meals - National"/>
    <x v="34"/>
    <x v="25"/>
    <x v="13"/>
    <x v="1"/>
    <m/>
    <m/>
    <m/>
    <m/>
    <m/>
  </r>
  <r>
    <x v="0"/>
    <x v="2"/>
    <d v="2026-06-15T00:00:00"/>
    <d v="2026-06-15T00:00:00"/>
    <x v="27"/>
    <s v="SGD"/>
    <n v="44.6"/>
    <n v="2.6"/>
    <n v="47.2"/>
    <x v="809"/>
    <s v="Staff Claim May26"/>
    <m/>
    <s v="Total Business Meals - National"/>
    <x v="34"/>
    <x v="25"/>
    <x v="14"/>
    <x v="1"/>
    <m/>
    <m/>
    <m/>
    <m/>
    <m/>
  </r>
  <r>
    <x v="0"/>
    <x v="2"/>
    <d v="2026-06-15T00:00:00"/>
    <d v="2026-06-15T00:00:00"/>
    <x v="27"/>
    <s v="SGD"/>
    <n v="959.66"/>
    <n v="86.36"/>
    <n v="1046.02"/>
    <x v="810"/>
    <s v="Staff Claim May26"/>
    <m/>
    <s v="Total Business Meals - National"/>
    <x v="34"/>
    <x v="25"/>
    <x v="11"/>
    <x v="0"/>
    <m/>
    <m/>
    <m/>
    <m/>
    <m/>
  </r>
  <r>
    <x v="0"/>
    <x v="2"/>
    <d v="2026-06-15T00:00:00"/>
    <d v="2026-06-15T00:00:00"/>
    <x v="27"/>
    <s v="SGD"/>
    <n v="219.16"/>
    <n v="0"/>
    <n v="219.16"/>
    <x v="811"/>
    <s v="Staff Claim May26"/>
    <m/>
    <s v="Total Contract Services - Project delivery"/>
    <x v="38"/>
    <x v="29"/>
    <x v="8"/>
    <x v="2"/>
    <m/>
    <m/>
    <m/>
    <m/>
    <m/>
  </r>
  <r>
    <x v="0"/>
    <x v="2"/>
    <d v="2026-06-15T00:00:00"/>
    <d v="2026-06-15T00:00:00"/>
    <x v="27"/>
    <s v="SGD"/>
    <n v="300"/>
    <n v="27"/>
    <n v="327"/>
    <x v="812"/>
    <s v="Staff Claim May26"/>
    <m/>
    <s v="Total Marketing Expense"/>
    <x v="58"/>
    <x v="36"/>
    <x v="12"/>
    <x v="2"/>
    <m/>
    <m/>
    <m/>
    <m/>
    <m/>
  </r>
  <r>
    <x v="0"/>
    <x v="2"/>
    <d v="2026-06-15T00:00:00"/>
    <d v="2026-06-15T00:00:00"/>
    <x v="27"/>
    <s v="SGD"/>
    <n v="80.900000000000006"/>
    <n v="0"/>
    <n v="80.900000000000006"/>
    <x v="813"/>
    <s v="Staff Claim May26"/>
    <m/>
    <s v="Total Office Supplies"/>
    <x v="5"/>
    <x v="5"/>
    <x v="5"/>
    <x v="0"/>
    <m/>
    <m/>
    <m/>
    <m/>
    <m/>
  </r>
  <r>
    <x v="0"/>
    <x v="2"/>
    <d v="2026-06-15T00:00:00"/>
    <d v="2026-06-15T00:00:00"/>
    <x v="27"/>
    <s v="SGD"/>
    <n v="33.94"/>
    <n v="0"/>
    <n v="33.94"/>
    <x v="814"/>
    <s v="Staff Claim May26"/>
    <m/>
    <s v="Total Personal Meals - International"/>
    <x v="19"/>
    <x v="1"/>
    <x v="11"/>
    <x v="0"/>
    <m/>
    <m/>
    <m/>
    <m/>
    <m/>
  </r>
  <r>
    <x v="0"/>
    <x v="2"/>
    <d v="2026-06-15T00:00:00"/>
    <d v="2026-06-15T00:00:00"/>
    <x v="27"/>
    <s v="SGD"/>
    <n v="221.43"/>
    <n v="12.06"/>
    <n v="233.49"/>
    <x v="815"/>
    <s v="Staff Claim May26"/>
    <m/>
    <s v="Total Personal Meals - International"/>
    <x v="19"/>
    <x v="1"/>
    <x v="13"/>
    <x v="1"/>
    <m/>
    <m/>
    <m/>
    <m/>
    <m/>
  </r>
  <r>
    <x v="0"/>
    <x v="2"/>
    <d v="2026-06-15T00:00:00"/>
    <d v="2026-06-15T00:00:00"/>
    <x v="27"/>
    <s v="SGD"/>
    <n v="0.01"/>
    <n v="0"/>
    <n v="0.01"/>
    <x v="816"/>
    <s v="Staff Claim May26"/>
    <m/>
    <s v="Total Rounding"/>
    <x v="0"/>
    <x v="0"/>
    <x v="13"/>
    <x v="1"/>
    <m/>
    <m/>
    <m/>
    <m/>
    <m/>
  </r>
  <r>
    <x v="0"/>
    <x v="2"/>
    <d v="2026-06-15T00:00:00"/>
    <d v="2026-06-15T00:00:00"/>
    <x v="27"/>
    <s v="SGD"/>
    <n v="2500"/>
    <n v="0"/>
    <n v="2500"/>
    <x v="817"/>
    <s v="Staff Claim May26"/>
    <m/>
    <s v="Total Staff Allowance"/>
    <x v="60"/>
    <x v="8"/>
    <x v="13"/>
    <x v="1"/>
    <m/>
    <m/>
    <m/>
    <m/>
    <m/>
  </r>
  <r>
    <x v="0"/>
    <x v="2"/>
    <d v="2026-06-15T00:00:00"/>
    <d v="2026-06-15T00:00:00"/>
    <x v="27"/>
    <s v="SGD"/>
    <n v="59.15"/>
    <n v="3.22"/>
    <n v="62.37"/>
    <x v="818"/>
    <s v="Staff Claim May26"/>
    <m/>
    <s v="Total Staff Welfare - Meal &amp; Refreshment"/>
    <x v="18"/>
    <x v="4"/>
    <x v="11"/>
    <x v="0"/>
    <m/>
    <m/>
    <m/>
    <m/>
    <m/>
  </r>
  <r>
    <x v="0"/>
    <x v="2"/>
    <d v="2026-06-15T00:00:00"/>
    <d v="2026-06-15T00:00:00"/>
    <x v="27"/>
    <s v="SGD"/>
    <n v="177.84"/>
    <n v="16.010000000000002"/>
    <n v="193.85"/>
    <x v="819"/>
    <s v="Staff Claim May26"/>
    <m/>
    <s v="Total Staff Welfare - Medical Expenses"/>
    <x v="35"/>
    <x v="4"/>
    <x v="13"/>
    <x v="1"/>
    <m/>
    <m/>
    <m/>
    <m/>
    <m/>
  </r>
  <r>
    <x v="0"/>
    <x v="2"/>
    <d v="2026-06-15T00:00:00"/>
    <d v="2026-06-15T00:00:00"/>
    <x v="27"/>
    <s v="SGD"/>
    <n v="108.16"/>
    <n v="3.98"/>
    <n v="112.14"/>
    <x v="820"/>
    <s v="Staff Claim May26"/>
    <m/>
    <s v="Total Subscription Fee"/>
    <x v="8"/>
    <x v="6"/>
    <x v="14"/>
    <x v="1"/>
    <m/>
    <m/>
    <m/>
    <m/>
    <m/>
  </r>
  <r>
    <x v="0"/>
    <x v="2"/>
    <d v="2026-06-15T00:00:00"/>
    <d v="2026-06-15T00:00:00"/>
    <x v="27"/>
    <s v="SGD"/>
    <n v="11.84"/>
    <n v="0"/>
    <n v="11.84"/>
    <x v="821"/>
    <s v="Staff Claim May26"/>
    <m/>
    <s v="Total Subscription Fee"/>
    <x v="8"/>
    <x v="6"/>
    <x v="13"/>
    <x v="1"/>
    <m/>
    <m/>
    <m/>
    <m/>
    <m/>
  </r>
  <r>
    <x v="0"/>
    <x v="2"/>
    <d v="2026-06-15T00:00:00"/>
    <d v="2026-06-15T00:00:00"/>
    <x v="27"/>
    <s v="SGD"/>
    <n v="135.43"/>
    <n v="0"/>
    <n v="135.43"/>
    <x v="822"/>
    <s v="Staff Claim May26"/>
    <m/>
    <s v="Total Subscription Fee"/>
    <x v="8"/>
    <x v="6"/>
    <x v="5"/>
    <x v="0"/>
    <m/>
    <m/>
    <m/>
    <m/>
    <m/>
  </r>
  <r>
    <x v="0"/>
    <x v="2"/>
    <d v="2026-06-15T00:00:00"/>
    <d v="2026-06-15T00:00:00"/>
    <x v="27"/>
    <s v="SGD"/>
    <n v="28.84"/>
    <n v="0"/>
    <n v="28.84"/>
    <x v="823"/>
    <s v="Staff Claim May26"/>
    <m/>
    <s v="Total Subscription Fee"/>
    <x v="8"/>
    <x v="6"/>
    <x v="12"/>
    <x v="2"/>
    <m/>
    <m/>
    <m/>
    <m/>
    <m/>
  </r>
  <r>
    <x v="0"/>
    <x v="2"/>
    <d v="2026-06-15T00:00:00"/>
    <d v="2026-06-15T00:00:00"/>
    <x v="27"/>
    <s v="SGD"/>
    <n v="3103.3"/>
    <n v="0"/>
    <n v="3103.3"/>
    <x v="824"/>
    <s v="Staff Claim May26"/>
    <m/>
    <s v="Total Transportation fee - International"/>
    <x v="6"/>
    <x v="1"/>
    <x v="11"/>
    <x v="0"/>
    <m/>
    <m/>
    <m/>
    <m/>
    <m/>
  </r>
  <r>
    <x v="0"/>
    <x v="2"/>
    <d v="2026-06-15T00:00:00"/>
    <d v="2026-06-15T00:00:00"/>
    <x v="27"/>
    <s v="SGD"/>
    <n v="1283.9899999999998"/>
    <n v="0"/>
    <n v="1283.9899999999998"/>
    <x v="825"/>
    <s v="Staff Claim May26"/>
    <m/>
    <s v="Total Transportation fee - International"/>
    <x v="6"/>
    <x v="1"/>
    <x v="13"/>
    <x v="1"/>
    <m/>
    <m/>
    <m/>
    <m/>
    <m/>
  </r>
  <r>
    <x v="0"/>
    <x v="2"/>
    <d v="2026-06-15T00:00:00"/>
    <d v="2026-06-15T00:00:00"/>
    <x v="27"/>
    <s v="SGD"/>
    <n v="49.35"/>
    <n v="0"/>
    <n v="49.35"/>
    <x v="826"/>
    <s v="Staff Claim May26"/>
    <m/>
    <s v="Total Transportation fee - National"/>
    <x v="7"/>
    <x v="1"/>
    <x v="13"/>
    <x v="1"/>
    <m/>
    <m/>
    <m/>
    <m/>
    <m/>
  </r>
  <r>
    <x v="0"/>
    <x v="2"/>
    <d v="2026-06-15T00:00:00"/>
    <d v="2026-06-15T00:00:00"/>
    <x v="27"/>
    <s v="SGD"/>
    <n v="84.8"/>
    <n v="0"/>
    <n v="84.8"/>
    <x v="827"/>
    <s v="Staff Claim May26"/>
    <m/>
    <s v="Total Transportation fee - National"/>
    <x v="7"/>
    <x v="1"/>
    <x v="12"/>
    <x v="2"/>
    <m/>
    <m/>
    <m/>
    <m/>
    <m/>
  </r>
  <r>
    <x v="0"/>
    <x v="2"/>
    <d v="2026-06-15T00:00:00"/>
    <d v="2026-06-15T00:00:00"/>
    <x v="27"/>
    <s v="SGD"/>
    <n v="16.2"/>
    <n v="0"/>
    <n v="16.2"/>
    <x v="828"/>
    <s v="Staff Claim May26"/>
    <m/>
    <s v="Total Transportation fee - National"/>
    <x v="7"/>
    <x v="1"/>
    <x v="3"/>
    <x v="0"/>
    <m/>
    <m/>
    <m/>
    <m/>
    <m/>
  </r>
  <r>
    <x v="0"/>
    <x v="2"/>
    <d v="2026-06-15T00:00:00"/>
    <d v="2026-06-15T00:00:00"/>
    <x v="27"/>
    <s v="SGD"/>
    <n v="1565.1"/>
    <n v="0"/>
    <n v="1565.1"/>
    <x v="829"/>
    <s v="Staff Claim May26"/>
    <m/>
    <s v="Total Transportation fee - National"/>
    <x v="7"/>
    <x v="1"/>
    <x v="11"/>
    <x v="0"/>
    <m/>
    <m/>
    <m/>
    <m/>
    <m/>
  </r>
  <r>
    <x v="0"/>
    <x v="2"/>
    <d v="2026-06-16T00:00:00"/>
    <d v="2026-06-16T00:00:00"/>
    <x v="48"/>
    <s v="SGD"/>
    <n v="152.03"/>
    <n v="0"/>
    <n v="152.03"/>
    <x v="830"/>
    <s v="Pang Pang"/>
    <m/>
    <s v="Business meal"/>
    <x v="34"/>
    <x v="25"/>
    <x v="11"/>
    <x v="0"/>
    <m/>
    <m/>
    <m/>
    <m/>
    <m/>
  </r>
  <r>
    <x v="0"/>
    <x v="2"/>
    <d v="2026-06-16T00:00:00"/>
    <d v="2026-06-16T00:00:00"/>
    <x v="48"/>
    <s v="SGD"/>
    <n v="72.78"/>
    <n v="0"/>
    <n v="72.78"/>
    <x v="831"/>
    <s v="SHANG YI TANG"/>
    <m/>
    <s v="Team lunch"/>
    <x v="18"/>
    <x v="4"/>
    <x v="11"/>
    <x v="0"/>
    <m/>
    <m/>
    <m/>
    <m/>
    <m/>
  </r>
  <r>
    <x v="0"/>
    <x v="2"/>
    <d v="2026-06-15T00:00:00"/>
    <d v="2026-06-15T00:00:00"/>
    <x v="48"/>
    <s v="SGD"/>
    <n v="22.4"/>
    <n v="0"/>
    <n v="22.4"/>
    <x v="832"/>
    <s v="Downstairs"/>
    <m/>
    <s v="Team lunch"/>
    <x v="18"/>
    <x v="4"/>
    <x v="11"/>
    <x v="0"/>
    <m/>
    <m/>
    <m/>
    <m/>
    <m/>
  </r>
  <r>
    <x v="0"/>
    <x v="2"/>
    <d v="2026-06-17T00:00:00"/>
    <d v="2026-06-17T00:00:00"/>
    <x v="124"/>
    <s v="SGD"/>
    <n v="86.77"/>
    <n v="0"/>
    <n v="86.77"/>
    <x v="833"/>
    <s v="xx-JIU FU PTE. LTD."/>
    <s v="Debit Purchase"/>
    <s v="Business meal"/>
    <x v="34"/>
    <x v="25"/>
    <x v="11"/>
    <x v="0"/>
    <m/>
    <m/>
    <m/>
    <m/>
    <m/>
  </r>
  <r>
    <x v="0"/>
    <x v="2"/>
    <d v="2026-06-19T00:00:00"/>
    <d v="2026-06-19T00:00:00"/>
    <x v="125"/>
    <s v="SGD"/>
    <n v="46.64"/>
    <n v="0"/>
    <n v="46.64"/>
    <x v="834"/>
    <s v="BEAUTIFUL LAI GRILLD F SIN"/>
    <s v="Debit Purchase"/>
    <s v="Team meal"/>
    <x v="18"/>
    <x v="4"/>
    <x v="11"/>
    <x v="0"/>
    <m/>
    <m/>
    <m/>
    <m/>
    <m/>
  </r>
  <r>
    <x v="0"/>
    <x v="2"/>
    <d v="2026-06-22T00:00:00"/>
    <d v="2026-07-22T00:00:00"/>
    <x v="125"/>
    <s v="SGD"/>
    <n v="-99"/>
    <n v="-8.91"/>
    <n v="-107.91"/>
    <x v="835"/>
    <s v="Infinix Hospitality Management Pte Ltd"/>
    <s v="INV 2606006"/>
    <s v="Ax Trace AI Scheduler Monthly Subscription - June 2026 (4/6)"/>
    <x v="15"/>
    <x v="13"/>
    <x v="8"/>
    <x v="2"/>
    <s v="Sales &amp; Pre-sales"/>
    <s v="Yes"/>
    <m/>
    <m/>
    <m/>
  </r>
  <r>
    <x v="0"/>
    <x v="2"/>
    <d v="2026-06-24T00:00:00"/>
    <d v="2026-06-24T00:00:00"/>
    <x v="126"/>
    <s v="SGD"/>
    <n v="-79812.600000000006"/>
    <n v="0"/>
    <n v="-79812.600000000006"/>
    <x v="836"/>
    <s v="OCBC USD"/>
    <s v="Internal Transfer "/>
    <s v="Internal Transfer received from USD to SGD"/>
    <x v="62"/>
    <x v="39"/>
    <x v="0"/>
    <x v="0"/>
    <m/>
    <m/>
    <m/>
    <m/>
    <m/>
  </r>
  <r>
    <x v="0"/>
    <x v="2"/>
    <d v="2026-06-25T00:00:00"/>
    <d v="2026-06-25T00:00:00"/>
    <x v="49"/>
    <s v="SGD"/>
    <n v="-6.41"/>
    <n v="0"/>
    <n v="-6.41"/>
    <x v="837"/>
    <s v="OCBC SGD"/>
    <s v="Bank Charges 25/06/2026"/>
    <s v="Cash Rebate"/>
    <x v="16"/>
    <x v="14"/>
    <x v="0"/>
    <x v="0"/>
    <m/>
    <m/>
    <m/>
    <m/>
    <m/>
  </r>
  <r>
    <x v="0"/>
    <x v="2"/>
    <d v="2026-06-21T00:00:00"/>
    <d v="2026-06-21T00:00:00"/>
    <x v="49"/>
    <s v="SGD"/>
    <n v="91.12"/>
    <n v="0"/>
    <n v="91.12"/>
    <x v="838"/>
    <s v="NASSIM HILL PTE. LTD."/>
    <s v="Debit Purchase"/>
    <s v="Business meal"/>
    <x v="34"/>
    <x v="25"/>
    <x v="11"/>
    <x v="0"/>
    <m/>
    <m/>
    <m/>
    <m/>
    <m/>
  </r>
  <r>
    <x v="0"/>
    <x v="2"/>
    <d v="2026-06-22T00:00:00"/>
    <d v="2026-06-22T00:00:00"/>
    <x v="49"/>
    <s v="SGD"/>
    <n v="72.13"/>
    <n v="0"/>
    <n v="72.13"/>
    <x v="839"/>
    <s v="YAKINIKU LIKE-SNC"/>
    <s v="Debit Purchase"/>
    <s v="Business meal"/>
    <x v="34"/>
    <x v="25"/>
    <x v="11"/>
    <x v="0"/>
    <m/>
    <m/>
    <m/>
    <m/>
    <m/>
  </r>
  <r>
    <x v="0"/>
    <x v="2"/>
    <d v="2026-04-21T00:00:00"/>
    <d v="2026-05-21T00:00:00"/>
    <x v="28"/>
    <s v="SGD"/>
    <n v="-8866.67"/>
    <n v="-798.00030000000004"/>
    <n v="-9664.6702999999998"/>
    <x v="840"/>
    <s v="VisionPower Semiconductor Manufacturing Company Pte Ltd"/>
    <s v="INV 2604011"/>
    <s v="POWER BI CONSULTANTS AS QUO : AXQ00015 for the month of April 2026"/>
    <x v="15"/>
    <x v="13"/>
    <x v="8"/>
    <x v="2"/>
    <m/>
    <s v="Yes"/>
    <m/>
    <m/>
    <m/>
  </r>
  <r>
    <x v="0"/>
    <x v="2"/>
    <d v="2026-05-22T00:00:00"/>
    <d v="2026-06-21T00:00:00"/>
    <x v="28"/>
    <s v="SGD"/>
    <n v="-8866.67"/>
    <n v="-798.00030000000004"/>
    <n v="-9664.6702999999998"/>
    <x v="840"/>
    <s v="VisionPower Semiconductor Manufacturing Company Pte Ltd"/>
    <s v="INV 2605008"/>
    <s v="Power BI Consultant Fees - May 2026"/>
    <x v="15"/>
    <x v="13"/>
    <x v="8"/>
    <x v="2"/>
    <s v="Sales &amp; Pre-sales"/>
    <s v="Yes"/>
    <m/>
    <m/>
    <m/>
  </r>
  <r>
    <x v="0"/>
    <x v="2"/>
    <d v="2026-05-22T00:00:00"/>
    <d v="2026-06-21T00:00:00"/>
    <x v="28"/>
    <s v="SGD"/>
    <n v="-8866.67"/>
    <n v="-798.00030000000004"/>
    <n v="-9664.6702999999998"/>
    <x v="840"/>
    <s v="VisionPower Semiconductor Manufacturing Company Pte Ltd"/>
    <s v="INV 2605009"/>
    <s v="Power BI Consultant Fees - May 2026"/>
    <x v="15"/>
    <x v="13"/>
    <x v="8"/>
    <x v="2"/>
    <s v="Sales &amp; Pre-sales"/>
    <s v="Yes"/>
    <m/>
    <m/>
    <m/>
  </r>
  <r>
    <x v="0"/>
    <x v="2"/>
    <d v="2026-05-22T00:00:00"/>
    <d v="2026-06-21T00:00:00"/>
    <x v="127"/>
    <s v="SGD"/>
    <n v="-2599"/>
    <n v="-233.91"/>
    <n v="-2832.91"/>
    <x v="841"/>
    <s v="Infinix Hospitality Management Pte Ltd"/>
    <s v="INV 2605006"/>
    <s v="Ax Trace AI Scheduler Monthly Subscription - May 2026 (3/6)"/>
    <x v="15"/>
    <x v="13"/>
    <x v="8"/>
    <x v="2"/>
    <s v="Sales &amp; Pre-sales"/>
    <s v="Yes"/>
    <m/>
    <m/>
    <m/>
  </r>
  <r>
    <x v="0"/>
    <x v="2"/>
    <d v="2026-06-24T00:00:00"/>
    <d v="2026-06-24T00:00:00"/>
    <x v="128"/>
    <s v="SGD"/>
    <n v="49.16"/>
    <n v="0"/>
    <n v="49.16"/>
    <x v="842"/>
    <s v="HOSHINO COFFEE"/>
    <m/>
    <m/>
    <x v="63"/>
    <x v="28"/>
    <x v="11"/>
    <x v="0"/>
    <m/>
    <m/>
    <m/>
    <m/>
    <m/>
  </r>
  <r>
    <x v="0"/>
    <x v="2"/>
    <d v="2026-06-25T00:00:00"/>
    <d v="2026-06-25T00:00:00"/>
    <x v="128"/>
    <s v="SGD"/>
    <n v="827"/>
    <n v="0"/>
    <n v="827"/>
    <x v="843"/>
    <s v="Trip.com Travel Singapore Pte Ltd"/>
    <s v="Microtel by Wyndham Batangas"/>
    <s v="Manila Hotel for 10nights (RM 2546.43)"/>
    <x v="43"/>
    <x v="15"/>
    <x v="9"/>
    <x v="4"/>
    <m/>
    <m/>
    <m/>
    <m/>
    <m/>
  </r>
  <r>
    <x v="0"/>
    <x v="2"/>
    <d v="2026-06-29T00:00:00"/>
    <d v="2026-06-29T00:00:00"/>
    <x v="129"/>
    <s v="SGD"/>
    <n v="29.61"/>
    <n v="0"/>
    <n v="29.61"/>
    <x v="844"/>
    <s v="OCBC SGD"/>
    <s v="Bank Charges 29/06/2026"/>
    <s v="FOR: 2 961.16 SGD CCY CONVERSION FEE"/>
    <x v="43"/>
    <x v="15"/>
    <x v="9"/>
    <x v="4"/>
    <m/>
    <m/>
    <m/>
    <m/>
    <m/>
  </r>
  <r>
    <x v="0"/>
    <x v="2"/>
    <d v="2026-06-26T00:00:00"/>
    <d v="2026-06-26T00:00:00"/>
    <x v="129"/>
    <s v="SGD"/>
    <n v="156.97"/>
    <n v="0"/>
    <n v="156.97"/>
    <x v="845"/>
    <s v="Tipsy Time"/>
    <m/>
    <m/>
    <x v="63"/>
    <x v="28"/>
    <x v="11"/>
    <x v="0"/>
    <m/>
    <m/>
    <m/>
    <m/>
    <m/>
  </r>
  <r>
    <x v="0"/>
    <x v="2"/>
    <d v="2026-06-27T00:00:00"/>
    <d v="2026-06-27T00:00:00"/>
    <x v="129"/>
    <s v="SGD"/>
    <n v="2961.16"/>
    <n v="0"/>
    <n v="2961.16"/>
    <x v="846"/>
    <s v="AIRBNB"/>
    <m/>
    <s v="House in Laguna"/>
    <x v="43"/>
    <x v="15"/>
    <x v="9"/>
    <x v="4"/>
    <m/>
    <m/>
    <m/>
    <m/>
    <m/>
  </r>
  <r>
    <x v="1"/>
    <x v="2"/>
    <d v="2026-06-30T00:00:00"/>
    <m/>
    <x v="28"/>
    <s v="SGD"/>
    <n v="600"/>
    <n v="0"/>
    <n v="600"/>
    <x v="847"/>
    <s v="Sulin Kwok Kwai Lian"/>
    <m/>
    <s v="Cleaning Fees June 2026"/>
    <x v="41"/>
    <x v="31"/>
    <x v="1"/>
    <x v="0"/>
    <m/>
    <m/>
    <m/>
    <m/>
    <m/>
  </r>
  <r>
    <x v="1"/>
    <x v="2"/>
    <d v="2026-06-30T00:00:00"/>
    <d v="2026-06-30T00:00:00"/>
    <x v="28"/>
    <s v="SGD"/>
    <m/>
    <m/>
    <m/>
    <x v="359"/>
    <s v="SG Staff"/>
    <m/>
    <s v="Net Pay - June 2026"/>
    <x v="17"/>
    <x v="8"/>
    <x v="4"/>
    <x v="2"/>
    <m/>
    <m/>
    <m/>
    <m/>
    <m/>
  </r>
  <r>
    <x v="1"/>
    <x v="2"/>
    <d v="2026-06-30T00:00:00"/>
    <d v="2026-06-30T00:00:00"/>
    <x v="28"/>
    <s v="SGD"/>
    <m/>
    <m/>
    <m/>
    <x v="848"/>
    <s v="SG Staff"/>
    <m/>
    <s v="Net Pay - June 2026"/>
    <x v="17"/>
    <x v="8"/>
    <x v="4"/>
    <x v="2"/>
    <m/>
    <m/>
    <m/>
    <m/>
    <m/>
  </r>
  <r>
    <x v="1"/>
    <x v="2"/>
    <d v="2026-06-30T00:00:00"/>
    <d v="2026-06-30T00:00:00"/>
    <x v="28"/>
    <s v="SGD"/>
    <m/>
    <m/>
    <m/>
    <x v="92"/>
    <s v="SG Staff"/>
    <m/>
    <s v="Statutory Contribution - 06/26"/>
    <x v="10"/>
    <x v="8"/>
    <x v="4"/>
    <x v="2"/>
    <m/>
    <m/>
    <m/>
    <m/>
    <m/>
  </r>
  <r>
    <x v="1"/>
    <x v="2"/>
    <d v="2026-06-30T00:00:00"/>
    <d v="2026-06-30T00:00:00"/>
    <x v="28"/>
    <s v="SGD"/>
    <m/>
    <m/>
    <m/>
    <x v="849"/>
    <s v="SG Staff"/>
    <m/>
    <s v="Net Pay - June 2026"/>
    <x v="17"/>
    <x v="8"/>
    <x v="9"/>
    <x v="4"/>
    <m/>
    <m/>
    <m/>
    <m/>
    <m/>
  </r>
  <r>
    <x v="1"/>
    <x v="2"/>
    <d v="2026-06-30T00:00:00"/>
    <d v="2026-06-30T00:00:00"/>
    <x v="28"/>
    <s v="SGD"/>
    <m/>
    <m/>
    <m/>
    <x v="850"/>
    <s v="SG Staff"/>
    <m/>
    <s v="Net Pay - June 2026"/>
    <x v="17"/>
    <x v="8"/>
    <x v="9"/>
    <x v="4"/>
    <m/>
    <m/>
    <m/>
    <m/>
    <m/>
  </r>
  <r>
    <x v="1"/>
    <x v="2"/>
    <d v="2026-06-30T00:00:00"/>
    <d v="2026-06-30T00:00:00"/>
    <x v="28"/>
    <s v="SGD"/>
    <m/>
    <m/>
    <m/>
    <x v="851"/>
    <s v="SG Staff"/>
    <m/>
    <s v="Statutory Contribution - 06/26"/>
    <x v="10"/>
    <x v="8"/>
    <x v="9"/>
    <x v="4"/>
    <m/>
    <m/>
    <m/>
    <m/>
    <m/>
  </r>
  <r>
    <x v="1"/>
    <x v="2"/>
    <d v="2026-06-30T00:00:00"/>
    <d v="2026-06-30T00:00:00"/>
    <x v="28"/>
    <s v="SGD"/>
    <m/>
    <m/>
    <m/>
    <x v="852"/>
    <s v="SG Staff"/>
    <m/>
    <s v="Net Pay - June 2026"/>
    <x v="17"/>
    <x v="8"/>
    <x v="12"/>
    <x v="2"/>
    <m/>
    <m/>
    <m/>
    <m/>
    <m/>
  </r>
  <r>
    <x v="1"/>
    <x v="2"/>
    <d v="2026-06-30T00:00:00"/>
    <d v="2026-06-30T00:00:00"/>
    <x v="28"/>
    <s v="SGD"/>
    <m/>
    <m/>
    <m/>
    <x v="853"/>
    <s v="SG Staff"/>
    <m/>
    <s v="Net Pay - June 2026"/>
    <x v="17"/>
    <x v="8"/>
    <x v="12"/>
    <x v="2"/>
    <m/>
    <m/>
    <m/>
    <m/>
    <m/>
  </r>
  <r>
    <x v="1"/>
    <x v="2"/>
    <d v="2026-06-30T00:00:00"/>
    <d v="2026-06-30T00:00:00"/>
    <x v="28"/>
    <s v="SGD"/>
    <m/>
    <m/>
    <m/>
    <x v="366"/>
    <s v="SG Staff"/>
    <m/>
    <s v="Statutory Contribution - 06/26"/>
    <x v="10"/>
    <x v="8"/>
    <x v="12"/>
    <x v="2"/>
    <m/>
    <m/>
    <m/>
    <m/>
    <m/>
  </r>
  <r>
    <x v="1"/>
    <x v="2"/>
    <d v="2026-06-30T00:00:00"/>
    <d v="2026-06-30T00:00:00"/>
    <x v="28"/>
    <s v="SGD"/>
    <m/>
    <m/>
    <m/>
    <x v="92"/>
    <s v="SG Staff"/>
    <m/>
    <s v="Net Pay - June 2026"/>
    <x v="17"/>
    <x v="8"/>
    <x v="0"/>
    <x v="0"/>
    <m/>
    <m/>
    <m/>
    <m/>
    <m/>
  </r>
  <r>
    <x v="1"/>
    <x v="2"/>
    <d v="2026-06-30T00:00:00"/>
    <d v="2026-06-30T00:00:00"/>
    <x v="28"/>
    <s v="SGD"/>
    <m/>
    <m/>
    <m/>
    <x v="854"/>
    <s v="SG Staff"/>
    <m/>
    <s v="Net Pay - June 2026"/>
    <x v="17"/>
    <x v="8"/>
    <x v="0"/>
    <x v="0"/>
    <m/>
    <m/>
    <m/>
    <m/>
    <m/>
  </r>
  <r>
    <x v="1"/>
    <x v="2"/>
    <d v="2026-06-30T00:00:00"/>
    <d v="2026-06-30T00:00:00"/>
    <x v="28"/>
    <s v="SGD"/>
    <m/>
    <m/>
    <m/>
    <x v="855"/>
    <s v="SG Staff"/>
    <m/>
    <s v="Statutory Contribution - 06/26"/>
    <x v="10"/>
    <x v="8"/>
    <x v="0"/>
    <x v="0"/>
    <m/>
    <m/>
    <m/>
    <m/>
    <m/>
  </r>
  <r>
    <x v="1"/>
    <x v="2"/>
    <d v="2026-06-30T00:00:00"/>
    <d v="2026-06-30T00:00:00"/>
    <x v="28"/>
    <s v="SGD"/>
    <m/>
    <m/>
    <m/>
    <x v="856"/>
    <s v="SG Staff"/>
    <m/>
    <s v="Net Pay - June 2026"/>
    <x v="17"/>
    <x v="8"/>
    <x v="3"/>
    <x v="0"/>
    <m/>
    <m/>
    <m/>
    <m/>
    <m/>
  </r>
  <r>
    <x v="1"/>
    <x v="2"/>
    <d v="2026-06-30T00:00:00"/>
    <d v="2026-06-30T00:00:00"/>
    <x v="28"/>
    <s v="SGD"/>
    <m/>
    <m/>
    <m/>
    <x v="857"/>
    <s v="SG Staff"/>
    <m/>
    <s v="Net Pay - June 2026"/>
    <x v="17"/>
    <x v="8"/>
    <x v="3"/>
    <x v="0"/>
    <m/>
    <m/>
    <m/>
    <m/>
    <m/>
  </r>
  <r>
    <x v="1"/>
    <x v="2"/>
    <d v="2026-06-30T00:00:00"/>
    <d v="2026-06-30T00:00:00"/>
    <x v="28"/>
    <s v="SGD"/>
    <m/>
    <m/>
    <m/>
    <x v="851"/>
    <s v="SG Staff"/>
    <m/>
    <s v="Statutory Contribution - 06/26"/>
    <x v="10"/>
    <x v="8"/>
    <x v="3"/>
    <x v="0"/>
    <m/>
    <m/>
    <m/>
    <m/>
    <m/>
  </r>
  <r>
    <x v="1"/>
    <x v="2"/>
    <d v="2026-06-30T00:00:00"/>
    <d v="2026-06-30T00:00:00"/>
    <x v="28"/>
    <s v="SGD"/>
    <m/>
    <m/>
    <m/>
    <x v="365"/>
    <s v="SG Staff"/>
    <m/>
    <s v="Net Pay - June 2026"/>
    <x v="17"/>
    <x v="8"/>
    <x v="5"/>
    <x v="0"/>
    <m/>
    <m/>
    <m/>
    <m/>
    <m/>
  </r>
  <r>
    <x v="1"/>
    <x v="2"/>
    <d v="2026-06-30T00:00:00"/>
    <d v="2026-06-30T00:00:00"/>
    <x v="28"/>
    <s v="SGD"/>
    <m/>
    <m/>
    <m/>
    <x v="854"/>
    <s v="SG Staff"/>
    <m/>
    <s v="Net Pay - June 2026"/>
    <x v="17"/>
    <x v="8"/>
    <x v="5"/>
    <x v="0"/>
    <m/>
    <m/>
    <m/>
    <m/>
    <m/>
  </r>
  <r>
    <x v="1"/>
    <x v="2"/>
    <d v="2026-06-30T00:00:00"/>
    <d v="2026-06-30T00:00:00"/>
    <x v="28"/>
    <s v="SGD"/>
    <m/>
    <m/>
    <m/>
    <x v="364"/>
    <s v="SG Staff"/>
    <m/>
    <s v="Statutory Contribution - 06/26"/>
    <x v="10"/>
    <x v="8"/>
    <x v="5"/>
    <x v="0"/>
    <m/>
    <m/>
    <m/>
    <m/>
    <m/>
  </r>
  <r>
    <x v="1"/>
    <x v="2"/>
    <d v="2026-06-30T00:00:00"/>
    <d v="2026-06-30T00:00:00"/>
    <x v="28"/>
    <s v="SGD"/>
    <m/>
    <m/>
    <m/>
    <x v="858"/>
    <s v="SG Staff"/>
    <m/>
    <s v="Net Pay - June 2026"/>
    <x v="17"/>
    <x v="8"/>
    <x v="11"/>
    <x v="0"/>
    <m/>
    <m/>
    <m/>
    <m/>
    <m/>
  </r>
  <r>
    <x v="1"/>
    <x v="2"/>
    <d v="2026-06-30T00:00:00"/>
    <d v="2026-06-30T00:00:00"/>
    <x v="28"/>
    <s v="SGD"/>
    <m/>
    <m/>
    <m/>
    <x v="859"/>
    <s v="SG Staff"/>
    <m/>
    <s v="Statutory Contribution - 06/26"/>
    <x v="10"/>
    <x v="8"/>
    <x v="11"/>
    <x v="0"/>
    <m/>
    <m/>
    <m/>
    <m/>
    <m/>
  </r>
  <r>
    <x v="1"/>
    <x v="2"/>
    <d v="2026-06-30T00:00:00"/>
    <d v="2026-06-30T00:00:00"/>
    <x v="28"/>
    <s v="SGD"/>
    <m/>
    <m/>
    <m/>
    <x v="860"/>
    <s v="SG Staff"/>
    <m/>
    <s v="Net Pay - June 2026"/>
    <x v="17"/>
    <x v="8"/>
    <x v="14"/>
    <x v="1"/>
    <m/>
    <m/>
    <m/>
    <m/>
    <m/>
  </r>
  <r>
    <x v="1"/>
    <x v="2"/>
    <d v="2026-06-30T00:00:00"/>
    <d v="2026-06-30T00:00:00"/>
    <x v="28"/>
    <s v="SGD"/>
    <m/>
    <m/>
    <m/>
    <x v="853"/>
    <s v="SG Staff"/>
    <m/>
    <s v="Net Pay - June 2026"/>
    <x v="17"/>
    <x v="8"/>
    <x v="14"/>
    <x v="1"/>
    <m/>
    <m/>
    <m/>
    <m/>
    <m/>
  </r>
  <r>
    <x v="1"/>
    <x v="2"/>
    <d v="2026-06-30T00:00:00"/>
    <d v="2026-06-30T00:00:00"/>
    <x v="28"/>
    <s v="SGD"/>
    <m/>
    <m/>
    <m/>
    <x v="366"/>
    <s v="SG Staff"/>
    <m/>
    <s v="Statutory Contribution - 06/26"/>
    <x v="10"/>
    <x v="8"/>
    <x v="14"/>
    <x v="1"/>
    <m/>
    <m/>
    <m/>
    <m/>
    <m/>
  </r>
  <r>
    <x v="1"/>
    <x v="2"/>
    <d v="2026-06-30T00:00:00"/>
    <d v="2026-06-30T00:00:00"/>
    <x v="28"/>
    <s v="SGD"/>
    <m/>
    <m/>
    <m/>
    <x v="856"/>
    <s v="SG Staff"/>
    <m/>
    <s v="Net Pay - June 2026"/>
    <x v="17"/>
    <x v="8"/>
    <x v="13"/>
    <x v="1"/>
    <m/>
    <m/>
    <m/>
    <m/>
    <m/>
  </r>
  <r>
    <x v="1"/>
    <x v="2"/>
    <d v="2026-06-30T00:00:00"/>
    <d v="2026-06-30T00:00:00"/>
    <x v="28"/>
    <s v="SGD"/>
    <m/>
    <m/>
    <m/>
    <x v="861"/>
    <s v="SG Staff"/>
    <m/>
    <s v="Statutory Contribution - 06/26"/>
    <x v="10"/>
    <x v="8"/>
    <x v="13"/>
    <x v="1"/>
    <m/>
    <m/>
    <m/>
    <m/>
    <m/>
  </r>
  <r>
    <x v="1"/>
    <x v="2"/>
    <d v="2026-06-30T00:00:00"/>
    <d v="2026-06-30T00:00:00"/>
    <x v="28"/>
    <s v="SGD"/>
    <m/>
    <m/>
    <m/>
    <x v="860"/>
    <s v="SG Staff"/>
    <m/>
    <s v="Net Pay - June 2026"/>
    <x v="17"/>
    <x v="8"/>
    <x v="8"/>
    <x v="2"/>
    <m/>
    <m/>
    <m/>
    <m/>
    <m/>
  </r>
  <r>
    <x v="1"/>
    <x v="2"/>
    <d v="2026-06-30T00:00:00"/>
    <d v="2026-06-30T00:00:00"/>
    <x v="28"/>
    <s v="SGD"/>
    <m/>
    <m/>
    <m/>
    <x v="862"/>
    <s v="SG Staff"/>
    <m/>
    <s v="Net Pay - June 2026"/>
    <x v="17"/>
    <x v="8"/>
    <x v="8"/>
    <x v="2"/>
    <m/>
    <m/>
    <m/>
    <m/>
    <m/>
  </r>
  <r>
    <x v="1"/>
    <x v="2"/>
    <d v="2026-06-30T00:00:00"/>
    <d v="2026-06-30T00:00:00"/>
    <x v="28"/>
    <s v="SGD"/>
    <m/>
    <m/>
    <m/>
    <x v="359"/>
    <s v="SG Staff"/>
    <m/>
    <s v="Statutory Contribution - 06/26"/>
    <x v="10"/>
    <x v="8"/>
    <x v="8"/>
    <x v="2"/>
    <m/>
    <m/>
    <m/>
    <m/>
    <m/>
  </r>
  <r>
    <x v="2"/>
    <x v="2"/>
    <d v="2026-06-28T00:00:00"/>
    <d v="2026-06-28T00:00:00"/>
    <x v="28"/>
    <s v="SGD"/>
    <n v="68"/>
    <n v="0"/>
    <n v="68"/>
    <x v="863"/>
    <s v="Xero (NZ) Ltd"/>
    <s v="IN-6786349"/>
    <s v="Monthly Subscription 28 Jun 2026 to 27 Jul 2026"/>
    <x v="43"/>
    <x v="15"/>
    <x v="0"/>
    <x v="0"/>
    <m/>
    <m/>
    <m/>
    <m/>
    <m/>
  </r>
  <r>
    <x v="2"/>
    <x v="2"/>
    <d v="2026-06-28T00:00:00"/>
    <d v="2026-06-28T00:00:00"/>
    <x v="28"/>
    <s v="SGD"/>
    <n v="184.82"/>
    <n v="16.633799999999997"/>
    <n v="201.4538"/>
    <x v="864"/>
    <s v="Xero (Singapore) Pte. Ltd."/>
    <s v="INV-735105"/>
    <s v="Monthly Subscription 28 Jun 2026 to 27 Jul 2026"/>
    <x v="8"/>
    <x v="6"/>
    <x v="0"/>
    <x v="0"/>
    <m/>
    <m/>
    <m/>
    <m/>
    <m/>
  </r>
  <r>
    <x v="1"/>
    <x v="2"/>
    <d v="2026-07-25T00:00:00"/>
    <m/>
    <x v="50"/>
    <s v="SGD"/>
    <n v="66.5"/>
    <n v="5.99"/>
    <n v="72.489999999999995"/>
    <x v="395"/>
    <s v="Kumpulan Development (S) Pte Ltd"/>
    <m/>
    <s v="Ice Mountain Pure Drinking Water 19L"/>
    <x v="5"/>
    <x v="5"/>
    <x v="1"/>
    <x v="0"/>
    <m/>
    <m/>
    <m/>
    <m/>
    <m/>
  </r>
  <r>
    <x v="1"/>
    <x v="2"/>
    <d v="2026-07-25T00:00:00"/>
    <m/>
    <x v="50"/>
    <s v="SGD"/>
    <m/>
    <m/>
    <m/>
    <x v="865"/>
    <s v="FLO Energy"/>
    <m/>
    <s v="Electricity Bill for #14-04 - June 2026"/>
    <x v="12"/>
    <x v="10"/>
    <x v="1"/>
    <x v="0"/>
    <m/>
    <m/>
    <m/>
    <m/>
    <m/>
  </r>
  <r>
    <x v="1"/>
    <x v="2"/>
    <d v="2026-07-25T00:00:00"/>
    <m/>
    <x v="50"/>
    <s v="SGD"/>
    <n v="26042.28"/>
    <n v="0"/>
    <n v="26042.28"/>
    <x v="382"/>
    <s v="HTSG A/C Suntec Reit"/>
    <m/>
    <s v="Rental for August 2026"/>
    <x v="23"/>
    <x v="17"/>
    <x v="1"/>
    <x v="0"/>
    <m/>
    <m/>
    <m/>
    <m/>
    <m/>
  </r>
  <r>
    <x v="1"/>
    <x v="2"/>
    <d v="2026-07-25T00:00:00"/>
    <m/>
    <x v="50"/>
    <s v="SGD"/>
    <n v="158"/>
    <n v="14.22"/>
    <n v="172.22"/>
    <x v="383"/>
    <s v="JK Technology Pte Ltd"/>
    <m/>
    <s v="Lease liability - Jul26"/>
    <x v="13"/>
    <x v="11"/>
    <x v="5"/>
    <x v="0"/>
    <m/>
    <m/>
    <m/>
    <m/>
    <m/>
  </r>
  <r>
    <x v="1"/>
    <x v="2"/>
    <d v="2026-07-25T00:00:00"/>
    <m/>
    <x v="50"/>
    <s v="SGD"/>
    <n v="70"/>
    <n v="6.3"/>
    <n v="76.3"/>
    <x v="384"/>
    <s v="JK Technology Pte Ltd"/>
    <m/>
    <s v="Lease liability - Jul26"/>
    <x v="13"/>
    <x v="11"/>
    <x v="5"/>
    <x v="0"/>
    <m/>
    <m/>
    <m/>
    <m/>
    <m/>
  </r>
  <r>
    <x v="1"/>
    <x v="2"/>
    <d v="2026-07-25T00:00:00"/>
    <m/>
    <x v="50"/>
    <s v="SGD"/>
    <n v="584.1"/>
    <n v="52.57"/>
    <n v="636.66999999999996"/>
    <x v="385"/>
    <s v="JK Technology Pte Ltd"/>
    <m/>
    <s v="Lease liability - Jul26"/>
    <x v="13"/>
    <x v="11"/>
    <x v="5"/>
    <x v="0"/>
    <m/>
    <m/>
    <m/>
    <m/>
    <m/>
  </r>
  <r>
    <x v="1"/>
    <x v="2"/>
    <d v="2026-07-25T00:00:00"/>
    <m/>
    <x v="50"/>
    <s v="SGD"/>
    <n v="325"/>
    <n v="0"/>
    <n v="325"/>
    <x v="866"/>
    <s v="JK Technology Pte Ltd"/>
    <m/>
    <s v="AWS Consumption May  2026"/>
    <x v="26"/>
    <x v="19"/>
    <x v="13"/>
    <x v="1"/>
    <m/>
    <m/>
    <m/>
    <m/>
    <m/>
  </r>
  <r>
    <x v="1"/>
    <x v="2"/>
    <d v="2026-07-25T00:00:00"/>
    <m/>
    <x v="50"/>
    <s v="SGD"/>
    <n v="6175"/>
    <n v="0"/>
    <n v="6175"/>
    <x v="867"/>
    <s v="JK Technology Pte Ltd"/>
    <m/>
    <s v="AWS Consumption May 2026"/>
    <x v="26"/>
    <x v="19"/>
    <x v="14"/>
    <x v="1"/>
    <m/>
    <m/>
    <m/>
    <m/>
    <m/>
  </r>
  <r>
    <x v="1"/>
    <x v="2"/>
    <d v="2026-07-25T00:00:00"/>
    <m/>
    <x v="50"/>
    <s v="SGD"/>
    <n v="325"/>
    <n v="0"/>
    <n v="325"/>
    <x v="866"/>
    <s v="JK Technology Pte Ltd"/>
    <m/>
    <s v="AWS Consumption May  2026"/>
    <x v="26"/>
    <x v="19"/>
    <x v="15"/>
    <x v="1"/>
    <m/>
    <m/>
    <m/>
    <m/>
    <m/>
  </r>
  <r>
    <x v="1"/>
    <x v="2"/>
    <d v="2026-07-25T00:00:00"/>
    <m/>
    <x v="50"/>
    <s v="SGD"/>
    <n v="600"/>
    <n v="0"/>
    <n v="600"/>
    <x v="510"/>
    <s v="Sulin Kwok Kwai Lian"/>
    <m/>
    <s v="Cleaning Fees July 2026"/>
    <x v="41"/>
    <x v="31"/>
    <x v="1"/>
    <x v="0"/>
    <m/>
    <m/>
    <m/>
    <m/>
    <m/>
  </r>
  <r>
    <x v="1"/>
    <x v="2"/>
    <d v="2026-07-31T00:00:00"/>
    <d v="2026-07-31T00:00:00"/>
    <x v="30"/>
    <s v="SGD"/>
    <m/>
    <m/>
    <m/>
    <x v="359"/>
    <s v="SG Staff"/>
    <m/>
    <s v="Net Pay - July 2026"/>
    <x v="17"/>
    <x v="8"/>
    <x v="4"/>
    <x v="2"/>
    <m/>
    <m/>
    <m/>
    <m/>
    <m/>
  </r>
  <r>
    <x v="1"/>
    <x v="2"/>
    <d v="2026-07-31T00:00:00"/>
    <d v="2026-07-31T00:00:00"/>
    <x v="30"/>
    <s v="SGD"/>
    <m/>
    <m/>
    <m/>
    <x v="848"/>
    <s v="SG Staff"/>
    <m/>
    <s v="Net Pay - July 2026"/>
    <x v="17"/>
    <x v="8"/>
    <x v="4"/>
    <x v="2"/>
    <m/>
    <m/>
    <m/>
    <m/>
    <m/>
  </r>
  <r>
    <x v="1"/>
    <x v="2"/>
    <d v="2026-07-31T00:00:00"/>
    <d v="2026-07-31T00:00:00"/>
    <x v="30"/>
    <s v="SGD"/>
    <m/>
    <m/>
    <m/>
    <x v="92"/>
    <s v="SG Staff"/>
    <m/>
    <s v="Statutory Contribution - 07/26"/>
    <x v="10"/>
    <x v="8"/>
    <x v="4"/>
    <x v="2"/>
    <m/>
    <m/>
    <m/>
    <m/>
    <m/>
  </r>
  <r>
    <x v="1"/>
    <x v="2"/>
    <d v="2026-07-31T00:00:00"/>
    <d v="2026-07-31T00:00:00"/>
    <x v="30"/>
    <s v="SGD"/>
    <m/>
    <m/>
    <m/>
    <x v="849"/>
    <s v="SG Staff"/>
    <m/>
    <s v="Net Pay - July 2026"/>
    <x v="17"/>
    <x v="8"/>
    <x v="9"/>
    <x v="4"/>
    <m/>
    <m/>
    <m/>
    <m/>
    <m/>
  </r>
  <r>
    <x v="1"/>
    <x v="2"/>
    <d v="2026-07-31T00:00:00"/>
    <d v="2026-07-31T00:00:00"/>
    <x v="30"/>
    <s v="SGD"/>
    <m/>
    <m/>
    <m/>
    <x v="850"/>
    <s v="SG Staff"/>
    <m/>
    <s v="Net Pay - July 2026"/>
    <x v="17"/>
    <x v="8"/>
    <x v="9"/>
    <x v="4"/>
    <m/>
    <m/>
    <m/>
    <m/>
    <m/>
  </r>
  <r>
    <x v="1"/>
    <x v="2"/>
    <d v="2026-07-31T00:00:00"/>
    <d v="2026-07-31T00:00:00"/>
    <x v="30"/>
    <s v="SGD"/>
    <m/>
    <m/>
    <m/>
    <x v="851"/>
    <s v="SG Staff"/>
    <m/>
    <s v="Statutory Contribution - 07/26"/>
    <x v="10"/>
    <x v="8"/>
    <x v="9"/>
    <x v="4"/>
    <m/>
    <m/>
    <m/>
    <m/>
    <m/>
  </r>
  <r>
    <x v="1"/>
    <x v="2"/>
    <d v="2026-07-31T00:00:00"/>
    <d v="2026-07-31T00:00:00"/>
    <x v="30"/>
    <s v="SGD"/>
    <m/>
    <m/>
    <m/>
    <x v="852"/>
    <s v="SG Staff"/>
    <m/>
    <s v="Net Pay - July 2026"/>
    <x v="17"/>
    <x v="8"/>
    <x v="12"/>
    <x v="2"/>
    <m/>
    <m/>
    <m/>
    <m/>
    <m/>
  </r>
  <r>
    <x v="1"/>
    <x v="2"/>
    <d v="2026-07-31T00:00:00"/>
    <d v="2026-07-31T00:00:00"/>
    <x v="30"/>
    <s v="SGD"/>
    <m/>
    <m/>
    <m/>
    <x v="853"/>
    <s v="SG Staff"/>
    <m/>
    <s v="Net Pay - July 2026"/>
    <x v="17"/>
    <x v="8"/>
    <x v="12"/>
    <x v="2"/>
    <m/>
    <m/>
    <m/>
    <m/>
    <m/>
  </r>
  <r>
    <x v="1"/>
    <x v="2"/>
    <d v="2026-07-31T00:00:00"/>
    <d v="2026-07-31T00:00:00"/>
    <x v="30"/>
    <s v="SGD"/>
    <m/>
    <m/>
    <m/>
    <x v="366"/>
    <s v="SG Staff"/>
    <m/>
    <s v="Statutory Contribution - 07/26"/>
    <x v="10"/>
    <x v="8"/>
    <x v="12"/>
    <x v="2"/>
    <m/>
    <m/>
    <m/>
    <m/>
    <m/>
  </r>
  <r>
    <x v="1"/>
    <x v="2"/>
    <d v="2026-07-31T00:00:00"/>
    <d v="2026-07-31T00:00:00"/>
    <x v="30"/>
    <s v="SGD"/>
    <m/>
    <m/>
    <m/>
    <x v="92"/>
    <s v="SG Staff"/>
    <m/>
    <s v="Net Pay - July 2026"/>
    <x v="17"/>
    <x v="8"/>
    <x v="0"/>
    <x v="0"/>
    <m/>
    <m/>
    <m/>
    <m/>
    <m/>
  </r>
  <r>
    <x v="1"/>
    <x v="2"/>
    <d v="2026-07-31T00:00:00"/>
    <d v="2026-07-31T00:00:00"/>
    <x v="30"/>
    <s v="SGD"/>
    <m/>
    <m/>
    <m/>
    <x v="854"/>
    <s v="SG Staff"/>
    <m/>
    <s v="Net Pay - July 2026"/>
    <x v="17"/>
    <x v="8"/>
    <x v="0"/>
    <x v="0"/>
    <m/>
    <m/>
    <m/>
    <m/>
    <m/>
  </r>
  <r>
    <x v="1"/>
    <x v="2"/>
    <d v="2026-07-31T00:00:00"/>
    <d v="2026-07-31T00:00:00"/>
    <x v="30"/>
    <s v="SGD"/>
    <m/>
    <m/>
    <m/>
    <x v="855"/>
    <s v="SG Staff"/>
    <m/>
    <s v="Statutory Contribution - 07/26"/>
    <x v="10"/>
    <x v="8"/>
    <x v="0"/>
    <x v="0"/>
    <m/>
    <m/>
    <m/>
    <m/>
    <m/>
  </r>
  <r>
    <x v="1"/>
    <x v="2"/>
    <d v="2026-07-31T00:00:00"/>
    <d v="2026-07-31T00:00:00"/>
    <x v="30"/>
    <s v="SGD"/>
    <m/>
    <m/>
    <m/>
    <x v="856"/>
    <s v="SG Staff"/>
    <m/>
    <s v="Net Pay - July 2026"/>
    <x v="17"/>
    <x v="8"/>
    <x v="3"/>
    <x v="0"/>
    <m/>
    <m/>
    <m/>
    <m/>
    <m/>
  </r>
  <r>
    <x v="1"/>
    <x v="2"/>
    <d v="2026-07-31T00:00:00"/>
    <d v="2026-07-31T00:00:00"/>
    <x v="30"/>
    <s v="SGD"/>
    <m/>
    <m/>
    <m/>
    <x v="857"/>
    <s v="SG Staff"/>
    <m/>
    <s v="Net Pay - July 2026"/>
    <x v="17"/>
    <x v="8"/>
    <x v="3"/>
    <x v="0"/>
    <m/>
    <m/>
    <m/>
    <m/>
    <m/>
  </r>
  <r>
    <x v="1"/>
    <x v="2"/>
    <d v="2026-07-31T00:00:00"/>
    <d v="2026-07-31T00:00:00"/>
    <x v="30"/>
    <s v="SGD"/>
    <m/>
    <m/>
    <m/>
    <x v="851"/>
    <s v="SG Staff"/>
    <m/>
    <s v="Statutory Contribution - 07/26"/>
    <x v="10"/>
    <x v="8"/>
    <x v="3"/>
    <x v="0"/>
    <m/>
    <m/>
    <m/>
    <m/>
    <m/>
  </r>
  <r>
    <x v="1"/>
    <x v="2"/>
    <d v="2026-07-31T00:00:00"/>
    <d v="2026-07-31T00:00:00"/>
    <x v="30"/>
    <s v="SGD"/>
    <m/>
    <m/>
    <m/>
    <x v="365"/>
    <s v="SG Staff"/>
    <m/>
    <s v="Net Pay - July 2026"/>
    <x v="17"/>
    <x v="8"/>
    <x v="5"/>
    <x v="0"/>
    <m/>
    <m/>
    <m/>
    <m/>
    <m/>
  </r>
  <r>
    <x v="1"/>
    <x v="2"/>
    <d v="2026-07-31T00:00:00"/>
    <d v="2026-07-31T00:00:00"/>
    <x v="30"/>
    <s v="SGD"/>
    <m/>
    <m/>
    <m/>
    <x v="854"/>
    <s v="SG Staff"/>
    <m/>
    <s v="Net Pay - July 2026"/>
    <x v="17"/>
    <x v="8"/>
    <x v="5"/>
    <x v="0"/>
    <m/>
    <m/>
    <m/>
    <m/>
    <m/>
  </r>
  <r>
    <x v="1"/>
    <x v="2"/>
    <d v="2026-07-31T00:00:00"/>
    <d v="2026-07-31T00:00:00"/>
    <x v="30"/>
    <s v="SGD"/>
    <m/>
    <m/>
    <m/>
    <x v="364"/>
    <s v="SG Staff"/>
    <m/>
    <s v="Statutory Contribution - 07/26"/>
    <x v="10"/>
    <x v="8"/>
    <x v="5"/>
    <x v="0"/>
    <m/>
    <m/>
    <m/>
    <m/>
    <m/>
  </r>
  <r>
    <x v="1"/>
    <x v="2"/>
    <d v="2026-07-31T00:00:00"/>
    <d v="2026-07-31T00:00:00"/>
    <x v="30"/>
    <s v="SGD"/>
    <m/>
    <m/>
    <m/>
    <x v="858"/>
    <s v="SG Staff"/>
    <m/>
    <s v="Net Pay - July 2026"/>
    <x v="17"/>
    <x v="8"/>
    <x v="11"/>
    <x v="0"/>
    <m/>
    <m/>
    <m/>
    <m/>
    <m/>
  </r>
  <r>
    <x v="1"/>
    <x v="2"/>
    <d v="2026-07-31T00:00:00"/>
    <d v="2026-07-31T00:00:00"/>
    <x v="30"/>
    <s v="SGD"/>
    <m/>
    <m/>
    <m/>
    <x v="859"/>
    <s v="SG Staff"/>
    <m/>
    <s v="Statutory Contribution - 07/26"/>
    <x v="10"/>
    <x v="8"/>
    <x v="11"/>
    <x v="0"/>
    <m/>
    <m/>
    <m/>
    <m/>
    <m/>
  </r>
  <r>
    <x v="1"/>
    <x v="2"/>
    <d v="2026-07-31T00:00:00"/>
    <d v="2026-07-31T00:00:00"/>
    <x v="30"/>
    <s v="SGD"/>
    <m/>
    <m/>
    <m/>
    <x v="860"/>
    <s v="SG Staff"/>
    <m/>
    <s v="Net Pay - July 2026"/>
    <x v="17"/>
    <x v="8"/>
    <x v="14"/>
    <x v="1"/>
    <m/>
    <m/>
    <m/>
    <m/>
    <m/>
  </r>
  <r>
    <x v="1"/>
    <x v="2"/>
    <d v="2026-07-31T00:00:00"/>
    <d v="2026-07-31T00:00:00"/>
    <x v="30"/>
    <s v="SGD"/>
    <m/>
    <m/>
    <m/>
    <x v="853"/>
    <s v="SG Staff"/>
    <m/>
    <s v="Net Pay - July 2026"/>
    <x v="17"/>
    <x v="8"/>
    <x v="14"/>
    <x v="1"/>
    <m/>
    <m/>
    <m/>
    <m/>
    <m/>
  </r>
  <r>
    <x v="1"/>
    <x v="2"/>
    <d v="2026-07-31T00:00:00"/>
    <d v="2026-07-31T00:00:00"/>
    <x v="30"/>
    <s v="SGD"/>
    <m/>
    <m/>
    <m/>
    <x v="366"/>
    <s v="SG Staff"/>
    <m/>
    <s v="Statutory Contribution - 07/26"/>
    <x v="10"/>
    <x v="8"/>
    <x v="14"/>
    <x v="1"/>
    <m/>
    <m/>
    <m/>
    <m/>
    <m/>
  </r>
  <r>
    <x v="1"/>
    <x v="2"/>
    <d v="2026-07-31T00:00:00"/>
    <d v="2026-07-31T00:00:00"/>
    <x v="30"/>
    <s v="SGD"/>
    <m/>
    <m/>
    <m/>
    <x v="856"/>
    <s v="SG Staff"/>
    <m/>
    <s v="Net Pay - July 2026"/>
    <x v="17"/>
    <x v="8"/>
    <x v="13"/>
    <x v="1"/>
    <m/>
    <m/>
    <m/>
    <m/>
    <m/>
  </r>
  <r>
    <x v="1"/>
    <x v="2"/>
    <d v="2026-07-31T00:00:00"/>
    <d v="2026-07-31T00:00:00"/>
    <x v="30"/>
    <s v="SGD"/>
    <m/>
    <m/>
    <m/>
    <x v="861"/>
    <s v="SG Staff"/>
    <m/>
    <s v="Statutory Contribution - 07/26"/>
    <x v="10"/>
    <x v="8"/>
    <x v="13"/>
    <x v="1"/>
    <m/>
    <m/>
    <m/>
    <m/>
    <m/>
  </r>
  <r>
    <x v="1"/>
    <x v="2"/>
    <d v="2026-07-31T00:00:00"/>
    <d v="2026-07-31T00:00:00"/>
    <x v="30"/>
    <s v="SGD"/>
    <m/>
    <m/>
    <m/>
    <x v="860"/>
    <s v="SG Staff"/>
    <m/>
    <s v="Net Pay - July 2026"/>
    <x v="17"/>
    <x v="8"/>
    <x v="8"/>
    <x v="2"/>
    <m/>
    <m/>
    <m/>
    <m/>
    <m/>
  </r>
  <r>
    <x v="1"/>
    <x v="2"/>
    <d v="2026-07-31T00:00:00"/>
    <d v="2026-07-31T00:00:00"/>
    <x v="30"/>
    <s v="SGD"/>
    <m/>
    <m/>
    <m/>
    <x v="862"/>
    <s v="SG Staff"/>
    <m/>
    <s v="Net Pay - July 2026"/>
    <x v="17"/>
    <x v="8"/>
    <x v="8"/>
    <x v="2"/>
    <m/>
    <m/>
    <m/>
    <m/>
    <m/>
  </r>
  <r>
    <x v="1"/>
    <x v="2"/>
    <d v="2026-07-31T00:00:00"/>
    <d v="2026-07-31T00:00:00"/>
    <x v="30"/>
    <s v="SGD"/>
    <m/>
    <m/>
    <m/>
    <x v="359"/>
    <s v="SG Staff"/>
    <m/>
    <s v="Statutory Contribution - 07/26"/>
    <x v="10"/>
    <x v="8"/>
    <x v="8"/>
    <x v="2"/>
    <m/>
    <m/>
    <m/>
    <m/>
    <m/>
  </r>
  <r>
    <x v="1"/>
    <x v="2"/>
    <d v="2026-07-31T00:00:00"/>
    <m/>
    <x v="30"/>
    <s v="SGD"/>
    <n v="210.51"/>
    <n v="18.940000000000001"/>
    <n v="229.45"/>
    <x v="864"/>
    <s v="Xero (Singapore) Pte. Ltd."/>
    <m/>
    <s v="Monthly Subscription 28 Jul 2026 to 27 Aug 2026"/>
    <x v="8"/>
    <x v="6"/>
    <x v="0"/>
    <x v="0"/>
    <m/>
    <m/>
    <m/>
    <m/>
    <m/>
  </r>
  <r>
    <x v="1"/>
    <x v="2"/>
    <d v="2026-07-31T00:00:00"/>
    <m/>
    <x v="30"/>
    <s v="SGD"/>
    <m/>
    <m/>
    <m/>
    <x v="868"/>
    <s v="Xero (NZ) Ltd"/>
    <m/>
    <s v="Monthly Subscription 28 Jul 2026 to 27 Aug 2026"/>
    <x v="43"/>
    <x v="15"/>
    <x v="0"/>
    <x v="0"/>
    <m/>
    <m/>
    <m/>
    <m/>
    <m/>
  </r>
  <r>
    <x v="1"/>
    <x v="2"/>
    <d v="2026-08-25T00:00:00"/>
    <m/>
    <x v="52"/>
    <s v="SGD"/>
    <n v="66.5"/>
    <n v="5.99"/>
    <n v="72.489999999999995"/>
    <x v="395"/>
    <s v="Kumpulan Development (S) Pte Ltd"/>
    <m/>
    <s v="Ice Mountain Pure Drinking Water 19L"/>
    <x v="5"/>
    <x v="5"/>
    <x v="1"/>
    <x v="0"/>
    <m/>
    <m/>
    <m/>
    <m/>
    <m/>
  </r>
  <r>
    <x v="1"/>
    <x v="2"/>
    <d v="2026-08-25T00:00:00"/>
    <m/>
    <x v="52"/>
    <s v="SGD"/>
    <m/>
    <m/>
    <m/>
    <x v="865"/>
    <s v="FLO Energy"/>
    <m/>
    <s v="Electricity Bill for #14-04 - July 2026"/>
    <x v="12"/>
    <x v="10"/>
    <x v="1"/>
    <x v="0"/>
    <m/>
    <m/>
    <m/>
    <m/>
    <m/>
  </r>
  <r>
    <x v="1"/>
    <x v="2"/>
    <d v="2026-08-25T00:00:00"/>
    <m/>
    <x v="52"/>
    <s v="SGD"/>
    <n v="26042.28"/>
    <n v="0"/>
    <n v="26042.28"/>
    <x v="382"/>
    <s v="HTSG A/C Suntec Reit"/>
    <m/>
    <s v="Rental for  September 2026"/>
    <x v="23"/>
    <x v="17"/>
    <x v="1"/>
    <x v="0"/>
    <m/>
    <m/>
    <m/>
    <m/>
    <m/>
  </r>
  <r>
    <x v="1"/>
    <x v="2"/>
    <d v="2026-08-25T00:00:00"/>
    <m/>
    <x v="52"/>
    <s v="SGD"/>
    <n v="158"/>
    <n v="14.22"/>
    <n v="172.22"/>
    <x v="383"/>
    <s v="JK Technology Pte Ltd"/>
    <m/>
    <s v="Lease liability - Aug26"/>
    <x v="13"/>
    <x v="11"/>
    <x v="5"/>
    <x v="0"/>
    <m/>
    <m/>
    <m/>
    <m/>
    <m/>
  </r>
  <r>
    <x v="1"/>
    <x v="2"/>
    <d v="2026-08-25T00:00:00"/>
    <m/>
    <x v="52"/>
    <s v="SGD"/>
    <n v="70"/>
    <n v="6.3"/>
    <n v="76.3"/>
    <x v="384"/>
    <s v="JK Technology Pte Ltd"/>
    <m/>
    <s v="Lease liability - Aug26"/>
    <x v="13"/>
    <x v="11"/>
    <x v="5"/>
    <x v="0"/>
    <m/>
    <m/>
    <m/>
    <m/>
    <m/>
  </r>
  <r>
    <x v="1"/>
    <x v="2"/>
    <d v="2026-08-25T00:00:00"/>
    <m/>
    <x v="52"/>
    <s v="SGD"/>
    <n v="584.1"/>
    <n v="52.57"/>
    <n v="636.66999999999996"/>
    <x v="385"/>
    <s v="JK Technology Pte Ltd"/>
    <m/>
    <s v="Lease liability - Aug26"/>
    <x v="13"/>
    <x v="11"/>
    <x v="5"/>
    <x v="0"/>
    <m/>
    <m/>
    <m/>
    <m/>
    <m/>
  </r>
  <r>
    <x v="1"/>
    <x v="2"/>
    <d v="2026-08-25T00:00:00"/>
    <m/>
    <x v="52"/>
    <s v="SGD"/>
    <n v="6175"/>
    <n v="0"/>
    <n v="6175"/>
    <x v="867"/>
    <s v="JK Technology Pte Ltd"/>
    <m/>
    <s v="AWS Consumption June 2026"/>
    <x v="26"/>
    <x v="19"/>
    <x v="13"/>
    <x v="1"/>
    <m/>
    <m/>
    <m/>
    <m/>
    <m/>
  </r>
  <r>
    <x v="1"/>
    <x v="2"/>
    <d v="2026-08-25T00:00:00"/>
    <m/>
    <x v="52"/>
    <s v="SGD"/>
    <n v="325"/>
    <n v="0"/>
    <n v="325"/>
    <x v="866"/>
    <s v="JK Technology Pte Ltd"/>
    <m/>
    <s v="AWS Consumption June 2026"/>
    <x v="26"/>
    <x v="19"/>
    <x v="14"/>
    <x v="1"/>
    <m/>
    <m/>
    <m/>
    <m/>
    <m/>
  </r>
  <r>
    <x v="1"/>
    <x v="2"/>
    <d v="2026-08-25T00:00:00"/>
    <m/>
    <x v="52"/>
    <s v="SGD"/>
    <n v="6175"/>
    <n v="0"/>
    <n v="6175"/>
    <x v="867"/>
    <s v="JK Technology Pte Ltd"/>
    <m/>
    <s v="AWS Consumption June 2026"/>
    <x v="26"/>
    <x v="19"/>
    <x v="15"/>
    <x v="1"/>
    <m/>
    <m/>
    <m/>
    <m/>
    <m/>
  </r>
  <r>
    <x v="1"/>
    <x v="2"/>
    <d v="2026-08-25T00:00:00"/>
    <m/>
    <x v="52"/>
    <s v="SGD"/>
    <n v="600"/>
    <n v="0"/>
    <n v="600"/>
    <x v="510"/>
    <s v="Sulin Kwok Kwai Lian"/>
    <m/>
    <s v="Cleaning Fees August 2026"/>
    <x v="41"/>
    <x v="31"/>
    <x v="1"/>
    <x v="0"/>
    <m/>
    <m/>
    <m/>
    <m/>
    <m/>
  </r>
  <r>
    <x v="1"/>
    <x v="2"/>
    <d v="2026-08-31T00:00:00"/>
    <d v="2026-08-31T00:00:00"/>
    <x v="53"/>
    <s v="SGD"/>
    <m/>
    <m/>
    <m/>
    <x v="359"/>
    <s v="SG Staff"/>
    <m/>
    <s v="Net Pay - Aug 2026"/>
    <x v="17"/>
    <x v="8"/>
    <x v="4"/>
    <x v="2"/>
    <m/>
    <m/>
    <m/>
    <m/>
    <m/>
  </r>
  <r>
    <x v="1"/>
    <x v="2"/>
    <d v="2026-08-31T00:00:00"/>
    <d v="2026-08-31T00:00:00"/>
    <x v="53"/>
    <s v="SGD"/>
    <m/>
    <m/>
    <m/>
    <x v="848"/>
    <s v="SG Staff"/>
    <m/>
    <s v="Net Pay - Aug 2026"/>
    <x v="17"/>
    <x v="8"/>
    <x v="4"/>
    <x v="2"/>
    <m/>
    <m/>
    <m/>
    <m/>
    <m/>
  </r>
  <r>
    <x v="1"/>
    <x v="2"/>
    <d v="2026-08-31T00:00:00"/>
    <d v="2026-08-31T00:00:00"/>
    <x v="53"/>
    <s v="SGD"/>
    <m/>
    <m/>
    <m/>
    <x v="92"/>
    <s v="SG Staff"/>
    <m/>
    <s v="Statutory Contribution - 08/26"/>
    <x v="10"/>
    <x v="8"/>
    <x v="4"/>
    <x v="2"/>
    <m/>
    <m/>
    <m/>
    <m/>
    <m/>
  </r>
  <r>
    <x v="1"/>
    <x v="2"/>
    <d v="2026-08-31T00:00:00"/>
    <d v="2026-08-31T00:00:00"/>
    <x v="53"/>
    <s v="SGD"/>
    <m/>
    <m/>
    <m/>
    <x v="849"/>
    <s v="SG Staff"/>
    <m/>
    <s v="Net Pay - Aug 2026"/>
    <x v="17"/>
    <x v="8"/>
    <x v="9"/>
    <x v="4"/>
    <m/>
    <m/>
    <m/>
    <m/>
    <m/>
  </r>
  <r>
    <x v="1"/>
    <x v="2"/>
    <d v="2026-08-31T00:00:00"/>
    <d v="2026-08-31T00:00:00"/>
    <x v="53"/>
    <s v="SGD"/>
    <m/>
    <m/>
    <m/>
    <x v="850"/>
    <s v="SG Staff"/>
    <m/>
    <s v="Net Pay - Aug 2026"/>
    <x v="17"/>
    <x v="8"/>
    <x v="9"/>
    <x v="4"/>
    <m/>
    <m/>
    <m/>
    <m/>
    <m/>
  </r>
  <r>
    <x v="1"/>
    <x v="2"/>
    <d v="2026-08-31T00:00:00"/>
    <d v="2026-08-31T00:00:00"/>
    <x v="53"/>
    <s v="SGD"/>
    <m/>
    <m/>
    <m/>
    <x v="851"/>
    <s v="SG Staff"/>
    <m/>
    <s v="Statutory Contribution - 08/26"/>
    <x v="10"/>
    <x v="8"/>
    <x v="9"/>
    <x v="4"/>
    <m/>
    <m/>
    <m/>
    <m/>
    <m/>
  </r>
  <r>
    <x v="1"/>
    <x v="2"/>
    <d v="2026-08-31T00:00:00"/>
    <d v="2026-08-31T00:00:00"/>
    <x v="53"/>
    <s v="SGD"/>
    <m/>
    <m/>
    <m/>
    <x v="852"/>
    <s v="SG Staff"/>
    <m/>
    <s v="Net Pay - Aug 2026"/>
    <x v="17"/>
    <x v="8"/>
    <x v="12"/>
    <x v="2"/>
    <m/>
    <m/>
    <m/>
    <m/>
    <m/>
  </r>
  <r>
    <x v="1"/>
    <x v="2"/>
    <d v="2026-08-31T00:00:00"/>
    <d v="2026-08-31T00:00:00"/>
    <x v="53"/>
    <s v="SGD"/>
    <m/>
    <m/>
    <m/>
    <x v="853"/>
    <s v="SG Staff"/>
    <m/>
    <s v="Net Pay - Aug 2026"/>
    <x v="17"/>
    <x v="8"/>
    <x v="12"/>
    <x v="2"/>
    <m/>
    <m/>
    <m/>
    <m/>
    <m/>
  </r>
  <r>
    <x v="1"/>
    <x v="2"/>
    <d v="2026-08-31T00:00:00"/>
    <d v="2026-08-31T00:00:00"/>
    <x v="53"/>
    <s v="SGD"/>
    <m/>
    <m/>
    <m/>
    <x v="366"/>
    <s v="SG Staff"/>
    <m/>
    <s v="Statutory Contribution - 08/26"/>
    <x v="10"/>
    <x v="8"/>
    <x v="12"/>
    <x v="2"/>
    <m/>
    <m/>
    <m/>
    <m/>
    <m/>
  </r>
  <r>
    <x v="1"/>
    <x v="2"/>
    <d v="2026-08-31T00:00:00"/>
    <d v="2026-08-31T00:00:00"/>
    <x v="53"/>
    <s v="SGD"/>
    <m/>
    <m/>
    <m/>
    <x v="92"/>
    <s v="SG Staff"/>
    <m/>
    <s v="Net Pay - Aug 2026"/>
    <x v="17"/>
    <x v="8"/>
    <x v="0"/>
    <x v="0"/>
    <m/>
    <m/>
    <m/>
    <m/>
    <m/>
  </r>
  <r>
    <x v="1"/>
    <x v="2"/>
    <d v="2026-08-31T00:00:00"/>
    <d v="2026-08-31T00:00:00"/>
    <x v="53"/>
    <s v="SGD"/>
    <m/>
    <m/>
    <m/>
    <x v="854"/>
    <s v="SG Staff"/>
    <m/>
    <s v="Net Pay - Aug 2026"/>
    <x v="17"/>
    <x v="8"/>
    <x v="0"/>
    <x v="0"/>
    <m/>
    <m/>
    <m/>
    <m/>
    <m/>
  </r>
  <r>
    <x v="1"/>
    <x v="2"/>
    <d v="2026-08-31T00:00:00"/>
    <d v="2026-08-31T00:00:00"/>
    <x v="53"/>
    <s v="SGD"/>
    <m/>
    <m/>
    <m/>
    <x v="855"/>
    <s v="SG Staff"/>
    <m/>
    <s v="Statutory Contribution - 08/26"/>
    <x v="10"/>
    <x v="8"/>
    <x v="0"/>
    <x v="0"/>
    <m/>
    <m/>
    <m/>
    <m/>
    <m/>
  </r>
  <r>
    <x v="1"/>
    <x v="2"/>
    <d v="2026-08-31T00:00:00"/>
    <d v="2026-08-31T00:00:00"/>
    <x v="53"/>
    <s v="SGD"/>
    <m/>
    <m/>
    <m/>
    <x v="856"/>
    <s v="SG Staff"/>
    <m/>
    <s v="Net Pay - Aug 2026"/>
    <x v="17"/>
    <x v="8"/>
    <x v="3"/>
    <x v="0"/>
    <m/>
    <m/>
    <m/>
    <m/>
    <m/>
  </r>
  <r>
    <x v="1"/>
    <x v="2"/>
    <d v="2026-08-31T00:00:00"/>
    <d v="2026-08-31T00:00:00"/>
    <x v="53"/>
    <s v="SGD"/>
    <m/>
    <m/>
    <m/>
    <x v="857"/>
    <s v="SG Staff"/>
    <m/>
    <s v="Net Pay - Aug 2026"/>
    <x v="17"/>
    <x v="8"/>
    <x v="3"/>
    <x v="0"/>
    <m/>
    <m/>
    <m/>
    <m/>
    <m/>
  </r>
  <r>
    <x v="1"/>
    <x v="2"/>
    <d v="2026-08-31T00:00:00"/>
    <d v="2026-08-31T00:00:00"/>
    <x v="53"/>
    <s v="SGD"/>
    <m/>
    <m/>
    <m/>
    <x v="851"/>
    <s v="SG Staff"/>
    <m/>
    <s v="Statutory Contribution - 08/26"/>
    <x v="10"/>
    <x v="8"/>
    <x v="3"/>
    <x v="0"/>
    <m/>
    <m/>
    <m/>
    <m/>
    <m/>
  </r>
  <r>
    <x v="1"/>
    <x v="2"/>
    <d v="2026-08-31T00:00:00"/>
    <d v="2026-08-31T00:00:00"/>
    <x v="53"/>
    <s v="SGD"/>
    <m/>
    <m/>
    <m/>
    <x v="365"/>
    <s v="SG Staff"/>
    <m/>
    <s v="Net Pay - Aug 2026"/>
    <x v="17"/>
    <x v="8"/>
    <x v="5"/>
    <x v="0"/>
    <m/>
    <m/>
    <m/>
    <m/>
    <m/>
  </r>
  <r>
    <x v="1"/>
    <x v="2"/>
    <d v="2026-08-31T00:00:00"/>
    <d v="2026-08-31T00:00:00"/>
    <x v="53"/>
    <s v="SGD"/>
    <m/>
    <m/>
    <m/>
    <x v="854"/>
    <s v="SG Staff"/>
    <m/>
    <s v="Net Pay - Aug 2026"/>
    <x v="17"/>
    <x v="8"/>
    <x v="5"/>
    <x v="0"/>
    <m/>
    <m/>
    <m/>
    <m/>
    <m/>
  </r>
  <r>
    <x v="1"/>
    <x v="2"/>
    <d v="2026-08-31T00:00:00"/>
    <d v="2026-08-31T00:00:00"/>
    <x v="53"/>
    <s v="SGD"/>
    <m/>
    <m/>
    <m/>
    <x v="364"/>
    <s v="SG Staff"/>
    <m/>
    <s v="Statutory Contribution - 08/26"/>
    <x v="10"/>
    <x v="8"/>
    <x v="5"/>
    <x v="0"/>
    <m/>
    <m/>
    <m/>
    <m/>
    <m/>
  </r>
  <r>
    <x v="1"/>
    <x v="2"/>
    <d v="2026-08-31T00:00:00"/>
    <d v="2026-08-31T00:00:00"/>
    <x v="53"/>
    <s v="SGD"/>
    <m/>
    <m/>
    <m/>
    <x v="858"/>
    <s v="SG Staff"/>
    <m/>
    <s v="Net Pay - Aug 2026"/>
    <x v="17"/>
    <x v="8"/>
    <x v="11"/>
    <x v="0"/>
    <m/>
    <m/>
    <m/>
    <m/>
    <m/>
  </r>
  <r>
    <x v="1"/>
    <x v="2"/>
    <d v="2026-08-31T00:00:00"/>
    <d v="2026-08-31T00:00:00"/>
    <x v="53"/>
    <s v="SGD"/>
    <m/>
    <m/>
    <m/>
    <x v="859"/>
    <s v="SG Staff"/>
    <m/>
    <s v="Statutory Contribution - 08/26"/>
    <x v="10"/>
    <x v="8"/>
    <x v="11"/>
    <x v="0"/>
    <m/>
    <m/>
    <m/>
    <m/>
    <m/>
  </r>
  <r>
    <x v="1"/>
    <x v="2"/>
    <d v="2026-08-31T00:00:00"/>
    <d v="2026-08-31T00:00:00"/>
    <x v="53"/>
    <s v="SGD"/>
    <m/>
    <m/>
    <m/>
    <x v="860"/>
    <s v="SG Staff"/>
    <m/>
    <s v="Net Pay - Aug 2026"/>
    <x v="17"/>
    <x v="8"/>
    <x v="14"/>
    <x v="1"/>
    <m/>
    <m/>
    <m/>
    <m/>
    <m/>
  </r>
  <r>
    <x v="1"/>
    <x v="2"/>
    <d v="2026-08-31T00:00:00"/>
    <d v="2026-08-31T00:00:00"/>
    <x v="53"/>
    <s v="SGD"/>
    <m/>
    <m/>
    <m/>
    <x v="853"/>
    <s v="SG Staff"/>
    <m/>
    <s v="Net Pay - Aug 2026"/>
    <x v="17"/>
    <x v="8"/>
    <x v="14"/>
    <x v="1"/>
    <m/>
    <m/>
    <m/>
    <m/>
    <m/>
  </r>
  <r>
    <x v="1"/>
    <x v="2"/>
    <d v="2026-08-31T00:00:00"/>
    <d v="2026-08-31T00:00:00"/>
    <x v="53"/>
    <s v="SGD"/>
    <m/>
    <m/>
    <m/>
    <x v="366"/>
    <s v="SG Staff"/>
    <m/>
    <s v="Statutory Contribution - 08/26"/>
    <x v="10"/>
    <x v="8"/>
    <x v="14"/>
    <x v="1"/>
    <m/>
    <m/>
    <m/>
    <m/>
    <m/>
  </r>
  <r>
    <x v="1"/>
    <x v="2"/>
    <d v="2026-08-31T00:00:00"/>
    <d v="2026-08-31T00:00:00"/>
    <x v="53"/>
    <s v="SGD"/>
    <m/>
    <m/>
    <m/>
    <x v="856"/>
    <s v="SG Staff"/>
    <m/>
    <s v="Net Pay - Aug 2026"/>
    <x v="17"/>
    <x v="8"/>
    <x v="13"/>
    <x v="1"/>
    <m/>
    <m/>
    <m/>
    <m/>
    <m/>
  </r>
  <r>
    <x v="1"/>
    <x v="2"/>
    <d v="2026-08-31T00:00:00"/>
    <d v="2026-08-31T00:00:00"/>
    <x v="53"/>
    <s v="SGD"/>
    <m/>
    <m/>
    <m/>
    <x v="861"/>
    <s v="SG Staff"/>
    <m/>
    <s v="Statutory Contribution - 08/26"/>
    <x v="10"/>
    <x v="8"/>
    <x v="13"/>
    <x v="1"/>
    <m/>
    <m/>
    <m/>
    <m/>
    <m/>
  </r>
  <r>
    <x v="1"/>
    <x v="2"/>
    <d v="2026-08-31T00:00:00"/>
    <d v="2026-08-31T00:00:00"/>
    <x v="53"/>
    <s v="SGD"/>
    <m/>
    <m/>
    <m/>
    <x v="860"/>
    <s v="SG Staff"/>
    <m/>
    <s v="Net Pay - Aug 2026"/>
    <x v="17"/>
    <x v="8"/>
    <x v="8"/>
    <x v="2"/>
    <m/>
    <m/>
    <m/>
    <m/>
    <m/>
  </r>
  <r>
    <x v="1"/>
    <x v="2"/>
    <d v="2026-08-31T00:00:00"/>
    <d v="2026-08-31T00:00:00"/>
    <x v="53"/>
    <s v="SGD"/>
    <m/>
    <m/>
    <m/>
    <x v="862"/>
    <s v="SG Staff"/>
    <m/>
    <s v="Net Pay - Aug 2026"/>
    <x v="17"/>
    <x v="8"/>
    <x v="8"/>
    <x v="2"/>
    <m/>
    <m/>
    <m/>
    <m/>
    <m/>
  </r>
  <r>
    <x v="1"/>
    <x v="2"/>
    <d v="2026-08-31T00:00:00"/>
    <d v="2026-08-31T00:00:00"/>
    <x v="53"/>
    <s v="SGD"/>
    <m/>
    <m/>
    <m/>
    <x v="359"/>
    <s v="SG Staff"/>
    <m/>
    <s v="Statutory Contribution - 08/26"/>
    <x v="10"/>
    <x v="8"/>
    <x v="8"/>
    <x v="2"/>
    <m/>
    <m/>
    <m/>
    <m/>
    <m/>
  </r>
  <r>
    <x v="1"/>
    <x v="2"/>
    <d v="2026-08-31T00:00:00"/>
    <m/>
    <x v="53"/>
    <s v="SGD"/>
    <n v="210.51"/>
    <n v="18.940000000000001"/>
    <n v="229.45"/>
    <x v="864"/>
    <s v="Xero (Singapore) Pte. Ltd."/>
    <m/>
    <s v="Monthly Subscription 28 Aug 2026 to 27 Sep 2026"/>
    <x v="8"/>
    <x v="6"/>
    <x v="0"/>
    <x v="0"/>
    <m/>
    <m/>
    <m/>
    <m/>
    <m/>
  </r>
  <r>
    <x v="1"/>
    <x v="2"/>
    <d v="2026-08-31T00:00:00"/>
    <m/>
    <x v="53"/>
    <s v="SGD"/>
    <m/>
    <m/>
    <m/>
    <x v="868"/>
    <s v="Xero (NZ) Ltd"/>
    <m/>
    <s v="Monthly Subscription 28 Aug 2026 to 27 Sep 2026"/>
    <x v="43"/>
    <x v="15"/>
    <x v="0"/>
    <x v="0"/>
    <m/>
    <m/>
    <m/>
    <m/>
    <m/>
  </r>
  <r>
    <x v="1"/>
    <x v="2"/>
    <d v="2026-09-25T00:00:00"/>
    <m/>
    <x v="55"/>
    <s v="SGD"/>
    <n v="66.5"/>
    <n v="5.99"/>
    <n v="72.489999999999995"/>
    <x v="395"/>
    <s v="Kumpulan Development (S) Pte Ltd"/>
    <m/>
    <s v="Ice Mountain Pure Drinking Water 19L"/>
    <x v="5"/>
    <x v="5"/>
    <x v="1"/>
    <x v="0"/>
    <m/>
    <m/>
    <m/>
    <m/>
    <m/>
  </r>
  <r>
    <x v="1"/>
    <x v="2"/>
    <d v="2026-09-25T00:00:00"/>
    <m/>
    <x v="55"/>
    <s v="SGD"/>
    <m/>
    <m/>
    <m/>
    <x v="865"/>
    <s v="FLO Energy"/>
    <m/>
    <s v="Electricity Bill for #14-04 -  August 2026"/>
    <x v="12"/>
    <x v="10"/>
    <x v="1"/>
    <x v="0"/>
    <m/>
    <m/>
    <m/>
    <m/>
    <m/>
  </r>
  <r>
    <x v="1"/>
    <x v="2"/>
    <d v="2026-09-25T00:00:00"/>
    <m/>
    <x v="55"/>
    <s v="SGD"/>
    <n v="26042.28"/>
    <n v="0"/>
    <n v="26042.28"/>
    <x v="382"/>
    <s v="HTSG A/C Suntec Reit"/>
    <m/>
    <s v="Rental for October 2026"/>
    <x v="23"/>
    <x v="17"/>
    <x v="1"/>
    <x v="0"/>
    <m/>
    <m/>
    <m/>
    <m/>
    <m/>
  </r>
  <r>
    <x v="1"/>
    <x v="2"/>
    <d v="2026-09-25T00:00:00"/>
    <m/>
    <x v="55"/>
    <s v="SGD"/>
    <n v="158"/>
    <n v="14.22"/>
    <n v="172.22"/>
    <x v="383"/>
    <s v="JK Technology Pte Ltd"/>
    <m/>
    <s v="Lease liability - Sep26"/>
    <x v="13"/>
    <x v="11"/>
    <x v="5"/>
    <x v="0"/>
    <m/>
    <m/>
    <m/>
    <m/>
    <m/>
  </r>
  <r>
    <x v="1"/>
    <x v="2"/>
    <d v="2026-09-25T00:00:00"/>
    <m/>
    <x v="55"/>
    <s v="SGD"/>
    <n v="70"/>
    <n v="6.3"/>
    <n v="76.3"/>
    <x v="384"/>
    <s v="JK Technology Pte Ltd"/>
    <m/>
    <s v="Lease liability - Sep26"/>
    <x v="13"/>
    <x v="11"/>
    <x v="5"/>
    <x v="0"/>
    <m/>
    <m/>
    <m/>
    <m/>
    <m/>
  </r>
  <r>
    <x v="1"/>
    <x v="2"/>
    <d v="2026-09-25T00:00:00"/>
    <m/>
    <x v="55"/>
    <s v="SGD"/>
    <n v="584.1"/>
    <n v="52.57"/>
    <n v="636.66999999999996"/>
    <x v="385"/>
    <s v="JK Technology Pte Ltd"/>
    <m/>
    <s v="Lease liability - Sep26"/>
    <x v="13"/>
    <x v="11"/>
    <x v="5"/>
    <x v="0"/>
    <m/>
    <m/>
    <m/>
    <m/>
    <m/>
  </r>
  <r>
    <x v="1"/>
    <x v="2"/>
    <d v="2026-09-25T00:00:00"/>
    <m/>
    <x v="55"/>
    <s v="SGD"/>
    <n v="6175"/>
    <n v="0"/>
    <n v="6175"/>
    <x v="867"/>
    <s v="JK Technology Pte Ltd"/>
    <m/>
    <s v="AWS Consumption July 2026"/>
    <x v="26"/>
    <x v="19"/>
    <x v="13"/>
    <x v="1"/>
    <m/>
    <m/>
    <m/>
    <m/>
    <m/>
  </r>
  <r>
    <x v="1"/>
    <x v="2"/>
    <d v="2026-09-25T00:00:00"/>
    <m/>
    <x v="55"/>
    <s v="SGD"/>
    <n v="325"/>
    <n v="0"/>
    <n v="325"/>
    <x v="866"/>
    <s v="JK Technology Pte Ltd"/>
    <m/>
    <s v="AWS Consumption July 2026"/>
    <x v="26"/>
    <x v="19"/>
    <x v="14"/>
    <x v="1"/>
    <m/>
    <m/>
    <m/>
    <m/>
    <m/>
  </r>
  <r>
    <x v="1"/>
    <x v="2"/>
    <d v="2026-09-25T00:00:00"/>
    <m/>
    <x v="55"/>
    <s v="SGD"/>
    <n v="6175"/>
    <n v="0"/>
    <n v="6175"/>
    <x v="867"/>
    <s v="JK Technology Pte Ltd"/>
    <m/>
    <s v="AWS Consumption July 2026"/>
    <x v="26"/>
    <x v="19"/>
    <x v="15"/>
    <x v="1"/>
    <m/>
    <m/>
    <m/>
    <m/>
    <m/>
  </r>
  <r>
    <x v="1"/>
    <x v="2"/>
    <d v="2026-09-25T00:00:00"/>
    <m/>
    <x v="55"/>
    <s v="SGD"/>
    <n v="600"/>
    <n v="0"/>
    <n v="600"/>
    <x v="510"/>
    <s v="Sulin Kwok Kwai Lian"/>
    <m/>
    <s v="Cleaning Fees September 2026"/>
    <x v="41"/>
    <x v="31"/>
    <x v="1"/>
    <x v="0"/>
    <m/>
    <m/>
    <m/>
    <m/>
    <m/>
  </r>
  <r>
    <x v="1"/>
    <x v="2"/>
    <d v="2026-09-30T00:00:00"/>
    <d v="2026-09-30T00:00:00"/>
    <x v="56"/>
    <s v="SGD"/>
    <m/>
    <m/>
    <m/>
    <x v="359"/>
    <s v="SG Staff"/>
    <m/>
    <s v="Net Pay - Sep 2026"/>
    <x v="17"/>
    <x v="8"/>
    <x v="4"/>
    <x v="2"/>
    <m/>
    <m/>
    <m/>
    <m/>
    <m/>
  </r>
  <r>
    <x v="1"/>
    <x v="2"/>
    <d v="2026-09-30T00:00:00"/>
    <d v="2026-09-30T00:00:00"/>
    <x v="56"/>
    <s v="SGD"/>
    <m/>
    <m/>
    <m/>
    <x v="848"/>
    <s v="SG Staff"/>
    <m/>
    <s v="Net Pay - Sep 2026"/>
    <x v="17"/>
    <x v="8"/>
    <x v="4"/>
    <x v="2"/>
    <m/>
    <m/>
    <m/>
    <m/>
    <m/>
  </r>
  <r>
    <x v="1"/>
    <x v="2"/>
    <d v="2026-09-30T00:00:00"/>
    <d v="2026-09-30T00:00:00"/>
    <x v="56"/>
    <s v="SGD"/>
    <m/>
    <m/>
    <m/>
    <x v="92"/>
    <s v="SG Staff"/>
    <m/>
    <s v="Statutory Contribution - 09/26"/>
    <x v="10"/>
    <x v="8"/>
    <x v="4"/>
    <x v="2"/>
    <m/>
    <m/>
    <m/>
    <m/>
    <m/>
  </r>
  <r>
    <x v="1"/>
    <x v="2"/>
    <d v="2026-09-30T00:00:00"/>
    <d v="2026-09-30T00:00:00"/>
    <x v="56"/>
    <s v="SGD"/>
    <m/>
    <m/>
    <m/>
    <x v="849"/>
    <s v="SG Staff"/>
    <m/>
    <s v="Net Pay - Sep 2026"/>
    <x v="17"/>
    <x v="8"/>
    <x v="9"/>
    <x v="4"/>
    <m/>
    <m/>
    <m/>
    <m/>
    <m/>
  </r>
  <r>
    <x v="1"/>
    <x v="2"/>
    <d v="2026-09-30T00:00:00"/>
    <d v="2026-09-30T00:00:00"/>
    <x v="56"/>
    <s v="SGD"/>
    <m/>
    <m/>
    <m/>
    <x v="850"/>
    <s v="SG Staff"/>
    <m/>
    <s v="Net Pay - Sep 2026"/>
    <x v="17"/>
    <x v="8"/>
    <x v="9"/>
    <x v="4"/>
    <m/>
    <m/>
    <m/>
    <m/>
    <m/>
  </r>
  <r>
    <x v="1"/>
    <x v="2"/>
    <d v="2026-09-30T00:00:00"/>
    <d v="2026-09-30T00:00:00"/>
    <x v="56"/>
    <s v="SGD"/>
    <m/>
    <m/>
    <m/>
    <x v="851"/>
    <s v="SG Staff"/>
    <m/>
    <s v="Statutory Contribution - 09/26"/>
    <x v="10"/>
    <x v="8"/>
    <x v="9"/>
    <x v="4"/>
    <m/>
    <m/>
    <m/>
    <m/>
    <m/>
  </r>
  <r>
    <x v="1"/>
    <x v="2"/>
    <d v="2026-09-30T00:00:00"/>
    <d v="2026-09-30T00:00:00"/>
    <x v="56"/>
    <s v="SGD"/>
    <m/>
    <m/>
    <m/>
    <x v="852"/>
    <s v="SG Staff"/>
    <m/>
    <s v="Net Pay - Sep 2026"/>
    <x v="17"/>
    <x v="8"/>
    <x v="12"/>
    <x v="2"/>
    <m/>
    <m/>
    <m/>
    <m/>
    <m/>
  </r>
  <r>
    <x v="1"/>
    <x v="2"/>
    <d v="2026-09-30T00:00:00"/>
    <d v="2026-09-30T00:00:00"/>
    <x v="56"/>
    <s v="SGD"/>
    <m/>
    <m/>
    <m/>
    <x v="853"/>
    <s v="SG Staff"/>
    <m/>
    <s v="Net Pay - Sep 2026"/>
    <x v="17"/>
    <x v="8"/>
    <x v="12"/>
    <x v="2"/>
    <m/>
    <m/>
    <m/>
    <m/>
    <m/>
  </r>
  <r>
    <x v="1"/>
    <x v="2"/>
    <d v="2026-09-30T00:00:00"/>
    <d v="2026-09-30T00:00:00"/>
    <x v="56"/>
    <s v="SGD"/>
    <m/>
    <m/>
    <m/>
    <x v="366"/>
    <s v="SG Staff"/>
    <m/>
    <s v="Statutory Contribution - 09/26"/>
    <x v="10"/>
    <x v="8"/>
    <x v="12"/>
    <x v="2"/>
    <m/>
    <m/>
    <m/>
    <m/>
    <m/>
  </r>
  <r>
    <x v="1"/>
    <x v="2"/>
    <d v="2026-09-30T00:00:00"/>
    <d v="2026-09-30T00:00:00"/>
    <x v="56"/>
    <s v="SGD"/>
    <m/>
    <m/>
    <m/>
    <x v="92"/>
    <s v="SG Staff"/>
    <m/>
    <s v="Net Pay - Sep 2026"/>
    <x v="17"/>
    <x v="8"/>
    <x v="0"/>
    <x v="0"/>
    <m/>
    <m/>
    <m/>
    <m/>
    <m/>
  </r>
  <r>
    <x v="1"/>
    <x v="2"/>
    <d v="2026-09-30T00:00:00"/>
    <d v="2026-09-30T00:00:00"/>
    <x v="56"/>
    <s v="SGD"/>
    <m/>
    <m/>
    <m/>
    <x v="854"/>
    <s v="SG Staff"/>
    <m/>
    <s v="Net Pay - Sep 2026"/>
    <x v="17"/>
    <x v="8"/>
    <x v="0"/>
    <x v="0"/>
    <m/>
    <m/>
    <m/>
    <m/>
    <m/>
  </r>
  <r>
    <x v="1"/>
    <x v="2"/>
    <d v="2026-09-30T00:00:00"/>
    <d v="2026-09-30T00:00:00"/>
    <x v="56"/>
    <s v="SGD"/>
    <m/>
    <m/>
    <m/>
    <x v="855"/>
    <s v="SG Staff"/>
    <m/>
    <s v="Statutory Contribution - 09/26"/>
    <x v="10"/>
    <x v="8"/>
    <x v="0"/>
    <x v="0"/>
    <m/>
    <m/>
    <m/>
    <m/>
    <m/>
  </r>
  <r>
    <x v="1"/>
    <x v="2"/>
    <d v="2026-09-30T00:00:00"/>
    <d v="2026-09-30T00:00:00"/>
    <x v="56"/>
    <s v="SGD"/>
    <m/>
    <m/>
    <m/>
    <x v="856"/>
    <s v="SG Staff"/>
    <m/>
    <s v="Net Pay - Sep 2026"/>
    <x v="17"/>
    <x v="8"/>
    <x v="3"/>
    <x v="0"/>
    <m/>
    <m/>
    <m/>
    <m/>
    <m/>
  </r>
  <r>
    <x v="1"/>
    <x v="2"/>
    <d v="2026-09-30T00:00:00"/>
    <d v="2026-09-30T00:00:00"/>
    <x v="56"/>
    <s v="SGD"/>
    <m/>
    <m/>
    <m/>
    <x v="857"/>
    <s v="SG Staff"/>
    <m/>
    <s v="Net Pay - Sep 2026"/>
    <x v="17"/>
    <x v="8"/>
    <x v="3"/>
    <x v="0"/>
    <m/>
    <m/>
    <m/>
    <m/>
    <m/>
  </r>
  <r>
    <x v="1"/>
    <x v="2"/>
    <d v="2026-09-30T00:00:00"/>
    <d v="2026-09-30T00:00:00"/>
    <x v="56"/>
    <s v="SGD"/>
    <m/>
    <m/>
    <m/>
    <x v="851"/>
    <s v="SG Staff"/>
    <m/>
    <s v="Statutory Contribution - 09/26"/>
    <x v="10"/>
    <x v="8"/>
    <x v="3"/>
    <x v="0"/>
    <m/>
    <m/>
    <m/>
    <m/>
    <m/>
  </r>
  <r>
    <x v="1"/>
    <x v="2"/>
    <d v="2026-09-30T00:00:00"/>
    <d v="2026-09-30T00:00:00"/>
    <x v="56"/>
    <s v="SGD"/>
    <m/>
    <m/>
    <m/>
    <x v="365"/>
    <s v="SG Staff"/>
    <m/>
    <s v="Net Pay - Sep 2026"/>
    <x v="17"/>
    <x v="8"/>
    <x v="5"/>
    <x v="0"/>
    <m/>
    <m/>
    <m/>
    <m/>
    <m/>
  </r>
  <r>
    <x v="1"/>
    <x v="2"/>
    <d v="2026-09-30T00:00:00"/>
    <d v="2026-09-30T00:00:00"/>
    <x v="56"/>
    <s v="SGD"/>
    <m/>
    <m/>
    <m/>
    <x v="854"/>
    <s v="SG Staff"/>
    <m/>
    <s v="Net Pay - Sep 2026"/>
    <x v="17"/>
    <x v="8"/>
    <x v="5"/>
    <x v="0"/>
    <m/>
    <m/>
    <m/>
    <m/>
    <m/>
  </r>
  <r>
    <x v="1"/>
    <x v="2"/>
    <d v="2026-09-30T00:00:00"/>
    <d v="2026-09-30T00:00:00"/>
    <x v="56"/>
    <s v="SGD"/>
    <m/>
    <m/>
    <m/>
    <x v="364"/>
    <s v="SG Staff"/>
    <m/>
    <s v="Statutory Contribution - 09/26"/>
    <x v="10"/>
    <x v="8"/>
    <x v="5"/>
    <x v="0"/>
    <m/>
    <m/>
    <m/>
    <m/>
    <m/>
  </r>
  <r>
    <x v="1"/>
    <x v="2"/>
    <d v="2026-09-30T00:00:00"/>
    <d v="2026-09-30T00:00:00"/>
    <x v="56"/>
    <s v="SGD"/>
    <m/>
    <m/>
    <m/>
    <x v="858"/>
    <s v="SG Staff"/>
    <m/>
    <s v="Net Pay - Sep 2026"/>
    <x v="17"/>
    <x v="8"/>
    <x v="11"/>
    <x v="0"/>
    <m/>
    <m/>
    <m/>
    <m/>
    <m/>
  </r>
  <r>
    <x v="1"/>
    <x v="2"/>
    <d v="2026-09-30T00:00:00"/>
    <d v="2026-09-30T00:00:00"/>
    <x v="56"/>
    <s v="SGD"/>
    <m/>
    <m/>
    <m/>
    <x v="859"/>
    <s v="SG Staff"/>
    <m/>
    <s v="Statutory Contribution - 09/26"/>
    <x v="10"/>
    <x v="8"/>
    <x v="11"/>
    <x v="0"/>
    <m/>
    <m/>
    <m/>
    <m/>
    <m/>
  </r>
  <r>
    <x v="1"/>
    <x v="2"/>
    <d v="2026-09-30T00:00:00"/>
    <d v="2026-09-30T00:00:00"/>
    <x v="56"/>
    <s v="SGD"/>
    <m/>
    <m/>
    <m/>
    <x v="860"/>
    <s v="SG Staff"/>
    <m/>
    <s v="Net Pay - Sep 2026"/>
    <x v="17"/>
    <x v="8"/>
    <x v="14"/>
    <x v="1"/>
    <m/>
    <m/>
    <m/>
    <m/>
    <m/>
  </r>
  <r>
    <x v="1"/>
    <x v="2"/>
    <d v="2026-09-30T00:00:00"/>
    <d v="2026-09-30T00:00:00"/>
    <x v="56"/>
    <s v="SGD"/>
    <m/>
    <m/>
    <m/>
    <x v="853"/>
    <s v="SG Staff"/>
    <m/>
    <s v="Net Pay - Sep 2026"/>
    <x v="17"/>
    <x v="8"/>
    <x v="14"/>
    <x v="1"/>
    <m/>
    <m/>
    <m/>
    <m/>
    <m/>
  </r>
  <r>
    <x v="1"/>
    <x v="2"/>
    <d v="2026-09-30T00:00:00"/>
    <d v="2026-09-30T00:00:00"/>
    <x v="56"/>
    <s v="SGD"/>
    <m/>
    <m/>
    <m/>
    <x v="366"/>
    <s v="SG Staff"/>
    <m/>
    <s v="Statutory Contribution - 09/26"/>
    <x v="10"/>
    <x v="8"/>
    <x v="14"/>
    <x v="1"/>
    <m/>
    <m/>
    <m/>
    <m/>
    <m/>
  </r>
  <r>
    <x v="1"/>
    <x v="2"/>
    <d v="2026-09-30T00:00:00"/>
    <d v="2026-09-30T00:00:00"/>
    <x v="56"/>
    <s v="SGD"/>
    <m/>
    <m/>
    <m/>
    <x v="856"/>
    <s v="SG Staff"/>
    <m/>
    <s v="Net Pay - Sep 2026"/>
    <x v="17"/>
    <x v="8"/>
    <x v="13"/>
    <x v="1"/>
    <m/>
    <m/>
    <m/>
    <m/>
    <m/>
  </r>
  <r>
    <x v="1"/>
    <x v="2"/>
    <d v="2026-09-30T00:00:00"/>
    <d v="2026-09-30T00:00:00"/>
    <x v="56"/>
    <s v="SGD"/>
    <m/>
    <m/>
    <m/>
    <x v="861"/>
    <s v="SG Staff"/>
    <m/>
    <s v="Statutory Contribution - 09/26"/>
    <x v="10"/>
    <x v="8"/>
    <x v="13"/>
    <x v="1"/>
    <m/>
    <m/>
    <m/>
    <m/>
    <m/>
  </r>
  <r>
    <x v="1"/>
    <x v="2"/>
    <d v="2026-09-30T00:00:00"/>
    <d v="2026-09-30T00:00:00"/>
    <x v="56"/>
    <s v="SGD"/>
    <m/>
    <m/>
    <m/>
    <x v="860"/>
    <s v="SG Staff"/>
    <m/>
    <s v="Net Pay - Sep 2026"/>
    <x v="17"/>
    <x v="8"/>
    <x v="8"/>
    <x v="2"/>
    <m/>
    <m/>
    <m/>
    <m/>
    <m/>
  </r>
  <r>
    <x v="1"/>
    <x v="2"/>
    <d v="2026-09-30T00:00:00"/>
    <d v="2026-09-30T00:00:00"/>
    <x v="56"/>
    <s v="SGD"/>
    <m/>
    <m/>
    <m/>
    <x v="862"/>
    <s v="SG Staff"/>
    <m/>
    <s v="Net Pay - Sep 2026"/>
    <x v="17"/>
    <x v="8"/>
    <x v="8"/>
    <x v="2"/>
    <m/>
    <m/>
    <m/>
    <m/>
    <m/>
  </r>
  <r>
    <x v="1"/>
    <x v="2"/>
    <d v="2026-09-30T00:00:00"/>
    <d v="2026-09-30T00:00:00"/>
    <x v="56"/>
    <s v="SGD"/>
    <m/>
    <m/>
    <m/>
    <x v="359"/>
    <s v="SG Staff"/>
    <m/>
    <s v="Statutory Contribution - 09/26"/>
    <x v="10"/>
    <x v="8"/>
    <x v="8"/>
    <x v="2"/>
    <m/>
    <m/>
    <m/>
    <m/>
    <m/>
  </r>
  <r>
    <x v="1"/>
    <x v="2"/>
    <d v="2026-09-30T00:00:00"/>
    <m/>
    <x v="56"/>
    <s v="SGD"/>
    <n v="210.51"/>
    <n v="18.940000000000001"/>
    <n v="229.45"/>
    <x v="864"/>
    <s v="Xero (Singapore) Pte. Ltd."/>
    <m/>
    <s v="Monthly Subscription 28 Sep 2026 to 27 Oct 2026"/>
    <x v="8"/>
    <x v="6"/>
    <x v="0"/>
    <x v="0"/>
    <m/>
    <m/>
    <m/>
    <m/>
    <m/>
  </r>
  <r>
    <x v="1"/>
    <x v="2"/>
    <d v="2026-09-30T00:00:00"/>
    <m/>
    <x v="56"/>
    <s v="SGD"/>
    <n v="8000"/>
    <n v="0"/>
    <n v="8000"/>
    <x v="869"/>
    <s v="Juyee Consulting Pte Ltd"/>
    <m/>
    <s v="Consulation fees June 2026"/>
    <x v="11"/>
    <x v="9"/>
    <x v="1"/>
    <x v="0"/>
    <m/>
    <m/>
    <m/>
    <m/>
    <m/>
  </r>
  <r>
    <x v="1"/>
    <x v="2"/>
    <d v="2026-09-30T00:00:00"/>
    <m/>
    <x v="56"/>
    <s v="SGD"/>
    <m/>
    <m/>
    <m/>
    <x v="868"/>
    <s v="Xero (NZ) Ltd"/>
    <m/>
    <s v="Monthly Subscription 28 Sep 2026 to 27 Oct 2026"/>
    <x v="43"/>
    <x v="15"/>
    <x v="0"/>
    <x v="0"/>
    <m/>
    <m/>
    <m/>
    <m/>
    <m/>
  </r>
  <r>
    <x v="1"/>
    <x v="2"/>
    <d v="2026-10-25T00:00:00"/>
    <m/>
    <x v="58"/>
    <s v="SGD"/>
    <n v="66.5"/>
    <n v="5.99"/>
    <n v="72.489999999999995"/>
    <x v="395"/>
    <s v="Kumpulan Development (S) Pte Ltd"/>
    <m/>
    <s v="Ice Mountain Pure Drinking Water 19L"/>
    <x v="5"/>
    <x v="5"/>
    <x v="1"/>
    <x v="0"/>
    <m/>
    <m/>
    <m/>
    <m/>
    <m/>
  </r>
  <r>
    <x v="1"/>
    <x v="2"/>
    <d v="2026-10-25T00:00:00"/>
    <m/>
    <x v="58"/>
    <s v="SGD"/>
    <n v="325"/>
    <n v="0"/>
    <n v="325"/>
    <x v="866"/>
    <s v="JK Technology Pte Ltd"/>
    <m/>
    <s v="AWS Consumption August 2026"/>
    <x v="26"/>
    <x v="19"/>
    <x v="13"/>
    <x v="1"/>
    <m/>
    <m/>
    <m/>
    <m/>
    <m/>
  </r>
  <r>
    <x v="1"/>
    <x v="2"/>
    <d v="2026-10-25T00:00:00"/>
    <m/>
    <x v="58"/>
    <s v="SGD"/>
    <n v="6175"/>
    <n v="0"/>
    <n v="6175"/>
    <x v="867"/>
    <s v="JK Technology Pte Ltd"/>
    <m/>
    <s v="AWS Consumption August 2026"/>
    <x v="26"/>
    <x v="19"/>
    <x v="14"/>
    <x v="1"/>
    <m/>
    <m/>
    <m/>
    <m/>
    <m/>
  </r>
  <r>
    <x v="1"/>
    <x v="2"/>
    <d v="2026-10-25T00:00:00"/>
    <m/>
    <x v="58"/>
    <s v="SGD"/>
    <n v="325"/>
    <n v="0"/>
    <n v="325"/>
    <x v="866"/>
    <s v="JK Technology Pte Ltd"/>
    <m/>
    <s v="AWS Consumption August 2026"/>
    <x v="26"/>
    <x v="19"/>
    <x v="15"/>
    <x v="1"/>
    <m/>
    <m/>
    <m/>
    <m/>
    <m/>
  </r>
  <r>
    <x v="1"/>
    <x v="2"/>
    <d v="2026-10-25T00:00:00"/>
    <m/>
    <x v="58"/>
    <s v="SGD"/>
    <m/>
    <m/>
    <m/>
    <x v="865"/>
    <s v="FLO Energy"/>
    <m/>
    <s v="Electricity Bill for #14-04 - September 2026"/>
    <x v="12"/>
    <x v="10"/>
    <x v="1"/>
    <x v="0"/>
    <m/>
    <m/>
    <m/>
    <m/>
    <m/>
  </r>
  <r>
    <x v="1"/>
    <x v="2"/>
    <d v="2026-10-25T00:00:00"/>
    <m/>
    <x v="58"/>
    <s v="SGD"/>
    <n v="26042.28"/>
    <n v="0"/>
    <n v="26042.28"/>
    <x v="382"/>
    <s v="HTSG A/C Suntec Reit"/>
    <m/>
    <s v="Rental for November 2026"/>
    <x v="23"/>
    <x v="17"/>
    <x v="1"/>
    <x v="0"/>
    <m/>
    <m/>
    <m/>
    <m/>
    <m/>
  </r>
  <r>
    <x v="1"/>
    <x v="2"/>
    <d v="2026-10-25T00:00:00"/>
    <m/>
    <x v="58"/>
    <s v="SGD"/>
    <n v="158"/>
    <n v="14.22"/>
    <n v="172.22"/>
    <x v="383"/>
    <s v="JK Technology Pte Ltd"/>
    <m/>
    <s v="Lease liability - Oct26"/>
    <x v="13"/>
    <x v="11"/>
    <x v="5"/>
    <x v="0"/>
    <m/>
    <m/>
    <m/>
    <m/>
    <m/>
  </r>
  <r>
    <x v="1"/>
    <x v="2"/>
    <d v="2026-10-25T00:00:00"/>
    <m/>
    <x v="58"/>
    <s v="SGD"/>
    <n v="70"/>
    <n v="6.3"/>
    <n v="76.3"/>
    <x v="384"/>
    <s v="JK Technology Pte Ltd"/>
    <m/>
    <s v="Lease liability - Oct26"/>
    <x v="13"/>
    <x v="11"/>
    <x v="5"/>
    <x v="0"/>
    <m/>
    <m/>
    <m/>
    <m/>
    <m/>
  </r>
  <r>
    <x v="1"/>
    <x v="2"/>
    <d v="2026-10-25T00:00:00"/>
    <m/>
    <x v="58"/>
    <s v="SGD"/>
    <n v="584.1"/>
    <n v="52.57"/>
    <n v="636.66999999999996"/>
    <x v="385"/>
    <s v="JK Technology Pte Ltd"/>
    <m/>
    <s v="Lease liability - Oct26"/>
    <x v="13"/>
    <x v="11"/>
    <x v="5"/>
    <x v="0"/>
    <m/>
    <m/>
    <m/>
    <m/>
    <m/>
  </r>
  <r>
    <x v="1"/>
    <x v="2"/>
    <d v="2026-10-25T00:00:00"/>
    <m/>
    <x v="58"/>
    <s v="SGD"/>
    <n v="600"/>
    <n v="0"/>
    <n v="600"/>
    <x v="510"/>
    <s v="Sulin Kwok Kwai Lian"/>
    <m/>
    <s v="Cleaning Fees October 2026"/>
    <x v="41"/>
    <x v="31"/>
    <x v="1"/>
    <x v="0"/>
    <m/>
    <m/>
    <m/>
    <m/>
    <m/>
  </r>
  <r>
    <x v="1"/>
    <x v="2"/>
    <d v="2026-10-31T00:00:00"/>
    <d v="2026-10-31T00:00:00"/>
    <x v="59"/>
    <s v="SGD"/>
    <m/>
    <m/>
    <m/>
    <x v="359"/>
    <s v="SG Staff"/>
    <m/>
    <s v="Net Pay - Oct 2026"/>
    <x v="17"/>
    <x v="8"/>
    <x v="4"/>
    <x v="2"/>
    <m/>
    <m/>
    <m/>
    <m/>
    <m/>
  </r>
  <r>
    <x v="1"/>
    <x v="2"/>
    <d v="2026-10-31T00:00:00"/>
    <d v="2026-10-31T00:00:00"/>
    <x v="59"/>
    <s v="SGD"/>
    <m/>
    <m/>
    <m/>
    <x v="848"/>
    <s v="SG Staff"/>
    <m/>
    <s v="Net Pay - Oct 2026"/>
    <x v="17"/>
    <x v="8"/>
    <x v="4"/>
    <x v="2"/>
    <m/>
    <m/>
    <m/>
    <m/>
    <m/>
  </r>
  <r>
    <x v="1"/>
    <x v="2"/>
    <d v="2026-10-31T00:00:00"/>
    <d v="2026-10-31T00:00:00"/>
    <x v="59"/>
    <s v="SGD"/>
    <m/>
    <m/>
    <m/>
    <x v="92"/>
    <s v="SG Staff"/>
    <m/>
    <s v="Statutory Contribution - 10/26"/>
    <x v="10"/>
    <x v="8"/>
    <x v="4"/>
    <x v="2"/>
    <m/>
    <m/>
    <m/>
    <m/>
    <m/>
  </r>
  <r>
    <x v="1"/>
    <x v="2"/>
    <d v="2026-10-31T00:00:00"/>
    <d v="2026-10-31T00:00:00"/>
    <x v="59"/>
    <s v="SGD"/>
    <m/>
    <m/>
    <m/>
    <x v="849"/>
    <s v="SG Staff"/>
    <m/>
    <s v="Net Pay - Oct 2026"/>
    <x v="17"/>
    <x v="8"/>
    <x v="9"/>
    <x v="4"/>
    <m/>
    <m/>
    <m/>
    <m/>
    <m/>
  </r>
  <r>
    <x v="1"/>
    <x v="2"/>
    <d v="2026-10-31T00:00:00"/>
    <d v="2026-10-31T00:00:00"/>
    <x v="59"/>
    <s v="SGD"/>
    <m/>
    <m/>
    <m/>
    <x v="850"/>
    <s v="SG Staff"/>
    <m/>
    <s v="Net Pay - Oct 2026"/>
    <x v="17"/>
    <x v="8"/>
    <x v="9"/>
    <x v="4"/>
    <m/>
    <m/>
    <m/>
    <m/>
    <m/>
  </r>
  <r>
    <x v="1"/>
    <x v="2"/>
    <d v="2026-10-31T00:00:00"/>
    <d v="2026-10-31T00:00:00"/>
    <x v="59"/>
    <s v="SGD"/>
    <m/>
    <m/>
    <m/>
    <x v="851"/>
    <s v="SG Staff"/>
    <m/>
    <s v="Statutory Contribution - 10/26"/>
    <x v="10"/>
    <x v="8"/>
    <x v="9"/>
    <x v="4"/>
    <m/>
    <m/>
    <m/>
    <m/>
    <m/>
  </r>
  <r>
    <x v="1"/>
    <x v="2"/>
    <d v="2026-10-31T00:00:00"/>
    <d v="2026-10-31T00:00:00"/>
    <x v="59"/>
    <s v="SGD"/>
    <m/>
    <m/>
    <m/>
    <x v="852"/>
    <s v="SG Staff"/>
    <m/>
    <s v="Net Pay - Oct 2026"/>
    <x v="17"/>
    <x v="8"/>
    <x v="12"/>
    <x v="2"/>
    <m/>
    <m/>
    <m/>
    <m/>
    <m/>
  </r>
  <r>
    <x v="1"/>
    <x v="2"/>
    <d v="2026-10-31T00:00:00"/>
    <d v="2026-10-31T00:00:00"/>
    <x v="59"/>
    <s v="SGD"/>
    <m/>
    <m/>
    <m/>
    <x v="853"/>
    <s v="SG Staff"/>
    <m/>
    <s v="Net Pay - Oct 2026"/>
    <x v="17"/>
    <x v="8"/>
    <x v="12"/>
    <x v="2"/>
    <m/>
    <m/>
    <m/>
    <m/>
    <m/>
  </r>
  <r>
    <x v="1"/>
    <x v="2"/>
    <d v="2026-10-31T00:00:00"/>
    <d v="2026-10-31T00:00:00"/>
    <x v="59"/>
    <s v="SGD"/>
    <m/>
    <m/>
    <m/>
    <x v="366"/>
    <s v="SG Staff"/>
    <m/>
    <s v="Statutory Contribution - 10/26"/>
    <x v="10"/>
    <x v="8"/>
    <x v="12"/>
    <x v="2"/>
    <m/>
    <m/>
    <m/>
    <m/>
    <m/>
  </r>
  <r>
    <x v="1"/>
    <x v="2"/>
    <d v="2026-10-31T00:00:00"/>
    <d v="2026-10-31T00:00:00"/>
    <x v="59"/>
    <s v="SGD"/>
    <m/>
    <m/>
    <m/>
    <x v="92"/>
    <s v="SG Staff"/>
    <m/>
    <s v="Net Pay - Oct 2026"/>
    <x v="17"/>
    <x v="8"/>
    <x v="0"/>
    <x v="0"/>
    <m/>
    <m/>
    <m/>
    <m/>
    <m/>
  </r>
  <r>
    <x v="1"/>
    <x v="2"/>
    <d v="2026-10-31T00:00:00"/>
    <d v="2026-10-31T00:00:00"/>
    <x v="59"/>
    <s v="SGD"/>
    <m/>
    <m/>
    <m/>
    <x v="854"/>
    <s v="SG Staff"/>
    <m/>
    <s v="Net Pay - Oct 2026"/>
    <x v="17"/>
    <x v="8"/>
    <x v="0"/>
    <x v="0"/>
    <m/>
    <m/>
    <m/>
    <m/>
    <m/>
  </r>
  <r>
    <x v="1"/>
    <x v="2"/>
    <d v="2026-10-31T00:00:00"/>
    <d v="2026-10-31T00:00:00"/>
    <x v="59"/>
    <s v="SGD"/>
    <m/>
    <m/>
    <m/>
    <x v="855"/>
    <s v="SG Staff"/>
    <m/>
    <s v="Statutory Contribution - 10/26"/>
    <x v="10"/>
    <x v="8"/>
    <x v="0"/>
    <x v="0"/>
    <m/>
    <m/>
    <m/>
    <m/>
    <m/>
  </r>
  <r>
    <x v="1"/>
    <x v="2"/>
    <d v="2026-10-31T00:00:00"/>
    <d v="2026-10-31T00:00:00"/>
    <x v="59"/>
    <s v="SGD"/>
    <m/>
    <m/>
    <m/>
    <x v="856"/>
    <s v="SG Staff"/>
    <m/>
    <s v="Net Pay - Oct 2026"/>
    <x v="17"/>
    <x v="8"/>
    <x v="3"/>
    <x v="0"/>
    <m/>
    <m/>
    <m/>
    <m/>
    <m/>
  </r>
  <r>
    <x v="1"/>
    <x v="2"/>
    <d v="2026-10-31T00:00:00"/>
    <d v="2026-10-31T00:00:00"/>
    <x v="59"/>
    <s v="SGD"/>
    <m/>
    <m/>
    <m/>
    <x v="857"/>
    <s v="SG Staff"/>
    <m/>
    <s v="Net Pay - Oct 2026"/>
    <x v="17"/>
    <x v="8"/>
    <x v="3"/>
    <x v="0"/>
    <m/>
    <m/>
    <m/>
    <m/>
    <m/>
  </r>
  <r>
    <x v="1"/>
    <x v="2"/>
    <d v="2026-10-31T00:00:00"/>
    <d v="2026-10-31T00:00:00"/>
    <x v="59"/>
    <s v="SGD"/>
    <m/>
    <m/>
    <m/>
    <x v="851"/>
    <s v="SG Staff"/>
    <m/>
    <s v="Statutory Contribution - 10/26"/>
    <x v="10"/>
    <x v="8"/>
    <x v="3"/>
    <x v="0"/>
    <m/>
    <m/>
    <m/>
    <m/>
    <m/>
  </r>
  <r>
    <x v="1"/>
    <x v="2"/>
    <d v="2026-10-31T00:00:00"/>
    <d v="2026-10-31T00:00:00"/>
    <x v="59"/>
    <s v="SGD"/>
    <m/>
    <m/>
    <m/>
    <x v="365"/>
    <s v="SG Staff"/>
    <m/>
    <s v="Net Pay - Oct 2026"/>
    <x v="17"/>
    <x v="8"/>
    <x v="5"/>
    <x v="0"/>
    <m/>
    <m/>
    <m/>
    <m/>
    <m/>
  </r>
  <r>
    <x v="1"/>
    <x v="2"/>
    <d v="2026-10-31T00:00:00"/>
    <d v="2026-10-31T00:00:00"/>
    <x v="59"/>
    <s v="SGD"/>
    <m/>
    <m/>
    <m/>
    <x v="854"/>
    <s v="SG Staff"/>
    <m/>
    <s v="Net Pay - Oct 2026"/>
    <x v="17"/>
    <x v="8"/>
    <x v="5"/>
    <x v="0"/>
    <m/>
    <m/>
    <m/>
    <m/>
    <m/>
  </r>
  <r>
    <x v="1"/>
    <x v="2"/>
    <d v="2026-10-31T00:00:00"/>
    <d v="2026-10-31T00:00:00"/>
    <x v="59"/>
    <s v="SGD"/>
    <m/>
    <m/>
    <m/>
    <x v="364"/>
    <s v="SG Staff"/>
    <m/>
    <s v="Statutory Contribution - 10/26"/>
    <x v="10"/>
    <x v="8"/>
    <x v="5"/>
    <x v="0"/>
    <m/>
    <m/>
    <m/>
    <m/>
    <m/>
  </r>
  <r>
    <x v="1"/>
    <x v="2"/>
    <d v="2026-10-31T00:00:00"/>
    <d v="2026-10-31T00:00:00"/>
    <x v="59"/>
    <s v="SGD"/>
    <m/>
    <m/>
    <m/>
    <x v="858"/>
    <s v="SG Staff"/>
    <m/>
    <s v="Net Pay - Oct 2026"/>
    <x v="17"/>
    <x v="8"/>
    <x v="11"/>
    <x v="0"/>
    <m/>
    <m/>
    <m/>
    <m/>
    <m/>
  </r>
  <r>
    <x v="1"/>
    <x v="2"/>
    <d v="2026-10-31T00:00:00"/>
    <d v="2026-10-31T00:00:00"/>
    <x v="59"/>
    <s v="SGD"/>
    <m/>
    <m/>
    <m/>
    <x v="859"/>
    <s v="SG Staff"/>
    <m/>
    <s v="Statutory Contribution - 10/26"/>
    <x v="10"/>
    <x v="8"/>
    <x v="11"/>
    <x v="0"/>
    <m/>
    <m/>
    <m/>
    <m/>
    <m/>
  </r>
  <r>
    <x v="1"/>
    <x v="2"/>
    <d v="2026-10-31T00:00:00"/>
    <d v="2026-10-31T00:00:00"/>
    <x v="59"/>
    <s v="SGD"/>
    <m/>
    <m/>
    <m/>
    <x v="860"/>
    <s v="SG Staff"/>
    <m/>
    <s v="Net Pay - Oct 2026"/>
    <x v="17"/>
    <x v="8"/>
    <x v="14"/>
    <x v="1"/>
    <m/>
    <m/>
    <m/>
    <m/>
    <m/>
  </r>
  <r>
    <x v="1"/>
    <x v="2"/>
    <d v="2026-10-31T00:00:00"/>
    <d v="2026-10-31T00:00:00"/>
    <x v="59"/>
    <s v="SGD"/>
    <m/>
    <m/>
    <m/>
    <x v="853"/>
    <s v="SG Staff"/>
    <m/>
    <s v="Net Pay - Oct 2026"/>
    <x v="17"/>
    <x v="8"/>
    <x v="14"/>
    <x v="1"/>
    <m/>
    <m/>
    <m/>
    <m/>
    <m/>
  </r>
  <r>
    <x v="1"/>
    <x v="2"/>
    <d v="2026-10-31T00:00:00"/>
    <d v="2026-10-31T00:00:00"/>
    <x v="59"/>
    <s v="SGD"/>
    <m/>
    <m/>
    <m/>
    <x v="366"/>
    <s v="SG Staff"/>
    <m/>
    <s v="Statutory Contribution - 10/26"/>
    <x v="10"/>
    <x v="8"/>
    <x v="14"/>
    <x v="1"/>
    <m/>
    <m/>
    <m/>
    <m/>
    <m/>
  </r>
  <r>
    <x v="1"/>
    <x v="2"/>
    <d v="2026-10-31T00:00:00"/>
    <d v="2026-10-31T00:00:00"/>
    <x v="59"/>
    <s v="SGD"/>
    <m/>
    <m/>
    <m/>
    <x v="856"/>
    <s v="SG Staff"/>
    <m/>
    <s v="Net Pay - Oct 2026"/>
    <x v="17"/>
    <x v="8"/>
    <x v="13"/>
    <x v="1"/>
    <m/>
    <m/>
    <m/>
    <m/>
    <m/>
  </r>
  <r>
    <x v="1"/>
    <x v="2"/>
    <d v="2026-10-31T00:00:00"/>
    <d v="2026-10-31T00:00:00"/>
    <x v="59"/>
    <s v="SGD"/>
    <m/>
    <m/>
    <m/>
    <x v="861"/>
    <s v="SG Staff"/>
    <m/>
    <s v="Statutory Contribution - 10/26"/>
    <x v="10"/>
    <x v="8"/>
    <x v="13"/>
    <x v="1"/>
    <m/>
    <m/>
    <m/>
    <m/>
    <m/>
  </r>
  <r>
    <x v="1"/>
    <x v="2"/>
    <d v="2026-10-31T00:00:00"/>
    <d v="2026-10-31T00:00:00"/>
    <x v="59"/>
    <s v="SGD"/>
    <m/>
    <m/>
    <m/>
    <x v="860"/>
    <s v="SG Staff"/>
    <m/>
    <s v="Net Pay - Oct 2026"/>
    <x v="17"/>
    <x v="8"/>
    <x v="8"/>
    <x v="2"/>
    <m/>
    <m/>
    <m/>
    <m/>
    <m/>
  </r>
  <r>
    <x v="1"/>
    <x v="2"/>
    <d v="2026-10-31T00:00:00"/>
    <d v="2026-10-31T00:00:00"/>
    <x v="59"/>
    <s v="SGD"/>
    <m/>
    <m/>
    <m/>
    <x v="862"/>
    <s v="SG Staff"/>
    <m/>
    <s v="Net Pay - Oct 2026"/>
    <x v="17"/>
    <x v="8"/>
    <x v="8"/>
    <x v="2"/>
    <m/>
    <m/>
    <m/>
    <m/>
    <m/>
  </r>
  <r>
    <x v="1"/>
    <x v="2"/>
    <d v="2026-10-31T00:00:00"/>
    <d v="2026-10-31T00:00:00"/>
    <x v="59"/>
    <s v="SGD"/>
    <m/>
    <m/>
    <m/>
    <x v="359"/>
    <s v="SG Staff"/>
    <m/>
    <s v="Statutory Contribution - 10/26"/>
    <x v="10"/>
    <x v="8"/>
    <x v="8"/>
    <x v="2"/>
    <m/>
    <m/>
    <m/>
    <m/>
    <m/>
  </r>
  <r>
    <x v="1"/>
    <x v="2"/>
    <d v="2026-10-31T00:00:00"/>
    <m/>
    <x v="59"/>
    <s v="SGD"/>
    <n v="210.51"/>
    <n v="18.940000000000001"/>
    <n v="229.45"/>
    <x v="864"/>
    <s v="Xero (Singapore) Pte. Ltd."/>
    <m/>
    <s v="Monthly Subscription 28 Oct 2026 to 27 Nov 2026"/>
    <x v="8"/>
    <x v="6"/>
    <x v="0"/>
    <x v="0"/>
    <m/>
    <m/>
    <m/>
    <m/>
    <m/>
  </r>
  <r>
    <x v="1"/>
    <x v="2"/>
    <d v="2026-10-31T00:00:00"/>
    <m/>
    <x v="59"/>
    <s v="SGD"/>
    <m/>
    <m/>
    <m/>
    <x v="868"/>
    <s v="Xero (NZ) Ltd"/>
    <m/>
    <s v="Monthly Subscription 28 Oct 2026 to 27 Nov 2026"/>
    <x v="43"/>
    <x v="15"/>
    <x v="0"/>
    <x v="0"/>
    <m/>
    <m/>
    <m/>
    <m/>
    <m/>
  </r>
  <r>
    <x v="1"/>
    <x v="2"/>
    <d v="2026-11-15T00:00:00"/>
    <m/>
    <x v="60"/>
    <s v="SGD"/>
    <n v="600"/>
    <n v="0"/>
    <n v="600"/>
    <x v="510"/>
    <s v="Sulin Kwok Kwai Lian"/>
    <m/>
    <s v="Cleaning Fees November 2026"/>
    <x v="41"/>
    <x v="31"/>
    <x v="1"/>
    <x v="0"/>
    <m/>
    <m/>
    <m/>
    <m/>
    <m/>
  </r>
  <r>
    <x v="1"/>
    <x v="2"/>
    <d v="2026-11-25T00:00:00"/>
    <m/>
    <x v="61"/>
    <s v="SGD"/>
    <n v="66.5"/>
    <n v="5.99"/>
    <n v="72.489999999999995"/>
    <x v="395"/>
    <s v="Kumpulan Development (S) Pte Ltd"/>
    <m/>
    <s v="Ice Mountain Pure Drinking Water 19L"/>
    <x v="5"/>
    <x v="5"/>
    <x v="1"/>
    <x v="0"/>
    <m/>
    <m/>
    <m/>
    <m/>
    <m/>
  </r>
  <r>
    <x v="1"/>
    <x v="2"/>
    <d v="2026-11-25T00:00:00"/>
    <m/>
    <x v="61"/>
    <s v="SGD"/>
    <n v="6175"/>
    <n v="0"/>
    <n v="6175"/>
    <x v="867"/>
    <s v="JK Technology Pte Ltd"/>
    <m/>
    <s v="AWS Consumption November 2026"/>
    <x v="26"/>
    <x v="19"/>
    <x v="13"/>
    <x v="1"/>
    <m/>
    <m/>
    <m/>
    <m/>
    <m/>
  </r>
  <r>
    <x v="1"/>
    <x v="2"/>
    <d v="2026-11-25T00:00:00"/>
    <m/>
    <x v="61"/>
    <s v="SGD"/>
    <n v="325"/>
    <n v="0"/>
    <n v="325"/>
    <x v="866"/>
    <s v="JK Technology Pte Ltd"/>
    <m/>
    <s v="AWS Consumption November 2026"/>
    <x v="26"/>
    <x v="19"/>
    <x v="14"/>
    <x v="1"/>
    <m/>
    <m/>
    <m/>
    <m/>
    <m/>
  </r>
  <r>
    <x v="1"/>
    <x v="2"/>
    <d v="2026-11-25T00:00:00"/>
    <m/>
    <x v="61"/>
    <s v="SGD"/>
    <n v="6175"/>
    <n v="0"/>
    <n v="6175"/>
    <x v="867"/>
    <s v="JK Technology Pte Ltd"/>
    <m/>
    <s v="AWS Consumption November 2026"/>
    <x v="26"/>
    <x v="19"/>
    <x v="15"/>
    <x v="1"/>
    <m/>
    <m/>
    <m/>
    <m/>
    <m/>
  </r>
  <r>
    <x v="1"/>
    <x v="2"/>
    <d v="2026-11-25T00:00:00"/>
    <m/>
    <x v="61"/>
    <s v="SGD"/>
    <m/>
    <m/>
    <m/>
    <x v="865"/>
    <s v="FLO Energy"/>
    <m/>
    <s v="Electricity Bill for #14-04 - October 2026"/>
    <x v="12"/>
    <x v="10"/>
    <x v="1"/>
    <x v="0"/>
    <m/>
    <m/>
    <m/>
    <m/>
    <m/>
  </r>
  <r>
    <x v="1"/>
    <x v="2"/>
    <d v="2026-11-25T00:00:00"/>
    <m/>
    <x v="61"/>
    <s v="SGD"/>
    <n v="26042.28"/>
    <n v="0"/>
    <n v="26042.28"/>
    <x v="382"/>
    <s v="HTSG A/C Suntec Reit"/>
    <m/>
    <s v="Rental for December 2026"/>
    <x v="23"/>
    <x v="17"/>
    <x v="1"/>
    <x v="0"/>
    <m/>
    <m/>
    <m/>
    <m/>
    <m/>
  </r>
  <r>
    <x v="1"/>
    <x v="2"/>
    <d v="2026-11-25T00:00:00"/>
    <m/>
    <x v="61"/>
    <s v="SGD"/>
    <n v="158"/>
    <n v="14.22"/>
    <n v="172.22"/>
    <x v="383"/>
    <s v="JK Technology Pte Ltd"/>
    <m/>
    <s v="Lease liability - Nov26"/>
    <x v="13"/>
    <x v="11"/>
    <x v="5"/>
    <x v="0"/>
    <m/>
    <m/>
    <m/>
    <m/>
    <m/>
  </r>
  <r>
    <x v="1"/>
    <x v="2"/>
    <d v="2026-11-25T00:00:00"/>
    <m/>
    <x v="61"/>
    <s v="SGD"/>
    <n v="70"/>
    <n v="6.3"/>
    <n v="76.3"/>
    <x v="384"/>
    <s v="JK Technology Pte Ltd"/>
    <m/>
    <s v="Lease liability - Nov26"/>
    <x v="13"/>
    <x v="11"/>
    <x v="5"/>
    <x v="0"/>
    <m/>
    <m/>
    <m/>
    <m/>
    <m/>
  </r>
  <r>
    <x v="1"/>
    <x v="2"/>
    <d v="2026-11-25T00:00:00"/>
    <m/>
    <x v="61"/>
    <s v="SGD"/>
    <n v="584.1"/>
    <n v="52.57"/>
    <n v="636.66999999999996"/>
    <x v="385"/>
    <s v="JK Technology Pte Ltd"/>
    <m/>
    <s v="Lease liability - Nov26"/>
    <x v="13"/>
    <x v="11"/>
    <x v="5"/>
    <x v="0"/>
    <m/>
    <m/>
    <m/>
    <m/>
    <m/>
  </r>
  <r>
    <x v="1"/>
    <x v="2"/>
    <d v="2026-11-25T00:00:00"/>
    <m/>
    <x v="61"/>
    <s v="SGD"/>
    <n v="6175"/>
    <n v="0"/>
    <n v="6175"/>
    <x v="867"/>
    <s v="JK Technology Pte Ltd"/>
    <m/>
    <s v="AWS Consumption September 2026"/>
    <x v="26"/>
    <x v="19"/>
    <x v="13"/>
    <x v="1"/>
    <m/>
    <m/>
    <m/>
    <m/>
    <m/>
  </r>
  <r>
    <x v="1"/>
    <x v="2"/>
    <d v="2026-11-25T00:00:00"/>
    <m/>
    <x v="61"/>
    <s v="SGD"/>
    <n v="325"/>
    <n v="0"/>
    <n v="325"/>
    <x v="866"/>
    <s v="JK Technology Pte Ltd"/>
    <m/>
    <s v="AWS Consumption September 2026"/>
    <x v="26"/>
    <x v="19"/>
    <x v="14"/>
    <x v="1"/>
    <m/>
    <m/>
    <m/>
    <m/>
    <m/>
  </r>
  <r>
    <x v="1"/>
    <x v="2"/>
    <d v="2026-11-25T00:00:00"/>
    <m/>
    <x v="61"/>
    <s v="SGD"/>
    <n v="6175"/>
    <n v="0"/>
    <n v="6175"/>
    <x v="867"/>
    <s v="JK Technology Pte Ltd"/>
    <m/>
    <s v="AWS Consumption September 2026"/>
    <x v="26"/>
    <x v="19"/>
    <x v="15"/>
    <x v="1"/>
    <m/>
    <m/>
    <m/>
    <m/>
    <m/>
  </r>
  <r>
    <x v="1"/>
    <x v="2"/>
    <d v="2026-11-30T00:00:00"/>
    <d v="2026-11-30T00:00:00"/>
    <x v="62"/>
    <s v="SGD"/>
    <m/>
    <m/>
    <m/>
    <x v="359"/>
    <s v="SG Staff"/>
    <m/>
    <s v="Net Pay - Nov 2026"/>
    <x v="17"/>
    <x v="8"/>
    <x v="4"/>
    <x v="2"/>
    <m/>
    <m/>
    <m/>
    <m/>
    <m/>
  </r>
  <r>
    <x v="1"/>
    <x v="2"/>
    <d v="2026-11-30T00:00:00"/>
    <d v="2026-11-30T00:00:00"/>
    <x v="62"/>
    <s v="SGD"/>
    <m/>
    <m/>
    <m/>
    <x v="848"/>
    <s v="SG Staff"/>
    <m/>
    <s v="Net Pay - Nov 2026"/>
    <x v="17"/>
    <x v="8"/>
    <x v="4"/>
    <x v="2"/>
    <m/>
    <m/>
    <m/>
    <m/>
    <m/>
  </r>
  <r>
    <x v="1"/>
    <x v="2"/>
    <d v="2026-11-30T00:00:00"/>
    <d v="2026-11-30T00:00:00"/>
    <x v="62"/>
    <s v="SGD"/>
    <m/>
    <m/>
    <m/>
    <x v="92"/>
    <s v="SG Staff"/>
    <m/>
    <s v="Statutory Contribution - 11/26"/>
    <x v="10"/>
    <x v="8"/>
    <x v="4"/>
    <x v="2"/>
    <m/>
    <m/>
    <m/>
    <m/>
    <m/>
  </r>
  <r>
    <x v="1"/>
    <x v="2"/>
    <d v="2026-11-30T00:00:00"/>
    <d v="2026-11-30T00:00:00"/>
    <x v="62"/>
    <s v="SGD"/>
    <m/>
    <m/>
    <m/>
    <x v="849"/>
    <s v="SG Staff"/>
    <m/>
    <s v="Net Pay - Nov 2026"/>
    <x v="17"/>
    <x v="8"/>
    <x v="9"/>
    <x v="4"/>
    <m/>
    <m/>
    <m/>
    <m/>
    <m/>
  </r>
  <r>
    <x v="1"/>
    <x v="2"/>
    <d v="2026-11-30T00:00:00"/>
    <d v="2026-11-30T00:00:00"/>
    <x v="62"/>
    <s v="SGD"/>
    <m/>
    <m/>
    <m/>
    <x v="850"/>
    <s v="SG Staff"/>
    <m/>
    <s v="Net Pay - Nov 2026"/>
    <x v="17"/>
    <x v="8"/>
    <x v="9"/>
    <x v="4"/>
    <m/>
    <m/>
    <m/>
    <m/>
    <m/>
  </r>
  <r>
    <x v="1"/>
    <x v="2"/>
    <d v="2026-11-30T00:00:00"/>
    <d v="2026-11-30T00:00:00"/>
    <x v="62"/>
    <s v="SGD"/>
    <m/>
    <m/>
    <m/>
    <x v="851"/>
    <s v="SG Staff"/>
    <m/>
    <s v="Statutory Contribution - 11/26"/>
    <x v="10"/>
    <x v="8"/>
    <x v="9"/>
    <x v="4"/>
    <m/>
    <m/>
    <m/>
    <m/>
    <m/>
  </r>
  <r>
    <x v="1"/>
    <x v="2"/>
    <d v="2026-11-30T00:00:00"/>
    <d v="2026-11-30T00:00:00"/>
    <x v="62"/>
    <s v="SGD"/>
    <m/>
    <m/>
    <m/>
    <x v="852"/>
    <s v="SG Staff"/>
    <m/>
    <s v="Net Pay - Nov 2026"/>
    <x v="17"/>
    <x v="8"/>
    <x v="12"/>
    <x v="2"/>
    <m/>
    <m/>
    <m/>
    <m/>
    <m/>
  </r>
  <r>
    <x v="1"/>
    <x v="2"/>
    <d v="2026-11-30T00:00:00"/>
    <d v="2026-11-30T00:00:00"/>
    <x v="62"/>
    <s v="SGD"/>
    <m/>
    <m/>
    <m/>
    <x v="853"/>
    <s v="SG Staff"/>
    <m/>
    <s v="Net Pay - Nov 2026"/>
    <x v="17"/>
    <x v="8"/>
    <x v="12"/>
    <x v="2"/>
    <m/>
    <m/>
    <m/>
    <m/>
    <m/>
  </r>
  <r>
    <x v="1"/>
    <x v="2"/>
    <d v="2026-11-30T00:00:00"/>
    <d v="2026-11-30T00:00:00"/>
    <x v="62"/>
    <s v="SGD"/>
    <m/>
    <m/>
    <m/>
    <x v="366"/>
    <s v="SG Staff"/>
    <m/>
    <s v="Statutory Contribution - 11/26"/>
    <x v="10"/>
    <x v="8"/>
    <x v="12"/>
    <x v="2"/>
    <m/>
    <m/>
    <m/>
    <m/>
    <m/>
  </r>
  <r>
    <x v="1"/>
    <x v="2"/>
    <d v="2026-11-30T00:00:00"/>
    <d v="2026-11-30T00:00:00"/>
    <x v="62"/>
    <s v="SGD"/>
    <m/>
    <m/>
    <m/>
    <x v="92"/>
    <s v="SG Staff"/>
    <m/>
    <s v="Net Pay - Nov 2026"/>
    <x v="17"/>
    <x v="8"/>
    <x v="0"/>
    <x v="0"/>
    <m/>
    <m/>
    <m/>
    <m/>
    <m/>
  </r>
  <r>
    <x v="1"/>
    <x v="2"/>
    <d v="2026-11-30T00:00:00"/>
    <d v="2026-11-30T00:00:00"/>
    <x v="62"/>
    <s v="SGD"/>
    <m/>
    <m/>
    <m/>
    <x v="854"/>
    <s v="SG Staff"/>
    <m/>
    <s v="Net Pay - Nov 2026"/>
    <x v="17"/>
    <x v="8"/>
    <x v="0"/>
    <x v="0"/>
    <m/>
    <m/>
    <m/>
    <m/>
    <m/>
  </r>
  <r>
    <x v="1"/>
    <x v="2"/>
    <d v="2026-11-30T00:00:00"/>
    <d v="2026-11-30T00:00:00"/>
    <x v="62"/>
    <s v="SGD"/>
    <m/>
    <m/>
    <m/>
    <x v="855"/>
    <s v="SG Staff"/>
    <m/>
    <s v="Statutory Contribution - 11/26"/>
    <x v="10"/>
    <x v="8"/>
    <x v="0"/>
    <x v="0"/>
    <m/>
    <m/>
    <m/>
    <m/>
    <m/>
  </r>
  <r>
    <x v="1"/>
    <x v="2"/>
    <d v="2026-11-30T00:00:00"/>
    <d v="2026-11-30T00:00:00"/>
    <x v="62"/>
    <s v="SGD"/>
    <m/>
    <m/>
    <m/>
    <x v="856"/>
    <s v="SG Staff"/>
    <m/>
    <s v="Net Pay - Nov 2026"/>
    <x v="17"/>
    <x v="8"/>
    <x v="3"/>
    <x v="0"/>
    <m/>
    <m/>
    <m/>
    <m/>
    <m/>
  </r>
  <r>
    <x v="1"/>
    <x v="2"/>
    <d v="2026-11-30T00:00:00"/>
    <d v="2026-11-30T00:00:00"/>
    <x v="62"/>
    <s v="SGD"/>
    <m/>
    <m/>
    <m/>
    <x v="857"/>
    <s v="SG Staff"/>
    <m/>
    <s v="Net Pay - Nov 2026"/>
    <x v="17"/>
    <x v="8"/>
    <x v="3"/>
    <x v="0"/>
    <m/>
    <m/>
    <m/>
    <m/>
    <m/>
  </r>
  <r>
    <x v="1"/>
    <x v="2"/>
    <d v="2026-11-30T00:00:00"/>
    <d v="2026-11-30T00:00:00"/>
    <x v="62"/>
    <s v="SGD"/>
    <m/>
    <m/>
    <m/>
    <x v="851"/>
    <s v="SG Staff"/>
    <m/>
    <s v="Statutory Contribution - 11/26"/>
    <x v="10"/>
    <x v="8"/>
    <x v="3"/>
    <x v="0"/>
    <m/>
    <m/>
    <m/>
    <m/>
    <m/>
  </r>
  <r>
    <x v="1"/>
    <x v="2"/>
    <d v="2026-11-30T00:00:00"/>
    <d v="2026-11-30T00:00:00"/>
    <x v="62"/>
    <s v="SGD"/>
    <m/>
    <m/>
    <m/>
    <x v="365"/>
    <s v="SG Staff"/>
    <m/>
    <s v="Net Pay - Nov 2026"/>
    <x v="17"/>
    <x v="8"/>
    <x v="5"/>
    <x v="0"/>
    <m/>
    <m/>
    <m/>
    <m/>
    <m/>
  </r>
  <r>
    <x v="1"/>
    <x v="2"/>
    <d v="2026-11-30T00:00:00"/>
    <d v="2026-11-30T00:00:00"/>
    <x v="62"/>
    <s v="SGD"/>
    <m/>
    <m/>
    <m/>
    <x v="854"/>
    <s v="SG Staff"/>
    <m/>
    <s v="Net Pay - Nov 2026"/>
    <x v="17"/>
    <x v="8"/>
    <x v="5"/>
    <x v="0"/>
    <m/>
    <m/>
    <m/>
    <m/>
    <m/>
  </r>
  <r>
    <x v="1"/>
    <x v="2"/>
    <d v="2026-11-30T00:00:00"/>
    <d v="2026-11-30T00:00:00"/>
    <x v="62"/>
    <s v="SGD"/>
    <m/>
    <m/>
    <m/>
    <x v="364"/>
    <s v="SG Staff"/>
    <m/>
    <s v="Statutory Contribution - 11/26"/>
    <x v="10"/>
    <x v="8"/>
    <x v="5"/>
    <x v="0"/>
    <m/>
    <m/>
    <m/>
    <m/>
    <m/>
  </r>
  <r>
    <x v="1"/>
    <x v="2"/>
    <d v="2026-11-30T00:00:00"/>
    <d v="2026-11-30T00:00:00"/>
    <x v="62"/>
    <s v="SGD"/>
    <m/>
    <m/>
    <m/>
    <x v="858"/>
    <s v="SG Staff"/>
    <m/>
    <s v="Net Pay - Nov 2026"/>
    <x v="17"/>
    <x v="8"/>
    <x v="11"/>
    <x v="0"/>
    <m/>
    <m/>
    <m/>
    <m/>
    <m/>
  </r>
  <r>
    <x v="1"/>
    <x v="2"/>
    <d v="2026-11-30T00:00:00"/>
    <d v="2026-11-30T00:00:00"/>
    <x v="62"/>
    <s v="SGD"/>
    <m/>
    <m/>
    <m/>
    <x v="859"/>
    <s v="SG Staff"/>
    <m/>
    <s v="Statutory Contribution - 11/26"/>
    <x v="10"/>
    <x v="8"/>
    <x v="11"/>
    <x v="0"/>
    <m/>
    <m/>
    <m/>
    <m/>
    <m/>
  </r>
  <r>
    <x v="1"/>
    <x v="2"/>
    <d v="2026-11-30T00:00:00"/>
    <d v="2026-11-30T00:00:00"/>
    <x v="62"/>
    <s v="SGD"/>
    <m/>
    <m/>
    <m/>
    <x v="860"/>
    <s v="SG Staff"/>
    <m/>
    <s v="Net Pay - Nov 2026"/>
    <x v="17"/>
    <x v="8"/>
    <x v="14"/>
    <x v="1"/>
    <m/>
    <m/>
    <m/>
    <m/>
    <m/>
  </r>
  <r>
    <x v="1"/>
    <x v="2"/>
    <d v="2026-11-30T00:00:00"/>
    <d v="2026-11-30T00:00:00"/>
    <x v="62"/>
    <s v="SGD"/>
    <m/>
    <m/>
    <m/>
    <x v="853"/>
    <s v="SG Staff"/>
    <m/>
    <s v="Net Pay - Nov 2026"/>
    <x v="17"/>
    <x v="8"/>
    <x v="14"/>
    <x v="1"/>
    <m/>
    <m/>
    <m/>
    <m/>
    <m/>
  </r>
  <r>
    <x v="1"/>
    <x v="2"/>
    <d v="2026-11-30T00:00:00"/>
    <d v="2026-11-30T00:00:00"/>
    <x v="62"/>
    <s v="SGD"/>
    <m/>
    <m/>
    <m/>
    <x v="366"/>
    <s v="SG Staff"/>
    <m/>
    <s v="Statutory Contribution - 11/26"/>
    <x v="10"/>
    <x v="8"/>
    <x v="14"/>
    <x v="1"/>
    <m/>
    <m/>
    <m/>
    <m/>
    <m/>
  </r>
  <r>
    <x v="1"/>
    <x v="2"/>
    <d v="2026-11-30T00:00:00"/>
    <d v="2026-11-30T00:00:00"/>
    <x v="62"/>
    <s v="SGD"/>
    <m/>
    <m/>
    <m/>
    <x v="856"/>
    <s v="SG Staff"/>
    <m/>
    <s v="Net Pay - Nov 2026"/>
    <x v="17"/>
    <x v="8"/>
    <x v="13"/>
    <x v="1"/>
    <m/>
    <m/>
    <m/>
    <m/>
    <m/>
  </r>
  <r>
    <x v="1"/>
    <x v="2"/>
    <d v="2026-11-30T00:00:00"/>
    <d v="2026-11-30T00:00:00"/>
    <x v="62"/>
    <s v="SGD"/>
    <m/>
    <m/>
    <m/>
    <x v="861"/>
    <s v="SG Staff"/>
    <m/>
    <s v="Statutory Contribution - 11/26"/>
    <x v="10"/>
    <x v="8"/>
    <x v="13"/>
    <x v="1"/>
    <m/>
    <m/>
    <m/>
    <m/>
    <m/>
  </r>
  <r>
    <x v="1"/>
    <x v="2"/>
    <d v="2026-11-30T00:00:00"/>
    <d v="2026-11-30T00:00:00"/>
    <x v="62"/>
    <s v="SGD"/>
    <m/>
    <m/>
    <m/>
    <x v="860"/>
    <s v="SG Staff"/>
    <m/>
    <s v="Net Pay - Nov 2026"/>
    <x v="17"/>
    <x v="8"/>
    <x v="8"/>
    <x v="2"/>
    <m/>
    <m/>
    <m/>
    <m/>
    <m/>
  </r>
  <r>
    <x v="1"/>
    <x v="2"/>
    <d v="2026-11-30T00:00:00"/>
    <d v="2026-11-30T00:00:00"/>
    <x v="62"/>
    <s v="SGD"/>
    <m/>
    <m/>
    <m/>
    <x v="862"/>
    <s v="SG Staff"/>
    <m/>
    <s v="Net Pay - Nov 2026"/>
    <x v="17"/>
    <x v="8"/>
    <x v="8"/>
    <x v="2"/>
    <m/>
    <m/>
    <m/>
    <m/>
    <m/>
  </r>
  <r>
    <x v="1"/>
    <x v="2"/>
    <d v="2026-11-30T00:00:00"/>
    <d v="2026-11-30T00:00:00"/>
    <x v="62"/>
    <s v="SGD"/>
    <m/>
    <m/>
    <m/>
    <x v="359"/>
    <s v="SG Staff"/>
    <m/>
    <s v="Statutory Contribution - 11/26"/>
    <x v="10"/>
    <x v="8"/>
    <x v="8"/>
    <x v="2"/>
    <m/>
    <m/>
    <m/>
    <m/>
    <m/>
  </r>
  <r>
    <x v="1"/>
    <x v="2"/>
    <d v="2026-11-30T00:00:00"/>
    <m/>
    <x v="62"/>
    <s v="SGD"/>
    <n v="210.51"/>
    <n v="18.940000000000001"/>
    <n v="229.45"/>
    <x v="864"/>
    <s v="Xero (Singapore) Pte. Ltd."/>
    <m/>
    <s v="Monthly Subscription 28 Nov 2026 to 27 Dec 2026"/>
    <x v="8"/>
    <x v="6"/>
    <x v="0"/>
    <x v="0"/>
    <m/>
    <m/>
    <m/>
    <m/>
    <m/>
  </r>
  <r>
    <x v="1"/>
    <x v="2"/>
    <d v="2026-11-30T00:00:00"/>
    <m/>
    <x v="62"/>
    <s v="SGD"/>
    <m/>
    <m/>
    <m/>
    <x v="868"/>
    <s v="Xero (NZ) Ltd"/>
    <m/>
    <s v="Monthly Subscription 28 Nov 2026 to 27 Dec 2026"/>
    <x v="43"/>
    <x v="15"/>
    <x v="0"/>
    <x v="0"/>
    <m/>
    <m/>
    <m/>
    <m/>
    <m/>
  </r>
  <r>
    <x v="1"/>
    <x v="2"/>
    <d v="2026-12-25T00:00:00"/>
    <m/>
    <x v="64"/>
    <s v="SGD"/>
    <n v="66.5"/>
    <n v="5.99"/>
    <n v="72.489999999999995"/>
    <x v="395"/>
    <s v="Kumpulan Development (S) Pte Ltd"/>
    <m/>
    <s v="Ice Mountain Pure Drinking Water 19L"/>
    <x v="5"/>
    <x v="5"/>
    <x v="1"/>
    <x v="0"/>
    <m/>
    <m/>
    <m/>
    <m/>
    <m/>
  </r>
  <r>
    <x v="1"/>
    <x v="2"/>
    <d v="2026-12-25T00:00:00"/>
    <m/>
    <x v="64"/>
    <s v="SGD"/>
    <n v="325"/>
    <n v="0"/>
    <n v="325"/>
    <x v="866"/>
    <s v="JK Technology Pte Ltd"/>
    <m/>
    <s v="AWS Consumption October 2026"/>
    <x v="26"/>
    <x v="19"/>
    <x v="13"/>
    <x v="1"/>
    <m/>
    <m/>
    <m/>
    <m/>
    <m/>
  </r>
  <r>
    <x v="1"/>
    <x v="2"/>
    <d v="2026-12-25T00:00:00"/>
    <m/>
    <x v="64"/>
    <s v="SGD"/>
    <n v="6175"/>
    <n v="0"/>
    <n v="6175"/>
    <x v="867"/>
    <s v="JK Technology Pte Ltd"/>
    <m/>
    <s v="AWS Consumption October 2026"/>
    <x v="26"/>
    <x v="19"/>
    <x v="14"/>
    <x v="1"/>
    <m/>
    <m/>
    <m/>
    <m/>
    <m/>
  </r>
  <r>
    <x v="1"/>
    <x v="2"/>
    <d v="2026-12-25T00:00:00"/>
    <m/>
    <x v="64"/>
    <s v="SGD"/>
    <n v="325"/>
    <n v="0"/>
    <n v="325"/>
    <x v="866"/>
    <s v="JK Technology Pte Ltd"/>
    <m/>
    <s v="AWS Consumption October 2026"/>
    <x v="26"/>
    <x v="19"/>
    <x v="15"/>
    <x v="1"/>
    <m/>
    <m/>
    <m/>
    <m/>
    <m/>
  </r>
  <r>
    <x v="1"/>
    <x v="2"/>
    <d v="2026-12-25T00:00:00"/>
    <m/>
    <x v="64"/>
    <s v="SGD"/>
    <n v="8000"/>
    <n v="0"/>
    <n v="8000"/>
    <x v="869"/>
    <s v="Juyee Consulting Pte Ltd"/>
    <m/>
    <s v="Consulation fees July 2026"/>
    <x v="11"/>
    <x v="9"/>
    <x v="1"/>
    <x v="0"/>
    <m/>
    <m/>
    <m/>
    <m/>
    <m/>
  </r>
  <r>
    <x v="1"/>
    <x v="2"/>
    <d v="2026-12-25T00:00:00"/>
    <m/>
    <x v="64"/>
    <s v="SGD"/>
    <n v="8000"/>
    <n v="0"/>
    <n v="8000"/>
    <x v="869"/>
    <s v="Juyee Consulting Pte Ltd"/>
    <m/>
    <s v="Consulation fees August 2026"/>
    <x v="11"/>
    <x v="9"/>
    <x v="1"/>
    <x v="0"/>
    <m/>
    <m/>
    <m/>
    <m/>
    <m/>
  </r>
  <r>
    <x v="1"/>
    <x v="2"/>
    <d v="2026-12-25T00:00:00"/>
    <m/>
    <x v="64"/>
    <s v="SGD"/>
    <n v="8000"/>
    <n v="0"/>
    <n v="8000"/>
    <x v="869"/>
    <s v="Juyee Consulting Pte Ltd"/>
    <m/>
    <s v="Consulation fees September 2026"/>
    <x v="11"/>
    <x v="9"/>
    <x v="1"/>
    <x v="0"/>
    <m/>
    <m/>
    <m/>
    <m/>
    <m/>
  </r>
  <r>
    <x v="1"/>
    <x v="2"/>
    <d v="2026-12-25T00:00:00"/>
    <m/>
    <x v="64"/>
    <s v="SGD"/>
    <m/>
    <m/>
    <m/>
    <x v="865"/>
    <s v="FLO Energy"/>
    <m/>
    <s v="Electricity Bill for #14-04 - November 2026"/>
    <x v="12"/>
    <x v="10"/>
    <x v="1"/>
    <x v="0"/>
    <m/>
    <m/>
    <m/>
    <m/>
    <m/>
  </r>
  <r>
    <x v="1"/>
    <x v="2"/>
    <d v="2026-12-25T00:00:00"/>
    <m/>
    <x v="64"/>
    <s v="SGD"/>
    <n v="26042.28"/>
    <n v="0"/>
    <n v="26042.28"/>
    <x v="382"/>
    <s v="HTSG A/C Suntec Reit"/>
    <m/>
    <s v="Rental for January 2027"/>
    <x v="54"/>
    <x v="30"/>
    <x v="1"/>
    <x v="0"/>
    <m/>
    <m/>
    <m/>
    <m/>
    <m/>
  </r>
  <r>
    <x v="1"/>
    <x v="2"/>
    <d v="2026-12-25T00:00:00"/>
    <m/>
    <x v="64"/>
    <s v="SGD"/>
    <n v="158"/>
    <n v="14.22"/>
    <n v="172.22"/>
    <x v="383"/>
    <s v="JK Technology Pte Ltd"/>
    <m/>
    <s v="Lease liability - Dec26"/>
    <x v="13"/>
    <x v="11"/>
    <x v="5"/>
    <x v="0"/>
    <m/>
    <m/>
    <m/>
    <m/>
    <m/>
  </r>
  <r>
    <x v="1"/>
    <x v="2"/>
    <d v="2026-12-25T00:00:00"/>
    <m/>
    <x v="64"/>
    <s v="SGD"/>
    <n v="70"/>
    <n v="6.3"/>
    <n v="76.3"/>
    <x v="384"/>
    <s v="JK Technology Pte Ltd"/>
    <m/>
    <s v="Lease liability - Dec26"/>
    <x v="13"/>
    <x v="11"/>
    <x v="5"/>
    <x v="0"/>
    <m/>
    <m/>
    <m/>
    <m/>
    <m/>
  </r>
  <r>
    <x v="1"/>
    <x v="2"/>
    <d v="2026-12-25T00:00:00"/>
    <m/>
    <x v="64"/>
    <s v="SGD"/>
    <n v="584.1"/>
    <n v="52.57"/>
    <n v="636.66999999999996"/>
    <x v="385"/>
    <s v="JK Technology Pte Ltd"/>
    <m/>
    <s v="Lease liability - Dec26"/>
    <x v="13"/>
    <x v="11"/>
    <x v="5"/>
    <x v="0"/>
    <m/>
    <m/>
    <m/>
    <m/>
    <m/>
  </r>
  <r>
    <x v="1"/>
    <x v="2"/>
    <d v="2026-12-25T00:00:00"/>
    <m/>
    <x v="64"/>
    <s v="SGD"/>
    <n v="600"/>
    <n v="0"/>
    <n v="600"/>
    <x v="510"/>
    <s v="Sulin Kwok Kwai Lian"/>
    <m/>
    <s v="Cleaning Fees December 2026"/>
    <x v="41"/>
    <x v="31"/>
    <x v="1"/>
    <x v="0"/>
    <m/>
    <m/>
    <m/>
    <m/>
    <m/>
  </r>
  <r>
    <x v="1"/>
    <x v="2"/>
    <d v="2026-12-31T00:00:00"/>
    <m/>
    <x v="65"/>
    <s v="SGD"/>
    <n v="210.51"/>
    <n v="18.940000000000001"/>
    <n v="229.45"/>
    <x v="864"/>
    <s v="Xero (Singapore) Pte. Ltd."/>
    <m/>
    <s v="Monthly Subscription 28 Dec 2026 to 27 Jan 2027"/>
    <x v="8"/>
    <x v="6"/>
    <x v="0"/>
    <x v="0"/>
    <m/>
    <m/>
    <m/>
    <m/>
    <m/>
  </r>
  <r>
    <x v="1"/>
    <x v="2"/>
    <d v="2026-12-31T00:00:00"/>
    <d v="2026-12-31T00:00:00"/>
    <x v="65"/>
    <s v="SGD"/>
    <m/>
    <m/>
    <m/>
    <x v="359"/>
    <s v="SG Staff"/>
    <m/>
    <s v="Net Pay - Dec 2026"/>
    <x v="17"/>
    <x v="8"/>
    <x v="4"/>
    <x v="2"/>
    <m/>
    <m/>
    <m/>
    <m/>
    <m/>
  </r>
  <r>
    <x v="1"/>
    <x v="2"/>
    <d v="2026-12-31T00:00:00"/>
    <d v="2026-12-31T00:00:00"/>
    <x v="65"/>
    <s v="SGD"/>
    <m/>
    <m/>
    <m/>
    <x v="848"/>
    <s v="SG Staff"/>
    <m/>
    <s v="Net Pay - Dec 2026"/>
    <x v="17"/>
    <x v="8"/>
    <x v="4"/>
    <x v="2"/>
    <m/>
    <m/>
    <m/>
    <m/>
    <m/>
  </r>
  <r>
    <x v="1"/>
    <x v="2"/>
    <d v="2026-12-31T00:00:00"/>
    <d v="2026-12-31T00:00:00"/>
    <x v="65"/>
    <s v="SGD"/>
    <m/>
    <m/>
    <m/>
    <x v="92"/>
    <s v="SG Staff"/>
    <m/>
    <s v="Statutory Contribution - 12/26"/>
    <x v="10"/>
    <x v="8"/>
    <x v="4"/>
    <x v="2"/>
    <m/>
    <m/>
    <m/>
    <m/>
    <m/>
  </r>
  <r>
    <x v="1"/>
    <x v="2"/>
    <d v="2026-12-31T00:00:00"/>
    <d v="2026-12-31T00:00:00"/>
    <x v="65"/>
    <s v="SGD"/>
    <m/>
    <m/>
    <m/>
    <x v="849"/>
    <s v="SG Staff"/>
    <m/>
    <s v="Net Pay - Dec 2026"/>
    <x v="17"/>
    <x v="8"/>
    <x v="9"/>
    <x v="4"/>
    <m/>
    <m/>
    <m/>
    <m/>
    <m/>
  </r>
  <r>
    <x v="1"/>
    <x v="2"/>
    <d v="2026-12-31T00:00:00"/>
    <d v="2026-12-31T00:00:00"/>
    <x v="65"/>
    <s v="SGD"/>
    <m/>
    <m/>
    <m/>
    <x v="850"/>
    <s v="SG Staff"/>
    <m/>
    <s v="Net Pay - Dec 2026"/>
    <x v="17"/>
    <x v="8"/>
    <x v="9"/>
    <x v="4"/>
    <m/>
    <m/>
    <m/>
    <m/>
    <m/>
  </r>
  <r>
    <x v="1"/>
    <x v="2"/>
    <d v="2026-12-31T00:00:00"/>
    <d v="2026-12-31T00:00:00"/>
    <x v="65"/>
    <s v="SGD"/>
    <m/>
    <m/>
    <m/>
    <x v="851"/>
    <s v="SG Staff"/>
    <m/>
    <s v="Statutory Contribution - 12/26"/>
    <x v="10"/>
    <x v="8"/>
    <x v="9"/>
    <x v="4"/>
    <m/>
    <m/>
    <m/>
    <m/>
    <m/>
  </r>
  <r>
    <x v="1"/>
    <x v="2"/>
    <d v="2026-12-31T00:00:00"/>
    <d v="2026-12-31T00:00:00"/>
    <x v="65"/>
    <s v="SGD"/>
    <m/>
    <m/>
    <m/>
    <x v="852"/>
    <s v="SG Staff"/>
    <m/>
    <s v="Net Pay - Dec 2026"/>
    <x v="17"/>
    <x v="8"/>
    <x v="12"/>
    <x v="2"/>
    <m/>
    <m/>
    <m/>
    <m/>
    <m/>
  </r>
  <r>
    <x v="1"/>
    <x v="2"/>
    <d v="2026-12-31T00:00:00"/>
    <d v="2026-12-31T00:00:00"/>
    <x v="65"/>
    <s v="SGD"/>
    <m/>
    <m/>
    <m/>
    <x v="853"/>
    <s v="SG Staff"/>
    <m/>
    <s v="Net Pay - Dec 2026"/>
    <x v="17"/>
    <x v="8"/>
    <x v="12"/>
    <x v="2"/>
    <m/>
    <m/>
    <m/>
    <m/>
    <m/>
  </r>
  <r>
    <x v="1"/>
    <x v="2"/>
    <d v="2026-12-31T00:00:00"/>
    <d v="2026-12-31T00:00:00"/>
    <x v="65"/>
    <s v="SGD"/>
    <m/>
    <m/>
    <m/>
    <x v="366"/>
    <s v="SG Staff"/>
    <m/>
    <s v="Statutory Contribution - 12/26"/>
    <x v="10"/>
    <x v="8"/>
    <x v="12"/>
    <x v="2"/>
    <m/>
    <m/>
    <m/>
    <m/>
    <m/>
  </r>
  <r>
    <x v="1"/>
    <x v="2"/>
    <d v="2026-12-31T00:00:00"/>
    <d v="2026-12-31T00:00:00"/>
    <x v="65"/>
    <s v="SGD"/>
    <m/>
    <m/>
    <m/>
    <x v="92"/>
    <s v="SG Staff"/>
    <m/>
    <s v="Net Pay - Dec 2026"/>
    <x v="17"/>
    <x v="8"/>
    <x v="0"/>
    <x v="0"/>
    <m/>
    <m/>
    <m/>
    <m/>
    <m/>
  </r>
  <r>
    <x v="1"/>
    <x v="2"/>
    <d v="2026-12-31T00:00:00"/>
    <d v="2026-12-31T00:00:00"/>
    <x v="65"/>
    <s v="SGD"/>
    <m/>
    <m/>
    <m/>
    <x v="854"/>
    <s v="SG Staff"/>
    <m/>
    <s v="Net Pay - Dec 2026"/>
    <x v="17"/>
    <x v="8"/>
    <x v="0"/>
    <x v="0"/>
    <m/>
    <m/>
    <m/>
    <m/>
    <m/>
  </r>
  <r>
    <x v="1"/>
    <x v="2"/>
    <d v="2026-12-31T00:00:00"/>
    <d v="2026-12-31T00:00:00"/>
    <x v="65"/>
    <s v="SGD"/>
    <m/>
    <m/>
    <m/>
    <x v="855"/>
    <s v="SG Staff"/>
    <m/>
    <s v="Statutory Contribution - 12/26"/>
    <x v="10"/>
    <x v="8"/>
    <x v="0"/>
    <x v="0"/>
    <m/>
    <m/>
    <m/>
    <m/>
    <m/>
  </r>
  <r>
    <x v="1"/>
    <x v="2"/>
    <d v="2026-12-31T00:00:00"/>
    <d v="2026-12-31T00:00:00"/>
    <x v="65"/>
    <s v="SGD"/>
    <m/>
    <m/>
    <m/>
    <x v="856"/>
    <s v="SG Staff"/>
    <m/>
    <s v="Net Pay - Dec 2026"/>
    <x v="17"/>
    <x v="8"/>
    <x v="3"/>
    <x v="0"/>
    <m/>
    <m/>
    <m/>
    <m/>
    <m/>
  </r>
  <r>
    <x v="1"/>
    <x v="2"/>
    <d v="2026-12-31T00:00:00"/>
    <d v="2026-12-31T00:00:00"/>
    <x v="65"/>
    <s v="SGD"/>
    <m/>
    <m/>
    <m/>
    <x v="857"/>
    <s v="SG Staff"/>
    <m/>
    <s v="Net Pay - Dec 2026"/>
    <x v="17"/>
    <x v="8"/>
    <x v="3"/>
    <x v="0"/>
    <m/>
    <m/>
    <m/>
    <m/>
    <m/>
  </r>
  <r>
    <x v="1"/>
    <x v="2"/>
    <d v="2026-12-31T00:00:00"/>
    <d v="2026-12-31T00:00:00"/>
    <x v="65"/>
    <s v="SGD"/>
    <m/>
    <m/>
    <m/>
    <x v="851"/>
    <s v="SG Staff"/>
    <m/>
    <s v="Statutory Contribution - 12/26"/>
    <x v="10"/>
    <x v="8"/>
    <x v="3"/>
    <x v="0"/>
    <m/>
    <m/>
    <m/>
    <m/>
    <m/>
  </r>
  <r>
    <x v="1"/>
    <x v="2"/>
    <d v="2026-12-31T00:00:00"/>
    <d v="2026-12-31T00:00:00"/>
    <x v="65"/>
    <s v="SGD"/>
    <m/>
    <m/>
    <m/>
    <x v="365"/>
    <s v="SG Staff"/>
    <m/>
    <s v="Net Pay - Dec 2026"/>
    <x v="17"/>
    <x v="8"/>
    <x v="5"/>
    <x v="0"/>
    <m/>
    <m/>
    <m/>
    <m/>
    <m/>
  </r>
  <r>
    <x v="1"/>
    <x v="2"/>
    <d v="2026-12-31T00:00:00"/>
    <d v="2026-12-31T00:00:00"/>
    <x v="65"/>
    <s v="SGD"/>
    <m/>
    <m/>
    <m/>
    <x v="854"/>
    <s v="SG Staff"/>
    <m/>
    <s v="Net Pay - Dec 2026"/>
    <x v="17"/>
    <x v="8"/>
    <x v="5"/>
    <x v="0"/>
    <m/>
    <m/>
    <m/>
    <m/>
    <m/>
  </r>
  <r>
    <x v="1"/>
    <x v="2"/>
    <d v="2026-12-31T00:00:00"/>
    <d v="2026-12-31T00:00:00"/>
    <x v="65"/>
    <s v="SGD"/>
    <m/>
    <m/>
    <m/>
    <x v="364"/>
    <s v="SG Staff"/>
    <m/>
    <s v="Statutory Contribution - 12/26"/>
    <x v="10"/>
    <x v="8"/>
    <x v="5"/>
    <x v="0"/>
    <m/>
    <m/>
    <m/>
    <m/>
    <m/>
  </r>
  <r>
    <x v="1"/>
    <x v="2"/>
    <d v="2026-12-31T00:00:00"/>
    <d v="2026-12-31T00:00:00"/>
    <x v="65"/>
    <s v="SGD"/>
    <m/>
    <m/>
    <m/>
    <x v="858"/>
    <s v="SG Staff"/>
    <m/>
    <s v="Net Pay - Dec 2026"/>
    <x v="17"/>
    <x v="8"/>
    <x v="11"/>
    <x v="0"/>
    <m/>
    <m/>
    <m/>
    <m/>
    <m/>
  </r>
  <r>
    <x v="1"/>
    <x v="2"/>
    <d v="2026-12-31T00:00:00"/>
    <d v="2026-12-31T00:00:00"/>
    <x v="65"/>
    <s v="SGD"/>
    <m/>
    <m/>
    <m/>
    <x v="859"/>
    <s v="SG Staff"/>
    <m/>
    <s v="Statutory Contribution - 12/26"/>
    <x v="10"/>
    <x v="8"/>
    <x v="11"/>
    <x v="0"/>
    <m/>
    <m/>
    <m/>
    <m/>
    <m/>
  </r>
  <r>
    <x v="1"/>
    <x v="2"/>
    <d v="2026-12-31T00:00:00"/>
    <d v="2026-12-31T00:00:00"/>
    <x v="65"/>
    <s v="SGD"/>
    <m/>
    <m/>
    <m/>
    <x v="860"/>
    <s v="SG Staff"/>
    <m/>
    <s v="Net Pay - Dec 2026"/>
    <x v="17"/>
    <x v="8"/>
    <x v="14"/>
    <x v="1"/>
    <m/>
    <m/>
    <m/>
    <m/>
    <m/>
  </r>
  <r>
    <x v="1"/>
    <x v="2"/>
    <d v="2026-12-31T00:00:00"/>
    <d v="2026-12-31T00:00:00"/>
    <x v="65"/>
    <s v="SGD"/>
    <m/>
    <m/>
    <m/>
    <x v="853"/>
    <s v="SG Staff"/>
    <m/>
    <s v="Net Pay - Dec 2026"/>
    <x v="17"/>
    <x v="8"/>
    <x v="14"/>
    <x v="1"/>
    <m/>
    <m/>
    <m/>
    <m/>
    <m/>
  </r>
  <r>
    <x v="1"/>
    <x v="2"/>
    <d v="2026-12-31T00:00:00"/>
    <d v="2026-12-31T00:00:00"/>
    <x v="65"/>
    <s v="SGD"/>
    <m/>
    <m/>
    <m/>
    <x v="366"/>
    <s v="SG Staff"/>
    <m/>
    <s v="Statutory Contribution - 12/26"/>
    <x v="10"/>
    <x v="8"/>
    <x v="14"/>
    <x v="1"/>
    <m/>
    <m/>
    <m/>
    <m/>
    <m/>
  </r>
  <r>
    <x v="1"/>
    <x v="2"/>
    <d v="2026-12-31T00:00:00"/>
    <d v="2026-12-31T00:00:00"/>
    <x v="65"/>
    <s v="SGD"/>
    <m/>
    <m/>
    <m/>
    <x v="856"/>
    <s v="SG Staff"/>
    <m/>
    <s v="Net Pay - Dec 2026"/>
    <x v="17"/>
    <x v="8"/>
    <x v="13"/>
    <x v="1"/>
    <m/>
    <m/>
    <m/>
    <m/>
    <m/>
  </r>
  <r>
    <x v="1"/>
    <x v="2"/>
    <d v="2026-12-31T00:00:00"/>
    <d v="2026-12-31T00:00:00"/>
    <x v="65"/>
    <s v="SGD"/>
    <m/>
    <m/>
    <m/>
    <x v="861"/>
    <s v="SG Staff"/>
    <m/>
    <s v="Statutory Contribution - 12/26"/>
    <x v="10"/>
    <x v="8"/>
    <x v="13"/>
    <x v="1"/>
    <m/>
    <m/>
    <m/>
    <m/>
    <m/>
  </r>
  <r>
    <x v="1"/>
    <x v="2"/>
    <d v="2026-12-31T00:00:00"/>
    <d v="2026-12-31T00:00:00"/>
    <x v="65"/>
    <s v="SGD"/>
    <m/>
    <m/>
    <m/>
    <x v="860"/>
    <s v="SG Staff"/>
    <m/>
    <s v="Net Pay - Dec 2026"/>
    <x v="17"/>
    <x v="8"/>
    <x v="8"/>
    <x v="2"/>
    <m/>
    <m/>
    <m/>
    <m/>
    <m/>
  </r>
  <r>
    <x v="1"/>
    <x v="2"/>
    <d v="2026-12-31T00:00:00"/>
    <d v="2026-12-31T00:00:00"/>
    <x v="65"/>
    <s v="SGD"/>
    <m/>
    <m/>
    <m/>
    <x v="862"/>
    <s v="SG Staff"/>
    <m/>
    <s v="Net Pay - Dec 2026"/>
    <x v="17"/>
    <x v="8"/>
    <x v="8"/>
    <x v="2"/>
    <m/>
    <m/>
    <m/>
    <m/>
    <m/>
  </r>
  <r>
    <x v="1"/>
    <x v="2"/>
    <d v="2026-12-31T00:00:00"/>
    <d v="2026-12-31T00:00:00"/>
    <x v="65"/>
    <s v="SGD"/>
    <m/>
    <m/>
    <m/>
    <x v="359"/>
    <s v="SG Staff"/>
    <m/>
    <s v="Statutory Contribution - 12/26"/>
    <x v="10"/>
    <x v="8"/>
    <x v="8"/>
    <x v="2"/>
    <m/>
    <m/>
    <m/>
    <m/>
    <m/>
  </r>
  <r>
    <x v="1"/>
    <x v="2"/>
    <d v="2026-12-31T00:00:00"/>
    <m/>
    <x v="65"/>
    <s v="SGD"/>
    <m/>
    <m/>
    <m/>
    <x v="868"/>
    <s v="Xero (NZ) Ltd"/>
    <m/>
    <s v="Monthly Subscription 28 Dec 2026 to 27 Jan 2027"/>
    <x v="43"/>
    <x v="15"/>
    <x v="0"/>
    <x v="0"/>
    <m/>
    <m/>
    <m/>
    <m/>
    <m/>
  </r>
  <r>
    <x v="1"/>
    <x v="2"/>
    <d v="2027-01-25T00:00:00"/>
    <m/>
    <x v="67"/>
    <s v="SGD"/>
    <m/>
    <m/>
    <m/>
    <x v="865"/>
    <s v="FLO Energy"/>
    <m/>
    <s v="Electricity Bill for #14-04 - December 2026"/>
    <x v="12"/>
    <x v="10"/>
    <x v="1"/>
    <x v="0"/>
    <m/>
    <m/>
    <m/>
    <m/>
    <m/>
  </r>
  <r>
    <x v="1"/>
    <x v="2"/>
    <d v="2027-01-25T00:00:00"/>
    <m/>
    <x v="67"/>
    <s v="SGD"/>
    <n v="325"/>
    <n v="0"/>
    <n v="325"/>
    <x v="866"/>
    <s v="JK Technology Pte Ltd"/>
    <m/>
    <s v="AWS Consumption December 2026"/>
    <x v="26"/>
    <x v="19"/>
    <x v="13"/>
    <x v="1"/>
    <m/>
    <m/>
    <m/>
    <m/>
    <m/>
  </r>
  <r>
    <x v="1"/>
    <x v="2"/>
    <d v="2027-01-25T00:00:00"/>
    <m/>
    <x v="67"/>
    <s v="SGD"/>
    <n v="6175"/>
    <n v="0"/>
    <n v="6175"/>
    <x v="867"/>
    <s v="JK Technology Pte Ltd"/>
    <m/>
    <s v="AWS Consumption December 2026"/>
    <x v="26"/>
    <x v="19"/>
    <x v="14"/>
    <x v="1"/>
    <m/>
    <m/>
    <m/>
    <m/>
    <m/>
  </r>
  <r>
    <x v="1"/>
    <x v="2"/>
    <d v="2027-01-25T00:00:00"/>
    <m/>
    <x v="67"/>
    <s v="SGD"/>
    <n v="325"/>
    <n v="0"/>
    <n v="325"/>
    <x v="866"/>
    <s v="JK Technology Pte Ltd"/>
    <m/>
    <s v="AWS Consumption December 2026"/>
    <x v="26"/>
    <x v="19"/>
    <x v="15"/>
    <x v="1"/>
    <m/>
    <m/>
    <m/>
    <m/>
    <m/>
  </r>
  <r>
    <x v="1"/>
    <x v="2"/>
    <d v="2026-10-01T00:00:00"/>
    <d v="2026-10-01T00:00:00"/>
    <x v="130"/>
    <s v="SGD"/>
    <n v="8000"/>
    <n v="0"/>
    <n v="8000"/>
    <x v="869"/>
    <s v="Juyee Consulting Pte Ltd"/>
    <m/>
    <s v="Consulation fees October 2026"/>
    <x v="11"/>
    <x v="9"/>
    <x v="1"/>
    <x v="0"/>
    <m/>
    <m/>
    <m/>
    <m/>
    <m/>
  </r>
  <r>
    <x v="1"/>
    <x v="2"/>
    <d v="2026-11-01T00:00:00"/>
    <d v="2026-11-01T00:00:00"/>
    <x v="130"/>
    <s v="SGD"/>
    <n v="8000"/>
    <n v="0"/>
    <n v="8000"/>
    <x v="869"/>
    <s v="Juyee Consulting Pte Ltd"/>
    <m/>
    <s v="Consulation fees November 2026"/>
    <x v="11"/>
    <x v="9"/>
    <x v="1"/>
    <x v="0"/>
    <m/>
    <m/>
    <m/>
    <m/>
    <m/>
  </r>
  <r>
    <x v="1"/>
    <x v="2"/>
    <d v="2026-12-01T00:00:00"/>
    <d v="2026-12-01T00:00:00"/>
    <x v="130"/>
    <s v="SGD"/>
    <n v="8000"/>
    <n v="0"/>
    <n v="8000"/>
    <x v="869"/>
    <s v="Juyee Consulting Pte Ltd"/>
    <m/>
    <s v="Consulation fees December 2026"/>
    <x v="11"/>
    <x v="9"/>
    <x v="1"/>
    <x v="0"/>
    <m/>
    <m/>
    <m/>
    <m/>
    <m/>
  </r>
  <r>
    <x v="0"/>
    <x v="2"/>
    <d v="2026-01-15T00:00:00"/>
    <d v="2026-01-15T00:00:00"/>
    <x v="2"/>
    <s v="USD"/>
    <n v="-2000"/>
    <n v="0"/>
    <n v="-2000"/>
    <x v="870"/>
    <s v="OCBC SGD "/>
    <s v="Internal Transfer 2026/01-01"/>
    <s v="Internal Transfer from SGD to USD"/>
    <x v="24"/>
    <x v="18"/>
    <x v="6"/>
    <x v="3"/>
    <s v="Cathfrine Low"/>
    <s v="Leon Chan"/>
    <s v="Cathfrine Low"/>
    <m/>
    <m/>
  </r>
  <r>
    <x v="0"/>
    <x v="2"/>
    <d v="2026-01-15T00:00:00"/>
    <d v="2026-01-15T00:00:00"/>
    <x v="2"/>
    <s v="USD"/>
    <n v="58000"/>
    <n v="0"/>
    <n v="58000"/>
    <x v="871"/>
    <s v="Alpha X Innovation Sdn Bhd "/>
    <s v="Intercompany Loan MY/2026/01"/>
    <s v="Intercompany Loan to MY entity"/>
    <x v="43"/>
    <x v="15"/>
    <x v="0"/>
    <x v="0"/>
    <s v="Cathfrine Low"/>
    <s v="Leon Chan"/>
    <s v="Cathfrine Low"/>
    <m/>
    <m/>
  </r>
  <r>
    <x v="0"/>
    <x v="2"/>
    <d v="2026-01-15T00:00:00"/>
    <d v="2026-01-15T00:00:00"/>
    <x v="2"/>
    <s v="USD"/>
    <n v="23.49"/>
    <n v="0"/>
    <n v="23.49"/>
    <x v="872"/>
    <s v="OCBC USD"/>
    <s v="Bank charges 15/01/2026"/>
    <s v="Bank charges - Intercompany Loan to MY entity"/>
    <x v="0"/>
    <x v="0"/>
    <x v="0"/>
    <x v="0"/>
    <s v="Direct"/>
    <s v="-"/>
    <s v="-"/>
    <m/>
    <m/>
  </r>
  <r>
    <x v="0"/>
    <x v="2"/>
    <d v="2026-01-16T00:00:00"/>
    <d v="2026-01-16T00:00:00"/>
    <x v="3"/>
    <s v="USD"/>
    <n v="-300000"/>
    <n v="0"/>
    <n v="-300000"/>
    <x v="873"/>
    <s v="Eastwest Bank "/>
    <s v="Internal Transfer 2026/01-03"/>
    <s v="Internal Transfer from Eastwest bank to OCBC USD"/>
    <x v="24"/>
    <x v="18"/>
    <x v="6"/>
    <x v="3"/>
    <s v="Cathfrine Low"/>
    <s v="Leon Chan"/>
    <s v="Cathfrine Low"/>
    <m/>
    <m/>
  </r>
  <r>
    <x v="0"/>
    <x v="2"/>
    <d v="2026-01-16T00:00:00"/>
    <d v="2026-01-16T00:00:00"/>
    <x v="3"/>
    <s v="USD"/>
    <n v="30"/>
    <n v="0"/>
    <n v="30"/>
    <x v="375"/>
    <s v="OCBC USD"/>
    <s v="Bank charges 16/01/2026"/>
    <s v="Bank charges - Internal Transfer from Eastwest bank to OCBC USD"/>
    <x v="0"/>
    <x v="0"/>
    <x v="0"/>
    <x v="0"/>
    <s v="Direct"/>
    <s v="-"/>
    <s v="-"/>
    <m/>
    <m/>
  </r>
  <r>
    <x v="0"/>
    <x v="2"/>
    <d v="2026-01-16T00:00:00"/>
    <d v="2026-01-16T00:00:00"/>
    <x v="3"/>
    <s v="USD"/>
    <n v="7.7"/>
    <n v="0"/>
    <n v="7.7"/>
    <x v="874"/>
    <s v="OCBC USD"/>
    <s v="Bank charges 16/01/2026"/>
    <s v="Bank charges - Internal Transfer from Eastwest bank to OCBC USD"/>
    <x v="0"/>
    <x v="0"/>
    <x v="0"/>
    <x v="0"/>
    <s v="Direct"/>
    <s v="-"/>
    <s v="-"/>
    <m/>
    <m/>
  </r>
  <r>
    <x v="0"/>
    <x v="2"/>
    <d v="2026-01-16T00:00:00"/>
    <d v="2026-01-16T00:00:00"/>
    <x v="3"/>
    <s v="USD"/>
    <n v="300000"/>
    <n v="0"/>
    <n v="300000"/>
    <x v="875"/>
    <s v="OCBC USD"/>
    <s v="Internal Transfer 2026/01-03"/>
    <s v="Internal Transfer from Eastwest bank to OCBC USD"/>
    <x v="24"/>
    <x v="18"/>
    <x v="6"/>
    <x v="3"/>
    <s v="Cathfrine Low"/>
    <s v="Leon Chan"/>
    <s v="Cathfrine Low"/>
    <m/>
    <m/>
  </r>
  <r>
    <x v="0"/>
    <x v="2"/>
    <d v="2026-01-16T00:00:00"/>
    <d v="2026-01-16T00:00:00"/>
    <x v="3"/>
    <s v="USD"/>
    <n v="26"/>
    <n v="0"/>
    <n v="26"/>
    <x v="876"/>
    <s v="Eastwest Bank"/>
    <s v="Bank charges 16/01/2026"/>
    <s v="Bank charges - Internal Transfer from Eastwest bank to OCBC USD"/>
    <x v="0"/>
    <x v="0"/>
    <x v="0"/>
    <x v="0"/>
    <s v="Direct"/>
    <s v="-"/>
    <s v="-"/>
    <m/>
    <m/>
  </r>
  <r>
    <x v="0"/>
    <x v="2"/>
    <d v="2026-01-23T00:00:00"/>
    <d v="2026-01-23T00:00:00"/>
    <x v="4"/>
    <s v="USD"/>
    <n v="235849.06"/>
    <n v="0"/>
    <n v="235849.06"/>
    <x v="877"/>
    <s v="OCBC SGD"/>
    <s v="Internal Transfer 2026/01-02"/>
    <s v="Internal Transfer from USD to SGD"/>
    <x v="24"/>
    <x v="18"/>
    <x v="6"/>
    <x v="3"/>
    <s v="Cathfrine"/>
    <s v="Leon Chan"/>
    <s v="Cathfrine Low"/>
    <m/>
    <m/>
  </r>
  <r>
    <x v="0"/>
    <x v="2"/>
    <d v="2026-01-26T00:00:00"/>
    <d v="2026-01-26T00:00:00"/>
    <x v="74"/>
    <s v="USD"/>
    <n v="63000"/>
    <n v="0"/>
    <n v="63000"/>
    <x v="878"/>
    <s v="Alpha X Innovation Sdn Bhd "/>
    <s v="Intercompany Loan MY/2026/01"/>
    <s v="Intercompany Loan to MY entity"/>
    <x v="43"/>
    <x v="15"/>
    <x v="0"/>
    <x v="0"/>
    <s v="Cathfrine Low"/>
    <s v="Leon Chan"/>
    <s v="Cathfrine Low"/>
    <m/>
    <m/>
  </r>
  <r>
    <x v="0"/>
    <x v="2"/>
    <d v="2026-01-26T00:00:00"/>
    <d v="2026-01-26T00:00:00"/>
    <x v="74"/>
    <s v="USD"/>
    <n v="23.84"/>
    <n v="0"/>
    <n v="23.84"/>
    <x v="879"/>
    <s v="OCBC USD"/>
    <s v="Bank charges 26/01/2026"/>
    <s v="Bank charges - Intercompany Loan to MY entity"/>
    <x v="0"/>
    <x v="0"/>
    <x v="0"/>
    <x v="0"/>
    <s v="Direct"/>
    <s v="-"/>
    <s v="-"/>
    <m/>
    <m/>
  </r>
  <r>
    <x v="0"/>
    <x v="2"/>
    <d v="2026-01-27T00:00:00"/>
    <d v="2026-01-27T00:00:00"/>
    <x v="75"/>
    <s v="USD"/>
    <n v="7.81"/>
    <n v="0"/>
    <n v="7.81"/>
    <x v="880"/>
    <s v="OCBC USD"/>
    <s v="Bank charges 27/01/2026"/>
    <s v="Bank charges - INV 2512002"/>
    <x v="0"/>
    <x v="0"/>
    <x v="0"/>
    <x v="0"/>
    <s v="Direct"/>
    <s v="-"/>
    <s v="-"/>
    <m/>
    <m/>
  </r>
  <r>
    <x v="0"/>
    <x v="2"/>
    <d v="2025-12-30T00:00:00"/>
    <d v="2026-01-29T00:00:00"/>
    <x v="75"/>
    <s v="USD"/>
    <n v="-8978"/>
    <n v="-808.02"/>
    <n v="-9786.02"/>
    <x v="881"/>
    <s v="Soitec Microelectronics Singapore Pte Ltd"/>
    <s v="INV 2512002"/>
    <s v="Development Support Services for PR1 Visual Inspect automation - December 2025"/>
    <x v="15"/>
    <x v="13"/>
    <x v="8"/>
    <x v="2"/>
    <s v="-"/>
    <s v="-"/>
    <s v="-"/>
    <m/>
    <m/>
  </r>
  <r>
    <x v="0"/>
    <x v="2"/>
    <d v="2026-01-30T00:00:00"/>
    <d v="2026-01-30T00:00:00"/>
    <x v="5"/>
    <s v="USD"/>
    <n v="-5.77"/>
    <n v="0"/>
    <n v="-5.77"/>
    <x v="882"/>
    <s v="Eastwest Bank"/>
    <s v="Bank Interest ORE2601001"/>
    <s v="Bank Interest for January 2026"/>
    <x v="0"/>
    <x v="0"/>
    <x v="0"/>
    <x v="0"/>
    <s v="Direct"/>
    <s v="-"/>
    <s v="-"/>
    <m/>
    <m/>
  </r>
  <r>
    <x v="0"/>
    <x v="2"/>
    <d v="2026-02-27T00:00:00"/>
    <d v="2026-02-27T00:00:00"/>
    <x v="10"/>
    <s v="USD"/>
    <n v="-4.09"/>
    <n v="0"/>
    <n v="-4.09"/>
    <x v="883"/>
    <s v="Eastwest Bank"/>
    <s v="Bank Interest ORE2602001"/>
    <s v="Bank Interest for February 2026"/>
    <x v="0"/>
    <x v="0"/>
    <x v="0"/>
    <x v="0"/>
    <s v="Direct"/>
    <s v="-"/>
    <s v="-"/>
    <m/>
    <m/>
  </r>
  <r>
    <x v="0"/>
    <x v="2"/>
    <d v="2026-03-02T00:00:00"/>
    <d v="2026-03-02T00:00:00"/>
    <x v="11"/>
    <s v="USD"/>
    <n v="26.76"/>
    <n v="0"/>
    <n v="26.76"/>
    <x v="884"/>
    <s v="OCBC USD"/>
    <s v="Bank Charges 02/03/2026"/>
    <s v="Bank Charges"/>
    <x v="0"/>
    <x v="0"/>
    <x v="0"/>
    <x v="0"/>
    <m/>
    <m/>
    <s v="PVU2603001"/>
    <m/>
    <m/>
  </r>
  <r>
    <x v="0"/>
    <x v="2"/>
    <d v="2026-03-02T00:00:00"/>
    <d v="2026-03-02T00:00:00"/>
    <x v="11"/>
    <s v="USD"/>
    <n v="12000"/>
    <n v="0"/>
    <n v="12000"/>
    <x v="93"/>
    <s v="OCBC SGD "/>
    <s v="Internal Transfer "/>
    <s v="Internal Transfer from USD to SGD"/>
    <x v="24"/>
    <x v="18"/>
    <x v="6"/>
    <x v="3"/>
    <m/>
    <m/>
    <m/>
    <m/>
    <m/>
  </r>
  <r>
    <x v="0"/>
    <x v="2"/>
    <d v="2026-03-02T00:00:00"/>
    <d v="2026-03-02T00:00:00"/>
    <x v="11"/>
    <s v="USD"/>
    <n v="-349970"/>
    <n v="0"/>
    <n v="-349970"/>
    <x v="885"/>
    <s v="Eastwest Bank "/>
    <s v="Internal Transfer "/>
    <s v="Internal Transfer from Eastwest bank to OCBC USD"/>
    <x v="24"/>
    <x v="18"/>
    <x v="6"/>
    <x v="3"/>
    <m/>
    <m/>
    <m/>
    <m/>
    <m/>
  </r>
  <r>
    <x v="0"/>
    <x v="2"/>
    <d v="2026-03-02T00:00:00"/>
    <d v="2026-03-02T00:00:00"/>
    <x v="11"/>
    <s v="USD"/>
    <n v="7.83"/>
    <n v="0"/>
    <n v="7.83"/>
    <x v="886"/>
    <s v="OCBC USD"/>
    <s v="Bank charges"/>
    <s v="Bank charges - Intercompany Loan to SG entity"/>
    <x v="0"/>
    <x v="0"/>
    <x v="0"/>
    <x v="0"/>
    <m/>
    <m/>
    <m/>
    <m/>
    <m/>
  </r>
  <r>
    <x v="0"/>
    <x v="2"/>
    <d v="2026-03-02T00:00:00"/>
    <d v="2026-03-02T00:00:00"/>
    <x v="11"/>
    <s v="USD"/>
    <n v="200000"/>
    <n v="0"/>
    <n v="200000"/>
    <x v="887"/>
    <s v="OCBC SGD "/>
    <s v="Internal Transfer "/>
    <s v="Internal Transfer from USD to SGD"/>
    <x v="24"/>
    <x v="18"/>
    <x v="6"/>
    <x v="3"/>
    <m/>
    <m/>
    <m/>
    <m/>
    <m/>
  </r>
  <r>
    <x v="0"/>
    <x v="2"/>
    <d v="2026-03-02T00:00:00"/>
    <d v="2026-03-02T00:00:00"/>
    <x v="11"/>
    <s v="USD"/>
    <n v="350000"/>
    <n v="0"/>
    <n v="350000"/>
    <x v="888"/>
    <s v="OCBC USD"/>
    <s v="Internal Transfer"/>
    <s v="Internal Transfer from Eastwest bank to OCBC USD"/>
    <x v="24"/>
    <x v="18"/>
    <x v="6"/>
    <x v="3"/>
    <s v="Direct"/>
    <s v="-"/>
    <s v="-"/>
    <m/>
    <m/>
  </r>
  <r>
    <x v="0"/>
    <x v="2"/>
    <d v="2026-03-02T00:00:00"/>
    <d v="2026-03-02T00:00:00"/>
    <x v="11"/>
    <s v="USD"/>
    <n v="26"/>
    <n v="0"/>
    <n v="26"/>
    <x v="876"/>
    <s v="Eastwest Bank"/>
    <s v="Bank charges"/>
    <s v="Bank charges - Internal Transfer from Eastwest bank to OCBC USD"/>
    <x v="0"/>
    <x v="0"/>
    <x v="0"/>
    <x v="0"/>
    <s v="Direct"/>
    <s v="-"/>
    <s v="-"/>
    <m/>
    <m/>
  </r>
  <r>
    <x v="0"/>
    <x v="2"/>
    <d v="2026-03-10T00:00:00"/>
    <d v="2026-03-10T00:00:00"/>
    <x v="131"/>
    <s v="USD"/>
    <n v="-9786.02"/>
    <n v="0"/>
    <n v="-9786.02"/>
    <x v="881"/>
    <s v="Soitec Microelectronics Singapore Pte Ltd"/>
    <s v="INV 2602002"/>
    <s v="Application Development Support Services for PR1 Visual Inspect automation for the month of January 2026"/>
    <x v="15"/>
    <x v="13"/>
    <x v="8"/>
    <x v="2"/>
    <m/>
    <m/>
    <m/>
    <m/>
    <m/>
  </r>
  <r>
    <x v="0"/>
    <x v="2"/>
    <d v="2026-03-10T00:00:00"/>
    <d v="2026-03-10T00:00:00"/>
    <x v="131"/>
    <s v="USD"/>
    <n v="7.8"/>
    <n v="0"/>
    <n v="7.8"/>
    <x v="889"/>
    <s v="OCBC USD"/>
    <s v="Bank charges"/>
    <s v="Bank charges - Intercompany Loan to SG entity"/>
    <x v="0"/>
    <x v="0"/>
    <x v="0"/>
    <x v="0"/>
    <m/>
    <m/>
    <m/>
    <m/>
    <m/>
  </r>
  <r>
    <x v="0"/>
    <x v="2"/>
    <d v="2026-03-16T00:00:00"/>
    <d v="2026-03-16T00:00:00"/>
    <x v="12"/>
    <s v="USD"/>
    <n v="4855.2299999999996"/>
    <n v="0"/>
    <n v="4855.2299999999996"/>
    <x v="890"/>
    <s v="Chen Hong"/>
    <m/>
    <s v="Payment on behalf of Taiwan - Consultation Fees"/>
    <x v="64"/>
    <x v="15"/>
    <x v="6"/>
    <x v="3"/>
    <m/>
    <m/>
    <m/>
    <m/>
    <m/>
  </r>
  <r>
    <x v="0"/>
    <x v="2"/>
    <d v="2026-03-16T00:00:00"/>
    <d v="2026-03-16T00:00:00"/>
    <x v="12"/>
    <s v="USD"/>
    <n v="23.42"/>
    <n v="0"/>
    <n v="23.42"/>
    <x v="891"/>
    <s v="OCBC USD"/>
    <s v="Bank charges"/>
    <s v="Bank charges"/>
    <x v="0"/>
    <x v="0"/>
    <x v="0"/>
    <x v="0"/>
    <m/>
    <m/>
    <m/>
    <m/>
    <m/>
  </r>
  <r>
    <x v="0"/>
    <x v="2"/>
    <d v="2026-03-24T00:00:00"/>
    <d v="2026-03-24T00:00:00"/>
    <x v="90"/>
    <s v="USD"/>
    <n v="100000"/>
    <n v="0"/>
    <n v="100000"/>
    <x v="892"/>
    <s v="OCBC SGD "/>
    <s v="Internal Transfer "/>
    <s v="Internal Transfer from USD to SGD"/>
    <x v="24"/>
    <x v="18"/>
    <x v="6"/>
    <x v="3"/>
    <m/>
    <m/>
    <m/>
    <m/>
    <m/>
  </r>
  <r>
    <x v="0"/>
    <x v="2"/>
    <d v="2026-03-24T00:00:00"/>
    <d v="2026-03-24T00:00:00"/>
    <x v="90"/>
    <s v="USD"/>
    <n v="-1090"/>
    <n v="0"/>
    <n v="-1090"/>
    <x v="893"/>
    <s v="GTRONTEC TECHNOLOGY PTE LTD"/>
    <s v="INV 2603006"/>
    <s v="AX Trace Digital Marketing Solution"/>
    <x v="15"/>
    <x v="13"/>
    <x v="12"/>
    <x v="2"/>
    <m/>
    <m/>
    <m/>
    <m/>
    <m/>
  </r>
  <r>
    <x v="0"/>
    <x v="2"/>
    <d v="2026-03-25T00:00:00"/>
    <d v="2026-03-25T00:00:00"/>
    <x v="91"/>
    <s v="USD"/>
    <n v="-500000"/>
    <n v="0"/>
    <n v="-500000"/>
    <x v="894"/>
    <s v="Alpha X Technology Limited"/>
    <m/>
    <s v="Working Capital Fund"/>
    <x v="65"/>
    <x v="15"/>
    <x v="6"/>
    <x v="3"/>
    <m/>
    <m/>
    <m/>
    <m/>
    <m/>
  </r>
  <r>
    <x v="0"/>
    <x v="2"/>
    <d v="2026-03-26T00:00:00"/>
    <d v="2026-03-26T00:00:00"/>
    <x v="92"/>
    <s v="USD"/>
    <n v="-9786.02"/>
    <n v="0"/>
    <n v="-9786.02"/>
    <x v="881"/>
    <s v="Soitec Microelectronics Singapore Pte Ltd"/>
    <s v="INV 2603003"/>
    <s v="Application Development Support Services for PR1 Visual Inspect automation for the month of February 2026"/>
    <x v="15"/>
    <x v="13"/>
    <x v="8"/>
    <x v="2"/>
    <m/>
    <m/>
    <m/>
    <m/>
    <m/>
  </r>
  <r>
    <x v="0"/>
    <x v="2"/>
    <d v="2026-03-26T00:00:00"/>
    <d v="2026-03-26T00:00:00"/>
    <x v="92"/>
    <s v="USD"/>
    <n v="7.74"/>
    <n v="0"/>
    <n v="7.74"/>
    <x v="895"/>
    <s v="OCBC USD"/>
    <s v="Bank charges"/>
    <s v="Bank charges"/>
    <x v="0"/>
    <x v="0"/>
    <x v="0"/>
    <x v="0"/>
    <m/>
    <m/>
    <m/>
    <m/>
    <m/>
  </r>
  <r>
    <x v="0"/>
    <x v="2"/>
    <d v="2026-03-31T00:00:00"/>
    <d v="2026-03-31T00:00:00"/>
    <x v="14"/>
    <s v="USD"/>
    <n v="-2.58"/>
    <n v="0"/>
    <n v="-2.58"/>
    <x v="896"/>
    <s v="Eastwest Bank"/>
    <s v="Bank Interest ORE2603002"/>
    <s v="Bank Interest for March 2026"/>
    <x v="0"/>
    <x v="0"/>
    <x v="0"/>
    <x v="0"/>
    <s v="Direct"/>
    <s v="-"/>
    <s v="-"/>
    <m/>
    <m/>
  </r>
  <r>
    <x v="0"/>
    <x v="2"/>
    <d v="2026-04-01T00:00:00"/>
    <d v="2026-04-01T00:00:00"/>
    <x v="96"/>
    <s v="USD"/>
    <n v="4637"/>
    <n v="0"/>
    <n v="4637"/>
    <x v="897"/>
    <s v="Chance Accountancy"/>
    <s v="412, 448, 422"/>
    <s v="40 min Tax Consultation on 11/5/2025, Renew 2026 Statement of Information, Annual Agent of Service 2026, Prepare 2025 C Corp Income Tax Return with 5471 Filings"/>
    <x v="66"/>
    <x v="15"/>
    <x v="0"/>
    <x v="0"/>
    <m/>
    <m/>
    <m/>
    <m/>
    <m/>
  </r>
  <r>
    <x v="0"/>
    <x v="2"/>
    <d v="2026-04-01T00:00:00"/>
    <d v="2026-04-01T00:00:00"/>
    <x v="96"/>
    <s v="USD"/>
    <n v="23.56"/>
    <n v="0"/>
    <n v="23.56"/>
    <x v="898"/>
    <s v="OCBC USD"/>
    <s v="Bank charges"/>
    <s v="Bank charges"/>
    <x v="0"/>
    <x v="0"/>
    <x v="0"/>
    <x v="0"/>
    <m/>
    <m/>
    <m/>
    <m/>
    <m/>
  </r>
  <r>
    <x v="0"/>
    <x v="2"/>
    <d v="2026-04-13T00:00:00"/>
    <d v="2026-04-13T00:00:00"/>
    <x v="102"/>
    <s v="USD"/>
    <n v="-47.33"/>
    <n v="0"/>
    <n v="-47.33"/>
    <x v="899"/>
    <s v="OCBC USD"/>
    <s v="Bank charges"/>
    <s v="Bank charges"/>
    <x v="0"/>
    <x v="0"/>
    <x v="0"/>
    <x v="0"/>
    <m/>
    <m/>
    <m/>
    <m/>
    <m/>
  </r>
  <r>
    <x v="0"/>
    <x v="2"/>
    <d v="2026-04-16T00:00:00"/>
    <d v="2026-04-16T00:00:00"/>
    <x v="17"/>
    <s v="USD"/>
    <n v="-249970"/>
    <n v="0"/>
    <n v="-249970"/>
    <x v="900"/>
    <s v="Eastwest Bank "/>
    <s v="Internal Transfer "/>
    <s v="Internal Transfer from Eastwest bank to OCBC USD"/>
    <x v="24"/>
    <x v="18"/>
    <x v="6"/>
    <x v="3"/>
    <m/>
    <m/>
    <m/>
    <m/>
    <m/>
  </r>
  <r>
    <x v="0"/>
    <x v="2"/>
    <d v="2026-04-16T00:00:00"/>
    <d v="2026-04-16T00:00:00"/>
    <x v="17"/>
    <s v="USD"/>
    <n v="7.81"/>
    <n v="0"/>
    <n v="7.81"/>
    <x v="880"/>
    <s v="OCBC USD"/>
    <s v="Bank charges"/>
    <s v="Bank charges"/>
    <x v="0"/>
    <x v="0"/>
    <x v="0"/>
    <x v="0"/>
    <m/>
    <m/>
    <m/>
    <m/>
    <m/>
  </r>
  <r>
    <x v="0"/>
    <x v="2"/>
    <d v="2026-04-16T00:00:00"/>
    <d v="2026-04-16T00:00:00"/>
    <x v="17"/>
    <s v="USD"/>
    <n v="250000"/>
    <n v="0"/>
    <n v="250000"/>
    <x v="901"/>
    <s v="OCBC USD"/>
    <s v="Internal Transfer"/>
    <s v="Internal Transfer from Eastwest bank to OCBC USD"/>
    <x v="24"/>
    <x v="18"/>
    <x v="6"/>
    <x v="3"/>
    <m/>
    <m/>
    <m/>
    <m/>
    <m/>
  </r>
  <r>
    <x v="0"/>
    <x v="2"/>
    <d v="2026-04-16T00:00:00"/>
    <d v="2026-04-16T00:00:00"/>
    <x v="17"/>
    <s v="USD"/>
    <n v="26"/>
    <n v="0"/>
    <n v="26"/>
    <x v="876"/>
    <s v="Eastwest Bank"/>
    <s v="Internal Transfer"/>
    <s v="Bank Charges - Internal Transfer from Eastwest bank to OCBC USD"/>
    <x v="0"/>
    <x v="0"/>
    <x v="6"/>
    <x v="3"/>
    <m/>
    <m/>
    <m/>
    <m/>
    <m/>
  </r>
  <r>
    <x v="0"/>
    <x v="2"/>
    <d v="2026-04-23T00:00:00"/>
    <d v="2026-04-23T00:00:00"/>
    <x v="41"/>
    <s v="USD"/>
    <n v="197160.88"/>
    <n v="0"/>
    <n v="197160.88"/>
    <x v="902"/>
    <s v="OCBC SGD "/>
    <s v="Internal Transfer "/>
    <s v="Internal Transfer from USD to SGD"/>
    <x v="24"/>
    <x v="18"/>
    <x v="6"/>
    <x v="3"/>
    <m/>
    <m/>
    <m/>
    <m/>
    <m/>
  </r>
  <r>
    <x v="0"/>
    <x v="2"/>
    <d v="2026-04-27T00:00:00"/>
    <d v="2026-04-27T00:00:00"/>
    <x v="104"/>
    <s v="USD"/>
    <n v="-9786.02"/>
    <n v="0"/>
    <n v="-9786.02"/>
    <x v="881"/>
    <s v="Soitec Microelectronics Singapore Pte Ltd"/>
    <s v="INV 2603007"/>
    <s v="Application Development Support Services for PR1 Visual Inspect automation for the month of March 2026"/>
    <x v="15"/>
    <x v="13"/>
    <x v="8"/>
    <x v="2"/>
    <m/>
    <m/>
    <m/>
    <m/>
    <m/>
  </r>
  <r>
    <x v="0"/>
    <x v="2"/>
    <d v="2026-04-27T00:00:00"/>
    <d v="2026-04-27T00:00:00"/>
    <x v="104"/>
    <s v="USD"/>
    <n v="7.77"/>
    <n v="0"/>
    <n v="7.77"/>
    <x v="903"/>
    <s v="OCBC USD"/>
    <s v="Bank charges"/>
    <s v="Bank charges"/>
    <x v="0"/>
    <x v="0"/>
    <x v="0"/>
    <x v="0"/>
    <m/>
    <m/>
    <m/>
    <m/>
    <m/>
  </r>
  <r>
    <x v="0"/>
    <x v="2"/>
    <d v="2026-04-30T00:00:00"/>
    <s v="30/04/2026"/>
    <x v="19"/>
    <s v="USD"/>
    <n v="-4.59"/>
    <n v="0"/>
    <n v="-4.59"/>
    <x v="904"/>
    <s v="Eastwest Bank"/>
    <s v="Bank Interest ORE2604001"/>
    <s v="Bank Interest for April 2026"/>
    <x v="0"/>
    <x v="0"/>
    <x v="0"/>
    <x v="0"/>
    <m/>
    <s v="Direct"/>
    <s v="-"/>
    <m/>
    <m/>
  </r>
  <r>
    <x v="0"/>
    <x v="2"/>
    <d v="2026-05-08T00:00:00"/>
    <d v="2026-05-08T00:00:00"/>
    <x v="21"/>
    <s v="USD"/>
    <n v="-59000"/>
    <n v="0"/>
    <n v="-59000"/>
    <x v="905"/>
    <s v="Shanghai Wilson Optimus Technology Co., Ltd.,"/>
    <s v="INV 2604014"/>
    <s v="Taiwan IP License"/>
    <x v="15"/>
    <x v="13"/>
    <x v="8"/>
    <x v="2"/>
    <m/>
    <m/>
    <m/>
    <m/>
    <m/>
  </r>
  <r>
    <x v="0"/>
    <x v="2"/>
    <d v="2026-05-08T00:00:00"/>
    <d v="2026-05-08T00:00:00"/>
    <x v="21"/>
    <s v="USD"/>
    <n v="25"/>
    <n v="0"/>
    <n v="25"/>
    <x v="906"/>
    <s v="OCBC USD"/>
    <s v="Bank charges"/>
    <s v="Bank charges for INV 2604014"/>
    <x v="0"/>
    <x v="0"/>
    <x v="0"/>
    <x v="0"/>
    <m/>
    <m/>
    <m/>
    <m/>
    <m/>
  </r>
  <r>
    <x v="0"/>
    <x v="2"/>
    <d v="2026-05-08T00:00:00"/>
    <d v="2026-05-08T00:00:00"/>
    <x v="21"/>
    <s v="USD"/>
    <n v="7.82"/>
    <n v="0"/>
    <n v="7.82"/>
    <x v="907"/>
    <s v="OCBC USD"/>
    <s v="Bank charges"/>
    <s v="Bank charges"/>
    <x v="0"/>
    <x v="0"/>
    <x v="0"/>
    <x v="0"/>
    <m/>
    <m/>
    <m/>
    <m/>
    <m/>
  </r>
  <r>
    <x v="0"/>
    <x v="2"/>
    <d v="2026-05-18T00:00:00"/>
    <d v="2026-05-18T00:00:00"/>
    <x v="113"/>
    <s v="USD"/>
    <n v="180760.77"/>
    <n v="0"/>
    <n v="180760.77"/>
    <x v="908"/>
    <s v="OCBC SGD "/>
    <s v="Internal Transfer "/>
    <s v="Internal Transfer from USD to SGD"/>
    <x v="67"/>
    <x v="39"/>
    <x v="0"/>
    <x v="0"/>
    <m/>
    <m/>
    <m/>
    <m/>
    <m/>
  </r>
  <r>
    <x v="0"/>
    <x v="2"/>
    <d v="2026-05-05T00:00:00"/>
    <d v="2026-06-04T00:00:00"/>
    <x v="132"/>
    <s v="USD"/>
    <n v="-9786.02"/>
    <n v="0"/>
    <n v="-9786.02"/>
    <x v="881"/>
    <s v="Soitec Microelectronics Singapore Pte Ltd"/>
    <s v="INV 2605001"/>
    <s v="Application Development Support Services for PR1 Visual Inspect automation for the month of April 2026"/>
    <x v="15"/>
    <x v="13"/>
    <x v="8"/>
    <x v="2"/>
    <m/>
    <m/>
    <m/>
    <m/>
    <m/>
  </r>
  <r>
    <x v="0"/>
    <x v="2"/>
    <d v="2026-05-26T00:00:00"/>
    <d v="2026-05-26T00:00:00"/>
    <x v="132"/>
    <s v="USD"/>
    <n v="7.77"/>
    <n v="0"/>
    <n v="7.77"/>
    <x v="903"/>
    <s v="OCBC USD"/>
    <s v="Bank charges"/>
    <s v="Bank charges"/>
    <x v="0"/>
    <x v="0"/>
    <x v="0"/>
    <x v="0"/>
    <m/>
    <m/>
    <m/>
    <m/>
    <m/>
  </r>
  <r>
    <x v="0"/>
    <x v="2"/>
    <d v="2026-05-29T00:00:00"/>
    <d v="2026-05-29T00:00:00"/>
    <x v="45"/>
    <s v="USD"/>
    <n v="-3.66"/>
    <n v="0"/>
    <n v="-3.66"/>
    <x v="909"/>
    <s v="Eastwest Bank"/>
    <s v="Bank Interest ORE2605001"/>
    <s v="Bank Interest for May 2026"/>
    <x v="0"/>
    <x v="0"/>
    <x v="0"/>
    <x v="0"/>
    <m/>
    <s v="Direct"/>
    <s v="-"/>
    <m/>
    <m/>
  </r>
  <r>
    <x v="0"/>
    <x v="2"/>
    <d v="2026-06-24T00:00:00"/>
    <d v="2026-06-24T00:00:00"/>
    <x v="126"/>
    <s v="USD"/>
    <n v="200000"/>
    <n v="0"/>
    <n v="200000"/>
    <x v="887"/>
    <s v="OCBC USD"/>
    <s v="Internal Transfer"/>
    <s v="Internal Transfer from Eastwest bank to OCBC USD"/>
    <x v="24"/>
    <x v="18"/>
    <x v="6"/>
    <x v="3"/>
    <s v="Direct"/>
    <s v="-"/>
    <s v="-"/>
    <m/>
    <m/>
  </r>
  <r>
    <x v="0"/>
    <x v="2"/>
    <d v="2026-06-22T00:00:00"/>
    <d v="2026-06-22T00:00:00"/>
    <x v="125"/>
    <s v="USD"/>
    <n v="-50000"/>
    <n v="0"/>
    <n v="-50000"/>
    <x v="910"/>
    <s v="Alpha X Technology Co., Ltd"/>
    <m/>
    <s v="Loan refund - USD50K"/>
    <x v="68"/>
    <x v="40"/>
    <x v="0"/>
    <x v="0"/>
    <m/>
    <m/>
    <m/>
    <m/>
    <m/>
  </r>
  <r>
    <x v="0"/>
    <x v="2"/>
    <d v="2026-06-22T00:00:00"/>
    <d v="2026-06-22T00:00:00"/>
    <x v="125"/>
    <s v="USD"/>
    <n v="-650"/>
    <n v="0"/>
    <n v="-650"/>
    <x v="911"/>
    <s v="Alpha X Technology Co., Ltd"/>
    <m/>
    <s v="Interest Income"/>
    <x v="16"/>
    <x v="14"/>
    <x v="0"/>
    <x v="0"/>
    <m/>
    <m/>
    <m/>
    <m/>
    <m/>
  </r>
  <r>
    <x v="0"/>
    <x v="2"/>
    <d v="2026-06-22T00:00:00"/>
    <d v="2026-06-22T00:00:00"/>
    <x v="125"/>
    <s v="USD"/>
    <n v="7.67"/>
    <n v="0"/>
    <n v="7.67"/>
    <x v="912"/>
    <s v="OCBC USD"/>
    <s v="Bank charges"/>
    <s v="Bank charges"/>
    <x v="0"/>
    <x v="0"/>
    <x v="0"/>
    <x v="0"/>
    <m/>
    <m/>
    <m/>
    <m/>
    <m/>
  </r>
  <r>
    <x v="0"/>
    <x v="2"/>
    <d v="2026-06-24T00:00:00"/>
    <d v="2026-06-24T00:00:00"/>
    <x v="126"/>
    <s v="USD"/>
    <n v="62000"/>
    <n v="0"/>
    <n v="62000"/>
    <x v="913"/>
    <s v="OCBC SGD "/>
    <s v="Internal Transfer "/>
    <s v="Internal Transfer from USD to SGD"/>
    <x v="67"/>
    <x v="39"/>
    <x v="0"/>
    <x v="0"/>
    <m/>
    <m/>
    <m/>
    <m/>
    <m/>
  </r>
  <r>
    <x v="0"/>
    <x v="2"/>
    <d v="2026-06-24T00:00:00"/>
    <d v="2026-06-24T00:00:00"/>
    <x v="126"/>
    <s v="USD"/>
    <n v="-199970"/>
    <n v="0"/>
    <n v="-199970"/>
    <x v="914"/>
    <s v="Eastwest Bank "/>
    <s v="Internal Transfer "/>
    <s v="Internal Transfer from Eastwest bank to OCBC USD"/>
    <x v="24"/>
    <x v="18"/>
    <x v="6"/>
    <x v="3"/>
    <m/>
    <m/>
    <m/>
    <m/>
    <m/>
  </r>
  <r>
    <x v="0"/>
    <x v="2"/>
    <d v="2026-06-24T00:00:00"/>
    <d v="2026-06-24T00:00:00"/>
    <x v="126"/>
    <s v="USD"/>
    <n v="7.65"/>
    <n v="0"/>
    <n v="7.65"/>
    <x v="915"/>
    <s v="OCBC USD"/>
    <s v="Bank charges"/>
    <s v="Bank charges"/>
    <x v="0"/>
    <x v="0"/>
    <x v="0"/>
    <x v="0"/>
    <m/>
    <m/>
    <m/>
    <m/>
    <m/>
  </r>
  <r>
    <x v="0"/>
    <x v="2"/>
    <d v="2026-05-28T00:00:00"/>
    <d v="2026-06-27T00:00:00"/>
    <x v="127"/>
    <s v="USD"/>
    <n v="-8978"/>
    <n v="-808.02"/>
    <n v="-9786.02"/>
    <x v="881"/>
    <s v="Soitec Microelectronics Singapore Pte Ltd"/>
    <s v="INV 2605010"/>
    <s v="Development Support Services for PR1 Visual Inspect automation - May 2026"/>
    <x v="15"/>
    <x v="13"/>
    <x v="8"/>
    <x v="2"/>
    <m/>
    <m/>
    <m/>
    <m/>
    <m/>
  </r>
  <r>
    <x v="0"/>
    <x v="2"/>
    <d v="2026-06-26T00:00:00"/>
    <d v="2026-06-26T00:00:00"/>
    <x v="127"/>
    <s v="USD"/>
    <n v="7.65"/>
    <n v="0"/>
    <n v="7.65"/>
    <x v="915"/>
    <s v="OCBC USD"/>
    <s v="Bank charges"/>
    <s v="Bank charges"/>
    <x v="0"/>
    <x v="0"/>
    <x v="0"/>
    <x v="0"/>
    <m/>
    <m/>
    <m/>
    <m/>
    <m/>
  </r>
  <r>
    <x v="0"/>
    <x v="1"/>
    <d v="2026-01-15T00:00:00"/>
    <s v="15/01/2026"/>
    <x v="2"/>
    <s v="USD"/>
    <n v="11698.62"/>
    <n v="0"/>
    <n v="11698.62"/>
    <x v="916"/>
    <s v="OCBC MYR"/>
    <s v="OCBC MY - USD"/>
    <s v="Bank Transfer to OCBC AC7619 - MYR."/>
    <x v="69"/>
    <x v="39"/>
    <x v="0"/>
    <x v="0"/>
    <m/>
    <m/>
    <m/>
    <m/>
    <m/>
  </r>
  <r>
    <x v="0"/>
    <x v="1"/>
    <d v="2026-01-16T00:00:00"/>
    <s v="16/01/2026"/>
    <x v="3"/>
    <s v="USD"/>
    <n v="-58000"/>
    <n v="0"/>
    <n v="-58000"/>
    <x v="917"/>
    <s v="Alpha X Technology Pte Ltd"/>
    <s v="Short Term Loan"/>
    <s v="Loan from Alpha X Technology Pte Ltd"/>
    <x v="68"/>
    <x v="40"/>
    <x v="1"/>
    <x v="0"/>
    <m/>
    <m/>
    <m/>
    <m/>
    <m/>
  </r>
  <r>
    <x v="0"/>
    <x v="1"/>
    <d v="2026-01-16T00:00:00"/>
    <s v="16/01/2026"/>
    <x v="3"/>
    <s v="USD"/>
    <n v="2.5099999999999998"/>
    <n v="0"/>
    <n v="2.5099999999999998"/>
    <x v="918"/>
    <s v="OCBC USD"/>
    <s v="Bank Charges 16/01/2026"/>
    <s v="Bank Charges - Loan from Alpha X Technology Pte Ltd"/>
    <x v="0"/>
    <x v="0"/>
    <x v="1"/>
    <x v="0"/>
    <m/>
    <m/>
    <m/>
    <m/>
    <m/>
  </r>
  <r>
    <x v="0"/>
    <x v="1"/>
    <d v="2026-01-16T00:00:00"/>
    <s v="16/01/2026"/>
    <x v="3"/>
    <s v="USD"/>
    <n v="58000"/>
    <n v="0"/>
    <n v="58000"/>
    <x v="871"/>
    <s v="OCBC MYR"/>
    <s v="OCBC MY - USD"/>
    <s v="Bank Transfer to OCBC AC7619 - MYR."/>
    <x v="69"/>
    <x v="39"/>
    <x v="0"/>
    <x v="0"/>
    <m/>
    <m/>
    <m/>
    <m/>
    <m/>
  </r>
  <r>
    <x v="0"/>
    <x v="1"/>
    <d v="2026-02-24T00:00:00"/>
    <s v="24/02/2026"/>
    <x v="36"/>
    <s v="USD"/>
    <n v="-190100"/>
    <n v="0"/>
    <n v="-190100"/>
    <x v="919"/>
    <s v="OCBC MYR"/>
    <m/>
    <s v="Bank Transfer to OCBC AC7619 - MYR."/>
    <x v="69"/>
    <x v="39"/>
    <x v="0"/>
    <x v="0"/>
    <m/>
    <m/>
    <m/>
    <m/>
    <m/>
  </r>
  <r>
    <x v="0"/>
    <x v="1"/>
    <d v="2026-02-26T00:00:00"/>
    <s v="26/02/2026"/>
    <x v="81"/>
    <s v="USD"/>
    <n v="190000"/>
    <n v="0"/>
    <n v="190000"/>
    <x v="920"/>
    <s v="Alpha X Technology Pte Ltd"/>
    <m/>
    <s v="LOAN REFUND - USD190K"/>
    <x v="68"/>
    <x v="40"/>
    <x v="0"/>
    <x v="0"/>
    <m/>
    <m/>
    <m/>
    <m/>
    <m/>
  </r>
  <r>
    <x v="0"/>
    <x v="1"/>
    <d v="2026-02-26T00:00:00"/>
    <s v="26/02/2026"/>
    <x v="81"/>
    <s v="USD"/>
    <n v="5.66"/>
    <n v="0"/>
    <n v="5.66"/>
    <x v="921"/>
    <s v="Alpha X Technology Pte Ltd"/>
    <s v="Bank Charges 26/02/2026"/>
    <s v="Bank Charges"/>
    <x v="0"/>
    <x v="0"/>
    <x v="0"/>
    <x v="0"/>
    <m/>
    <m/>
    <m/>
    <m/>
    <m/>
  </r>
  <r>
    <x v="0"/>
    <x v="1"/>
    <d v="2026-01-27T00:00:00"/>
    <s v="27/01/2026"/>
    <x v="75"/>
    <s v="USD"/>
    <n v="-63000"/>
    <n v="0"/>
    <n v="-63000"/>
    <x v="922"/>
    <s v="Alpha X Technology Pte Ltd"/>
    <s v="Short Term Loan"/>
    <s v="LOAN USD63K - ALPHA X TECHNOLOGY PTE LTD"/>
    <x v="68"/>
    <x v="40"/>
    <x v="1"/>
    <x v="0"/>
    <m/>
    <m/>
    <m/>
    <m/>
    <m/>
  </r>
  <r>
    <x v="0"/>
    <x v="1"/>
    <d v="2026-01-27T00:00:00"/>
    <s v="27/01/2026"/>
    <x v="75"/>
    <s v="USD"/>
    <n v="2.56"/>
    <n v="0"/>
    <n v="2.56"/>
    <x v="923"/>
    <s v="OCBC USD"/>
    <s v="Bank Charges 27/01/2026"/>
    <s v="Bank Charges"/>
    <x v="0"/>
    <x v="0"/>
    <x v="0"/>
    <x v="0"/>
    <m/>
    <m/>
    <m/>
    <m/>
    <m/>
  </r>
  <r>
    <x v="0"/>
    <x v="1"/>
    <d v="2026-01-29T00:00:00"/>
    <s v="29/01/2026"/>
    <x v="33"/>
    <s v="USD"/>
    <n v="62990"/>
    <n v="0"/>
    <n v="62990"/>
    <x v="924"/>
    <s v="OCBC MYR"/>
    <s v="OCBC MY - USD"/>
    <s v="Bank Transfer to OCBC AC7619 - MYR."/>
    <x v="69"/>
    <x v="39"/>
    <x v="0"/>
    <x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72B6A-47E4-4E90-A26C-CAB9EAEFC55E}" name="PivotTable4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7" firstHeaderRow="1" firstDataRow="1" firstDataCol="1"/>
  <pivotFields count="8">
    <pivotField numFmtId="173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axis="axisRow" showAll="0">
      <items count="9">
        <item x="5"/>
        <item x="4"/>
        <item x="7"/>
        <item x="6"/>
        <item x="3"/>
        <item x="2"/>
        <item x="1"/>
        <item x="0"/>
        <item t="default"/>
      </items>
    </pivotField>
    <pivotField showAll="0"/>
    <pivotField numFmtId="43" showAll="0"/>
    <pivotField dataField="1" numFmtId="43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7"/>
    <field x="1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mount (USD)" fld="5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60A25-1F36-4D67-8615-BAAB726D7826}" name="PivotTable2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76" firstHeaderRow="1" firstDataRow="1" firstDataCol="1"/>
  <pivotFields count="8">
    <pivotField numFmtId="173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axis="axisRow" showAll="0">
      <items count="9">
        <item x="5"/>
        <item x="4"/>
        <item x="7"/>
        <item x="6"/>
        <item x="3"/>
        <item x="2"/>
        <item x="1"/>
        <item x="0"/>
        <item t="default"/>
      </items>
    </pivotField>
    <pivotField showAll="0"/>
    <pivotField numFmtId="43" showAll="0"/>
    <pivotField dataField="1" numFmtId="43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x="1"/>
        <item x="2"/>
        <item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7"/>
    <field x="1"/>
    <field x="2"/>
  </rowFields>
  <rowItems count="73">
    <i>
      <x v="1"/>
    </i>
    <i r="1">
      <x/>
    </i>
    <i r="2">
      <x v="2"/>
    </i>
    <i r="2">
      <x v="3"/>
    </i>
    <i r="1">
      <x v="1"/>
    </i>
    <i r="2">
      <x v="7"/>
    </i>
    <i r="1">
      <x v="2"/>
    </i>
    <i r="2">
      <x/>
    </i>
    <i r="2">
      <x v="1"/>
    </i>
    <i r="1">
      <x v="3"/>
    </i>
    <i r="2">
      <x v="4"/>
    </i>
    <i r="2">
      <x v="5"/>
    </i>
    <i r="2">
      <x v="6"/>
    </i>
    <i>
      <x v="2"/>
    </i>
    <i r="1">
      <x/>
    </i>
    <i r="2">
      <x v="2"/>
    </i>
    <i r="2">
      <x v="3"/>
    </i>
    <i r="1">
      <x v="1"/>
    </i>
    <i r="2">
      <x v="7"/>
    </i>
    <i r="1">
      <x v="2"/>
    </i>
    <i r="2">
      <x/>
    </i>
    <i r="2">
      <x v="1"/>
    </i>
    <i r="1">
      <x v="3"/>
    </i>
    <i r="2">
      <x v="4"/>
    </i>
    <i r="2">
      <x v="5"/>
    </i>
    <i r="2">
      <x v="6"/>
    </i>
    <i>
      <x v="3"/>
    </i>
    <i r="1">
      <x/>
    </i>
    <i r="2">
      <x v="2"/>
    </i>
    <i r="2">
      <x v="3"/>
    </i>
    <i r="1">
      <x v="1"/>
    </i>
    <i r="2">
      <x v="7"/>
    </i>
    <i r="1">
      <x v="2"/>
    </i>
    <i r="2">
      <x/>
    </i>
    <i r="2">
      <x v="1"/>
    </i>
    <i r="1">
      <x v="3"/>
    </i>
    <i r="2">
      <x v="4"/>
    </i>
    <i r="2">
      <x v="5"/>
    </i>
    <i r="2">
      <x v="6"/>
    </i>
    <i>
      <x v="4"/>
    </i>
    <i r="1">
      <x/>
    </i>
    <i r="2">
      <x v="2"/>
    </i>
    <i r="2">
      <x v="3"/>
    </i>
    <i r="1">
      <x v="1"/>
    </i>
    <i r="2">
      <x v="7"/>
    </i>
    <i r="1">
      <x v="2"/>
    </i>
    <i r="2">
      <x/>
    </i>
    <i r="2">
      <x v="1"/>
    </i>
    <i r="1">
      <x v="3"/>
    </i>
    <i r="2">
      <x v="4"/>
    </i>
    <i r="2">
      <x v="5"/>
    </i>
    <i r="2">
      <x v="6"/>
    </i>
    <i>
      <x v="5"/>
    </i>
    <i r="1">
      <x/>
    </i>
    <i r="2">
      <x v="2"/>
    </i>
    <i r="2">
      <x v="3"/>
    </i>
    <i r="1">
      <x v="1"/>
    </i>
    <i r="2">
      <x v="7"/>
    </i>
    <i r="1">
      <x v="2"/>
    </i>
    <i r="2">
      <x/>
    </i>
    <i r="2">
      <x v="1"/>
    </i>
    <i r="1">
      <x v="3"/>
    </i>
    <i r="2">
      <x v="4"/>
    </i>
    <i r="2">
      <x v="5"/>
    </i>
    <i r="2">
      <x v="6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mount (USD)" fld="5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78A33-9325-4752-979A-D8FADEF6C685}" name="PivotTable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9" firstHeaderRow="1" firstDataRow="3" firstDataCol="1"/>
  <pivotFields count="30">
    <pivotField showAll="0"/>
    <pivotField axis="axisRow" showAll="0">
      <items count="4">
        <item sd="0" x="0"/>
        <item sd="0" x="2"/>
        <item sd="0" x="1"/>
        <item t="default"/>
      </items>
    </pivotField>
    <pivotField showAll="0">
      <items count="51">
        <item x="46"/>
        <item x="41"/>
        <item x="42"/>
        <item x="47"/>
        <item x="0"/>
        <item x="1"/>
        <item x="2"/>
        <item x="3"/>
        <item x="4"/>
        <item x="4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48"/>
        <item x="19"/>
        <item x="20"/>
        <item x="21"/>
        <item x="22"/>
        <item x="44"/>
        <item x="23"/>
        <item x="24"/>
        <item x="25"/>
        <item x="49"/>
        <item x="26"/>
        <item x="4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numFmtId="173" showAll="0">
      <items count="26">
        <item x="23"/>
        <item x="0"/>
        <item x="24"/>
        <item x="2"/>
        <item x="20"/>
        <item x="6"/>
        <item x="4"/>
        <item x="5"/>
        <item x="1"/>
        <item x="21"/>
        <item x="3"/>
        <item x="10"/>
        <item x="7"/>
        <item x="11"/>
        <item x="12"/>
        <item x="8"/>
        <item x="22"/>
        <item x="9"/>
        <item x="13"/>
        <item x="14"/>
        <item x="19"/>
        <item x="15"/>
        <item x="16"/>
        <item x="17"/>
        <item x="18"/>
        <item t="default"/>
      </items>
    </pivotField>
    <pivotField showAll="0">
      <items count="30">
        <item x="26"/>
        <item x="27"/>
        <item x="0"/>
        <item x="23"/>
        <item x="2"/>
        <item x="9"/>
        <item x="4"/>
        <item x="24"/>
        <item x="8"/>
        <item x="1"/>
        <item x="5"/>
        <item x="22"/>
        <item x="10"/>
        <item x="3"/>
        <item x="7"/>
        <item x="17"/>
        <item x="14"/>
        <item x="6"/>
        <item x="15"/>
        <item x="18"/>
        <item x="28"/>
        <item x="11"/>
        <item x="25"/>
        <item x="19"/>
        <item x="12"/>
        <item x="21"/>
        <item x="16"/>
        <item x="20"/>
        <item x="13"/>
        <item t="default"/>
      </items>
    </pivotField>
    <pivotField showAll="0"/>
    <pivotField showAll="0"/>
    <pivotField showAll="0"/>
    <pivotField numFmtId="43" showAll="0"/>
    <pivotField dataField="1" numFmtId="43" showAll="0"/>
    <pivotField showAll="0"/>
    <pivotField showAll="0"/>
    <pivotField showAll="0"/>
    <pivotField axis="axisRow" showAll="0">
      <items count="27">
        <item x="10"/>
        <item x="13"/>
        <item x="3"/>
        <item x="2"/>
        <item x="8"/>
        <item x="14"/>
        <item x="18"/>
        <item x="21"/>
        <item x="23"/>
        <item x="12"/>
        <item x="5"/>
        <item x="4"/>
        <item x="17"/>
        <item x="9"/>
        <item x="16"/>
        <item x="22"/>
        <item x="20"/>
        <item x="19"/>
        <item x="0"/>
        <item x="15"/>
        <item x="1"/>
        <item x="6"/>
        <item x="7"/>
        <item x="11"/>
        <item x="25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sd="0" x="0"/>
        <item x="1"/>
        <item x="2"/>
        <item x="3"/>
        <item x="4"/>
        <item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x="2"/>
        <item sd="0" x="3"/>
        <item x="4"/>
        <item sd="0" x="5"/>
        <item t="default"/>
      </items>
    </pivotField>
    <pivotField axis="axisCol" showAll="0">
      <items count="5">
        <item sd="0" x="0"/>
        <item sd="0" x="1"/>
        <item x="2"/>
        <item sd="0"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1"/>
    <field x="14"/>
  </rowFields>
  <rowItems count="4">
    <i>
      <x/>
    </i>
    <i>
      <x v="1"/>
    </i>
    <i>
      <x v="2"/>
    </i>
    <i t="grand">
      <x/>
    </i>
  </rowItems>
  <colFields count="2">
    <field x="23"/>
    <field x="21"/>
  </colFields>
  <colItems count="10">
    <i>
      <x/>
    </i>
    <i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t="default">
      <x v="2"/>
    </i>
    <i t="grand">
      <x/>
    </i>
  </colItems>
  <dataFields count="1">
    <dataField name="Sum of Amount (USD)" fld="10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82421-47FD-4217-9C94-CF79D6084D2C}" name="PivotTable1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8" firstHeaderRow="1" firstDataRow="3" firstDataCol="1" rowPageCount="1" colPageCount="1"/>
  <pivotFields count="30">
    <pivotField axis="axisPage" multipleItemSelectionAllowed="1" showAll="0">
      <items count="8">
        <item h="1" x="1"/>
        <item x="2"/>
        <item x="6"/>
        <item x="4"/>
        <item h="1" x="0"/>
        <item x="5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51">
        <item x="46"/>
        <item x="41"/>
        <item x="42"/>
        <item x="47"/>
        <item x="0"/>
        <item x="1"/>
        <item x="2"/>
        <item x="3"/>
        <item x="4"/>
        <item x="4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48"/>
        <item x="19"/>
        <item x="20"/>
        <item x="21"/>
        <item x="22"/>
        <item x="44"/>
        <item x="23"/>
        <item x="24"/>
        <item x="25"/>
        <item x="49"/>
        <item x="26"/>
        <item x="4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numFmtId="173" showAll="0">
      <items count="26">
        <item x="23"/>
        <item x="0"/>
        <item x="24"/>
        <item x="2"/>
        <item x="20"/>
        <item x="6"/>
        <item x="4"/>
        <item x="5"/>
        <item x="1"/>
        <item x="21"/>
        <item x="3"/>
        <item x="10"/>
        <item x="7"/>
        <item x="11"/>
        <item x="12"/>
        <item x="8"/>
        <item x="22"/>
        <item x="9"/>
        <item x="13"/>
        <item x="14"/>
        <item x="19"/>
        <item x="15"/>
        <item x="16"/>
        <item x="17"/>
        <item x="18"/>
        <item t="default"/>
      </items>
    </pivotField>
    <pivotField showAll="0">
      <items count="30">
        <item x="26"/>
        <item x="27"/>
        <item x="0"/>
        <item x="23"/>
        <item x="2"/>
        <item x="9"/>
        <item x="4"/>
        <item x="24"/>
        <item x="8"/>
        <item x="1"/>
        <item x="5"/>
        <item x="22"/>
        <item x="10"/>
        <item x="3"/>
        <item x="7"/>
        <item x="17"/>
        <item x="14"/>
        <item x="6"/>
        <item x="15"/>
        <item x="18"/>
        <item x="28"/>
        <item x="11"/>
        <item x="25"/>
        <item x="19"/>
        <item x="12"/>
        <item x="21"/>
        <item x="16"/>
        <item x="20"/>
        <item x="13"/>
        <item t="default"/>
      </items>
    </pivotField>
    <pivotField showAll="0"/>
    <pivotField showAll="0"/>
    <pivotField showAll="0"/>
    <pivotField numFmtId="43" showAll="0"/>
    <pivotField dataField="1" numFmtId="43" showAll="0"/>
    <pivotField showAll="0"/>
    <pivotField showAll="0"/>
    <pivotField showAll="0"/>
    <pivotField showAll="0">
      <items count="27">
        <item x="10"/>
        <item x="13"/>
        <item x="3"/>
        <item x="2"/>
        <item x="8"/>
        <item x="14"/>
        <item x="18"/>
        <item x="21"/>
        <item x="23"/>
        <item x="12"/>
        <item x="5"/>
        <item x="4"/>
        <item x="17"/>
        <item x="9"/>
        <item x="16"/>
        <item x="22"/>
        <item x="20"/>
        <item x="19"/>
        <item x="0"/>
        <item x="15"/>
        <item x="1"/>
        <item x="6"/>
        <item x="7"/>
        <item x="11"/>
        <item x="25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x="6"/>
        <item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Col" showAll="0">
      <items count="6">
        <item sd="0" x="0"/>
        <item sd="0" x="1"/>
        <item x="2"/>
        <item sd="0" x="3"/>
        <item sd="0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3">
    <i>
      <x v="1"/>
    </i>
    <i>
      <x v="2"/>
    </i>
    <i t="grand">
      <x/>
    </i>
  </rowItems>
  <colFields count="2">
    <field x="26"/>
    <field x="24"/>
  </colFields>
  <colItems count="10">
    <i>
      <x v="2"/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</i>
    <i t="grand">
      <x/>
    </i>
  </colItems>
  <pageFields count="1">
    <pageField fld="0" hier="-1"/>
  </pageFields>
  <dataFields count="1">
    <dataField name="Sum of Amount (USD)" fld="10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FADB7-3E47-454E-89B5-23ED52790F79}" name="PivotTable14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9" firstHeaderRow="1" firstDataRow="3" firstDataCol="1" rowPageCount="1" colPageCount="1"/>
  <pivotFields count="30">
    <pivotField axis="axisPage" multipleItemSelectionAllowed="1" showAll="0">
      <items count="8">
        <item h="1" x="1"/>
        <item x="2"/>
        <item h="1" x="6"/>
        <item h="1" x="4"/>
        <item x="0"/>
        <item x="5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51">
        <item x="46"/>
        <item x="41"/>
        <item x="42"/>
        <item x="47"/>
        <item x="0"/>
        <item x="1"/>
        <item x="2"/>
        <item x="3"/>
        <item x="4"/>
        <item x="4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48"/>
        <item x="19"/>
        <item x="20"/>
        <item x="21"/>
        <item x="22"/>
        <item x="44"/>
        <item x="23"/>
        <item x="24"/>
        <item x="25"/>
        <item x="49"/>
        <item x="26"/>
        <item x="4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numFmtId="173" showAll="0">
      <items count="26">
        <item x="23"/>
        <item x="0"/>
        <item x="24"/>
        <item x="2"/>
        <item x="20"/>
        <item x="6"/>
        <item x="4"/>
        <item x="5"/>
        <item x="1"/>
        <item x="21"/>
        <item x="3"/>
        <item x="10"/>
        <item x="7"/>
        <item x="11"/>
        <item x="12"/>
        <item x="8"/>
        <item x="22"/>
        <item x="9"/>
        <item x="13"/>
        <item x="14"/>
        <item x="19"/>
        <item x="15"/>
        <item x="16"/>
        <item x="17"/>
        <item x="18"/>
        <item t="default"/>
      </items>
    </pivotField>
    <pivotField showAll="0">
      <items count="30">
        <item x="26"/>
        <item x="27"/>
        <item x="0"/>
        <item x="23"/>
        <item x="2"/>
        <item x="9"/>
        <item x="4"/>
        <item x="24"/>
        <item x="8"/>
        <item x="1"/>
        <item x="5"/>
        <item x="22"/>
        <item x="10"/>
        <item x="3"/>
        <item x="7"/>
        <item x="17"/>
        <item x="14"/>
        <item x="6"/>
        <item x="15"/>
        <item x="18"/>
        <item x="28"/>
        <item x="11"/>
        <item x="25"/>
        <item x="19"/>
        <item x="12"/>
        <item x="21"/>
        <item x="16"/>
        <item x="20"/>
        <item x="13"/>
        <item t="default"/>
      </items>
    </pivotField>
    <pivotField showAll="0"/>
    <pivotField showAll="0"/>
    <pivotField showAll="0"/>
    <pivotField numFmtId="43" showAll="0"/>
    <pivotField dataField="1" numFmtId="43" showAll="0"/>
    <pivotField showAll="0">
      <items count="14">
        <item x="5"/>
        <item x="2"/>
        <item x="9"/>
        <item x="7"/>
        <item x="4"/>
        <item x="3"/>
        <item x="10"/>
        <item x="8"/>
        <item x="6"/>
        <item x="0"/>
        <item x="1"/>
        <item x="12"/>
        <item x="11"/>
        <item t="default"/>
      </items>
    </pivotField>
    <pivotField showAll="0"/>
    <pivotField showAll="0"/>
    <pivotField showAll="0">
      <items count="27">
        <item x="10"/>
        <item x="13"/>
        <item x="3"/>
        <item x="2"/>
        <item x="8"/>
        <item x="14"/>
        <item x="18"/>
        <item x="21"/>
        <item x="23"/>
        <item x="12"/>
        <item x="5"/>
        <item x="4"/>
        <item x="17"/>
        <item x="9"/>
        <item x="16"/>
        <item x="22"/>
        <item x="20"/>
        <item x="19"/>
        <item x="0"/>
        <item x="15"/>
        <item x="1"/>
        <item x="6"/>
        <item x="7"/>
        <item x="11"/>
        <item x="25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6">
        <item x="0"/>
        <item sd="0" x="1"/>
        <item x="2"/>
        <item x="3"/>
        <item x="4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2">
    <field x="29"/>
    <field x="27"/>
  </colFields>
  <colItems count="9">
    <i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t="default">
      <x v="2"/>
    </i>
    <i t="grand">
      <x/>
    </i>
  </colItems>
  <pageFields count="1">
    <pageField fld="0" hier="-1"/>
  </pageFields>
  <dataFields count="1">
    <dataField name="Sum of Amount (USD)" fld="10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37981-F5AC-4C69-AFE0-DC377A610C34}" name="PivotTable10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I154" firstHeaderRow="1" firstDataRow="3" firstDataCol="1" rowPageCount="2" colPageCount="1"/>
  <pivotFields count="24">
    <pivotField axis="axisPage" multipleItemSelectionAllowed="1" showAll="0">
      <items count="4">
        <item h="1" x="1"/>
        <item x="0"/>
        <item h="1" x="2"/>
        <item t="default"/>
      </items>
    </pivotField>
    <pivotField axis="axisRow" showAll="0">
      <items count="4">
        <item x="2"/>
        <item sd="0" x="1"/>
        <item sd="0" x="0"/>
        <item t="default"/>
      </items>
    </pivotField>
    <pivotField showAll="0"/>
    <pivotField showAll="0"/>
    <pivotField showAll="0">
      <items count="134">
        <item x="0"/>
        <item x="69"/>
        <item x="70"/>
        <item x="1"/>
        <item x="71"/>
        <item x="72"/>
        <item x="2"/>
        <item x="3"/>
        <item x="73"/>
        <item x="31"/>
        <item x="32"/>
        <item x="4"/>
        <item x="74"/>
        <item x="75"/>
        <item x="33"/>
        <item x="5"/>
        <item x="6"/>
        <item x="7"/>
        <item x="76"/>
        <item x="77"/>
        <item x="34"/>
        <item x="78"/>
        <item x="35"/>
        <item x="8"/>
        <item x="9"/>
        <item x="79"/>
        <item x="80"/>
        <item x="36"/>
        <item x="37"/>
        <item x="81"/>
        <item x="10"/>
        <item x="38"/>
        <item x="11"/>
        <item x="82"/>
        <item x="39"/>
        <item x="83"/>
        <item x="84"/>
        <item x="131"/>
        <item x="85"/>
        <item x="40"/>
        <item x="86"/>
        <item x="12"/>
        <item x="87"/>
        <item x="88"/>
        <item x="13"/>
        <item x="89"/>
        <item x="90"/>
        <item x="91"/>
        <item x="92"/>
        <item x="93"/>
        <item x="94"/>
        <item x="95"/>
        <item x="14"/>
        <item x="96"/>
        <item x="15"/>
        <item x="97"/>
        <item x="98"/>
        <item x="99"/>
        <item x="100"/>
        <item x="101"/>
        <item x="102"/>
        <item x="16"/>
        <item x="17"/>
        <item x="103"/>
        <item x="41"/>
        <item x="18"/>
        <item x="104"/>
        <item x="105"/>
        <item x="19"/>
        <item x="20"/>
        <item x="106"/>
        <item x="46"/>
        <item x="107"/>
        <item x="42"/>
        <item x="21"/>
        <item x="108"/>
        <item x="109"/>
        <item x="111"/>
        <item x="22"/>
        <item x="112"/>
        <item x="113"/>
        <item x="23"/>
        <item x="43"/>
        <item x="24"/>
        <item x="114"/>
        <item x="44"/>
        <item x="132"/>
        <item x="25"/>
        <item x="115"/>
        <item x="45"/>
        <item x="116"/>
        <item x="26"/>
        <item x="47"/>
        <item x="117"/>
        <item x="118"/>
        <item x="119"/>
        <item x="110"/>
        <item x="120"/>
        <item x="121"/>
        <item x="122"/>
        <item x="123"/>
        <item x="27"/>
        <item x="48"/>
        <item x="124"/>
        <item x="125"/>
        <item x="126"/>
        <item x="49"/>
        <item x="127"/>
        <item x="128"/>
        <item x="129"/>
        <item x="28"/>
        <item x="29"/>
        <item x="50"/>
        <item x="68"/>
        <item x="3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130"/>
        <item t="default"/>
      </items>
    </pivotField>
    <pivotField showAll="0"/>
    <pivotField showAll="0"/>
    <pivotField showAll="0"/>
    <pivotField showAll="0"/>
    <pivotField axis="axisPage" dataField="1" multipleItemSelectionAllowed="1" showAll="0">
      <items count="926">
        <item h="1" x="806"/>
        <item h="1" x="805"/>
        <item h="1" x="894"/>
        <item h="1" x="885"/>
        <item h="1" x="873"/>
        <item h="1" x="160"/>
        <item h="1" x="900"/>
        <item h="1" x="432"/>
        <item h="1" x="792"/>
        <item h="1" x="161"/>
        <item h="1" x="914"/>
        <item h="1" x="530"/>
        <item h="1" x="682"/>
        <item h="1" x="919"/>
        <item h="1" x="540"/>
        <item h="1" x="774"/>
        <item h="1" x="602"/>
        <item h="1" x="23"/>
        <item h="1" x="922"/>
        <item h="1" x="91"/>
        <item h="1" x="126"/>
        <item h="1" x="836"/>
        <item h="1" x="905"/>
        <item h="1" x="107"/>
        <item h="1" x="917"/>
        <item h="1" x="270"/>
        <item h="1" x="910"/>
        <item h="1" x="726"/>
        <item h="1" x="516"/>
        <item h="1" x="654"/>
        <item h="1" x="75"/>
        <item h="1" x="106"/>
        <item h="1" x="528"/>
        <item h="1" x="881"/>
        <item h="1" x="511"/>
        <item h="1" x="200"/>
        <item h="1" x="692"/>
        <item h="1" x="717"/>
        <item h="1" x="604"/>
        <item h="1" x="840"/>
        <item h="1" x="81"/>
        <item h="1" x="605"/>
        <item h="1" x="651"/>
        <item h="1" x="553"/>
        <item h="1" x="269"/>
        <item h="1" x="841"/>
        <item h="1" x="870"/>
        <item h="1" x="543"/>
        <item h="1" x="529"/>
        <item h="1" x="90"/>
        <item h="1" x="893"/>
        <item h="1" x="655"/>
        <item h="1" x="729"/>
        <item h="1" x="320"/>
        <item h="1" x="442"/>
        <item h="1" x="911"/>
        <item h="1" x="725"/>
        <item h="1" x="441"/>
        <item h="1" x="192"/>
        <item h="1" x="609"/>
        <item h="1" x="191"/>
        <item h="1" x="245"/>
        <item h="1" x="727"/>
        <item h="1" x="835"/>
        <item h="1" x="24"/>
        <item h="1" x="279"/>
        <item h="1" x="899"/>
        <item h="1" x="787"/>
        <item h="1" x="327"/>
        <item h="1" x="60"/>
        <item h="1" x="691"/>
        <item h="1" x="439"/>
        <item h="1" x="882"/>
        <item h="1" x="837"/>
        <item h="1" x="82"/>
        <item h="1" x="904"/>
        <item h="1" x="883"/>
        <item h="1" x="909"/>
        <item h="1" x="515"/>
        <item h="1" x="603"/>
        <item h="1" x="896"/>
        <item h="1" x="139"/>
        <item h="1" x="572"/>
        <item h="1" x="111"/>
        <item x="11"/>
        <item x="816"/>
        <item x="193"/>
        <item x="318"/>
        <item x="314"/>
        <item x="206"/>
        <item x="313"/>
        <item x="105"/>
        <item x="168"/>
        <item x="167"/>
        <item x="227"/>
        <item x="125"/>
        <item x="278"/>
        <item x="319"/>
        <item x="244"/>
        <item x="104"/>
        <item x="28"/>
        <item x="2"/>
        <item x="49"/>
        <item x="79"/>
        <item x="1"/>
        <item x="63"/>
        <item x="282"/>
        <item x="709"/>
        <item x="182"/>
        <item x="854"/>
        <item x="713"/>
        <item x="48"/>
        <item x="704"/>
        <item x="31"/>
        <item x="665"/>
        <item x="848"/>
        <item x="594"/>
        <item x="636"/>
        <item x="246"/>
        <item x="918"/>
        <item x="112"/>
        <item x="27"/>
        <item x="923"/>
        <item x="163"/>
        <item x="853"/>
        <item x="410"/>
        <item x="645"/>
        <item x="647"/>
        <item x="0"/>
        <item x="29"/>
        <item x="50"/>
        <item x="80"/>
        <item x="711"/>
        <item x="857"/>
        <item x="500"/>
        <item x="8"/>
        <item x="660"/>
        <item x="748"/>
        <item x="641"/>
        <item x="862"/>
        <item x="638"/>
        <item x="749"/>
        <item x="706"/>
        <item x="921"/>
        <item x="215"/>
        <item x="850"/>
        <item x="15"/>
        <item x="175"/>
        <item x="71"/>
        <item x="305"/>
        <item x="342"/>
        <item x="216"/>
        <item x="232"/>
        <item x="568"/>
        <item x="89"/>
        <item x="781"/>
        <item x="335"/>
        <item x="662"/>
        <item x="915"/>
        <item x="912"/>
        <item x="874"/>
        <item x="496"/>
        <item x="895"/>
        <item x="903"/>
        <item x="889"/>
        <item x="880"/>
        <item x="907"/>
        <item x="751"/>
        <item x="886"/>
        <item x="418"/>
        <item x="226"/>
        <item x="67"/>
        <item x="118"/>
        <item x="635"/>
        <item x="582"/>
        <item x="769"/>
        <item x="468"/>
        <item x="548"/>
        <item x="123"/>
        <item x="821"/>
        <item x="291"/>
        <item x="13"/>
        <item x="281"/>
        <item x="476"/>
        <item x="859"/>
        <item x="336"/>
        <item x="181"/>
        <item x="506"/>
        <item x="38"/>
        <item x="828"/>
        <item x="211"/>
        <item x="4"/>
        <item x="752"/>
        <item x="483"/>
        <item x="414"/>
        <item x="113"/>
        <item x="782"/>
        <item x="292"/>
        <item x="583"/>
        <item x="738"/>
        <item x="219"/>
        <item x="213"/>
        <item x="832"/>
        <item x="644"/>
        <item x="581"/>
        <item x="471"/>
        <item x="550"/>
        <item x="731"/>
        <item x="202"/>
        <item x="487"/>
        <item x="569"/>
        <item x="861"/>
        <item x="174"/>
        <item x="261"/>
        <item x="484"/>
        <item x="565"/>
        <item x="823"/>
        <item x="671"/>
        <item x="16"/>
        <item x="42"/>
        <item x="844"/>
        <item x="290"/>
        <item x="891"/>
        <item x="872"/>
        <item x="898"/>
        <item x="879"/>
        <item x="259"/>
        <item x="767"/>
        <item x="33"/>
        <item x="906"/>
        <item x="741"/>
        <item x="405"/>
        <item x="736"/>
        <item x="286"/>
        <item x="411"/>
        <item x="876"/>
        <item x="814"/>
        <item x="669"/>
        <item x="884"/>
        <item x="663"/>
        <item x="658"/>
        <item x="504"/>
        <item x="677"/>
        <item x="17"/>
        <item x="375"/>
        <item x="507"/>
        <item x="770"/>
        <item x="417"/>
        <item x="212"/>
        <item x="630"/>
        <item x="109"/>
        <item x="172"/>
        <item x="20"/>
        <item x="664"/>
        <item x="834"/>
        <item x="776"/>
        <item x="809"/>
        <item x="730"/>
        <item x="119"/>
        <item x="842"/>
        <item x="826"/>
        <item x="746"/>
        <item x="722"/>
        <item x="21"/>
        <item x="43"/>
        <item x="95"/>
        <item x="57"/>
        <item x="86"/>
        <item x="400"/>
        <item x="409"/>
        <item x="428"/>
        <item x="595"/>
        <item x="68"/>
        <item x="742"/>
        <item x="284"/>
        <item x="423"/>
        <item x="416"/>
        <item x="65"/>
        <item x="268"/>
        <item x="533"/>
        <item x="818"/>
        <item x="772"/>
        <item x="271"/>
        <item x="678"/>
        <item x="690"/>
        <item x="756"/>
        <item x="413"/>
        <item x="755"/>
        <item x="308"/>
        <item x="338"/>
        <item x="339"/>
        <item x="66"/>
        <item x="761"/>
        <item x="34"/>
        <item x="337"/>
        <item x="6"/>
        <item x="598"/>
        <item x="567"/>
        <item x="214"/>
        <item x="608"/>
        <item x="438"/>
        <item x="777"/>
        <item x="427"/>
        <item x="868"/>
        <item x="839"/>
        <item x="395"/>
        <item x="831"/>
        <item x="771"/>
        <item x="32"/>
        <item x="793"/>
        <item x="10"/>
        <item x="739"/>
        <item x="575"/>
        <item x="689"/>
        <item x="789"/>
        <item x="51"/>
        <item x="384"/>
        <item x="723"/>
        <item x="766"/>
        <item x="444"/>
        <item x="527"/>
        <item x="19"/>
        <item x="40"/>
        <item x="309"/>
        <item x="505"/>
        <item x="571"/>
        <item x="54"/>
        <item x="813"/>
        <item x="408"/>
        <item x="98"/>
        <item x="85"/>
        <item x="448"/>
        <item x="827"/>
        <item x="610"/>
        <item x="758"/>
        <item x="833"/>
        <item x="728"/>
        <item x="570"/>
        <item x="576"/>
        <item x="373"/>
        <item x="210"/>
        <item x="863"/>
        <item x="490"/>
        <item x="838"/>
        <item x="225"/>
        <item x="779"/>
        <item x="223"/>
        <item x="446"/>
        <item x="492"/>
        <item x="55"/>
        <item x="39"/>
        <item x="122"/>
        <item x="596"/>
        <item x="676"/>
        <item x="376"/>
        <item x="783"/>
        <item x="179"/>
        <item x="124"/>
        <item x="437"/>
        <item x="778"/>
        <item x="649"/>
        <item x="632"/>
        <item x="747"/>
        <item x="556"/>
        <item x="35"/>
        <item x="820"/>
        <item x="768"/>
        <item x="288"/>
        <item x="633"/>
        <item x="96"/>
        <item x="634"/>
        <item x="52"/>
        <item x="599"/>
        <item x="340"/>
        <item x="283"/>
        <item x="753"/>
        <item x="260"/>
        <item x="865"/>
        <item x="265"/>
        <item x="84"/>
        <item x="217"/>
        <item x="36"/>
        <item x="601"/>
        <item x="70"/>
        <item x="262"/>
        <item x="18"/>
        <item x="201"/>
        <item x="317"/>
        <item x="344"/>
        <item x="267"/>
        <item x="652"/>
        <item x="131"/>
        <item x="822"/>
        <item x="759"/>
        <item x="780"/>
        <item x="147"/>
        <item x="73"/>
        <item x="617"/>
        <item x="732"/>
        <item x="396"/>
        <item x="531"/>
        <item x="102"/>
        <item x="687"/>
        <item x="311"/>
        <item x="392"/>
        <item x="551"/>
        <item x="285"/>
        <item x="830"/>
        <item x="263"/>
        <item x="374"/>
        <item x="554"/>
        <item x="478"/>
        <item x="233"/>
        <item x="616"/>
        <item x="786"/>
        <item x="629"/>
        <item x="845"/>
        <item x="788"/>
        <item x="294"/>
        <item x="347"/>
        <item x="683"/>
        <item x="177"/>
        <item x="688"/>
        <item x="503"/>
        <item x="148"/>
        <item x="389"/>
        <item x="391"/>
        <item x="289"/>
        <item x="379"/>
        <item x="807"/>
        <item x="573"/>
        <item x="7"/>
        <item x="383"/>
        <item x="485"/>
        <item x="667"/>
        <item x="686"/>
        <item x="790"/>
        <item x="110"/>
        <item x="208"/>
        <item x="795"/>
        <item x="491"/>
        <item x="538"/>
        <item x="544"/>
        <item x="737"/>
        <item x="720"/>
        <item x="41"/>
        <item x="53"/>
        <item x="412"/>
        <item x="819"/>
        <item x="361"/>
        <item x="760"/>
        <item x="100"/>
        <item x="750"/>
        <item x="83"/>
        <item x="388"/>
        <item x="597"/>
        <item x="615"/>
        <item x="489"/>
        <item x="607"/>
        <item x="537"/>
        <item x="447"/>
        <item x="566"/>
        <item x="248"/>
        <item x="680"/>
        <item x="419"/>
        <item x="811"/>
        <item x="178"/>
        <item x="585"/>
        <item x="546"/>
        <item x="763"/>
        <item x="64"/>
        <item x="762"/>
        <item x="564"/>
        <item x="584"/>
        <item x="718"/>
        <item x="332"/>
        <item x="526"/>
        <item x="864"/>
        <item x="169"/>
        <item x="745"/>
        <item x="209"/>
        <item x="600"/>
        <item x="815"/>
        <item x="173"/>
        <item x="563"/>
        <item x="120"/>
        <item x="710"/>
        <item x="230"/>
        <item x="488"/>
        <item x="264"/>
        <item x="754"/>
        <item x="855"/>
        <item x="482"/>
        <item x="190"/>
        <item x="577"/>
        <item x="171"/>
        <item x="679"/>
        <item x="480"/>
        <item x="703"/>
        <item x="307"/>
        <item x="724"/>
        <item x="486"/>
        <item x="356"/>
        <item x="343"/>
        <item x="672"/>
        <item x="613"/>
        <item x="37"/>
        <item x="397"/>
        <item x="586"/>
        <item x="353"/>
        <item x="657"/>
        <item x="316"/>
        <item x="334"/>
        <item x="231"/>
        <item x="508"/>
        <item x="404"/>
        <item x="536"/>
        <item x="866"/>
        <item x="812"/>
        <item x="228"/>
        <item x="166"/>
        <item x="653"/>
        <item x="386"/>
        <item x="415"/>
        <item x="357"/>
        <item x="549"/>
        <item x="670"/>
        <item x="495"/>
        <item x="502"/>
        <item x="734"/>
        <item x="656"/>
        <item x="12"/>
        <item x="744"/>
        <item x="545"/>
        <item x="501"/>
        <item x="72"/>
        <item x="218"/>
        <item x="121"/>
        <item x="378"/>
        <item x="266"/>
        <item x="115"/>
        <item x="155"/>
        <item x="547"/>
        <item x="773"/>
        <item x="674"/>
        <item x="426"/>
        <item x="321"/>
        <item x="144"/>
        <item x="479"/>
        <item x="557"/>
        <item x="333"/>
        <item x="431"/>
        <item x="590"/>
        <item x="170"/>
        <item x="429"/>
        <item x="765"/>
        <item x="493"/>
        <item x="399"/>
        <item x="224"/>
        <item x="306"/>
        <item x="514"/>
        <item x="631"/>
        <item x="681"/>
        <item x="302"/>
        <item x="555"/>
        <item x="330"/>
        <item x="143"/>
        <item x="30"/>
        <item x="243"/>
        <item x="377"/>
        <item x="116"/>
        <item x="256"/>
        <item x="300"/>
        <item x="222"/>
        <item x="156"/>
        <item x="643"/>
        <item x="580"/>
        <item x="847"/>
        <item x="510"/>
        <item x="345"/>
        <item x="9"/>
        <item x="207"/>
        <item x="559"/>
        <item x="176"/>
        <item x="351"/>
        <item x="385"/>
        <item x="371"/>
        <item x="367"/>
        <item x="445"/>
        <item x="370"/>
        <item x="561"/>
        <item x="369"/>
        <item x="153"/>
        <item x="499"/>
        <item x="403"/>
        <item x="150"/>
        <item x="589"/>
        <item x="509"/>
        <item x="591"/>
        <item x="310"/>
        <item x="76"/>
        <item x="221"/>
        <item x="14"/>
        <item x="539"/>
        <item x="542"/>
        <item x="220"/>
        <item x="843"/>
        <item x="562"/>
        <item x="381"/>
        <item x="128"/>
        <item x="298"/>
        <item x="574"/>
        <item x="146"/>
        <item x="141"/>
        <item x="301"/>
        <item x="255"/>
        <item x="5"/>
        <item x="154"/>
        <item x="733"/>
        <item x="152"/>
        <item x="498"/>
        <item x="735"/>
        <item x="560"/>
        <item x="422"/>
        <item x="299"/>
        <item x="349"/>
        <item x="22"/>
        <item x="757"/>
        <item x="449"/>
        <item x="350"/>
        <item x="406"/>
        <item x="810"/>
        <item x="673"/>
        <item x="140"/>
        <item x="587"/>
        <item x="402"/>
        <item x="558"/>
        <item x="461"/>
        <item x="252"/>
        <item x="475"/>
        <item x="721"/>
        <item x="287"/>
        <item x="293"/>
        <item x="621"/>
        <item x="346"/>
        <item x="114"/>
        <item x="44"/>
        <item x="624"/>
        <item x="825"/>
        <item x="130"/>
        <item x="254"/>
        <item x="460"/>
        <item x="360"/>
        <item x="424"/>
        <item x="165"/>
        <item x="69"/>
        <item x="612"/>
        <item x="606"/>
        <item x="304"/>
        <item x="421"/>
        <item x="194"/>
        <item x="326"/>
        <item x="465"/>
        <item x="435"/>
        <item x="743"/>
        <item x="117"/>
        <item x="198"/>
        <item x="258"/>
        <item x="157"/>
        <item x="829"/>
        <item x="808"/>
        <item x="420"/>
        <item x="464"/>
        <item x="74"/>
        <item x="407"/>
        <item x="401"/>
        <item x="295"/>
        <item x="58"/>
        <item x="348"/>
        <item x="127"/>
        <item x="714"/>
        <item x="87"/>
        <item x="203"/>
        <item x="328"/>
        <item x="668"/>
        <item x="434"/>
        <item x="101"/>
        <item x="129"/>
        <item x="352"/>
        <item x="183"/>
        <item x="740"/>
        <item x="364"/>
        <item x="247"/>
        <item x="145"/>
        <item x="494"/>
        <item x="158"/>
        <item x="623"/>
        <item x="3"/>
        <item x="97"/>
        <item x="675"/>
        <item x="372"/>
        <item x="764"/>
        <item x="197"/>
        <item x="250"/>
        <item x="784"/>
        <item x="341"/>
        <item x="253"/>
        <item x="473"/>
        <item x="705"/>
        <item x="696"/>
        <item x="25"/>
        <item x="817"/>
        <item x="472"/>
        <item x="196"/>
        <item x="719"/>
        <item x="92"/>
        <item x="659"/>
        <item x="430"/>
        <item x="380"/>
        <item x="303"/>
        <item x="467"/>
        <item x="77"/>
        <item x="257"/>
        <item x="235"/>
        <item x="46"/>
        <item x="149"/>
        <item x="661"/>
        <item x="240"/>
        <item x="846"/>
        <item x="241"/>
        <item x="276"/>
        <item x="477"/>
        <item x="708"/>
        <item x="579"/>
        <item x="136"/>
        <item x="188"/>
        <item x="824"/>
        <item x="466"/>
        <item x="275"/>
        <item x="611"/>
        <item x="324"/>
        <item x="366"/>
        <item x="280"/>
        <item x="329"/>
        <item x="470"/>
        <item x="637"/>
        <item x="436"/>
        <item x="463"/>
        <item x="297"/>
        <item x="142"/>
        <item x="239"/>
        <item x="151"/>
        <item x="698"/>
        <item x="469"/>
        <item x="236"/>
        <item x="164"/>
        <item x="365"/>
        <item x="462"/>
        <item x="534"/>
        <item x="355"/>
        <item x="684"/>
        <item x="648"/>
        <item x="234"/>
        <item x="368"/>
        <item x="251"/>
        <item x="133"/>
        <item x="185"/>
        <item x="135"/>
        <item x="273"/>
        <item x="715"/>
        <item x="187"/>
        <item x="640"/>
        <item x="272"/>
        <item x="323"/>
        <item x="693"/>
        <item x="322"/>
        <item x="450"/>
        <item x="359"/>
        <item x="132"/>
        <item x="517"/>
        <item x="184"/>
        <item x="205"/>
        <item x="312"/>
        <item x="61"/>
        <item x="199"/>
        <item x="159"/>
        <item x="443"/>
        <item x="685"/>
        <item x="390"/>
        <item x="897"/>
        <item x="481"/>
        <item x="867"/>
        <item x="614"/>
        <item x="890"/>
        <item x="646"/>
        <item x="642"/>
        <item x="387"/>
        <item x="296"/>
        <item x="354"/>
        <item x="639"/>
        <item x="363"/>
        <item x="277"/>
        <item x="618"/>
        <item x="707"/>
        <item x="331"/>
        <item x="138"/>
        <item x="712"/>
        <item x="242"/>
        <item x="433"/>
        <item x="425"/>
        <item x="851"/>
        <item x="869"/>
        <item x="59"/>
        <item x="512"/>
        <item x="535"/>
        <item x="249"/>
        <item x="45"/>
        <item x="88"/>
        <item x="775"/>
        <item x="99"/>
        <item x="578"/>
        <item x="238"/>
        <item x="56"/>
        <item x="620"/>
        <item x="94"/>
        <item x="666"/>
        <item x="195"/>
        <item x="137"/>
        <item x="189"/>
        <item x="162"/>
        <item x="513"/>
        <item x="229"/>
        <item x="103"/>
        <item x="541"/>
        <item x="525"/>
        <item x="26"/>
        <item x="78"/>
        <item x="315"/>
        <item x="593"/>
        <item x="47"/>
        <item x="916"/>
        <item x="237"/>
        <item x="93"/>
        <item x="628"/>
        <item x="393"/>
        <item x="785"/>
        <item x="592"/>
        <item x="702"/>
        <item x="456"/>
        <item x="523"/>
        <item x="700"/>
        <item x="134"/>
        <item x="186"/>
        <item x="622"/>
        <item x="274"/>
        <item x="860"/>
        <item x="453"/>
        <item x="520"/>
        <item x="325"/>
        <item x="619"/>
        <item x="362"/>
        <item x="522"/>
        <item x="694"/>
        <item x="849"/>
        <item x="458"/>
        <item x="699"/>
        <item x="454"/>
        <item x="521"/>
        <item x="455"/>
        <item x="858"/>
        <item x="552"/>
        <item x="791"/>
        <item x="382"/>
        <item x="459"/>
        <item x="451"/>
        <item x="518"/>
        <item x="62"/>
        <item x="474"/>
        <item x="716"/>
        <item x="701"/>
        <item x="697"/>
        <item x="457"/>
        <item x="524"/>
        <item x="532"/>
        <item x="794"/>
        <item x="626"/>
        <item x="856"/>
        <item x="108"/>
        <item x="650"/>
        <item x="440"/>
        <item x="695"/>
        <item x="394"/>
        <item x="452"/>
        <item x="519"/>
        <item x="852"/>
        <item x="627"/>
        <item x="398"/>
        <item x="588"/>
        <item x="625"/>
        <item x="204"/>
        <item x="871"/>
        <item x="913"/>
        <item x="924"/>
        <item x="878"/>
        <item x="892"/>
        <item x="800"/>
        <item x="801"/>
        <item x="803"/>
        <item x="358"/>
        <item x="908"/>
        <item x="920"/>
        <item x="180"/>
        <item x="902"/>
        <item x="796"/>
        <item x="887"/>
        <item x="799"/>
        <item x="877"/>
        <item x="901"/>
        <item x="875"/>
        <item x="888"/>
        <item x="802"/>
        <item x="797"/>
        <item x="804"/>
        <item x="798"/>
        <item x="497"/>
        <item t="default"/>
      </items>
    </pivotField>
    <pivotField showAll="0"/>
    <pivotField showAll="0"/>
    <pivotField showAll="0"/>
    <pivotField axis="axisRow" showAll="0">
      <items count="71">
        <item x="31"/>
        <item x="1"/>
        <item x="27"/>
        <item x="28"/>
        <item x="65"/>
        <item x="0"/>
        <item x="56"/>
        <item x="45"/>
        <item x="34"/>
        <item x="41"/>
        <item x="46"/>
        <item x="38"/>
        <item x="33"/>
        <item x="2"/>
        <item x="12"/>
        <item x="3"/>
        <item x="55"/>
        <item x="47"/>
        <item x="4"/>
        <item x="44"/>
        <item x="64"/>
        <item x="66"/>
        <item x="43"/>
        <item x="21"/>
        <item x="50"/>
        <item x="36"/>
        <item x="16"/>
        <item x="24"/>
        <item x="37"/>
        <item x="13"/>
        <item x="61"/>
        <item x="58"/>
        <item x="26"/>
        <item x="69"/>
        <item x="67"/>
        <item x="62"/>
        <item x="5"/>
        <item x="59"/>
        <item x="19"/>
        <item x="22"/>
        <item x="54"/>
        <item x="29"/>
        <item x="11"/>
        <item x="25"/>
        <item x="14"/>
        <item x="57"/>
        <item x="49"/>
        <item x="23"/>
        <item x="51"/>
        <item x="17"/>
        <item x="15"/>
        <item x="53"/>
        <item x="39"/>
        <item x="68"/>
        <item x="48"/>
        <item x="60"/>
        <item x="20"/>
        <item x="18"/>
        <item x="35"/>
        <item x="42"/>
        <item x="52"/>
        <item x="30"/>
        <item x="10"/>
        <item x="8"/>
        <item x="32"/>
        <item x="9"/>
        <item x="6"/>
        <item x="7"/>
        <item x="40"/>
        <item x="63"/>
        <item t="default"/>
      </items>
    </pivotField>
    <pivotField axis="axisRow" multipleItemSelectionAllowed="1" showAll="0">
      <items count="42">
        <item x="20"/>
        <item x="21"/>
        <item x="39"/>
        <item x="0"/>
        <item x="22"/>
        <item x="24"/>
        <item x="2"/>
        <item x="30"/>
        <item x="40"/>
        <item x="29"/>
        <item x="4"/>
        <item h="1" x="28"/>
        <item x="3"/>
        <item x="8"/>
        <item h="1" x="15"/>
        <item x="27"/>
        <item h="1" x="18"/>
        <item x="26"/>
        <item x="38"/>
        <item x="36"/>
        <item x="19"/>
        <item x="33"/>
        <item x="11"/>
        <item x="5"/>
        <item x="14"/>
        <item x="37"/>
        <item x="9"/>
        <item x="12"/>
        <item x="35"/>
        <item x="17"/>
        <item x="34"/>
        <item h="1" x="13"/>
        <item x="25"/>
        <item x="32"/>
        <item x="6"/>
        <item x="23"/>
        <item x="7"/>
        <item x="1"/>
        <item x="31"/>
        <item x="10"/>
        <item h="1" x="16"/>
        <item t="default"/>
      </items>
    </pivotField>
    <pivotField showAll="0"/>
    <pivotField axis="axisRow" showAll="0">
      <items count="7">
        <item x="4"/>
        <item m="1" x="5"/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4">
    <field x="16"/>
    <field x="1"/>
    <field x="14"/>
    <field x="13"/>
  </rowFields>
  <rowItems count="148">
    <i>
      <x/>
    </i>
    <i r="1">
      <x/>
    </i>
    <i r="2">
      <x v="10"/>
    </i>
    <i r="3">
      <x v="56"/>
    </i>
    <i r="2">
      <x v="13"/>
    </i>
    <i r="3">
      <x v="49"/>
    </i>
    <i r="3">
      <x v="62"/>
    </i>
    <i r="2">
      <x v="37"/>
    </i>
    <i r="3">
      <x v="67"/>
    </i>
    <i r="1">
      <x v="1"/>
    </i>
    <i>
      <x v="2"/>
    </i>
    <i r="1">
      <x/>
    </i>
    <i r="2">
      <x/>
    </i>
    <i r="3">
      <x v="2"/>
    </i>
    <i r="2">
      <x v="1"/>
    </i>
    <i r="3">
      <x v="3"/>
    </i>
    <i r="2">
      <x v="2"/>
    </i>
    <i r="3">
      <x v="34"/>
    </i>
    <i r="2">
      <x v="3"/>
    </i>
    <i r="3">
      <x v="5"/>
    </i>
    <i r="2">
      <x v="5"/>
    </i>
    <i r="3">
      <x v="12"/>
    </i>
    <i r="2">
      <x v="6"/>
    </i>
    <i r="3">
      <x v="13"/>
    </i>
    <i r="2">
      <x v="7"/>
    </i>
    <i r="3">
      <x v="40"/>
    </i>
    <i r="2">
      <x v="9"/>
    </i>
    <i r="3">
      <x v="11"/>
    </i>
    <i r="2">
      <x v="10"/>
    </i>
    <i r="3">
      <x v="18"/>
    </i>
    <i r="3">
      <x v="56"/>
    </i>
    <i r="3">
      <x v="57"/>
    </i>
    <i r="3">
      <x v="58"/>
    </i>
    <i r="3">
      <x v="60"/>
    </i>
    <i r="2">
      <x v="12"/>
    </i>
    <i r="3">
      <x v="15"/>
    </i>
    <i r="2">
      <x v="13"/>
    </i>
    <i r="3">
      <x v="49"/>
    </i>
    <i r="3">
      <x v="62"/>
    </i>
    <i r="2">
      <x v="18"/>
    </i>
    <i r="3">
      <x v="30"/>
    </i>
    <i r="2">
      <x v="20"/>
    </i>
    <i r="3">
      <x v="32"/>
    </i>
    <i r="2">
      <x v="22"/>
    </i>
    <i r="3">
      <x v="29"/>
    </i>
    <i r="2">
      <x v="23"/>
    </i>
    <i r="3">
      <x v="10"/>
    </i>
    <i r="3">
      <x v="36"/>
    </i>
    <i r="3">
      <x v="41"/>
    </i>
    <i r="2">
      <x v="25"/>
    </i>
    <i r="3">
      <x v="37"/>
    </i>
    <i r="2">
      <x v="26"/>
    </i>
    <i r="3">
      <x v="42"/>
    </i>
    <i r="2">
      <x v="28"/>
    </i>
    <i r="3">
      <x v="45"/>
    </i>
    <i r="2">
      <x v="29"/>
    </i>
    <i r="3">
      <x v="47"/>
    </i>
    <i r="2">
      <x v="30"/>
    </i>
    <i r="3">
      <x v="48"/>
    </i>
    <i r="2">
      <x v="32"/>
    </i>
    <i r="3">
      <x v="7"/>
    </i>
    <i r="3">
      <x v="8"/>
    </i>
    <i r="3">
      <x v="17"/>
    </i>
    <i r="2">
      <x v="33"/>
    </i>
    <i r="3">
      <x v="54"/>
    </i>
    <i r="2">
      <x v="34"/>
    </i>
    <i r="3">
      <x v="63"/>
    </i>
    <i r="2">
      <x v="35"/>
    </i>
    <i r="3">
      <x v="64"/>
    </i>
    <i r="2">
      <x v="37"/>
    </i>
    <i r="3">
      <x/>
    </i>
    <i r="3">
      <x v="38"/>
    </i>
    <i r="3">
      <x v="39"/>
    </i>
    <i r="3">
      <x v="66"/>
    </i>
    <i r="3">
      <x v="67"/>
    </i>
    <i r="2">
      <x v="38"/>
    </i>
    <i r="3">
      <x v="9"/>
    </i>
    <i r="3">
      <x v="68"/>
    </i>
    <i r="2">
      <x v="39"/>
    </i>
    <i r="3">
      <x v="14"/>
    </i>
    <i r="1">
      <x v="1"/>
    </i>
    <i r="1">
      <x v="2"/>
    </i>
    <i>
      <x v="3"/>
    </i>
    <i r="1">
      <x/>
    </i>
    <i r="2">
      <x v="3"/>
    </i>
    <i r="3">
      <x v="5"/>
    </i>
    <i r="2">
      <x v="21"/>
    </i>
    <i r="3">
      <x v="46"/>
    </i>
    <i r="2">
      <x v="33"/>
    </i>
    <i r="3">
      <x v="54"/>
    </i>
    <i>
      <x v="4"/>
    </i>
    <i r="1">
      <x/>
    </i>
    <i r="2">
      <x v="1"/>
    </i>
    <i r="3">
      <x v="3"/>
    </i>
    <i r="2">
      <x v="3"/>
    </i>
    <i r="3">
      <x v="5"/>
    </i>
    <i r="2">
      <x v="10"/>
    </i>
    <i r="3">
      <x v="18"/>
    </i>
    <i r="3">
      <x v="58"/>
    </i>
    <i r="2">
      <x v="13"/>
    </i>
    <i r="3">
      <x v="49"/>
    </i>
    <i r="3">
      <x v="55"/>
    </i>
    <i r="3">
      <x v="62"/>
    </i>
    <i r="2">
      <x v="20"/>
    </i>
    <i r="3">
      <x v="32"/>
    </i>
    <i r="2">
      <x v="23"/>
    </i>
    <i r="3">
      <x v="10"/>
    </i>
    <i r="3">
      <x v="36"/>
    </i>
    <i r="2">
      <x v="32"/>
    </i>
    <i r="3">
      <x v="7"/>
    </i>
    <i r="3">
      <x v="8"/>
    </i>
    <i r="2">
      <x v="34"/>
    </i>
    <i r="3">
      <x v="63"/>
    </i>
    <i r="2">
      <x v="37"/>
    </i>
    <i r="3">
      <x/>
    </i>
    <i r="3">
      <x v="38"/>
    </i>
    <i r="3">
      <x v="66"/>
    </i>
    <i r="3">
      <x v="67"/>
    </i>
    <i r="1">
      <x v="1"/>
    </i>
    <i r="1">
      <x v="2"/>
    </i>
    <i>
      <x v="5"/>
    </i>
    <i r="1">
      <x/>
    </i>
    <i r="2">
      <x v="9"/>
    </i>
    <i r="3">
      <x v="11"/>
    </i>
    <i r="2">
      <x v="10"/>
    </i>
    <i r="3">
      <x v="60"/>
    </i>
    <i r="2">
      <x v="13"/>
    </i>
    <i r="3">
      <x v="49"/>
    </i>
    <i r="3">
      <x v="62"/>
    </i>
    <i r="2">
      <x v="19"/>
    </i>
    <i r="3">
      <x v="31"/>
    </i>
    <i r="2">
      <x v="32"/>
    </i>
    <i r="3">
      <x v="6"/>
    </i>
    <i r="3">
      <x v="7"/>
    </i>
    <i r="3">
      <x v="8"/>
    </i>
    <i r="3">
      <x v="17"/>
    </i>
    <i r="2">
      <x v="34"/>
    </i>
    <i r="3">
      <x v="63"/>
    </i>
    <i r="2">
      <x v="37"/>
    </i>
    <i r="3">
      <x/>
    </i>
    <i r="3">
      <x v="1"/>
    </i>
    <i r="3">
      <x v="38"/>
    </i>
    <i r="3">
      <x v="39"/>
    </i>
    <i r="3">
      <x v="66"/>
    </i>
    <i r="3">
      <x v="67"/>
    </i>
    <i r="1">
      <x v="1"/>
    </i>
    <i r="1">
      <x v="2"/>
    </i>
    <i t="grand">
      <x/>
    </i>
  </rowItems>
  <colFields count="2">
    <field x="23"/>
    <field x="22"/>
  </colFields>
  <colItems count="8">
    <i>
      <x v="1"/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 t="grand">
      <x/>
    </i>
  </colItems>
  <pageFields count="2">
    <pageField fld="0" hier="-1"/>
    <pageField fld="9" hier="-1"/>
  </pageFields>
  <dataFields count="1">
    <dataField name="Sum of Amount (USD)" fld="9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6DB2D-F0B2-4CC8-B424-0424B47201F4}" name="PivotTable11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3" firstHeaderRow="1" firstDataRow="1" firstDataCol="1" rowPageCount="1" colPageCount="1"/>
  <pivotFields count="24">
    <pivotField axis="axisPage" multipleItemSelectionAllowed="1" showAll="0">
      <items count="4">
        <item x="1"/>
        <item h="1" x="0"/>
        <item x="2"/>
        <item t="default"/>
      </items>
    </pivotField>
    <pivotField axis="axisRow" showAll="0">
      <items count="4">
        <item sd="0" x="2"/>
        <item sd="0" x="0"/>
        <item sd="0" x="1"/>
        <item t="default"/>
      </items>
    </pivotField>
    <pivotField showAll="0"/>
    <pivotField showAll="0"/>
    <pivotField axis="axisRow" numFmtId="14" showAll="0">
      <items count="134">
        <item x="0"/>
        <item x="69"/>
        <item x="70"/>
        <item x="1"/>
        <item x="71"/>
        <item x="72"/>
        <item x="2"/>
        <item x="3"/>
        <item x="73"/>
        <item x="31"/>
        <item x="32"/>
        <item x="4"/>
        <item x="74"/>
        <item x="75"/>
        <item x="33"/>
        <item x="5"/>
        <item x="6"/>
        <item x="7"/>
        <item x="76"/>
        <item x="77"/>
        <item x="34"/>
        <item x="78"/>
        <item x="35"/>
        <item x="8"/>
        <item x="9"/>
        <item x="79"/>
        <item x="80"/>
        <item x="36"/>
        <item x="37"/>
        <item x="81"/>
        <item x="10"/>
        <item x="38"/>
        <item x="11"/>
        <item x="82"/>
        <item x="39"/>
        <item x="83"/>
        <item x="84"/>
        <item x="131"/>
        <item x="85"/>
        <item x="40"/>
        <item x="86"/>
        <item x="12"/>
        <item x="87"/>
        <item x="88"/>
        <item x="13"/>
        <item x="89"/>
        <item x="90"/>
        <item x="91"/>
        <item x="92"/>
        <item x="93"/>
        <item x="94"/>
        <item x="95"/>
        <item x="14"/>
        <item x="96"/>
        <item x="15"/>
        <item x="97"/>
        <item x="98"/>
        <item x="99"/>
        <item x="100"/>
        <item x="101"/>
        <item x="102"/>
        <item x="16"/>
        <item x="17"/>
        <item x="103"/>
        <item x="41"/>
        <item x="18"/>
        <item x="104"/>
        <item x="105"/>
        <item x="19"/>
        <item x="20"/>
        <item x="106"/>
        <item x="46"/>
        <item x="107"/>
        <item x="42"/>
        <item x="21"/>
        <item x="108"/>
        <item x="109"/>
        <item x="111"/>
        <item x="22"/>
        <item x="112"/>
        <item x="113"/>
        <item x="23"/>
        <item x="43"/>
        <item x="24"/>
        <item x="114"/>
        <item x="44"/>
        <item x="132"/>
        <item x="25"/>
        <item x="115"/>
        <item x="45"/>
        <item x="116"/>
        <item x="26"/>
        <item x="47"/>
        <item x="117"/>
        <item x="118"/>
        <item x="119"/>
        <item x="110"/>
        <item x="120"/>
        <item x="121"/>
        <item x="122"/>
        <item x="123"/>
        <item x="27"/>
        <item x="48"/>
        <item x="124"/>
        <item x="125"/>
        <item x="126"/>
        <item x="49"/>
        <item x="127"/>
        <item x="128"/>
        <item x="129"/>
        <item x="28"/>
        <item x="29"/>
        <item x="50"/>
        <item x="68"/>
        <item x="3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13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1">
        <item x="31"/>
        <item x="1"/>
        <item x="27"/>
        <item x="28"/>
        <item x="65"/>
        <item x="0"/>
        <item x="56"/>
        <item x="45"/>
        <item x="34"/>
        <item x="41"/>
        <item x="46"/>
        <item x="38"/>
        <item x="33"/>
        <item x="2"/>
        <item x="12"/>
        <item x="3"/>
        <item x="55"/>
        <item x="47"/>
        <item x="4"/>
        <item x="44"/>
        <item x="64"/>
        <item x="66"/>
        <item x="43"/>
        <item x="21"/>
        <item x="50"/>
        <item x="36"/>
        <item x="16"/>
        <item x="24"/>
        <item x="37"/>
        <item x="13"/>
        <item x="61"/>
        <item x="58"/>
        <item x="26"/>
        <item x="69"/>
        <item x="67"/>
        <item x="62"/>
        <item x="5"/>
        <item x="59"/>
        <item x="19"/>
        <item x="22"/>
        <item x="54"/>
        <item x="29"/>
        <item x="11"/>
        <item x="25"/>
        <item x="14"/>
        <item x="57"/>
        <item x="49"/>
        <item x="23"/>
        <item x="51"/>
        <item x="17"/>
        <item x="15"/>
        <item x="53"/>
        <item x="39"/>
        <item x="68"/>
        <item x="48"/>
        <item x="60"/>
        <item x="20"/>
        <item x="18"/>
        <item x="35"/>
        <item x="42"/>
        <item x="52"/>
        <item x="30"/>
        <item x="10"/>
        <item x="8"/>
        <item x="32"/>
        <item x="9"/>
        <item x="6"/>
        <item x="7"/>
        <item x="40"/>
        <item x="63"/>
        <item t="default"/>
      </items>
    </pivotField>
    <pivotField axis="axisRow" showAll="0">
      <items count="42">
        <item x="20"/>
        <item x="21"/>
        <item x="39"/>
        <item x="0"/>
        <item x="22"/>
        <item x="24"/>
        <item x="2"/>
        <item x="30"/>
        <item x="40"/>
        <item x="29"/>
        <item x="4"/>
        <item x="28"/>
        <item x="3"/>
        <item x="8"/>
        <item x="15"/>
        <item x="27"/>
        <item x="18"/>
        <item x="26"/>
        <item x="38"/>
        <item x="36"/>
        <item x="19"/>
        <item x="33"/>
        <item x="11"/>
        <item x="5"/>
        <item x="14"/>
        <item x="37"/>
        <item x="9"/>
        <item x="12"/>
        <item x="35"/>
        <item x="17"/>
        <item x="34"/>
        <item x="13"/>
        <item x="25"/>
        <item x="32"/>
        <item x="6"/>
        <item x="23"/>
        <item x="7"/>
        <item x="1"/>
        <item x="31"/>
        <item x="10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6">
    <field x="23"/>
    <field x="22"/>
    <field x="4"/>
    <field x="1"/>
    <field x="14"/>
    <field x="13"/>
  </rowFields>
  <rowItems count="80">
    <i>
      <x v="1"/>
    </i>
    <i r="1">
      <x v="6"/>
    </i>
    <i r="2">
      <x v="101"/>
    </i>
    <i r="3">
      <x v="1"/>
    </i>
    <i r="2">
      <x v="106"/>
    </i>
    <i r="3">
      <x v="2"/>
    </i>
    <i r="2">
      <x v="110"/>
    </i>
    <i r="3">
      <x/>
    </i>
    <i r="3">
      <x v="1"/>
    </i>
    <i r="3">
      <x v="2"/>
    </i>
    <i r="1">
      <x v="7"/>
    </i>
    <i r="2">
      <x v="111"/>
    </i>
    <i r="3">
      <x v="1"/>
    </i>
    <i r="3">
      <x v="2"/>
    </i>
    <i r="2">
      <x v="112"/>
    </i>
    <i r="3">
      <x/>
    </i>
    <i r="3">
      <x v="2"/>
    </i>
    <i r="2">
      <x v="113"/>
    </i>
    <i r="3">
      <x/>
    </i>
    <i r="2">
      <x v="114"/>
    </i>
    <i r="3">
      <x/>
    </i>
    <i r="3">
      <x v="1"/>
    </i>
    <i r="3">
      <x v="2"/>
    </i>
    <i r="1">
      <x v="8"/>
    </i>
    <i r="2">
      <x v="115"/>
    </i>
    <i r="3">
      <x v="2"/>
    </i>
    <i r="2">
      <x v="116"/>
    </i>
    <i r="3">
      <x/>
    </i>
    <i r="3">
      <x v="2"/>
    </i>
    <i r="2">
      <x v="117"/>
    </i>
    <i r="3">
      <x/>
    </i>
    <i r="3">
      <x v="2"/>
    </i>
    <i r="1">
      <x v="9"/>
    </i>
    <i r="2">
      <x v="118"/>
    </i>
    <i r="3">
      <x v="2"/>
    </i>
    <i r="2">
      <x v="119"/>
    </i>
    <i r="3">
      <x/>
    </i>
    <i r="3">
      <x v="2"/>
    </i>
    <i r="2">
      <x v="120"/>
    </i>
    <i r="3">
      <x/>
    </i>
    <i r="3">
      <x v="2"/>
    </i>
    <i r="1">
      <x v="10"/>
    </i>
    <i r="2">
      <x v="121"/>
    </i>
    <i r="3">
      <x v="2"/>
    </i>
    <i r="2">
      <x v="122"/>
    </i>
    <i r="3">
      <x/>
    </i>
    <i r="3">
      <x v="2"/>
    </i>
    <i r="2">
      <x v="123"/>
    </i>
    <i r="3">
      <x/>
    </i>
    <i r="3">
      <x v="2"/>
    </i>
    <i r="1">
      <x v="11"/>
    </i>
    <i r="2">
      <x v="124"/>
    </i>
    <i r="3">
      <x/>
    </i>
    <i r="3">
      <x v="2"/>
    </i>
    <i r="2">
      <x v="125"/>
    </i>
    <i r="3">
      <x/>
    </i>
    <i r="3">
      <x v="2"/>
    </i>
    <i r="2">
      <x v="126"/>
    </i>
    <i r="3">
      <x/>
    </i>
    <i r="3">
      <x v="2"/>
    </i>
    <i r="1">
      <x v="12"/>
    </i>
    <i r="2">
      <x v="127"/>
    </i>
    <i r="3">
      <x v="2"/>
    </i>
    <i r="2">
      <x v="128"/>
    </i>
    <i r="3">
      <x/>
    </i>
    <i r="3">
      <x v="2"/>
    </i>
    <i r="2">
      <x v="129"/>
    </i>
    <i r="3">
      <x/>
    </i>
    <i r="3">
      <x v="2"/>
    </i>
    <i>
      <x v="2"/>
    </i>
    <i r="1">
      <x v="1"/>
    </i>
    <i r="2">
      <x v="130"/>
    </i>
    <i r="3">
      <x v="2"/>
    </i>
    <i r="2">
      <x v="131"/>
    </i>
    <i r="3">
      <x/>
    </i>
    <i r="3">
      <x v="2"/>
    </i>
    <i r="1">
      <x v="3"/>
    </i>
    <i r="2">
      <x v="132"/>
    </i>
    <i r="3">
      <x/>
    </i>
    <i t="grand">
      <x/>
    </i>
  </rowItems>
  <colItems count="1">
    <i/>
  </colItems>
  <pageFields count="1">
    <pageField fld="0" hier="-1"/>
  </pageFields>
  <dataFields count="1">
    <dataField name="Sum of Amount (USD)" fld="9" baseField="4" baseItem="8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6C7F6-C96B-43E3-91DF-21D07EA6FE06}" name="PivotTable15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35" firstHeaderRow="1" firstDataRow="1" firstDataCol="1" rowPageCount="2" colPageCount="1"/>
  <pivotFields count="24">
    <pivotField axis="axisPage" multipleItemSelectionAllowed="1" showAll="0">
      <items count="4">
        <item h="1" x="1"/>
        <item x="0"/>
        <item h="1" x="2"/>
        <item t="default"/>
      </items>
    </pivotField>
    <pivotField axis="axisRow" showAll="0">
      <items count="4">
        <item x="0"/>
        <item sd="0" x="1"/>
        <item x="2"/>
        <item t="default"/>
      </items>
    </pivotField>
    <pivotField showAll="0"/>
    <pivotField showAll="0"/>
    <pivotField numFmtId="14" showAll="0">
      <items count="134">
        <item x="0"/>
        <item x="69"/>
        <item x="70"/>
        <item x="1"/>
        <item x="71"/>
        <item x="72"/>
        <item x="2"/>
        <item x="3"/>
        <item x="73"/>
        <item x="31"/>
        <item x="32"/>
        <item x="4"/>
        <item x="74"/>
        <item x="75"/>
        <item x="33"/>
        <item x="5"/>
        <item x="6"/>
        <item x="7"/>
        <item x="76"/>
        <item x="77"/>
        <item x="34"/>
        <item x="78"/>
        <item x="35"/>
        <item x="8"/>
        <item x="9"/>
        <item x="79"/>
        <item x="80"/>
        <item x="36"/>
        <item x="37"/>
        <item x="81"/>
        <item x="10"/>
        <item x="38"/>
        <item x="11"/>
        <item x="82"/>
        <item x="39"/>
        <item x="83"/>
        <item x="84"/>
        <item x="131"/>
        <item x="85"/>
        <item x="40"/>
        <item x="86"/>
        <item x="12"/>
        <item x="87"/>
        <item x="88"/>
        <item x="13"/>
        <item x="89"/>
        <item x="90"/>
        <item x="91"/>
        <item x="92"/>
        <item x="93"/>
        <item x="94"/>
        <item x="95"/>
        <item x="14"/>
        <item x="96"/>
        <item x="15"/>
        <item x="97"/>
        <item x="98"/>
        <item x="99"/>
        <item x="100"/>
        <item x="101"/>
        <item x="102"/>
        <item x="16"/>
        <item x="17"/>
        <item x="103"/>
        <item x="41"/>
        <item x="18"/>
        <item x="104"/>
        <item x="105"/>
        <item x="19"/>
        <item x="20"/>
        <item x="106"/>
        <item x="46"/>
        <item x="107"/>
        <item x="42"/>
        <item x="21"/>
        <item x="108"/>
        <item x="109"/>
        <item x="111"/>
        <item x="22"/>
        <item x="112"/>
        <item x="113"/>
        <item x="23"/>
        <item x="43"/>
        <item x="24"/>
        <item x="114"/>
        <item x="44"/>
        <item x="132"/>
        <item x="25"/>
        <item x="115"/>
        <item x="45"/>
        <item x="116"/>
        <item x="26"/>
        <item x="47"/>
        <item x="117"/>
        <item x="118"/>
        <item x="119"/>
        <item x="110"/>
        <item x="120"/>
        <item x="121"/>
        <item x="122"/>
        <item x="123"/>
        <item x="27"/>
        <item x="48"/>
        <item x="124"/>
        <item x="125"/>
        <item x="126"/>
        <item x="49"/>
        <item x="127"/>
        <item x="128"/>
        <item x="129"/>
        <item x="28"/>
        <item x="29"/>
        <item x="50"/>
        <item x="68"/>
        <item x="3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13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1">
        <item x="31"/>
        <item x="1"/>
        <item x="27"/>
        <item x="28"/>
        <item x="65"/>
        <item x="0"/>
        <item x="56"/>
        <item x="45"/>
        <item x="34"/>
        <item x="41"/>
        <item x="46"/>
        <item x="38"/>
        <item x="33"/>
        <item x="2"/>
        <item x="12"/>
        <item x="3"/>
        <item x="55"/>
        <item x="47"/>
        <item x="4"/>
        <item x="44"/>
        <item x="64"/>
        <item x="66"/>
        <item x="43"/>
        <item x="21"/>
        <item x="50"/>
        <item x="36"/>
        <item x="16"/>
        <item x="24"/>
        <item x="37"/>
        <item x="13"/>
        <item x="61"/>
        <item x="58"/>
        <item x="26"/>
        <item x="69"/>
        <item x="67"/>
        <item x="62"/>
        <item x="5"/>
        <item x="59"/>
        <item x="19"/>
        <item x="22"/>
        <item x="54"/>
        <item x="29"/>
        <item x="11"/>
        <item x="25"/>
        <item x="14"/>
        <item x="57"/>
        <item x="49"/>
        <item x="23"/>
        <item x="51"/>
        <item x="17"/>
        <item x="15"/>
        <item x="53"/>
        <item x="39"/>
        <item x="68"/>
        <item x="48"/>
        <item x="60"/>
        <item x="20"/>
        <item x="18"/>
        <item x="35"/>
        <item x="42"/>
        <item x="52"/>
        <item x="30"/>
        <item x="10"/>
        <item x="8"/>
        <item x="32"/>
        <item x="9"/>
        <item x="6"/>
        <item x="7"/>
        <item x="40"/>
        <item x="63"/>
        <item t="default"/>
      </items>
    </pivotField>
    <pivotField axis="axisRow" showAll="0">
      <items count="42">
        <item x="20"/>
        <item x="21"/>
        <item x="39"/>
        <item x="0"/>
        <item x="22"/>
        <item x="24"/>
        <item x="2"/>
        <item x="30"/>
        <item x="40"/>
        <item x="29"/>
        <item x="4"/>
        <item x="28"/>
        <item x="3"/>
        <item sd="0" x="8"/>
        <item x="15"/>
        <item x="27"/>
        <item x="18"/>
        <item x="26"/>
        <item x="38"/>
        <item x="36"/>
        <item x="19"/>
        <item x="33"/>
        <item x="11"/>
        <item x="5"/>
        <item x="14"/>
        <item x="37"/>
        <item x="9"/>
        <item x="12"/>
        <item x="35"/>
        <item x="17"/>
        <item x="34"/>
        <item x="13"/>
        <item x="25"/>
        <item x="32"/>
        <item x="6"/>
        <item x="23"/>
        <item x="7"/>
        <item x="1"/>
        <item x="31"/>
        <item x="10"/>
        <item x="16"/>
        <item t="default"/>
      </items>
    </pivotField>
    <pivotField showAll="0"/>
    <pivotField axis="axisPage" multipleItemSelectionAllowed="1" showAll="0">
      <items count="7">
        <item x="4"/>
        <item h="1" m="1" x="5"/>
        <item h="1" x="0"/>
        <item h="1" x="3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5">
    <field x="23"/>
    <field x="22"/>
    <field x="1"/>
    <field x="14"/>
    <field x="13"/>
  </rowFields>
  <rowItems count="31">
    <i>
      <x v="1"/>
    </i>
    <i r="1">
      <x v="1"/>
    </i>
    <i r="2">
      <x v="1"/>
    </i>
    <i r="2">
      <x v="2"/>
    </i>
    <i r="3">
      <x v="13"/>
    </i>
    <i r="1">
      <x v="2"/>
    </i>
    <i r="2">
      <x v="1"/>
    </i>
    <i r="2">
      <x v="2"/>
    </i>
    <i r="3">
      <x v="13"/>
    </i>
    <i r="1">
      <x v="3"/>
    </i>
    <i r="2">
      <x v="1"/>
    </i>
    <i r="2">
      <x v="2"/>
    </i>
    <i r="3">
      <x v="13"/>
    </i>
    <i r="3">
      <x v="37"/>
    </i>
    <i r="4">
      <x v="67"/>
    </i>
    <i r="1">
      <x v="4"/>
    </i>
    <i r="2">
      <x v="1"/>
    </i>
    <i r="2">
      <x v="2"/>
    </i>
    <i r="3">
      <x v="13"/>
    </i>
    <i r="1">
      <x v="5"/>
    </i>
    <i r="2">
      <x v="1"/>
    </i>
    <i r="2">
      <x v="2"/>
    </i>
    <i r="3">
      <x v="10"/>
    </i>
    <i r="4">
      <x v="56"/>
    </i>
    <i r="3">
      <x v="13"/>
    </i>
    <i r="1">
      <x v="6"/>
    </i>
    <i r="2">
      <x v="1"/>
    </i>
    <i r="2">
      <x v="2"/>
    </i>
    <i r="3">
      <x v="14"/>
    </i>
    <i r="4">
      <x v="22"/>
    </i>
    <i t="grand">
      <x/>
    </i>
  </rowItems>
  <colItems count="1">
    <i/>
  </colItems>
  <pageFields count="2">
    <pageField fld="0" hier="-1"/>
    <pageField fld="16" hier="-1"/>
  </pageFields>
  <dataFields count="1">
    <dataField name="Sum of Amount (USD)" fld="9" baseField="4" baseItem="8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D2606-33BD-4D82-960E-C3143A27E66C}" name="PivotTable19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5" firstHeaderRow="1" firstDataRow="1" firstDataCol="1" rowPageCount="1" colPageCount="1"/>
  <pivotFields count="24">
    <pivotField axis="axisPage" showAll="0">
      <items count="4"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4" showAll="0">
      <items count="134">
        <item x="0"/>
        <item x="69"/>
        <item x="70"/>
        <item x="1"/>
        <item x="71"/>
        <item x="72"/>
        <item x="2"/>
        <item x="3"/>
        <item x="73"/>
        <item x="31"/>
        <item x="32"/>
        <item x="4"/>
        <item x="74"/>
        <item x="75"/>
        <item x="33"/>
        <item x="5"/>
        <item x="6"/>
        <item x="7"/>
        <item x="76"/>
        <item x="77"/>
        <item x="34"/>
        <item x="78"/>
        <item x="35"/>
        <item x="8"/>
        <item x="9"/>
        <item x="79"/>
        <item x="80"/>
        <item x="36"/>
        <item x="37"/>
        <item x="81"/>
        <item x="10"/>
        <item x="38"/>
        <item x="11"/>
        <item x="82"/>
        <item x="39"/>
        <item x="83"/>
        <item x="84"/>
        <item x="131"/>
        <item x="85"/>
        <item x="40"/>
        <item x="86"/>
        <item x="12"/>
        <item x="87"/>
        <item x="88"/>
        <item x="13"/>
        <item x="89"/>
        <item x="90"/>
        <item x="91"/>
        <item x="92"/>
        <item x="93"/>
        <item x="94"/>
        <item x="95"/>
        <item x="14"/>
        <item x="96"/>
        <item x="15"/>
        <item x="97"/>
        <item x="98"/>
        <item x="99"/>
        <item x="100"/>
        <item x="101"/>
        <item x="102"/>
        <item x="16"/>
        <item x="17"/>
        <item x="103"/>
        <item x="41"/>
        <item x="18"/>
        <item x="104"/>
        <item x="105"/>
        <item x="19"/>
        <item x="20"/>
        <item x="106"/>
        <item x="46"/>
        <item x="107"/>
        <item x="42"/>
        <item x="21"/>
        <item x="108"/>
        <item x="109"/>
        <item x="111"/>
        <item x="22"/>
        <item x="112"/>
        <item x="113"/>
        <item x="23"/>
        <item x="43"/>
        <item x="24"/>
        <item x="114"/>
        <item x="44"/>
        <item x="132"/>
        <item x="25"/>
        <item x="115"/>
        <item x="45"/>
        <item x="116"/>
        <item x="26"/>
        <item x="47"/>
        <item x="117"/>
        <item x="118"/>
        <item x="119"/>
        <item x="110"/>
        <item x="120"/>
        <item x="121"/>
        <item x="122"/>
        <item x="123"/>
        <item x="27"/>
        <item x="48"/>
        <item x="124"/>
        <item x="125"/>
        <item x="126"/>
        <item x="49"/>
        <item x="127"/>
        <item x="128"/>
        <item x="129"/>
        <item x="28"/>
        <item x="29"/>
        <item x="50"/>
        <item x="68"/>
        <item x="3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13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1">
        <item x="31"/>
        <item x="1"/>
        <item x="27"/>
        <item x="28"/>
        <item x="65"/>
        <item x="0"/>
        <item x="56"/>
        <item x="45"/>
        <item x="34"/>
        <item x="41"/>
        <item x="46"/>
        <item x="38"/>
        <item x="33"/>
        <item x="2"/>
        <item x="12"/>
        <item x="3"/>
        <item x="55"/>
        <item x="47"/>
        <item x="4"/>
        <item x="44"/>
        <item x="64"/>
        <item x="66"/>
        <item x="43"/>
        <item x="21"/>
        <item x="50"/>
        <item x="36"/>
        <item x="16"/>
        <item x="24"/>
        <item x="37"/>
        <item x="13"/>
        <item x="61"/>
        <item x="58"/>
        <item x="26"/>
        <item x="69"/>
        <item x="67"/>
        <item x="62"/>
        <item x="5"/>
        <item x="59"/>
        <item x="19"/>
        <item x="22"/>
        <item x="54"/>
        <item x="29"/>
        <item x="11"/>
        <item x="25"/>
        <item x="14"/>
        <item x="57"/>
        <item x="49"/>
        <item x="23"/>
        <item x="51"/>
        <item x="17"/>
        <item x="15"/>
        <item x="53"/>
        <item x="39"/>
        <item x="68"/>
        <item x="48"/>
        <item x="60"/>
        <item x="20"/>
        <item x="18"/>
        <item x="35"/>
        <item x="42"/>
        <item x="52"/>
        <item x="30"/>
        <item x="10"/>
        <item x="8"/>
        <item x="32"/>
        <item x="9"/>
        <item x="6"/>
        <item x="7"/>
        <item x="40"/>
        <item x="63"/>
        <item t="default"/>
      </items>
    </pivotField>
    <pivotField axis="axisRow" showAll="0">
      <items count="42">
        <item x="20"/>
        <item x="21"/>
        <item x="39"/>
        <item x="0"/>
        <item x="22"/>
        <item x="24"/>
        <item x="2"/>
        <item x="30"/>
        <item x="40"/>
        <item x="29"/>
        <item x="4"/>
        <item x="28"/>
        <item x="3"/>
        <item x="8"/>
        <item x="15"/>
        <item x="27"/>
        <item x="18"/>
        <item x="26"/>
        <item x="38"/>
        <item x="36"/>
        <item x="19"/>
        <item x="33"/>
        <item x="11"/>
        <item x="5"/>
        <item x="14"/>
        <item x="37"/>
        <item x="9"/>
        <item x="12"/>
        <item x="35"/>
        <item x="17"/>
        <item x="34"/>
        <item x="13"/>
        <item x="25"/>
        <item x="32"/>
        <item x="6"/>
        <item x="23"/>
        <item x="7"/>
        <item x="1"/>
        <item x="31"/>
        <item x="10"/>
        <item x="16"/>
        <item t="default"/>
      </items>
    </pivotField>
    <pivotField axis="axisRow" showAll="0">
      <items count="19">
        <item x="4"/>
        <item x="9"/>
        <item x="0"/>
        <item x="1"/>
        <item x="7"/>
        <item x="3"/>
        <item x="5"/>
        <item x="11"/>
        <item x="12"/>
        <item x="6"/>
        <item x="2"/>
        <item x="10"/>
        <item m="1" x="16"/>
        <item m="1" x="17"/>
        <item x="14"/>
        <item x="15"/>
        <item x="13"/>
        <item x="8"/>
        <item t="default"/>
      </items>
    </pivotField>
    <pivotField axis="axisRow" showAll="0">
      <items count="7">
        <item x="4"/>
        <item m="1" x="5"/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4">
        <item sd="0" x="0"/>
        <item x="1"/>
        <item sd="0" x="2"/>
        <item sd="0" x="3"/>
      </items>
    </pivotField>
  </pivotFields>
  <rowFields count="7">
    <field x="23"/>
    <field x="22"/>
    <field x="1"/>
    <field x="16"/>
    <field x="15"/>
    <field x="14"/>
    <field x="13"/>
  </rowFields>
  <rowItems count="252">
    <i>
      <x v="1"/>
    </i>
    <i r="1">
      <x v="1"/>
    </i>
    <i r="2">
      <x/>
    </i>
    <i r="3">
      <x v="2"/>
    </i>
    <i r="4">
      <x v="2"/>
    </i>
    <i r="5">
      <x v="3"/>
    </i>
    <i r="6">
      <x v="5"/>
    </i>
    <i r="5">
      <x v="13"/>
    </i>
    <i r="6">
      <x v="62"/>
    </i>
    <i r="5">
      <x v="24"/>
    </i>
    <i r="6">
      <x v="26"/>
    </i>
    <i r="5">
      <x v="34"/>
    </i>
    <i r="6">
      <x v="63"/>
    </i>
    <i r="4">
      <x v="3"/>
    </i>
    <i r="5">
      <x v="6"/>
    </i>
    <i r="6">
      <x v="13"/>
    </i>
    <i r="5">
      <x v="23"/>
    </i>
    <i r="6">
      <x v="36"/>
    </i>
    <i r="5">
      <x v="37"/>
    </i>
    <i r="6">
      <x v="1"/>
    </i>
    <i r="5">
      <x v="39"/>
    </i>
    <i r="6">
      <x v="14"/>
    </i>
    <i r="4">
      <x v="5"/>
    </i>
    <i r="5">
      <x v="10"/>
    </i>
    <i r="6">
      <x v="18"/>
    </i>
    <i r="5">
      <x v="26"/>
    </i>
    <i r="6">
      <x v="42"/>
    </i>
    <i r="4">
      <x v="6"/>
    </i>
    <i r="5">
      <x v="22"/>
    </i>
    <i r="6">
      <x v="29"/>
    </i>
    <i r="3">
      <x v="4"/>
    </i>
    <i r="4">
      <x v="10"/>
    </i>
    <i r="5">
      <x v="12"/>
    </i>
    <i r="6">
      <x v="15"/>
    </i>
    <i r="5">
      <x v="13"/>
    </i>
    <i r="6">
      <x v="49"/>
    </i>
    <i r="5">
      <x v="27"/>
    </i>
    <i r="6">
      <x v="44"/>
    </i>
    <i r="5">
      <x v="31"/>
    </i>
    <i r="6">
      <x v="50"/>
    </i>
    <i r="5">
      <x v="37"/>
    </i>
    <i r="6">
      <x v="67"/>
    </i>
    <i r="3">
      <x v="5"/>
    </i>
    <i r="4">
      <x/>
    </i>
    <i r="5">
      <x v="13"/>
    </i>
    <i r="6">
      <x v="49"/>
    </i>
    <i r="5">
      <x v="36"/>
    </i>
    <i r="6">
      <x v="65"/>
    </i>
    <i r="5">
      <x v="37"/>
    </i>
    <i r="6">
      <x v="66"/>
    </i>
    <i r="6">
      <x v="67"/>
    </i>
    <i r="2">
      <x v="1"/>
    </i>
    <i r="3">
      <x/>
    </i>
    <i r="4">
      <x v="1"/>
    </i>
    <i r="5">
      <x v="13"/>
    </i>
    <i r="6">
      <x v="49"/>
    </i>
    <i r="5">
      <x v="23"/>
    </i>
    <i r="6">
      <x v="41"/>
    </i>
    <i r="5">
      <x v="36"/>
    </i>
    <i r="6">
      <x v="65"/>
    </i>
    <i r="5">
      <x v="37"/>
    </i>
    <i r="6">
      <x/>
    </i>
    <i r="6">
      <x v="1"/>
    </i>
    <i r="6">
      <x v="38"/>
    </i>
    <i r="6">
      <x v="66"/>
    </i>
    <i r="6">
      <x v="67"/>
    </i>
    <i r="3">
      <x v="2"/>
    </i>
    <i r="4">
      <x v="2"/>
    </i>
    <i r="5">
      <x v="1"/>
    </i>
    <i r="6">
      <x v="3"/>
    </i>
    <i r="5">
      <x v="2"/>
    </i>
    <i r="6">
      <x v="33"/>
    </i>
    <i r="5">
      <x v="3"/>
    </i>
    <i r="6">
      <x v="5"/>
    </i>
    <i r="5">
      <x v="13"/>
    </i>
    <i r="6">
      <x v="49"/>
    </i>
    <i r="5">
      <x v="16"/>
    </i>
    <i r="6">
      <x v="27"/>
    </i>
    <i r="5">
      <x v="35"/>
    </i>
    <i r="6">
      <x v="64"/>
    </i>
    <i r="4">
      <x v="3"/>
    </i>
    <i r="5">
      <x v="3"/>
    </i>
    <i r="6">
      <x v="5"/>
    </i>
    <i r="5">
      <x v="8"/>
    </i>
    <i r="6">
      <x v="53"/>
    </i>
    <i r="5">
      <x v="20"/>
    </i>
    <i r="6">
      <x v="32"/>
    </i>
    <i r="5">
      <x v="29"/>
    </i>
    <i r="6">
      <x v="47"/>
    </i>
    <i r="4">
      <x v="5"/>
    </i>
    <i r="5">
      <x v="4"/>
    </i>
    <i r="6">
      <x v="61"/>
    </i>
    <i r="5">
      <x v="13"/>
    </i>
    <i r="6">
      <x v="49"/>
    </i>
    <i r="4">
      <x v="6"/>
    </i>
    <i r="5">
      <x v="22"/>
    </i>
    <i r="6">
      <x v="29"/>
    </i>
    <i r="3">
      <x v="3"/>
    </i>
    <i r="4">
      <x v="9"/>
    </i>
    <i r="5">
      <x v="16"/>
    </i>
    <i r="6">
      <x v="27"/>
    </i>
    <i r="3">
      <x v="4"/>
    </i>
    <i r="4">
      <x v="11"/>
    </i>
    <i r="5">
      <x v="13"/>
    </i>
    <i r="6">
      <x v="49"/>
    </i>
    <i r="3">
      <x v="5"/>
    </i>
    <i r="4">
      <x/>
    </i>
    <i r="5">
      <x v="10"/>
    </i>
    <i r="6">
      <x v="57"/>
    </i>
    <i r="5">
      <x v="13"/>
    </i>
    <i r="6">
      <x v="49"/>
    </i>
    <i r="5">
      <x v="23"/>
    </i>
    <i r="6">
      <x v="36"/>
    </i>
    <i r="5">
      <x v="37"/>
    </i>
    <i r="6">
      <x/>
    </i>
    <i r="6">
      <x v="66"/>
    </i>
    <i r="6">
      <x v="67"/>
    </i>
    <i r="4">
      <x v="17"/>
    </i>
    <i r="5">
      <x v="13"/>
    </i>
    <i r="6">
      <x v="49"/>
    </i>
    <i r="5">
      <x v="37"/>
    </i>
    <i r="6">
      <x v="66"/>
    </i>
    <i r="6">
      <x v="67"/>
    </i>
    <i r="2">
      <x v="2"/>
    </i>
    <i r="3">
      <x/>
    </i>
    <i r="4">
      <x v="1"/>
    </i>
    <i r="5">
      <x v="13"/>
    </i>
    <i r="6">
      <x v="49"/>
    </i>
    <i r="3">
      <x v="2"/>
    </i>
    <i r="4">
      <x v="2"/>
    </i>
    <i r="5">
      <x v="3"/>
    </i>
    <i r="6">
      <x v="5"/>
    </i>
    <i r="5">
      <x v="14"/>
    </i>
    <i r="6">
      <x v="22"/>
    </i>
    <i r="5">
      <x v="16"/>
    </i>
    <i r="6">
      <x v="27"/>
    </i>
    <i r="5">
      <x v="34"/>
    </i>
    <i r="6">
      <x v="63"/>
    </i>
    <i r="4">
      <x v="3"/>
    </i>
    <i r="5">
      <x v="1"/>
    </i>
    <i r="6">
      <x v="3"/>
    </i>
    <i r="5">
      <x v="6"/>
    </i>
    <i r="6">
      <x v="13"/>
    </i>
    <i r="5">
      <x v="10"/>
    </i>
    <i r="6">
      <x v="57"/>
    </i>
    <i r="5">
      <x v="23"/>
    </i>
    <i r="6">
      <x v="10"/>
    </i>
    <i r="6">
      <x v="36"/>
    </i>
    <i r="5">
      <x v="26"/>
    </i>
    <i r="6">
      <x v="42"/>
    </i>
    <i r="5">
      <x v="29"/>
    </i>
    <i r="6">
      <x v="47"/>
    </i>
    <i r="5">
      <x v="33"/>
    </i>
    <i r="6">
      <x v="54"/>
    </i>
    <i r="5">
      <x v="38"/>
    </i>
    <i r="6">
      <x v="68"/>
    </i>
    <i r="5">
      <x v="39"/>
    </i>
    <i r="6">
      <x v="14"/>
    </i>
    <i r="4">
      <x v="5"/>
    </i>
    <i r="5">
      <x v="1"/>
    </i>
    <i r="6">
      <x v="3"/>
    </i>
    <i r="5">
      <x v="6"/>
    </i>
    <i r="6">
      <x v="13"/>
    </i>
    <i r="5">
      <x v="10"/>
    </i>
    <i r="6">
      <x v="18"/>
    </i>
    <i r="6">
      <x v="58"/>
    </i>
    <i r="5">
      <x v="13"/>
    </i>
    <i r="6">
      <x v="49"/>
    </i>
    <i r="5">
      <x v="32"/>
    </i>
    <i r="6">
      <x v="7"/>
    </i>
    <i r="6">
      <x v="8"/>
    </i>
    <i r="5">
      <x v="37"/>
    </i>
    <i r="6">
      <x/>
    </i>
    <i r="6">
      <x v="38"/>
    </i>
    <i r="6">
      <x v="39"/>
    </i>
    <i r="6">
      <x v="66"/>
    </i>
    <i r="6">
      <x v="67"/>
    </i>
    <i r="4">
      <x v="6"/>
    </i>
    <i r="5">
      <x v="20"/>
    </i>
    <i r="6">
      <x v="32"/>
    </i>
    <i r="5">
      <x v="22"/>
    </i>
    <i r="6">
      <x v="29"/>
    </i>
    <i r="5">
      <x v="33"/>
    </i>
    <i r="6">
      <x v="54"/>
    </i>
    <i r="4">
      <x v="7"/>
    </i>
    <i r="5">
      <x v="10"/>
    </i>
    <i r="6">
      <x v="57"/>
    </i>
    <i r="5">
      <x v="13"/>
    </i>
    <i r="6">
      <x v="49"/>
    </i>
    <i r="5">
      <x v="32"/>
    </i>
    <i r="6">
      <x v="7"/>
    </i>
    <i r="6">
      <x v="8"/>
    </i>
    <i r="6">
      <x v="17"/>
    </i>
    <i r="5">
      <x v="37"/>
    </i>
    <i r="6">
      <x/>
    </i>
    <i r="6">
      <x v="38"/>
    </i>
    <i r="6">
      <x v="66"/>
    </i>
    <i r="3">
      <x v="3"/>
    </i>
    <i r="4">
      <x v="9"/>
    </i>
    <i r="5">
      <x v="16"/>
    </i>
    <i r="6">
      <x v="27"/>
    </i>
    <i r="5">
      <x v="21"/>
    </i>
    <i r="6">
      <x v="46"/>
    </i>
    <i r="3">
      <x v="4"/>
    </i>
    <i r="4">
      <x v="14"/>
    </i>
    <i r="5">
      <x v="13"/>
    </i>
    <i r="6">
      <x v="49"/>
    </i>
    <i r="5">
      <x v="34"/>
    </i>
    <i r="6">
      <x v="63"/>
    </i>
    <i r="4">
      <x v="15"/>
    </i>
    <i r="5">
      <x v="13"/>
    </i>
    <i r="6">
      <x v="49"/>
    </i>
    <i r="4">
      <x v="16"/>
    </i>
    <i r="5">
      <x v="13"/>
    </i>
    <i r="6">
      <x v="49"/>
    </i>
    <i r="5">
      <x v="14"/>
    </i>
    <i r="6">
      <x v="19"/>
    </i>
    <i r="5">
      <x v="23"/>
    </i>
    <i r="6">
      <x v="10"/>
    </i>
    <i r="5">
      <x v="34"/>
    </i>
    <i r="6">
      <x v="63"/>
    </i>
    <i r="5">
      <x v="37"/>
    </i>
    <i r="6">
      <x v="66"/>
    </i>
    <i r="6">
      <x v="67"/>
    </i>
    <i r="3">
      <x v="5"/>
    </i>
    <i r="4">
      <x/>
    </i>
    <i r="5">
      <x v="13"/>
    </i>
    <i r="6">
      <x v="49"/>
    </i>
    <i r="5">
      <x v="32"/>
    </i>
    <i r="6">
      <x v="8"/>
    </i>
    <i r="6">
      <x v="17"/>
    </i>
    <i r="4">
      <x v="8"/>
    </i>
    <i r="5">
      <x v="13"/>
    </i>
    <i r="6">
      <x v="49"/>
    </i>
    <i r="4">
      <x v="17"/>
    </i>
    <i r="5">
      <x v="13"/>
    </i>
    <i r="6">
      <x v="49"/>
    </i>
    <i r="5">
      <x v="31"/>
    </i>
    <i r="6">
      <x v="50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t="grand">
      <x/>
    </i>
  </rowItems>
  <colItems count="1">
    <i/>
  </colItems>
  <pageFields count="1">
    <pageField fld="0" hier="-1"/>
  </pageFields>
  <dataFields count="1">
    <dataField name="Sum of Amount (USD)" fld="9" baseField="2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4AD28-0B9F-42AF-8FF8-D14B762179AB}" name="PivotTable4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326" firstHeaderRow="1" firstDataRow="3" firstDataCol="1" rowPageCount="1" colPageCount="1"/>
  <pivotFields count="24"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4" showAll="0">
      <items count="134">
        <item x="0"/>
        <item x="69"/>
        <item x="70"/>
        <item x="1"/>
        <item x="71"/>
        <item x="72"/>
        <item x="2"/>
        <item x="3"/>
        <item x="73"/>
        <item x="31"/>
        <item x="32"/>
        <item x="4"/>
        <item x="74"/>
        <item x="75"/>
        <item x="33"/>
        <item x="5"/>
        <item x="6"/>
        <item x="7"/>
        <item x="76"/>
        <item x="77"/>
        <item x="34"/>
        <item x="78"/>
        <item x="35"/>
        <item x="8"/>
        <item x="9"/>
        <item x="79"/>
        <item x="80"/>
        <item x="36"/>
        <item x="37"/>
        <item x="81"/>
        <item x="10"/>
        <item x="38"/>
        <item x="11"/>
        <item x="82"/>
        <item x="39"/>
        <item x="83"/>
        <item x="84"/>
        <item x="131"/>
        <item x="85"/>
        <item x="40"/>
        <item x="86"/>
        <item x="12"/>
        <item x="87"/>
        <item x="88"/>
        <item x="13"/>
        <item x="89"/>
        <item x="90"/>
        <item x="91"/>
        <item x="92"/>
        <item x="93"/>
        <item x="94"/>
        <item x="95"/>
        <item x="14"/>
        <item x="96"/>
        <item x="15"/>
        <item x="97"/>
        <item x="98"/>
        <item x="99"/>
        <item x="100"/>
        <item x="101"/>
        <item x="102"/>
        <item x="16"/>
        <item x="17"/>
        <item x="103"/>
        <item x="41"/>
        <item x="18"/>
        <item x="104"/>
        <item x="105"/>
        <item x="19"/>
        <item x="20"/>
        <item x="106"/>
        <item x="46"/>
        <item x="107"/>
        <item x="42"/>
        <item x="21"/>
        <item x="108"/>
        <item x="109"/>
        <item x="111"/>
        <item x="22"/>
        <item x="112"/>
        <item x="113"/>
        <item x="23"/>
        <item x="43"/>
        <item x="24"/>
        <item x="114"/>
        <item x="44"/>
        <item x="132"/>
        <item x="25"/>
        <item x="115"/>
        <item x="45"/>
        <item x="116"/>
        <item x="26"/>
        <item x="47"/>
        <item x="117"/>
        <item x="118"/>
        <item x="119"/>
        <item x="110"/>
        <item x="120"/>
        <item x="121"/>
        <item x="122"/>
        <item x="123"/>
        <item x="27"/>
        <item x="48"/>
        <item x="124"/>
        <item x="125"/>
        <item x="126"/>
        <item x="49"/>
        <item x="127"/>
        <item x="128"/>
        <item x="129"/>
        <item x="28"/>
        <item x="29"/>
        <item x="50"/>
        <item x="68"/>
        <item x="3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13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1">
        <item x="31"/>
        <item x="1"/>
        <item x="27"/>
        <item x="28"/>
        <item x="65"/>
        <item x="0"/>
        <item x="56"/>
        <item x="45"/>
        <item x="34"/>
        <item x="41"/>
        <item x="46"/>
        <item x="38"/>
        <item x="33"/>
        <item x="2"/>
        <item x="12"/>
        <item x="3"/>
        <item x="55"/>
        <item x="47"/>
        <item x="4"/>
        <item x="44"/>
        <item x="64"/>
        <item x="66"/>
        <item x="43"/>
        <item x="21"/>
        <item x="50"/>
        <item x="36"/>
        <item x="16"/>
        <item x="24"/>
        <item x="37"/>
        <item x="13"/>
        <item x="61"/>
        <item x="58"/>
        <item x="26"/>
        <item x="69"/>
        <item x="67"/>
        <item x="62"/>
        <item x="5"/>
        <item x="59"/>
        <item x="19"/>
        <item x="22"/>
        <item x="54"/>
        <item x="29"/>
        <item x="11"/>
        <item x="25"/>
        <item x="14"/>
        <item x="57"/>
        <item x="49"/>
        <item x="23"/>
        <item x="51"/>
        <item x="17"/>
        <item x="15"/>
        <item x="53"/>
        <item x="39"/>
        <item x="68"/>
        <item x="48"/>
        <item x="60"/>
        <item x="20"/>
        <item x="18"/>
        <item x="35"/>
        <item x="42"/>
        <item x="52"/>
        <item x="30"/>
        <item x="10"/>
        <item x="8"/>
        <item x="32"/>
        <item x="9"/>
        <item x="6"/>
        <item x="7"/>
        <item x="40"/>
        <item x="63"/>
        <item t="default"/>
      </items>
    </pivotField>
    <pivotField axis="axisRow" showAll="0">
      <items count="42">
        <item x="20"/>
        <item x="21"/>
        <item x="39"/>
        <item x="0"/>
        <item x="22"/>
        <item x="24"/>
        <item x="2"/>
        <item x="30"/>
        <item x="40"/>
        <item x="29"/>
        <item x="4"/>
        <item x="28"/>
        <item x="3"/>
        <item x="8"/>
        <item x="15"/>
        <item x="27"/>
        <item x="18"/>
        <item x="26"/>
        <item x="38"/>
        <item x="36"/>
        <item x="19"/>
        <item x="33"/>
        <item x="11"/>
        <item x="5"/>
        <item x="14"/>
        <item x="37"/>
        <item x="9"/>
        <item x="12"/>
        <item x="35"/>
        <item x="17"/>
        <item x="34"/>
        <item x="13"/>
        <item x="25"/>
        <item x="32"/>
        <item x="6"/>
        <item x="23"/>
        <item x="7"/>
        <item x="1"/>
        <item x="31"/>
        <item x="10"/>
        <item x="16"/>
        <item t="default"/>
      </items>
    </pivotField>
    <pivotField axis="axisPage" multipleItemSelectionAllowed="1" showAll="0">
      <items count="19">
        <item x="4"/>
        <item h="1" x="9"/>
        <item x="0"/>
        <item x="1"/>
        <item x="7"/>
        <item x="3"/>
        <item x="5"/>
        <item x="11"/>
        <item x="12"/>
        <item x="6"/>
        <item x="2"/>
        <item x="10"/>
        <item m="1" x="16"/>
        <item m="1" x="17"/>
        <item x="14"/>
        <item x="15"/>
        <item x="13"/>
        <item x="8"/>
        <item t="default"/>
      </items>
    </pivotField>
    <pivotField axis="axisRow" showAll="0">
      <items count="7">
        <item x="4"/>
        <item m="1" x="5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Col" showAll="0" defaultSubtotal="0">
      <items count="4">
        <item x="0"/>
        <item x="1"/>
        <item x="2"/>
        <item x="3"/>
      </items>
    </pivotField>
  </pivotFields>
  <rowFields count="4">
    <field x="16"/>
    <field x="1"/>
    <field x="14"/>
    <field x="13"/>
  </rowFields>
  <rowItems count="321">
    <i>
      <x v="2"/>
    </i>
    <i r="1">
      <x/>
    </i>
    <i r="2">
      <x v="1"/>
    </i>
    <i r="3">
      <x v="3"/>
    </i>
    <i r="2">
      <x v="3"/>
    </i>
    <i r="3">
      <x v="5"/>
    </i>
    <i r="2">
      <x v="10"/>
    </i>
    <i r="3">
      <x v="18"/>
    </i>
    <i r="3">
      <x v="58"/>
    </i>
    <i r="2">
      <x v="13"/>
    </i>
    <i r="3">
      <x v="49"/>
    </i>
    <i r="3">
      <x v="55"/>
    </i>
    <i r="3">
      <x v="62"/>
    </i>
    <i r="2">
      <x v="14"/>
    </i>
    <i r="3">
      <x v="19"/>
    </i>
    <i r="2">
      <x v="20"/>
    </i>
    <i r="3">
      <x v="32"/>
    </i>
    <i r="2">
      <x v="23"/>
    </i>
    <i r="3">
      <x v="10"/>
    </i>
    <i r="3">
      <x v="36"/>
    </i>
    <i r="2">
      <x v="31"/>
    </i>
    <i r="3">
      <x v="50"/>
    </i>
    <i r="3">
      <x v="51"/>
    </i>
    <i r="2">
      <x v="32"/>
    </i>
    <i r="3">
      <x v="7"/>
    </i>
    <i r="3">
      <x v="8"/>
    </i>
    <i r="2">
      <x v="34"/>
    </i>
    <i r="3">
      <x v="63"/>
    </i>
    <i r="2">
      <x v="37"/>
    </i>
    <i r="3">
      <x/>
    </i>
    <i r="3">
      <x v="38"/>
    </i>
    <i r="3">
      <x v="66"/>
    </i>
    <i r="3">
      <x v="67"/>
    </i>
    <i r="1">
      <x v="1"/>
    </i>
    <i r="2">
      <x v="10"/>
    </i>
    <i r="3">
      <x v="57"/>
    </i>
    <i r="2">
      <x v="12"/>
    </i>
    <i r="3">
      <x v="15"/>
    </i>
    <i r="2">
      <x v="13"/>
    </i>
    <i r="3">
      <x v="49"/>
    </i>
    <i r="2">
      <x v="27"/>
    </i>
    <i r="3">
      <x v="44"/>
    </i>
    <i r="2">
      <x v="31"/>
    </i>
    <i r="3">
      <x v="50"/>
    </i>
    <i r="2">
      <x v="37"/>
    </i>
    <i r="3">
      <x v="39"/>
    </i>
    <i r="3">
      <x v="67"/>
    </i>
    <i r="1">
      <x v="2"/>
    </i>
    <i r="2">
      <x v="13"/>
    </i>
    <i r="3">
      <x v="49"/>
    </i>
    <i r="3">
      <x v="62"/>
    </i>
    <i>
      <x v="3"/>
    </i>
    <i r="1">
      <x/>
    </i>
    <i r="2">
      <x v="9"/>
    </i>
    <i r="3">
      <x v="11"/>
    </i>
    <i r="2">
      <x v="10"/>
    </i>
    <i r="3">
      <x v="60"/>
    </i>
    <i r="2">
      <x v="13"/>
    </i>
    <i r="3">
      <x v="49"/>
    </i>
    <i r="3">
      <x v="62"/>
    </i>
    <i r="2">
      <x v="19"/>
    </i>
    <i r="3">
      <x v="31"/>
    </i>
    <i r="2">
      <x v="31"/>
    </i>
    <i r="3">
      <x v="50"/>
    </i>
    <i r="2">
      <x v="32"/>
    </i>
    <i r="3">
      <x v="6"/>
    </i>
    <i r="3">
      <x v="7"/>
    </i>
    <i r="3">
      <x v="8"/>
    </i>
    <i r="3">
      <x v="17"/>
    </i>
    <i r="2">
      <x v="34"/>
    </i>
    <i r="3">
      <x v="63"/>
    </i>
    <i r="2">
      <x v="37"/>
    </i>
    <i r="3">
      <x/>
    </i>
    <i r="3">
      <x v="1"/>
    </i>
    <i r="3">
      <x v="38"/>
    </i>
    <i r="3">
      <x v="39"/>
    </i>
    <i r="3">
      <x v="66"/>
    </i>
    <i r="3">
      <x v="67"/>
    </i>
    <i r="1">
      <x v="1"/>
    </i>
    <i r="2">
      <x v="13"/>
    </i>
    <i r="3">
      <x v="49"/>
    </i>
    <i r="2">
      <x v="31"/>
    </i>
    <i r="3">
      <x v="50"/>
    </i>
    <i r="2">
      <x v="36"/>
    </i>
    <i r="3">
      <x v="65"/>
    </i>
    <i r="2">
      <x v="37"/>
    </i>
    <i r="3">
      <x v="66"/>
    </i>
    <i r="3">
      <x v="67"/>
    </i>
    <i r="1">
      <x v="2"/>
    </i>
    <i r="2">
      <x v="10"/>
    </i>
    <i r="3">
      <x v="56"/>
    </i>
    <i r="3">
      <x v="57"/>
    </i>
    <i r="2">
      <x v="13"/>
    </i>
    <i r="3">
      <x v="49"/>
    </i>
    <i r="3">
      <x v="62"/>
    </i>
    <i r="2">
      <x v="23"/>
    </i>
    <i r="3">
      <x v="36"/>
    </i>
    <i r="2">
      <x v="31"/>
    </i>
    <i r="3">
      <x v="50"/>
    </i>
    <i r="2">
      <x v="32"/>
    </i>
    <i r="3">
      <x v="8"/>
    </i>
    <i r="2">
      <x v="36"/>
    </i>
    <i r="3">
      <x v="65"/>
    </i>
    <i r="2">
      <x v="37"/>
    </i>
    <i r="3">
      <x/>
    </i>
    <i r="3">
      <x v="1"/>
    </i>
    <i r="3">
      <x v="38"/>
    </i>
    <i r="3">
      <x v="39"/>
    </i>
    <i r="3">
      <x v="66"/>
    </i>
    <i r="3">
      <x v="67"/>
    </i>
    <i>
      <x v="4"/>
    </i>
    <i r="1">
      <x/>
    </i>
    <i r="2">
      <x/>
    </i>
    <i r="3">
      <x v="2"/>
    </i>
    <i r="2">
      <x v="1"/>
    </i>
    <i r="3">
      <x v="3"/>
    </i>
    <i r="2">
      <x v="2"/>
    </i>
    <i r="3">
      <x v="34"/>
    </i>
    <i r="3">
      <x v="35"/>
    </i>
    <i r="2">
      <x v="3"/>
    </i>
    <i r="3">
      <x v="5"/>
    </i>
    <i r="2">
      <x v="5"/>
    </i>
    <i r="3">
      <x v="12"/>
    </i>
    <i r="2">
      <x v="6"/>
    </i>
    <i r="3">
      <x v="13"/>
    </i>
    <i r="2">
      <x v="7"/>
    </i>
    <i r="3">
      <x v="40"/>
    </i>
    <i r="3">
      <x v="52"/>
    </i>
    <i r="2">
      <x v="8"/>
    </i>
    <i r="3">
      <x v="53"/>
    </i>
    <i r="2">
      <x v="9"/>
    </i>
    <i r="3">
      <x v="11"/>
    </i>
    <i r="2">
      <x v="10"/>
    </i>
    <i r="3">
      <x v="18"/>
    </i>
    <i r="3">
      <x v="56"/>
    </i>
    <i r="3">
      <x v="57"/>
    </i>
    <i r="3">
      <x v="58"/>
    </i>
    <i r="3">
      <x v="60"/>
    </i>
    <i r="2">
      <x v="11"/>
    </i>
    <i r="3">
      <x v="69"/>
    </i>
    <i r="2">
      <x v="12"/>
    </i>
    <i r="3">
      <x v="15"/>
    </i>
    <i r="2">
      <x v="13"/>
    </i>
    <i r="3">
      <x v="49"/>
    </i>
    <i r="3">
      <x v="62"/>
    </i>
    <i r="2">
      <x v="14"/>
    </i>
    <i r="3">
      <x v="19"/>
    </i>
    <i r="3">
      <x v="21"/>
    </i>
    <i r="3">
      <x v="22"/>
    </i>
    <i r="3">
      <x v="24"/>
    </i>
    <i r="2">
      <x v="16"/>
    </i>
    <i r="3">
      <x v="27"/>
    </i>
    <i r="2">
      <x v="18"/>
    </i>
    <i r="3">
      <x v="30"/>
    </i>
    <i r="2">
      <x v="20"/>
    </i>
    <i r="3">
      <x v="32"/>
    </i>
    <i r="2">
      <x v="22"/>
    </i>
    <i r="3">
      <x v="29"/>
    </i>
    <i r="2">
      <x v="23"/>
    </i>
    <i r="3">
      <x v="10"/>
    </i>
    <i r="3">
      <x v="36"/>
    </i>
    <i r="3">
      <x v="41"/>
    </i>
    <i r="2">
      <x v="24"/>
    </i>
    <i r="3">
      <x v="16"/>
    </i>
    <i r="3">
      <x v="26"/>
    </i>
    <i r="2">
      <x v="25"/>
    </i>
    <i r="3">
      <x v="37"/>
    </i>
    <i r="2">
      <x v="26"/>
    </i>
    <i r="3">
      <x v="42"/>
    </i>
    <i r="2">
      <x v="28"/>
    </i>
    <i r="3">
      <x v="45"/>
    </i>
    <i r="2">
      <x v="29"/>
    </i>
    <i r="3">
      <x v="47"/>
    </i>
    <i r="2">
      <x v="30"/>
    </i>
    <i r="3">
      <x v="48"/>
    </i>
    <i r="2">
      <x v="32"/>
    </i>
    <i r="3">
      <x v="7"/>
    </i>
    <i r="3">
      <x v="8"/>
    </i>
    <i r="3">
      <x v="17"/>
    </i>
    <i r="2">
      <x v="33"/>
    </i>
    <i r="3">
      <x v="54"/>
    </i>
    <i r="2">
      <x v="34"/>
    </i>
    <i r="3">
      <x v="63"/>
    </i>
    <i r="2">
      <x v="35"/>
    </i>
    <i r="3">
      <x v="64"/>
    </i>
    <i r="2">
      <x v="37"/>
    </i>
    <i r="3">
      <x/>
    </i>
    <i r="3">
      <x v="38"/>
    </i>
    <i r="3">
      <x v="39"/>
    </i>
    <i r="3">
      <x v="66"/>
    </i>
    <i r="3">
      <x v="67"/>
    </i>
    <i r="2">
      <x v="38"/>
    </i>
    <i r="3">
      <x v="9"/>
    </i>
    <i r="3">
      <x v="68"/>
    </i>
    <i r="2">
      <x v="39"/>
    </i>
    <i r="3">
      <x v="14"/>
    </i>
    <i r="1">
      <x v="1"/>
    </i>
    <i r="2">
      <x v="3"/>
    </i>
    <i r="3">
      <x v="5"/>
    </i>
    <i r="2">
      <x v="6"/>
    </i>
    <i r="3">
      <x v="13"/>
    </i>
    <i r="2">
      <x v="10"/>
    </i>
    <i r="3">
      <x v="18"/>
    </i>
    <i r="3">
      <x v="56"/>
    </i>
    <i r="3">
      <x v="57"/>
    </i>
    <i r="2">
      <x v="13"/>
    </i>
    <i r="3">
      <x v="5"/>
    </i>
    <i r="3">
      <x v="49"/>
    </i>
    <i r="3">
      <x v="62"/>
    </i>
    <i r="2">
      <x v="16"/>
    </i>
    <i r="3">
      <x v="27"/>
    </i>
    <i r="2">
      <x v="22"/>
    </i>
    <i r="3">
      <x v="29"/>
    </i>
    <i r="2">
      <x v="23"/>
    </i>
    <i r="3">
      <x v="36"/>
    </i>
    <i r="2">
      <x v="24"/>
    </i>
    <i r="3">
      <x v="26"/>
    </i>
    <i r="2">
      <x v="26"/>
    </i>
    <i r="3">
      <x v="42"/>
    </i>
    <i r="3">
      <x v="43"/>
    </i>
    <i r="2">
      <x v="29"/>
    </i>
    <i r="3">
      <x v="47"/>
    </i>
    <i r="2">
      <x v="34"/>
    </i>
    <i r="3">
      <x v="63"/>
    </i>
    <i r="2">
      <x v="37"/>
    </i>
    <i r="3">
      <x v="1"/>
    </i>
    <i r="3">
      <x v="38"/>
    </i>
    <i r="3">
      <x v="67"/>
    </i>
    <i r="2">
      <x v="39"/>
    </i>
    <i r="3">
      <x v="14"/>
    </i>
    <i r="2">
      <x v="40"/>
    </i>
    <i r="3">
      <x v="42"/>
    </i>
    <i r="1">
      <x v="2"/>
    </i>
    <i r="2">
      <x/>
    </i>
    <i r="3">
      <x v="2"/>
    </i>
    <i r="2">
      <x v="1"/>
    </i>
    <i r="3">
      <x v="3"/>
    </i>
    <i r="2">
      <x v="2"/>
    </i>
    <i r="3">
      <x v="33"/>
    </i>
    <i r="2">
      <x v="3"/>
    </i>
    <i r="3">
      <x v="5"/>
    </i>
    <i r="2">
      <x v="4"/>
    </i>
    <i r="3">
      <x v="61"/>
    </i>
    <i r="2">
      <x v="5"/>
    </i>
    <i r="3">
      <x v="12"/>
    </i>
    <i r="2">
      <x v="7"/>
    </i>
    <i r="3">
      <x v="52"/>
    </i>
    <i r="2">
      <x v="8"/>
    </i>
    <i r="3">
      <x v="53"/>
    </i>
    <i r="2">
      <x v="10"/>
    </i>
    <i r="3">
      <x v="18"/>
    </i>
    <i r="3">
      <x v="56"/>
    </i>
    <i r="3">
      <x v="57"/>
    </i>
    <i r="3">
      <x v="58"/>
    </i>
    <i r="3">
      <x v="59"/>
    </i>
    <i r="2">
      <x v="11"/>
    </i>
    <i r="3">
      <x v="28"/>
    </i>
    <i r="2">
      <x v="12"/>
    </i>
    <i r="3">
      <x v="15"/>
    </i>
    <i r="2">
      <x v="13"/>
    </i>
    <i r="3">
      <x v="49"/>
    </i>
    <i r="3">
      <x v="62"/>
    </i>
    <i r="2">
      <x v="14"/>
    </i>
    <i r="3">
      <x v="23"/>
    </i>
    <i r="2">
      <x v="15"/>
    </i>
    <i r="3">
      <x v="25"/>
    </i>
    <i r="2">
      <x v="16"/>
    </i>
    <i r="3">
      <x v="27"/>
    </i>
    <i r="2">
      <x v="17"/>
    </i>
    <i r="3">
      <x v="29"/>
    </i>
    <i r="2">
      <x v="20"/>
    </i>
    <i r="3">
      <x v="32"/>
    </i>
    <i r="2">
      <x v="22"/>
    </i>
    <i r="3">
      <x v="29"/>
    </i>
    <i r="2">
      <x v="23"/>
    </i>
    <i r="3">
      <x v="36"/>
    </i>
    <i r="3">
      <x v="41"/>
    </i>
    <i r="2">
      <x v="24"/>
    </i>
    <i r="3">
      <x v="26"/>
    </i>
    <i r="2">
      <x v="26"/>
    </i>
    <i r="3">
      <x v="42"/>
    </i>
    <i r="2">
      <x v="29"/>
    </i>
    <i r="3">
      <x v="47"/>
    </i>
    <i r="2">
      <x v="34"/>
    </i>
    <i r="3">
      <x v="63"/>
    </i>
    <i r="2">
      <x v="35"/>
    </i>
    <i r="3">
      <x v="64"/>
    </i>
    <i r="2">
      <x v="36"/>
    </i>
    <i r="3">
      <x v="65"/>
    </i>
    <i r="2">
      <x v="37"/>
    </i>
    <i r="3">
      <x/>
    </i>
    <i r="3">
      <x v="1"/>
    </i>
    <i r="3">
      <x v="38"/>
    </i>
    <i r="3">
      <x v="66"/>
    </i>
    <i r="3">
      <x v="67"/>
    </i>
    <i r="2">
      <x v="38"/>
    </i>
    <i r="3">
      <x v="9"/>
    </i>
    <i r="3">
      <x v="68"/>
    </i>
    <i>
      <x v="5"/>
    </i>
    <i r="1">
      <x/>
    </i>
    <i r="2">
      <x v="3"/>
    </i>
    <i r="3">
      <x v="5"/>
    </i>
    <i r="2">
      <x v="14"/>
    </i>
    <i r="3">
      <x v="4"/>
    </i>
    <i r="3">
      <x v="20"/>
    </i>
    <i r="3">
      <x v="22"/>
    </i>
    <i r="2">
      <x v="16"/>
    </i>
    <i r="3">
      <x v="27"/>
    </i>
    <i r="2">
      <x v="21"/>
    </i>
    <i r="3">
      <x v="46"/>
    </i>
    <i r="2">
      <x v="33"/>
    </i>
    <i r="3">
      <x v="54"/>
    </i>
    <i r="1">
      <x v="1"/>
    </i>
    <i r="2">
      <x v="14"/>
    </i>
    <i r="3">
      <x v="23"/>
    </i>
    <i r="2">
      <x v="16"/>
    </i>
    <i r="3">
      <x v="27"/>
    </i>
    <i r="1">
      <x v="2"/>
    </i>
    <i r="2">
      <x v="16"/>
    </i>
    <i r="3">
      <x v="27"/>
    </i>
    <i t="grand">
      <x/>
    </i>
  </rowItems>
  <colFields count="2">
    <field x="23"/>
    <field x="22"/>
  </colFields>
  <colItems count="15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3"/>
    </i>
    <i t="grand">
      <x/>
    </i>
  </colItems>
  <pageFields count="1">
    <pageField fld="15" hier="-1"/>
  </pageFields>
  <dataFields count="1">
    <dataField name="Sum of Amount (USD)" fld="9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DE5B1-5E52-40B9-AAC6-9F998777DD0E}" name="PivotTable7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61" firstHeaderRow="1" firstDataRow="3" firstDataCol="1" rowPageCount="1" colPageCount="1"/>
  <pivotFields count="24"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numFmtId="14" showAll="0">
      <items count="134">
        <item x="0"/>
        <item x="69"/>
        <item x="70"/>
        <item x="1"/>
        <item x="71"/>
        <item x="72"/>
        <item x="2"/>
        <item x="3"/>
        <item x="73"/>
        <item x="31"/>
        <item x="32"/>
        <item x="4"/>
        <item x="74"/>
        <item x="75"/>
        <item x="33"/>
        <item x="5"/>
        <item x="6"/>
        <item x="7"/>
        <item x="76"/>
        <item x="77"/>
        <item x="34"/>
        <item x="78"/>
        <item x="35"/>
        <item x="8"/>
        <item x="9"/>
        <item x="79"/>
        <item x="80"/>
        <item x="36"/>
        <item x="37"/>
        <item x="81"/>
        <item x="10"/>
        <item x="38"/>
        <item x="11"/>
        <item x="82"/>
        <item x="39"/>
        <item x="83"/>
        <item x="84"/>
        <item x="131"/>
        <item x="85"/>
        <item x="40"/>
        <item x="86"/>
        <item x="12"/>
        <item x="87"/>
        <item x="88"/>
        <item x="13"/>
        <item x="89"/>
        <item x="90"/>
        <item x="91"/>
        <item x="92"/>
        <item x="93"/>
        <item x="94"/>
        <item x="95"/>
        <item x="14"/>
        <item x="96"/>
        <item x="15"/>
        <item x="97"/>
        <item x="98"/>
        <item x="99"/>
        <item x="100"/>
        <item x="101"/>
        <item x="102"/>
        <item x="16"/>
        <item x="17"/>
        <item x="103"/>
        <item x="41"/>
        <item x="18"/>
        <item x="104"/>
        <item x="105"/>
        <item x="19"/>
        <item x="20"/>
        <item x="106"/>
        <item x="46"/>
        <item x="107"/>
        <item x="42"/>
        <item x="21"/>
        <item x="108"/>
        <item x="109"/>
        <item x="111"/>
        <item x="22"/>
        <item x="112"/>
        <item x="113"/>
        <item x="23"/>
        <item x="43"/>
        <item x="24"/>
        <item x="114"/>
        <item x="44"/>
        <item x="132"/>
        <item x="25"/>
        <item x="115"/>
        <item x="45"/>
        <item x="116"/>
        <item x="26"/>
        <item x="47"/>
        <item x="117"/>
        <item x="118"/>
        <item x="119"/>
        <item x="110"/>
        <item x="120"/>
        <item x="121"/>
        <item x="122"/>
        <item x="123"/>
        <item x="27"/>
        <item x="48"/>
        <item x="124"/>
        <item x="125"/>
        <item x="126"/>
        <item x="49"/>
        <item x="127"/>
        <item x="128"/>
        <item x="129"/>
        <item x="28"/>
        <item x="29"/>
        <item x="50"/>
        <item x="68"/>
        <item x="3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13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1">
        <item x="31"/>
        <item x="1"/>
        <item x="27"/>
        <item x="28"/>
        <item x="65"/>
        <item x="0"/>
        <item x="56"/>
        <item x="45"/>
        <item x="34"/>
        <item x="41"/>
        <item x="46"/>
        <item x="38"/>
        <item x="33"/>
        <item x="2"/>
        <item x="12"/>
        <item x="3"/>
        <item x="55"/>
        <item x="47"/>
        <item x="4"/>
        <item x="44"/>
        <item x="64"/>
        <item x="66"/>
        <item x="43"/>
        <item x="21"/>
        <item x="50"/>
        <item x="36"/>
        <item x="16"/>
        <item x="24"/>
        <item x="37"/>
        <item x="13"/>
        <item x="61"/>
        <item x="58"/>
        <item x="26"/>
        <item x="69"/>
        <item x="67"/>
        <item x="62"/>
        <item x="5"/>
        <item x="59"/>
        <item x="19"/>
        <item x="22"/>
        <item x="54"/>
        <item x="29"/>
        <item x="11"/>
        <item x="25"/>
        <item x="14"/>
        <item x="57"/>
        <item x="49"/>
        <item x="23"/>
        <item x="51"/>
        <item x="17"/>
        <item x="15"/>
        <item x="53"/>
        <item x="39"/>
        <item x="68"/>
        <item x="48"/>
        <item x="60"/>
        <item x="20"/>
        <item x="18"/>
        <item x="35"/>
        <item x="42"/>
        <item x="52"/>
        <item x="30"/>
        <item x="10"/>
        <item x="8"/>
        <item x="32"/>
        <item x="9"/>
        <item x="6"/>
        <item x="7"/>
        <item x="40"/>
        <item x="63"/>
        <item t="default"/>
      </items>
    </pivotField>
    <pivotField axis="axisRow" showAll="0">
      <items count="42">
        <item x="20"/>
        <item x="21"/>
        <item x="39"/>
        <item x="0"/>
        <item x="22"/>
        <item x="24"/>
        <item x="2"/>
        <item x="30"/>
        <item x="40"/>
        <item x="29"/>
        <item x="4"/>
        <item x="28"/>
        <item x="3"/>
        <item x="8"/>
        <item x="15"/>
        <item x="27"/>
        <item x="18"/>
        <item x="26"/>
        <item x="38"/>
        <item x="36"/>
        <item x="19"/>
        <item x="33"/>
        <item x="11"/>
        <item x="5"/>
        <item x="14"/>
        <item x="37"/>
        <item x="9"/>
        <item x="12"/>
        <item x="35"/>
        <item x="17"/>
        <item x="34"/>
        <item x="13"/>
        <item x="25"/>
        <item x="32"/>
        <item x="6"/>
        <item x="23"/>
        <item x="7"/>
        <item x="1"/>
        <item x="31"/>
        <item x="10"/>
        <item x="16"/>
        <item t="default"/>
      </items>
    </pivotField>
    <pivotField axis="axisPage" showAll="0">
      <items count="19">
        <item x="4"/>
        <item x="9"/>
        <item x="0"/>
        <item x="1"/>
        <item x="7"/>
        <item x="3"/>
        <item x="5"/>
        <item x="11"/>
        <item x="12"/>
        <item x="6"/>
        <item x="2"/>
        <item x="10"/>
        <item m="1" x="16"/>
        <item m="1" x="17"/>
        <item x="14"/>
        <item x="15"/>
        <item x="13"/>
        <item x="8"/>
        <item t="default"/>
      </items>
    </pivotField>
    <pivotField axis="axisRow" showAll="0">
      <items count="7">
        <item x="4"/>
        <item m="1" x="5"/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Col" showAll="0" defaultSubtotal="0">
      <items count="4">
        <item sd="0" x="0"/>
        <item sd="0" x="1"/>
        <item sd="0" x="2"/>
        <item sd="0" x="3"/>
      </items>
    </pivotField>
  </pivotFields>
  <rowFields count="4">
    <field x="16"/>
    <field x="1"/>
    <field x="14"/>
    <field x="13"/>
  </rowFields>
  <rowItems count="356">
    <i>
      <x/>
    </i>
    <i r="1">
      <x v="1"/>
    </i>
    <i r="2">
      <x v="9"/>
    </i>
    <i r="3">
      <x v="11"/>
    </i>
    <i r="2">
      <x v="10"/>
    </i>
    <i r="3">
      <x v="56"/>
    </i>
    <i r="3">
      <x v="57"/>
    </i>
    <i r="2">
      <x v="12"/>
    </i>
    <i r="3">
      <x v="15"/>
    </i>
    <i r="2">
      <x v="13"/>
    </i>
    <i r="3">
      <x v="49"/>
    </i>
    <i r="3">
      <x v="62"/>
    </i>
    <i r="2">
      <x v="23"/>
    </i>
    <i r="3">
      <x v="41"/>
    </i>
    <i r="2">
      <x v="32"/>
    </i>
    <i r="3">
      <x v="8"/>
    </i>
    <i r="2">
      <x v="36"/>
    </i>
    <i r="3">
      <x v="65"/>
    </i>
    <i r="2">
      <x v="37"/>
    </i>
    <i r="3">
      <x/>
    </i>
    <i r="3">
      <x v="1"/>
    </i>
    <i r="3">
      <x v="38"/>
    </i>
    <i r="3">
      <x v="39"/>
    </i>
    <i r="3">
      <x v="66"/>
    </i>
    <i r="3">
      <x v="67"/>
    </i>
    <i r="1">
      <x v="2"/>
    </i>
    <i r="2">
      <x v="10"/>
    </i>
    <i r="3">
      <x v="56"/>
    </i>
    <i r="2">
      <x v="13"/>
    </i>
    <i r="3">
      <x v="49"/>
    </i>
    <i r="3">
      <x v="62"/>
    </i>
    <i r="2">
      <x v="14"/>
    </i>
    <i r="3">
      <x v="22"/>
    </i>
    <i r="2">
      <x v="37"/>
    </i>
    <i r="3">
      <x v="67"/>
    </i>
    <i>
      <x v="2"/>
    </i>
    <i r="1">
      <x/>
    </i>
    <i r="2">
      <x v="3"/>
    </i>
    <i r="3">
      <x v="5"/>
    </i>
    <i r="2">
      <x v="6"/>
    </i>
    <i r="3">
      <x v="13"/>
    </i>
    <i r="2">
      <x v="10"/>
    </i>
    <i r="3">
      <x v="18"/>
    </i>
    <i r="3">
      <x v="56"/>
    </i>
    <i r="3">
      <x v="57"/>
    </i>
    <i r="2">
      <x v="13"/>
    </i>
    <i r="3">
      <x v="5"/>
    </i>
    <i r="3">
      <x v="49"/>
    </i>
    <i r="3">
      <x v="62"/>
    </i>
    <i r="2">
      <x v="16"/>
    </i>
    <i r="3">
      <x v="27"/>
    </i>
    <i r="2">
      <x v="22"/>
    </i>
    <i r="3">
      <x v="29"/>
    </i>
    <i r="2">
      <x v="23"/>
    </i>
    <i r="3">
      <x v="36"/>
    </i>
    <i r="2">
      <x v="24"/>
    </i>
    <i r="3">
      <x v="26"/>
    </i>
    <i r="2">
      <x v="26"/>
    </i>
    <i r="3">
      <x v="42"/>
    </i>
    <i r="3">
      <x v="43"/>
    </i>
    <i r="2">
      <x v="29"/>
    </i>
    <i r="3">
      <x v="47"/>
    </i>
    <i r="2">
      <x v="34"/>
    </i>
    <i r="3">
      <x v="63"/>
    </i>
    <i r="2">
      <x v="37"/>
    </i>
    <i r="3">
      <x v="1"/>
    </i>
    <i r="3">
      <x v="38"/>
    </i>
    <i r="3">
      <x v="67"/>
    </i>
    <i r="2">
      <x v="39"/>
    </i>
    <i r="3">
      <x v="14"/>
    </i>
    <i r="2">
      <x v="40"/>
    </i>
    <i r="3">
      <x v="42"/>
    </i>
    <i r="1">
      <x v="1"/>
    </i>
    <i r="2">
      <x/>
    </i>
    <i r="3">
      <x v="2"/>
    </i>
    <i r="2">
      <x v="1"/>
    </i>
    <i r="3">
      <x v="3"/>
    </i>
    <i r="2">
      <x v="2"/>
    </i>
    <i r="3">
      <x v="33"/>
    </i>
    <i r="2">
      <x v="3"/>
    </i>
    <i r="3">
      <x v="5"/>
    </i>
    <i r="2">
      <x v="4"/>
    </i>
    <i r="3">
      <x v="61"/>
    </i>
    <i r="2">
      <x v="5"/>
    </i>
    <i r="3">
      <x v="12"/>
    </i>
    <i r="2">
      <x v="7"/>
    </i>
    <i r="3">
      <x v="52"/>
    </i>
    <i r="2">
      <x v="8"/>
    </i>
    <i r="3">
      <x v="53"/>
    </i>
    <i r="2">
      <x v="10"/>
    </i>
    <i r="3">
      <x v="18"/>
    </i>
    <i r="3">
      <x v="56"/>
    </i>
    <i r="3">
      <x v="57"/>
    </i>
    <i r="3">
      <x v="58"/>
    </i>
    <i r="3">
      <x v="59"/>
    </i>
    <i r="2">
      <x v="11"/>
    </i>
    <i r="3">
      <x v="28"/>
    </i>
    <i r="2">
      <x v="12"/>
    </i>
    <i r="3">
      <x v="15"/>
    </i>
    <i r="2">
      <x v="13"/>
    </i>
    <i r="3">
      <x v="49"/>
    </i>
    <i r="3">
      <x v="62"/>
    </i>
    <i r="2">
      <x v="14"/>
    </i>
    <i r="3">
      <x v="23"/>
    </i>
    <i r="2">
      <x v="15"/>
    </i>
    <i r="3">
      <x v="25"/>
    </i>
    <i r="2">
      <x v="16"/>
    </i>
    <i r="3">
      <x v="27"/>
    </i>
    <i r="2">
      <x v="17"/>
    </i>
    <i r="3">
      <x v="29"/>
    </i>
    <i r="2">
      <x v="20"/>
    </i>
    <i r="3">
      <x v="32"/>
    </i>
    <i r="2">
      <x v="22"/>
    </i>
    <i r="3">
      <x v="29"/>
    </i>
    <i r="2">
      <x v="23"/>
    </i>
    <i r="3">
      <x v="36"/>
    </i>
    <i r="3">
      <x v="41"/>
    </i>
    <i r="2">
      <x v="24"/>
    </i>
    <i r="3">
      <x v="26"/>
    </i>
    <i r="2">
      <x v="26"/>
    </i>
    <i r="3">
      <x v="42"/>
    </i>
    <i r="2">
      <x v="29"/>
    </i>
    <i r="3">
      <x v="47"/>
    </i>
    <i r="2">
      <x v="34"/>
    </i>
    <i r="3">
      <x v="63"/>
    </i>
    <i r="2">
      <x v="35"/>
    </i>
    <i r="3">
      <x v="64"/>
    </i>
    <i r="2">
      <x v="36"/>
    </i>
    <i r="3">
      <x v="65"/>
    </i>
    <i r="2">
      <x v="37"/>
    </i>
    <i r="3">
      <x/>
    </i>
    <i r="3">
      <x v="1"/>
    </i>
    <i r="3">
      <x v="38"/>
    </i>
    <i r="3">
      <x v="66"/>
    </i>
    <i r="3">
      <x v="67"/>
    </i>
    <i r="2">
      <x v="38"/>
    </i>
    <i r="3">
      <x v="9"/>
    </i>
    <i r="3">
      <x v="68"/>
    </i>
    <i r="1">
      <x v="2"/>
    </i>
    <i r="2">
      <x/>
    </i>
    <i r="3">
      <x v="2"/>
    </i>
    <i r="2">
      <x v="1"/>
    </i>
    <i r="3">
      <x v="3"/>
    </i>
    <i r="2">
      <x v="2"/>
    </i>
    <i r="3">
      <x v="34"/>
    </i>
    <i r="3">
      <x v="35"/>
    </i>
    <i r="2">
      <x v="3"/>
    </i>
    <i r="3">
      <x v="5"/>
    </i>
    <i r="2">
      <x v="5"/>
    </i>
    <i r="3">
      <x v="12"/>
    </i>
    <i r="2">
      <x v="6"/>
    </i>
    <i r="3">
      <x v="13"/>
    </i>
    <i r="2">
      <x v="7"/>
    </i>
    <i r="3">
      <x v="40"/>
    </i>
    <i r="3">
      <x v="52"/>
    </i>
    <i r="2">
      <x v="8"/>
    </i>
    <i r="3">
      <x v="53"/>
    </i>
    <i r="2">
      <x v="9"/>
    </i>
    <i r="3">
      <x v="11"/>
    </i>
    <i r="2">
      <x v="10"/>
    </i>
    <i r="3">
      <x v="18"/>
    </i>
    <i r="3">
      <x v="56"/>
    </i>
    <i r="3">
      <x v="57"/>
    </i>
    <i r="3">
      <x v="58"/>
    </i>
    <i r="3">
      <x v="60"/>
    </i>
    <i r="2">
      <x v="11"/>
    </i>
    <i r="3">
      <x v="69"/>
    </i>
    <i r="2">
      <x v="12"/>
    </i>
    <i r="3">
      <x v="15"/>
    </i>
    <i r="2">
      <x v="13"/>
    </i>
    <i r="3">
      <x v="49"/>
    </i>
    <i r="3">
      <x v="62"/>
    </i>
    <i r="2">
      <x v="14"/>
    </i>
    <i r="3">
      <x v="19"/>
    </i>
    <i r="3">
      <x v="21"/>
    </i>
    <i r="3">
      <x v="22"/>
    </i>
    <i r="3">
      <x v="24"/>
    </i>
    <i r="2">
      <x v="16"/>
    </i>
    <i r="3">
      <x v="27"/>
    </i>
    <i r="2">
      <x v="18"/>
    </i>
    <i r="3">
      <x v="30"/>
    </i>
    <i r="2">
      <x v="20"/>
    </i>
    <i r="3">
      <x v="32"/>
    </i>
    <i r="2">
      <x v="22"/>
    </i>
    <i r="3">
      <x v="29"/>
    </i>
    <i r="2">
      <x v="23"/>
    </i>
    <i r="3">
      <x v="10"/>
    </i>
    <i r="3">
      <x v="36"/>
    </i>
    <i r="3">
      <x v="41"/>
    </i>
    <i r="2">
      <x v="24"/>
    </i>
    <i r="3">
      <x v="16"/>
    </i>
    <i r="3">
      <x v="26"/>
    </i>
    <i r="2">
      <x v="25"/>
    </i>
    <i r="3">
      <x v="37"/>
    </i>
    <i r="2">
      <x v="26"/>
    </i>
    <i r="3">
      <x v="42"/>
    </i>
    <i r="2">
      <x v="28"/>
    </i>
    <i r="3">
      <x v="45"/>
    </i>
    <i r="2">
      <x v="29"/>
    </i>
    <i r="3">
      <x v="47"/>
    </i>
    <i r="2">
      <x v="30"/>
    </i>
    <i r="3">
      <x v="48"/>
    </i>
    <i r="2">
      <x v="32"/>
    </i>
    <i r="3">
      <x v="7"/>
    </i>
    <i r="3">
      <x v="8"/>
    </i>
    <i r="3">
      <x v="17"/>
    </i>
    <i r="2">
      <x v="33"/>
    </i>
    <i r="3">
      <x v="54"/>
    </i>
    <i r="2">
      <x v="34"/>
    </i>
    <i r="3">
      <x v="63"/>
    </i>
    <i r="2">
      <x v="35"/>
    </i>
    <i r="3">
      <x v="64"/>
    </i>
    <i r="2">
      <x v="37"/>
    </i>
    <i r="3">
      <x/>
    </i>
    <i r="3">
      <x v="38"/>
    </i>
    <i r="3">
      <x v="39"/>
    </i>
    <i r="3">
      <x v="66"/>
    </i>
    <i r="3">
      <x v="67"/>
    </i>
    <i r="2">
      <x v="38"/>
    </i>
    <i r="3">
      <x v="9"/>
    </i>
    <i r="3">
      <x v="68"/>
    </i>
    <i r="2">
      <x v="39"/>
    </i>
    <i r="3">
      <x v="14"/>
    </i>
    <i>
      <x v="3"/>
    </i>
    <i r="1">
      <x/>
    </i>
    <i r="2">
      <x v="14"/>
    </i>
    <i r="3">
      <x v="23"/>
    </i>
    <i r="2">
      <x v="16"/>
    </i>
    <i r="3">
      <x v="27"/>
    </i>
    <i r="1">
      <x v="1"/>
    </i>
    <i r="2">
      <x v="16"/>
    </i>
    <i r="3">
      <x v="27"/>
    </i>
    <i r="1">
      <x v="2"/>
    </i>
    <i r="2">
      <x v="3"/>
    </i>
    <i r="3">
      <x v="5"/>
    </i>
    <i r="2">
      <x v="14"/>
    </i>
    <i r="3">
      <x v="4"/>
    </i>
    <i r="3">
      <x v="20"/>
    </i>
    <i r="3">
      <x v="22"/>
    </i>
    <i r="2">
      <x v="16"/>
    </i>
    <i r="3">
      <x v="27"/>
    </i>
    <i r="2">
      <x v="21"/>
    </i>
    <i r="3">
      <x v="46"/>
    </i>
    <i r="2">
      <x v="33"/>
    </i>
    <i r="3">
      <x v="54"/>
    </i>
    <i>
      <x v="4"/>
    </i>
    <i r="1">
      <x/>
    </i>
    <i r="2">
      <x v="10"/>
    </i>
    <i r="3">
      <x v="57"/>
    </i>
    <i r="2">
      <x v="12"/>
    </i>
    <i r="3">
      <x v="15"/>
    </i>
    <i r="2">
      <x v="13"/>
    </i>
    <i r="3">
      <x v="49"/>
    </i>
    <i r="2">
      <x v="27"/>
    </i>
    <i r="3">
      <x v="44"/>
    </i>
    <i r="2">
      <x v="31"/>
    </i>
    <i r="3">
      <x v="50"/>
    </i>
    <i r="2">
      <x v="37"/>
    </i>
    <i r="3">
      <x v="39"/>
    </i>
    <i r="3">
      <x v="67"/>
    </i>
    <i r="1">
      <x v="1"/>
    </i>
    <i r="2">
      <x v="13"/>
    </i>
    <i r="3">
      <x v="49"/>
    </i>
    <i r="3">
      <x v="62"/>
    </i>
    <i r="1">
      <x v="2"/>
    </i>
    <i r="2">
      <x v="1"/>
    </i>
    <i r="3">
      <x v="3"/>
    </i>
    <i r="2">
      <x v="3"/>
    </i>
    <i r="3">
      <x v="5"/>
    </i>
    <i r="2">
      <x v="10"/>
    </i>
    <i r="3">
      <x v="18"/>
    </i>
    <i r="3">
      <x v="58"/>
    </i>
    <i r="2">
      <x v="13"/>
    </i>
    <i r="3">
      <x v="49"/>
    </i>
    <i r="3">
      <x v="55"/>
    </i>
    <i r="3">
      <x v="62"/>
    </i>
    <i r="2">
      <x v="14"/>
    </i>
    <i r="3">
      <x v="19"/>
    </i>
    <i r="2">
      <x v="20"/>
    </i>
    <i r="3">
      <x v="32"/>
    </i>
    <i r="2">
      <x v="23"/>
    </i>
    <i r="3">
      <x v="10"/>
    </i>
    <i r="3">
      <x v="36"/>
    </i>
    <i r="2">
      <x v="31"/>
    </i>
    <i r="3">
      <x v="50"/>
    </i>
    <i r="3">
      <x v="51"/>
    </i>
    <i r="2">
      <x v="32"/>
    </i>
    <i r="3">
      <x v="7"/>
    </i>
    <i r="3">
      <x v="8"/>
    </i>
    <i r="2">
      <x v="34"/>
    </i>
    <i r="3">
      <x v="63"/>
    </i>
    <i r="2">
      <x v="37"/>
    </i>
    <i r="3">
      <x/>
    </i>
    <i r="3">
      <x v="38"/>
    </i>
    <i r="3">
      <x v="66"/>
    </i>
    <i r="3">
      <x v="67"/>
    </i>
    <i>
      <x v="5"/>
    </i>
    <i r="1">
      <x/>
    </i>
    <i r="2">
      <x v="13"/>
    </i>
    <i r="3">
      <x v="49"/>
    </i>
    <i r="2">
      <x v="31"/>
    </i>
    <i r="3">
      <x v="50"/>
    </i>
    <i r="2">
      <x v="36"/>
    </i>
    <i r="3">
      <x v="65"/>
    </i>
    <i r="2">
      <x v="37"/>
    </i>
    <i r="3">
      <x v="66"/>
    </i>
    <i r="3">
      <x v="67"/>
    </i>
    <i r="1">
      <x v="1"/>
    </i>
    <i r="2">
      <x v="10"/>
    </i>
    <i r="3">
      <x v="56"/>
    </i>
    <i r="3">
      <x v="57"/>
    </i>
    <i r="2">
      <x v="13"/>
    </i>
    <i r="3">
      <x v="49"/>
    </i>
    <i r="3">
      <x v="62"/>
    </i>
    <i r="2">
      <x v="23"/>
    </i>
    <i r="3">
      <x v="36"/>
    </i>
    <i r="2">
      <x v="31"/>
    </i>
    <i r="3">
      <x v="50"/>
    </i>
    <i r="2">
      <x v="32"/>
    </i>
    <i r="3">
      <x v="8"/>
    </i>
    <i r="2">
      <x v="36"/>
    </i>
    <i r="3">
      <x v="65"/>
    </i>
    <i r="2">
      <x v="37"/>
    </i>
    <i r="3">
      <x/>
    </i>
    <i r="3">
      <x v="1"/>
    </i>
    <i r="3">
      <x v="38"/>
    </i>
    <i r="3">
      <x v="39"/>
    </i>
    <i r="3">
      <x v="66"/>
    </i>
    <i r="3">
      <x v="67"/>
    </i>
    <i r="1">
      <x v="2"/>
    </i>
    <i r="2">
      <x v="9"/>
    </i>
    <i r="3">
      <x v="11"/>
    </i>
    <i r="2">
      <x v="10"/>
    </i>
    <i r="3">
      <x v="60"/>
    </i>
    <i r="2">
      <x v="13"/>
    </i>
    <i r="3">
      <x v="49"/>
    </i>
    <i r="3">
      <x v="62"/>
    </i>
    <i r="2">
      <x v="19"/>
    </i>
    <i r="3">
      <x v="31"/>
    </i>
    <i r="2">
      <x v="31"/>
    </i>
    <i r="3">
      <x v="50"/>
    </i>
    <i r="2">
      <x v="32"/>
    </i>
    <i r="3">
      <x v="6"/>
    </i>
    <i r="3">
      <x v="7"/>
    </i>
    <i r="3">
      <x v="8"/>
    </i>
    <i r="3">
      <x v="17"/>
    </i>
    <i r="2">
      <x v="34"/>
    </i>
    <i r="3">
      <x v="63"/>
    </i>
    <i r="2">
      <x v="37"/>
    </i>
    <i r="3">
      <x/>
    </i>
    <i r="3">
      <x v="1"/>
    </i>
    <i r="3">
      <x v="38"/>
    </i>
    <i r="3">
      <x v="39"/>
    </i>
    <i r="3">
      <x v="66"/>
    </i>
    <i r="3">
      <x v="67"/>
    </i>
    <i t="grand">
      <x/>
    </i>
  </rowItems>
  <colFields count="2">
    <field x="23"/>
    <field x="22"/>
  </colFields>
  <colItems count="3">
    <i>
      <x v="1"/>
    </i>
    <i>
      <x v="2"/>
    </i>
    <i t="grand">
      <x/>
    </i>
  </colItems>
  <pageFields count="1">
    <pageField fld="15" hier="-1"/>
  </pageFields>
  <dataFields count="1">
    <dataField name="Sum of Amount (USD)" fld="9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B4E1D-1115-48C1-81F0-8ACD2F73637A}" name="PivotTable13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5" firstHeaderRow="1" firstDataRow="1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73" showAll="0">
      <items count="17">
        <item x="6"/>
        <item x="0"/>
        <item x="7"/>
        <item x="3"/>
        <item x="1"/>
        <item x="5"/>
        <item x="4"/>
        <item x="9"/>
        <item x="2"/>
        <item x="8"/>
        <item x="10"/>
        <item x="11"/>
        <item x="12"/>
        <item x="13"/>
        <item x="14"/>
        <item x="15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1"/>
        <item x="2"/>
        <item x="3"/>
        <item x="4"/>
        <item x="0"/>
        <item x="5"/>
        <item t="default"/>
      </items>
    </pivotField>
    <pivotField axis="axisRow" showAll="0">
      <items count="4">
        <item x="1"/>
        <item x="0"/>
        <item x="2"/>
        <item t="default"/>
      </items>
    </pivotField>
  </pivotFields>
  <rowFields count="4">
    <field x="8"/>
    <field x="7"/>
    <field x="6"/>
    <field x="1"/>
  </rowFields>
  <rowItems count="22">
    <i>
      <x/>
    </i>
    <i r="1">
      <x/>
    </i>
    <i r="2">
      <x v="2"/>
    </i>
    <i r="3">
      <x/>
    </i>
    <i r="3">
      <x v="2"/>
    </i>
    <i r="2">
      <x v="3"/>
    </i>
    <i r="3">
      <x/>
    </i>
    <i r="3">
      <x v="1"/>
    </i>
    <i r="3">
      <x v="2"/>
    </i>
    <i r="1">
      <x v="1"/>
    </i>
    <i r="2">
      <x v="4"/>
    </i>
    <i r="3">
      <x/>
    </i>
    <i r="3">
      <x v="1"/>
    </i>
    <i r="3">
      <x v="2"/>
    </i>
    <i r="2">
      <x v="5"/>
    </i>
    <i r="3">
      <x/>
    </i>
    <i r="3">
      <x v="2"/>
    </i>
    <i r="2">
      <x v="6"/>
    </i>
    <i r="3">
      <x/>
    </i>
    <i r="3">
      <x v="1"/>
    </i>
    <i r="3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051D9-1EC0-4B6C-85D6-B09646C643DA}" name="PivotTable6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83" firstHeaderRow="1" firstDataRow="4" firstDataCol="1"/>
  <pivotFields count="16">
    <pivotField showAll="0"/>
    <pivotField axis="axisRow" numFmtId="14" showAll="0">
      <items count="5">
        <item x="0"/>
        <item x="1"/>
        <item x="2"/>
        <item x="3"/>
        <item t="default"/>
      </items>
    </pivotField>
    <pivotField axis="axisCol" numFmtId="14" showAll="0">
      <items count="10">
        <item x="0"/>
        <item x="2"/>
        <item x="1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43" showAll="0"/>
    <pivotField dataField="1" numFmtId="43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x="1"/>
        <item x="2"/>
        <item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 defaultSubtotal="0">
      <items count="14">
        <item sd="0" x="0"/>
        <item x="1"/>
        <item x="2"/>
        <item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5">
    <field x="13"/>
    <field x="12"/>
    <field x="1"/>
    <field x="10"/>
    <field x="8"/>
  </rowFields>
  <rowItems count="77">
    <i>
      <x v="1"/>
    </i>
    <i r="1">
      <x v="31"/>
    </i>
    <i r="2">
      <x/>
    </i>
    <i r="3">
      <x/>
    </i>
    <i r="4">
      <x/>
    </i>
    <i r="4">
      <x v="2"/>
    </i>
    <i r="3">
      <x v="1"/>
    </i>
    <i r="4">
      <x/>
    </i>
    <i r="4">
      <x v="2"/>
    </i>
    <i r="3">
      <x v="2"/>
    </i>
    <i r="4">
      <x/>
    </i>
    <i r="4">
      <x v="2"/>
    </i>
    <i r="3">
      <x v="3"/>
    </i>
    <i r="4">
      <x/>
    </i>
    <i r="4">
      <x v="2"/>
    </i>
    <i r="3">
      <x v="4"/>
    </i>
    <i r="4">
      <x/>
    </i>
    <i r="4">
      <x v="2"/>
    </i>
    <i>
      <x v="2"/>
    </i>
    <i r="1">
      <x v="59"/>
    </i>
    <i r="2">
      <x v="1"/>
    </i>
    <i r="3">
      <x/>
    </i>
    <i r="4">
      <x/>
    </i>
    <i r="4">
      <x v="2"/>
    </i>
    <i r="3">
      <x v="1"/>
    </i>
    <i r="4">
      <x/>
    </i>
    <i r="4">
      <x v="2"/>
    </i>
    <i r="3">
      <x v="2"/>
    </i>
    <i r="4">
      <x/>
    </i>
    <i r="4">
      <x v="2"/>
    </i>
    <i r="3">
      <x v="3"/>
    </i>
    <i r="4">
      <x/>
    </i>
    <i r="4">
      <x v="2"/>
    </i>
    <i r="3">
      <x v="4"/>
    </i>
    <i r="4">
      <x/>
    </i>
    <i r="4">
      <x v="2"/>
    </i>
    <i>
      <x v="3"/>
    </i>
    <i r="1">
      <x v="91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2"/>
    </i>
    <i r="3">
      <x v="4"/>
    </i>
    <i r="4">
      <x/>
    </i>
    <i r="4">
      <x v="1"/>
    </i>
    <i r="4">
      <x v="2"/>
    </i>
    <i>
      <x v="4"/>
    </i>
    <i r="1">
      <x v="121"/>
    </i>
    <i r="2">
      <x v="3"/>
    </i>
    <i r="3">
      <x/>
    </i>
    <i r="4">
      <x/>
    </i>
    <i r="4">
      <x v="2"/>
    </i>
    <i r="3">
      <x v="1"/>
    </i>
    <i r="4">
      <x/>
    </i>
    <i r="4">
      <x v="2"/>
    </i>
    <i r="3">
      <x v="2"/>
    </i>
    <i r="4">
      <x/>
    </i>
    <i r="4">
      <x v="2"/>
    </i>
    <i r="3">
      <x v="3"/>
    </i>
    <i r="4">
      <x/>
    </i>
    <i r="4">
      <x v="2"/>
    </i>
    <i r="3">
      <x v="4"/>
    </i>
    <i r="4">
      <x/>
    </i>
    <i r="4">
      <x v="2"/>
    </i>
    <i t="grand">
      <x/>
    </i>
  </rowItems>
  <colFields count="3">
    <field x="15"/>
    <field x="14"/>
    <field x="2"/>
  </colFields>
  <colItems count="10">
    <i>
      <x v="1"/>
      <x v="30"/>
    </i>
    <i>
      <x v="2"/>
      <x v="33"/>
    </i>
    <i r="1">
      <x v="43"/>
    </i>
    <i r="1">
      <x v="58"/>
    </i>
    <i>
      <x v="3"/>
      <x v="73"/>
    </i>
    <i r="1">
      <x v="91"/>
    </i>
    <i>
      <x v="4"/>
      <x v="106"/>
    </i>
    <i r="1">
      <x v="121"/>
    </i>
    <i>
      <x v="5"/>
      <x v="136"/>
    </i>
    <i t="grand">
      <x/>
    </i>
  </colItems>
  <dataFields count="1">
    <dataField name="Sum of Amount (USD)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27EAB-3712-47C4-9706-D0CFBC14105C}" name="PivotTable3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2:AD28" firstHeaderRow="1" firstDataRow="4" firstDataCol="1"/>
  <pivotFields count="16">
    <pivotField showAll="0"/>
    <pivotField numFmtId="14" showAll="0">
      <items count="5">
        <item x="0"/>
        <item x="1"/>
        <item x="2"/>
        <item x="3"/>
        <item t="default"/>
      </items>
    </pivotField>
    <pivotField axis="axisCol" numFmtId="14" showAll="0">
      <items count="10">
        <item x="0"/>
        <item x="2"/>
        <item x="1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43" showAll="0"/>
    <pivotField dataField="1" numFmtId="43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8"/>
  </rowFields>
  <rowItems count="23">
    <i>
      <x/>
    </i>
    <i r="1">
      <x v="1"/>
    </i>
    <i r="2">
      <x/>
    </i>
    <i r="2">
      <x v="1"/>
    </i>
    <i r="2">
      <x v="2"/>
    </i>
    <i>
      <x v="1"/>
    </i>
    <i r="1">
      <x v="2"/>
    </i>
    <i r="2">
      <x/>
    </i>
    <i r="2">
      <x v="1"/>
    </i>
    <i r="2">
      <x v="2"/>
    </i>
    <i r="1">
      <x v="3"/>
    </i>
    <i r="2">
      <x/>
    </i>
    <i r="2">
      <x v="2"/>
    </i>
    <i>
      <x v="2"/>
    </i>
    <i r="1">
      <x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t="grand">
      <x/>
    </i>
  </rowItems>
  <colFields count="3">
    <field x="15"/>
    <field x="14"/>
    <field x="2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 (USD)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2A5EB-701E-4AA3-B449-02F7AED90310}" name="PivotTable2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:U28" firstHeaderRow="1" firstDataRow="4" firstDataCol="1"/>
  <pivotFields count="16">
    <pivotField showAll="0"/>
    <pivotField axis="axisCol" numFmtId="14" showAll="0">
      <items count="5">
        <item x="0"/>
        <item x="1"/>
        <item x="2"/>
        <item x="3"/>
        <item t="default"/>
      </items>
    </pivotField>
    <pivotField numFmtId="14" showAll="0">
      <items count="10">
        <item x="0"/>
        <item x="2"/>
        <item x="1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43" showAll="0"/>
    <pivotField dataField="1" numFmtId="43"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2">
        <item x="0"/>
        <item t="default"/>
      </items>
    </pivotField>
    <pivotField axis="axisRow" showAll="0">
      <items count="6">
        <item x="4"/>
        <item x="1"/>
        <item x="3"/>
        <item x="2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1"/>
    <field x="10"/>
    <field x="8"/>
  </rowFields>
  <rowItems count="23">
    <i>
      <x/>
    </i>
    <i r="1">
      <x v="1"/>
    </i>
    <i r="2">
      <x/>
    </i>
    <i r="2">
      <x v="1"/>
    </i>
    <i r="2">
      <x v="2"/>
    </i>
    <i>
      <x v="1"/>
    </i>
    <i r="1">
      <x v="2"/>
    </i>
    <i r="2">
      <x/>
    </i>
    <i r="2">
      <x v="1"/>
    </i>
    <i r="2">
      <x v="2"/>
    </i>
    <i r="1">
      <x v="3"/>
    </i>
    <i r="2">
      <x/>
    </i>
    <i r="2">
      <x v="2"/>
    </i>
    <i>
      <x v="2"/>
    </i>
    <i r="1">
      <x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t="grand">
      <x/>
    </i>
  </rowItems>
  <colFields count="3">
    <field x="13"/>
    <field x="12"/>
    <field x="1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Amount (USD)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3C1AA-6E98-4318-9179-2F44F7DD3AF2}" name="PivotTable2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49" firstHeaderRow="1" firstDataRow="4" firstDataCol="1"/>
  <pivotFields count="16">
    <pivotField showAll="0"/>
    <pivotField axis="axisRow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numFmtId="14" showAll="0">
      <items count="13">
        <item x="0"/>
        <item x="1"/>
        <item x="2"/>
        <item x="4"/>
        <item x="3"/>
        <item x="6"/>
        <item x="7"/>
        <item x="5"/>
        <item x="8"/>
        <item x="9"/>
        <item x="10"/>
        <item x="11"/>
        <item t="default"/>
      </items>
    </pivotField>
    <pivotField showAll="0"/>
    <pivotField showAll="0"/>
    <pivotField showAll="0"/>
    <pivotField dataField="1" numFmtId="43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axis="axisRow" showAll="0">
      <items count="13">
        <item x="2"/>
        <item x="4"/>
        <item m="1" x="11"/>
        <item x="10"/>
        <item x="8"/>
        <item x="9"/>
        <item x="0"/>
        <item x="1"/>
        <item x="5"/>
        <item x="7"/>
        <item x="6"/>
        <item x="3"/>
        <item t="default"/>
      </items>
    </pivotField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x="59"/>
        <item sd="0" x="60"/>
        <item sd="0" x="61"/>
        <item sd="0" x="62"/>
        <item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x="121"/>
        <item sd="0" x="122"/>
        <item sd="0" x="123"/>
        <item sd="0" x="124"/>
        <item sd="0" x="125"/>
        <item sd="0" x="126"/>
        <item sd="0" x="127"/>
        <item sd="0" x="128"/>
        <item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x="1"/>
        <item x="2"/>
        <item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 defaultSubtotal="0">
      <items count="14">
        <item sd="0" x="0"/>
        <item x="1"/>
        <item x="2"/>
        <item x="3"/>
        <item x="4"/>
        <item x="5"/>
        <item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5">
    <field x="13"/>
    <field x="12"/>
    <field x="1"/>
    <field x="10"/>
    <field x="8"/>
  </rowFields>
  <rowItems count="143">
    <i>
      <x v="1"/>
    </i>
    <i r="1">
      <x v="31"/>
    </i>
    <i r="2">
      <x/>
    </i>
    <i r="3">
      <x/>
    </i>
    <i r="4">
      <x/>
    </i>
    <i r="4">
      <x v="2"/>
    </i>
    <i r="3">
      <x v="1"/>
    </i>
    <i r="4">
      <x/>
    </i>
    <i r="4">
      <x v="2"/>
    </i>
    <i r="3">
      <x v="4"/>
    </i>
    <i r="4">
      <x/>
    </i>
    <i r="4">
      <x v="2"/>
    </i>
    <i r="3">
      <x v="6"/>
    </i>
    <i r="4">
      <x/>
    </i>
    <i r="4">
      <x v="2"/>
    </i>
    <i r="3">
      <x v="7"/>
    </i>
    <i r="4">
      <x/>
    </i>
    <i r="4">
      <x v="2"/>
    </i>
    <i r="3">
      <x v="8"/>
    </i>
    <i r="4">
      <x/>
    </i>
    <i r="4">
      <x v="2"/>
    </i>
    <i r="3">
      <x v="9"/>
    </i>
    <i r="4">
      <x/>
    </i>
    <i r="4">
      <x v="2"/>
    </i>
    <i r="3">
      <x v="10"/>
    </i>
    <i r="4">
      <x/>
    </i>
    <i r="4">
      <x v="2"/>
    </i>
    <i r="3">
      <x v="11"/>
    </i>
    <i r="4">
      <x/>
    </i>
    <i r="4">
      <x v="2"/>
    </i>
    <i>
      <x v="2"/>
    </i>
    <i r="1">
      <x v="59"/>
    </i>
    <i r="2">
      <x v="1"/>
    </i>
    <i r="3">
      <x/>
    </i>
    <i r="4">
      <x/>
    </i>
    <i r="4">
      <x v="2"/>
    </i>
    <i r="3">
      <x v="1"/>
    </i>
    <i r="4">
      <x/>
    </i>
    <i r="4">
      <x v="2"/>
    </i>
    <i r="3">
      <x v="4"/>
    </i>
    <i r="4">
      <x/>
    </i>
    <i r="4">
      <x v="2"/>
    </i>
    <i r="3">
      <x v="6"/>
    </i>
    <i r="4">
      <x/>
    </i>
    <i r="4">
      <x v="2"/>
    </i>
    <i r="3">
      <x v="7"/>
    </i>
    <i r="4">
      <x/>
    </i>
    <i r="4">
      <x v="2"/>
    </i>
    <i r="3">
      <x v="8"/>
    </i>
    <i r="4">
      <x/>
    </i>
    <i r="4">
      <x v="2"/>
    </i>
    <i r="3">
      <x v="9"/>
    </i>
    <i r="4">
      <x/>
    </i>
    <i r="4">
      <x v="2"/>
    </i>
    <i r="3">
      <x v="10"/>
    </i>
    <i r="4">
      <x/>
    </i>
    <i r="4">
      <x v="2"/>
    </i>
    <i r="3">
      <x v="11"/>
    </i>
    <i r="4">
      <x/>
    </i>
    <i r="4">
      <x v="2"/>
    </i>
    <i>
      <x v="3"/>
    </i>
    <i r="1">
      <x v="63"/>
    </i>
    <i r="2">
      <x v="2"/>
    </i>
    <i r="3">
      <x v="1"/>
    </i>
    <i r="4">
      <x/>
    </i>
    <i r="4">
      <x v="2"/>
    </i>
    <i r="1">
      <x v="77"/>
    </i>
    <i r="2">
      <x v="3"/>
    </i>
    <i r="3">
      <x v="9"/>
    </i>
    <i r="4">
      <x/>
    </i>
    <i r="4">
      <x v="2"/>
    </i>
    <i r="1">
      <x v="91"/>
    </i>
    <i r="2">
      <x v="4"/>
    </i>
    <i r="3">
      <x/>
    </i>
    <i r="4">
      <x/>
    </i>
    <i r="4">
      <x v="2"/>
    </i>
    <i r="3">
      <x v="1"/>
    </i>
    <i r="4">
      <x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2"/>
    </i>
    <i r="3">
      <x v="6"/>
    </i>
    <i r="4">
      <x/>
    </i>
    <i r="4">
      <x v="2"/>
    </i>
    <i r="3">
      <x v="7"/>
    </i>
    <i r="4">
      <x/>
    </i>
    <i r="4">
      <x v="1"/>
    </i>
    <i r="4">
      <x v="2"/>
    </i>
    <i r="3">
      <x v="8"/>
    </i>
    <i r="4">
      <x/>
    </i>
    <i r="4">
      <x v="1"/>
    </i>
    <i r="4">
      <x v="2"/>
    </i>
    <i r="3">
      <x v="10"/>
    </i>
    <i r="4">
      <x/>
    </i>
    <i r="4">
      <x v="2"/>
    </i>
    <i r="3">
      <x v="11"/>
    </i>
    <i r="4">
      <x/>
    </i>
    <i r="4">
      <x v="2"/>
    </i>
    <i>
      <x v="4"/>
    </i>
    <i r="1">
      <x v="121"/>
    </i>
    <i r="2">
      <x v="5"/>
    </i>
    <i r="3">
      <x/>
    </i>
    <i r="4">
      <x/>
    </i>
    <i r="4">
      <x v="2"/>
    </i>
    <i r="3">
      <x v="1"/>
    </i>
    <i r="4">
      <x/>
    </i>
    <i r="4">
      <x v="2"/>
    </i>
    <i r="3">
      <x v="3"/>
    </i>
    <i r="4">
      <x/>
    </i>
    <i r="4">
      <x v="2"/>
    </i>
    <i r="3">
      <x v="4"/>
    </i>
    <i r="4">
      <x/>
    </i>
    <i r="4">
      <x v="2"/>
    </i>
    <i r="3">
      <x v="5"/>
    </i>
    <i r="4">
      <x/>
    </i>
    <i r="4">
      <x v="2"/>
    </i>
    <i r="3">
      <x v="6"/>
    </i>
    <i r="4">
      <x/>
    </i>
    <i r="4">
      <x v="2"/>
    </i>
    <i r="3">
      <x v="7"/>
    </i>
    <i r="4">
      <x/>
    </i>
    <i r="4">
      <x v="2"/>
    </i>
    <i r="3">
      <x v="8"/>
    </i>
    <i r="4">
      <x/>
    </i>
    <i r="4">
      <x v="2"/>
    </i>
    <i r="3">
      <x v="10"/>
    </i>
    <i r="4">
      <x/>
    </i>
    <i r="4">
      <x v="2"/>
    </i>
    <i r="3">
      <x v="11"/>
    </i>
    <i r="4">
      <x/>
    </i>
    <i r="4">
      <x v="2"/>
    </i>
    <i>
      <x v="5"/>
    </i>
    <i r="1">
      <x v="129"/>
    </i>
    <i r="2">
      <x v="6"/>
    </i>
    <i r="3">
      <x v="11"/>
    </i>
    <i r="4">
      <x/>
    </i>
    <i r="4">
      <x v="2"/>
    </i>
    <i t="grand">
      <x/>
    </i>
  </rowItems>
  <colFields count="3">
    <field x="15"/>
    <field x="14"/>
    <field x="2"/>
  </colFields>
  <colItems count="13">
    <i>
      <x v="1"/>
      <x v="30"/>
    </i>
    <i>
      <x v="2"/>
      <x v="36"/>
    </i>
    <i>
      <x v="3"/>
      <x v="62"/>
    </i>
    <i r="1">
      <x v="63"/>
    </i>
    <i r="1">
      <x v="69"/>
    </i>
    <i r="1">
      <x v="77"/>
    </i>
    <i r="1">
      <x v="91"/>
    </i>
    <i>
      <x v="4"/>
      <x v="99"/>
    </i>
    <i r="1">
      <x v="121"/>
    </i>
    <i>
      <x v="5"/>
      <x v="127"/>
    </i>
    <i r="1">
      <x v="129"/>
    </i>
    <i>
      <x v="6"/>
      <x v="161"/>
    </i>
    <i t="grand">
      <x/>
    </i>
  </colItems>
  <dataFields count="1">
    <dataField name="Sum of Amount (USD)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FF4EE-AA8D-43D5-B035-AA348F63A6AD}" name="PivotTable5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3:AC46" firstHeaderRow="1" firstDataRow="3" firstDataCol="1"/>
  <pivotFields count="16">
    <pivotField showAll="0"/>
    <pivotField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13">
        <item x="0"/>
        <item x="1"/>
        <item x="2"/>
        <item x="4"/>
        <item x="3"/>
        <item x="6"/>
        <item x="7"/>
        <item x="5"/>
        <item x="8"/>
        <item x="9"/>
        <item x="10"/>
        <item x="11"/>
        <item t="default"/>
      </items>
    </pivotField>
    <pivotField showAll="0"/>
    <pivotField showAll="0"/>
    <pivotField showAll="0"/>
    <pivotField dataField="1" numFmtId="43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axis="axisRow" showAll="0">
      <items count="13">
        <item x="2"/>
        <item x="4"/>
        <item m="1" x="11"/>
        <item x="10"/>
        <item x="8"/>
        <item x="9"/>
        <item x="0"/>
        <item x="1"/>
        <item x="5"/>
        <item x="7"/>
        <item x="6"/>
        <item x="3"/>
        <item t="default"/>
      </items>
    </pivotField>
    <pivotField axis="axisRow" showAll="0">
      <items count="6">
        <item x="2"/>
        <item m="1" x="4"/>
        <item x="0"/>
        <item x="3"/>
        <item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8"/>
  </rowFields>
  <rowItems count="41">
    <i>
      <x/>
    </i>
    <i r="1">
      <x v="1"/>
    </i>
    <i r="2">
      <x/>
    </i>
    <i r="2">
      <x v="2"/>
    </i>
    <i>
      <x v="2"/>
    </i>
    <i r="1">
      <x v="3"/>
    </i>
    <i r="2">
      <x/>
    </i>
    <i r="2">
      <x v="2"/>
    </i>
    <i r="1">
      <x v="4"/>
    </i>
    <i r="2">
      <x/>
    </i>
    <i r="2">
      <x v="1"/>
    </i>
    <i r="2">
      <x v="2"/>
    </i>
    <i r="1">
      <x v="5"/>
    </i>
    <i r="2">
      <x/>
    </i>
    <i r="2">
      <x v="2"/>
    </i>
    <i r="1">
      <x v="6"/>
    </i>
    <i r="2">
      <x/>
    </i>
    <i r="2">
      <x v="2"/>
    </i>
    <i>
      <x v="3"/>
    </i>
    <i r="1">
      <x v="8"/>
    </i>
    <i r="2">
      <x/>
    </i>
    <i r="2">
      <x v="1"/>
    </i>
    <i r="2">
      <x v="2"/>
    </i>
    <i r="1">
      <x v="9"/>
    </i>
    <i r="2">
      <x/>
    </i>
    <i r="2">
      <x v="2"/>
    </i>
    <i r="1">
      <x v="10"/>
    </i>
    <i r="2">
      <x/>
    </i>
    <i r="2">
      <x v="2"/>
    </i>
    <i>
      <x v="4"/>
    </i>
    <i r="1">
      <x/>
    </i>
    <i r="2">
      <x/>
    </i>
    <i r="2">
      <x v="2"/>
    </i>
    <i r="1">
      <x v="7"/>
    </i>
    <i r="2">
      <x/>
    </i>
    <i r="2">
      <x v="1"/>
    </i>
    <i r="2">
      <x v="2"/>
    </i>
    <i r="1">
      <x v="11"/>
    </i>
    <i r="2">
      <x/>
    </i>
    <i r="2">
      <x v="2"/>
    </i>
    <i t="grand">
      <x/>
    </i>
  </rowItems>
  <colFields count="2">
    <field x="15"/>
    <field x="2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Amount (USD)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682A2-2CDE-4530-8817-5F7AD415BC07}" name="PivotTable1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:T47" firstHeaderRow="1" firstDataRow="4" firstDataCol="1"/>
  <pivotFields count="16">
    <pivotField showAll="0"/>
    <pivotField axis="axisCol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3">
        <item x="0"/>
        <item x="1"/>
        <item x="2"/>
        <item x="4"/>
        <item x="3"/>
        <item x="6"/>
        <item x="7"/>
        <item x="5"/>
        <item x="8"/>
        <item x="9"/>
        <item x="10"/>
        <item x="11"/>
        <item t="default"/>
      </items>
    </pivotField>
    <pivotField showAll="0"/>
    <pivotField showAll="0"/>
    <pivotField showAll="0"/>
    <pivotField dataField="1" numFmtId="43" showAll="0"/>
    <pivotField showAll="0"/>
    <pivotField axis="axisRow" showAll="0">
      <items count="4">
        <item sd="0" x="0"/>
        <item sd="0" x="1"/>
        <item x="2"/>
        <item t="default"/>
      </items>
    </pivotField>
    <pivotField showAll="0"/>
    <pivotField axis="axisRow" showAll="0">
      <items count="13">
        <item x="2"/>
        <item x="4"/>
        <item m="1" x="11"/>
        <item x="10"/>
        <item x="8"/>
        <item x="9"/>
        <item x="0"/>
        <item x="1"/>
        <item x="5"/>
        <item x="7"/>
        <item x="6"/>
        <item x="3"/>
        <item t="default"/>
      </items>
    </pivotField>
    <pivotField axis="axisRow" showAll="0">
      <items count="6">
        <item x="2"/>
        <item m="1" x="4"/>
        <item x="0"/>
        <item x="3"/>
        <item x="1"/>
        <item t="default"/>
      </items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1"/>
    <field x="10"/>
    <field x="8"/>
  </rowFields>
  <rowItems count="41">
    <i>
      <x/>
    </i>
    <i r="1">
      <x v="1"/>
    </i>
    <i r="2">
      <x/>
    </i>
    <i r="2">
      <x v="1"/>
    </i>
    <i>
      <x v="2"/>
    </i>
    <i r="1">
      <x v="3"/>
    </i>
    <i r="2">
      <x/>
    </i>
    <i r="2">
      <x v="1"/>
    </i>
    <i r="1">
      <x v="4"/>
    </i>
    <i r="2">
      <x/>
    </i>
    <i r="2">
      <x v="1"/>
    </i>
    <i r="2">
      <x v="2"/>
    </i>
    <i r="1">
      <x v="5"/>
    </i>
    <i r="2">
      <x/>
    </i>
    <i r="2">
      <x v="1"/>
    </i>
    <i r="1">
      <x v="6"/>
    </i>
    <i r="2">
      <x/>
    </i>
    <i r="2">
      <x v="1"/>
    </i>
    <i>
      <x v="3"/>
    </i>
    <i r="1">
      <x v="8"/>
    </i>
    <i r="2">
      <x/>
    </i>
    <i r="2">
      <x v="1"/>
    </i>
    <i r="2">
      <x v="2"/>
    </i>
    <i r="1">
      <x v="9"/>
    </i>
    <i r="2">
      <x/>
    </i>
    <i r="2">
      <x v="1"/>
    </i>
    <i r="1">
      <x v="10"/>
    </i>
    <i r="2">
      <x/>
    </i>
    <i r="2">
      <x v="1"/>
    </i>
    <i>
      <x v="4"/>
    </i>
    <i r="1">
      <x/>
    </i>
    <i r="2">
      <x/>
    </i>
    <i r="2">
      <x v="1"/>
    </i>
    <i r="1">
      <x v="7"/>
    </i>
    <i r="2">
      <x/>
    </i>
    <i r="2">
      <x v="1"/>
    </i>
    <i r="2">
      <x v="2"/>
    </i>
    <i r="1">
      <x v="11"/>
    </i>
    <i r="2">
      <x/>
    </i>
    <i r="2">
      <x v="1"/>
    </i>
    <i t="grand">
      <x/>
    </i>
  </rowItems>
  <colFields count="3">
    <field x="13"/>
    <field x="12"/>
    <field x="1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 (USD)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8076F-1A09-4382-B9D1-34DE5AF2BFCA}" name="PivotTable3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7" firstHeaderRow="1" firstDataRow="4" firstDataCol="1"/>
  <pivotFields count="17">
    <pivotField showAll="0"/>
    <pivotField axis="axisRow" numFmtId="14" showAll="0">
      <items count="6">
        <item x="1"/>
        <item x="0"/>
        <item x="2"/>
        <item x="3"/>
        <item x="4"/>
        <item t="default"/>
      </items>
    </pivotField>
    <pivotField axis="axisCol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43" showAll="0"/>
    <pivotField dataField="1" numFmtId="43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Row" showAll="0" defaultSubtotal="0">
      <items count="14">
        <item sd="0" x="0"/>
        <item x="1"/>
        <item x="2"/>
        <item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x="1"/>
        <item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x="2"/>
        <item sd="0" x="3"/>
      </items>
    </pivotField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 defaultSubtotal="0">
      <items count="14">
        <item sd="0" x="0"/>
        <item x="1"/>
        <item x="2"/>
        <item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5">
    <field x="14"/>
    <field x="13"/>
    <field x="12"/>
    <field x="1"/>
    <field x="10"/>
  </rowFields>
  <rowItems count="21">
    <i>
      <x v="1"/>
    </i>
    <i>
      <x v="2"/>
    </i>
    <i r="1">
      <x v="1"/>
    </i>
    <i r="2">
      <x v="1"/>
    </i>
    <i r="3">
      <x v="1"/>
    </i>
    <i r="4">
      <x/>
    </i>
    <i r="4">
      <x v="1"/>
    </i>
    <i r="2">
      <x v="2"/>
    </i>
    <i r="3">
      <x v="2"/>
    </i>
    <i r="4">
      <x/>
    </i>
    <i r="4">
      <x v="1"/>
    </i>
    <i r="2">
      <x v="3"/>
    </i>
    <i r="3">
      <x v="3"/>
    </i>
    <i r="4">
      <x/>
    </i>
    <i r="4">
      <x v="1"/>
    </i>
    <i r="1">
      <x v="2"/>
    </i>
    <i r="2">
      <x v="4"/>
    </i>
    <i r="3">
      <x v="4"/>
    </i>
    <i r="4">
      <x/>
    </i>
    <i r="4">
      <x v="1"/>
    </i>
    <i t="grand">
      <x/>
    </i>
  </rowItems>
  <colFields count="3">
    <field x="16"/>
    <field x="15"/>
    <field x="2"/>
  </colFields>
  <colItems count="9">
    <i>
      <x v="1"/>
      <x v="31"/>
    </i>
    <i>
      <x v="2"/>
      <x v="45"/>
    </i>
    <i r="1">
      <x v="58"/>
    </i>
    <i>
      <x v="3"/>
      <x v="76"/>
    </i>
    <i r="1">
      <x v="91"/>
    </i>
    <i>
      <x v="4"/>
      <x v="107"/>
    </i>
    <i r="1">
      <x v="121"/>
    </i>
    <i>
      <x v="5"/>
      <x v="136"/>
    </i>
    <i t="grand">
      <x/>
    </i>
  </colItems>
  <dataFields count="1">
    <dataField name="Sum of Amount (USD)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6E1D4-6FE8-4CA5-82EE-E0D5E2715B86}" name="PivotTable1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V17" firstHeaderRow="1" firstDataRow="2" firstDataCol="1"/>
  <pivotFields count="17">
    <pivotField showAll="0"/>
    <pivotField numFmtId="14" showAll="0">
      <items count="6">
        <item x="1"/>
        <item x="0"/>
        <item x="2"/>
        <item x="3"/>
        <item x="4"/>
        <item t="default"/>
      </items>
    </pivotField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43" showAll="0"/>
    <pivotField dataField="1"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8"/>
  </rowFields>
  <rowItems count="13">
    <i>
      <x/>
    </i>
    <i r="1">
      <x v="1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t="grand">
      <x/>
    </i>
  </rowItems>
  <colFields count="1">
    <field x="12"/>
  </colFields>
  <colItems count="6">
    <i>
      <x v="1"/>
    </i>
    <i>
      <x v="2"/>
    </i>
    <i>
      <x v="3"/>
    </i>
    <i>
      <x v="4"/>
    </i>
    <i>
      <x v="12"/>
    </i>
    <i t="grand">
      <x/>
    </i>
  </colItems>
  <dataFields count="1">
    <dataField name="Sum of Amount (USD)" fld="6" baseField="8" baseItem="2" numFmtId="43"/>
  </dataFields>
  <formats count="15">
    <format dxfId="27">
      <pivotArea collapsedLevelsAreSubtotals="1" fieldPosition="0">
        <references count="2">
          <reference field="11" count="1">
            <x v="0"/>
          </reference>
          <reference field="12" count="4" selected="0">
            <x v="1"/>
            <x v="2"/>
            <x v="3"/>
            <x v="12"/>
          </reference>
        </references>
      </pivotArea>
    </format>
    <format dxfId="26">
      <pivotArea collapsedLevelsAreSubtotals="1" fieldPosition="0">
        <references count="3">
          <reference field="10" count="1">
            <x v="1"/>
          </reference>
          <reference field="11" count="1" selected="0">
            <x v="0"/>
          </reference>
          <reference field="12" count="4" selected="0">
            <x v="1"/>
            <x v="2"/>
            <x v="3"/>
            <x v="12"/>
          </reference>
        </references>
      </pivotArea>
    </format>
    <format dxfId="25">
      <pivotArea collapsedLevelsAreSubtotals="1" fieldPosition="0">
        <references count="4">
          <reference field="8" count="0"/>
          <reference field="10" count="1" selected="0">
            <x v="1"/>
          </reference>
          <reference field="11" count="1" selected="0">
            <x v="0"/>
          </reference>
          <reference field="12" count="4" selected="0">
            <x v="1"/>
            <x v="2"/>
            <x v="3"/>
            <x v="12"/>
          </reference>
        </references>
      </pivotArea>
    </format>
    <format dxfId="24">
      <pivotArea collapsedLevelsAreSubtotals="1" fieldPosition="0">
        <references count="2">
          <reference field="11" count="1">
            <x v="1"/>
          </reference>
          <reference field="12" count="4" selected="0">
            <x v="1"/>
            <x v="2"/>
            <x v="3"/>
            <x v="12"/>
          </reference>
        </references>
      </pivotArea>
    </format>
    <format dxfId="23">
      <pivotArea collapsedLevelsAreSubtotals="1" fieldPosition="0">
        <references count="3">
          <reference field="10" count="1">
            <x v="0"/>
          </reference>
          <reference field="11" count="1" selected="0">
            <x v="1"/>
          </reference>
          <reference field="12" count="4" selected="0">
            <x v="1"/>
            <x v="2"/>
            <x v="3"/>
            <x v="12"/>
          </reference>
        </references>
      </pivotArea>
    </format>
    <format dxfId="22">
      <pivotArea collapsedLevelsAreSubtotals="1" fieldPosition="0">
        <references count="4">
          <reference field="8" count="0"/>
          <reference field="10" count="1" selected="0">
            <x v="0"/>
          </reference>
          <reference field="11" count="1" selected="0">
            <x v="1"/>
          </reference>
          <reference field="12" count="4" selected="0">
            <x v="1"/>
            <x v="2"/>
            <x v="3"/>
            <x v="12"/>
          </reference>
        </references>
      </pivotArea>
    </format>
    <format dxfId="21">
      <pivotArea field="11" grandCol="1" collapsedLevelsAreSubtotals="1" axis="axisRow" fieldPosition="0">
        <references count="1">
          <reference field="11" count="1">
            <x v="0"/>
          </reference>
        </references>
      </pivotArea>
    </format>
    <format dxfId="20">
      <pivotArea field="11" grandCol="1" collapsedLevelsAreSubtotals="1" axis="axisRow" fieldPosition="0">
        <references count="2">
          <reference field="10" count="1">
            <x v="1"/>
          </reference>
          <reference field="11" count="1" selected="0">
            <x v="0"/>
          </reference>
        </references>
      </pivotArea>
    </format>
    <format dxfId="19">
      <pivotArea field="11" grandCol="1" collapsedLevelsAreSubtotals="1" axis="axisRow" fieldPosition="0">
        <references count="3">
          <reference field="8" count="0"/>
          <reference field="10" count="1" selected="0">
            <x v="1"/>
          </reference>
          <reference field="11" count="1" selected="0">
            <x v="0"/>
          </reference>
        </references>
      </pivotArea>
    </format>
    <format dxfId="18">
      <pivotArea field="11" grandCol="1" collapsedLevelsAreSubtotals="1" axis="axisRow" fieldPosition="0">
        <references count="1">
          <reference field="11" count="1">
            <x v="1"/>
          </reference>
        </references>
      </pivotArea>
    </format>
    <format dxfId="17">
      <pivotArea field="11" grandCol="1" collapsedLevelsAreSubtotals="1" axis="axisRow" fieldPosition="0">
        <references count="2">
          <reference field="10" count="1">
            <x v="0"/>
          </reference>
          <reference field="11" count="1" selected="0">
            <x v="1"/>
          </reference>
        </references>
      </pivotArea>
    </format>
    <format dxfId="16">
      <pivotArea field="11" grandCol="1" collapsedLevelsAreSubtotals="1" axis="axisRow" fieldPosition="0">
        <references count="3">
          <reference field="8" count="0"/>
          <reference field="10" count="1" selected="0">
            <x v="0"/>
          </reference>
          <reference field="11" count="1" selected="0">
            <x v="1"/>
          </reference>
        </references>
      </pivotArea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9F9C7-A07E-4CB9-9E45-4ABBAC9F3656}" name="PivotTable2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2:V38" firstHeaderRow="1" firstDataRow="4" firstDataCol="1"/>
  <pivotFields count="17">
    <pivotField showAll="0"/>
    <pivotField numFmtId="14" showAll="0">
      <items count="6">
        <item x="1"/>
        <item x="0"/>
        <item x="2"/>
        <item x="3"/>
        <item x="4"/>
        <item t="default"/>
      </items>
    </pivotField>
    <pivotField axis="axisCol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43" showAll="0"/>
    <pivotField dataField="1" numFmtId="43"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1"/>
    <field x="10"/>
    <field x="8"/>
  </rowFields>
  <rowItems count="13">
    <i>
      <x/>
    </i>
    <i r="1">
      <x v="1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t="grand">
      <x/>
    </i>
  </rowItems>
  <colFields count="3">
    <field x="16"/>
    <field x="15"/>
    <field x="2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 (USD)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F76398-6F8B-477D-AE09-34E1A34C58CE}" name="Table3" displayName="Table3" ref="A3:V4" totalsRowShown="0">
  <autoFilter ref="A3:V4" xr:uid="{E1F76398-6F8B-477D-AE09-34E1A34C58CE}"/>
  <tableColumns count="22">
    <tableColumn id="1" xr3:uid="{B57794F0-C96E-43C6-9642-ABF4F87BA086}" name="Status"/>
    <tableColumn id="2" xr3:uid="{A81AD34A-8036-44A8-AE98-99237453A4CC}" name="Entity"/>
    <tableColumn id="3" xr3:uid="{777866D9-398A-4FA9-93AE-58B6B88963CC}" name="Billing Date" dataDxfId="38"/>
    <tableColumn id="4" xr3:uid="{5C8B539C-C400-4EBA-A5F1-216AFD7986DC}" name="Due Date" dataDxfId="37"/>
    <tableColumn id="5" xr3:uid="{B387B147-B73B-4F89-8FD3-F984EBF3DA8E}" name="Payment Date/ Planned Date " dataDxfId="36"/>
    <tableColumn id="6" xr3:uid="{2EF48AFA-2EE3-4F4F-AD5C-FCF89F9F54F3}" name="Currency"/>
    <tableColumn id="7" xr3:uid="{774C1EBB-7482-499E-B422-51E8D176856A}" name="Sub Total"/>
    <tableColumn id="8" xr3:uid="{2201BDC9-A8C1-459B-ABCC-DC2AE615030A}" name="Tax"/>
    <tableColumn id="9" xr3:uid="{85AD702A-5E37-48ED-8AFB-456F5C18906A}" name="Total Amount"/>
    <tableColumn id="10" xr3:uid="{73A78463-7ED2-4E6B-8B22-39236A47B68C}" name="Amount (USD)"/>
    <tableColumn id="11" xr3:uid="{0EA9E095-C9D7-46E0-B7B5-579919708C5D}" name="Payee"/>
    <tableColumn id="12" xr3:uid="{FE767828-399A-4951-B5D6-A16413773EC6}" name="Invoice Number"/>
    <tableColumn id="13" xr3:uid="{5E4D384E-2C9A-4F4F-8A9C-ACDC855CB671}" name="Description "/>
    <tableColumn id="14" xr3:uid="{85113607-8FC8-4647-A4DB-973E7E07A5E1}" name="Account Code "/>
    <tableColumn id="15" xr3:uid="{AD188E80-245F-4C18-BCF2-F54F6D111375}" name="Account Category"/>
    <tableColumn id="16" xr3:uid="{F04086CB-1A58-482E-B62A-19EACBAD7FB7}" name="Department "/>
    <tableColumn id="17" xr3:uid="{78C97302-5AE7-423E-84DC-E330AC663056}" name="Group"/>
    <tableColumn id="18" xr3:uid="{C65AD979-03F3-408D-9DBA-57463E2FD87E}" name="Submitter "/>
    <tableColumn id="19" xr3:uid="{D51F738D-2D73-482E-812C-0570ACD2D1DA}" name="Approval"/>
    <tableColumn id="20" xr3:uid="{856FAA53-38E8-4AFC-9E0C-5D975A1323C3}" name="Authorisation"/>
    <tableColumn id="21" xr3:uid="{1E1AE9E2-3054-44FE-992E-7DDE9F0C1B6C}" name="Remarks"/>
    <tableColumn id="22" xr3:uid="{E0522B90-0986-4C86-831F-1984AED7C135}" name="GST Claim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6F532E-04CF-4AEC-9361-A2DDC6DBDDF3}" name="Table6" displayName="Table6" ref="A3:V4" totalsRowShown="0">
  <autoFilter ref="A3:V4" xr:uid="{646F532E-04CF-4AEC-9361-A2DDC6DBDDF3}"/>
  <tableColumns count="22">
    <tableColumn id="1" xr3:uid="{4320B5AD-CDEE-4AB5-8FBF-2E7C79BD6270}" name="Status"/>
    <tableColumn id="2" xr3:uid="{2C209F00-B190-42E3-B77E-31067D1A8082}" name="Entity"/>
    <tableColumn id="3" xr3:uid="{980E3943-0C60-49CC-AF05-F84C2D3BFBAF}" name="Billing Date" dataDxfId="9"/>
    <tableColumn id="4" xr3:uid="{898BD279-DDFF-4AC6-8885-140CEAA76F3E}" name="Due Date" dataDxfId="8"/>
    <tableColumn id="5" xr3:uid="{0135A16A-F49F-4008-92AC-78FFA257AA44}" name="Payment Date/ Planned Date " dataDxfId="7"/>
    <tableColumn id="6" xr3:uid="{698DCCDB-7354-4EC2-98A8-390FBBD1A9F8}" name="Currency"/>
    <tableColumn id="7" xr3:uid="{F1B83078-5CAD-4DED-A468-7C37E3A4973C}" name="Sub Total"/>
    <tableColumn id="8" xr3:uid="{0E843403-E7E1-4A01-9424-794BF76996DE}" name="Tax"/>
    <tableColumn id="9" xr3:uid="{7D8979A5-A67C-4A3F-8132-1E5AFC6FEF39}" name="Total Amount"/>
    <tableColumn id="10" xr3:uid="{C8DDDFD5-100C-4A62-B7F5-8DF939047BA7}" name="Amount (USD)"/>
    <tableColumn id="11" xr3:uid="{FC753B4C-3E8F-4D01-AD62-800E4EDA6858}" name="Payee"/>
    <tableColumn id="12" xr3:uid="{2A269390-4833-473A-BDED-44F96ED024A4}" name="Invoice Number"/>
    <tableColumn id="13" xr3:uid="{ABCE5D29-44D8-46F7-ADBC-59D22FF68BE5}" name="Description " dataDxfId="6"/>
    <tableColumn id="14" xr3:uid="{A3B559CE-2CDB-46B8-A67C-3BE2999FBC1C}" name="Account Code "/>
    <tableColumn id="15" xr3:uid="{9A6F021B-CF69-4E09-BAB7-CE3024F6B034}" name="Account Category"/>
    <tableColumn id="16" xr3:uid="{C76070E5-1CB8-4609-89D3-09D1FA0151E1}" name="Department "/>
    <tableColumn id="17" xr3:uid="{48A0CAB2-4F84-46A5-96E3-0446907F0EC4}" name="Group"/>
    <tableColumn id="18" xr3:uid="{8DFFED22-BBA0-4B10-9E1B-27BF3F8085B5}" name="Submitter "/>
    <tableColumn id="19" xr3:uid="{99BE3D46-C1AF-4458-8AE5-FC0CC0403A1E}" name="Approval"/>
    <tableColumn id="20" xr3:uid="{1E580A0A-BF4A-4F48-A1C2-B4A5E101019A}" name="Authorisation"/>
    <tableColumn id="21" xr3:uid="{9719792F-F464-4419-89EA-82FF074E1525}" name="Remarks"/>
    <tableColumn id="22" xr3:uid="{BA48E8D3-F85B-4114-89D4-CF266E757365}" name="GST Claimab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BECF0F-C5D7-434E-9225-89AF5C62C172}" name="Table7" displayName="Table7" ref="A3:V5" totalsRowShown="0">
  <autoFilter ref="A3:V5" xr:uid="{96BECF0F-C5D7-434E-9225-89AF5C62C172}"/>
  <tableColumns count="22">
    <tableColumn id="1" xr3:uid="{20237132-CBB7-4725-A7A9-C0E5262BD106}" name="Status"/>
    <tableColumn id="2" xr3:uid="{6BCA1F2E-BA87-4B0F-BA47-26FFFCC454A3}" name="Entity"/>
    <tableColumn id="3" xr3:uid="{297D8F27-6B4D-459B-9454-7776972E2519}" name="Billing Date" dataDxfId="5"/>
    <tableColumn id="4" xr3:uid="{2C0BE8F2-1A8E-41A3-AED5-3184143F3571}" name="Due Date" dataDxfId="4"/>
    <tableColumn id="5" xr3:uid="{B0DA588C-2860-4508-B8D8-7881A27220CE}" name="Payment Date/ Planned Date " dataDxfId="3"/>
    <tableColumn id="6" xr3:uid="{230A8816-696A-4767-AD75-98B4EC375B9D}" name="Currency"/>
    <tableColumn id="7" xr3:uid="{536AB9E9-4D10-4D65-B94C-9ED6FDEA5294}" name="Sub Total"/>
    <tableColumn id="8" xr3:uid="{2BBA95E5-A8CA-40EA-828E-D5B876B9C031}" name="Tax"/>
    <tableColumn id="9" xr3:uid="{76918A09-DF14-4BBD-AB41-661EC60961D9}" name="Total Amount"/>
    <tableColumn id="10" xr3:uid="{C9AC68B1-F539-4A6E-A82F-EDAB50813F6C}" name="Amount (USD)"/>
    <tableColumn id="11" xr3:uid="{20403D74-F26C-4715-A6CA-BD436A33342C}" name="Payee"/>
    <tableColumn id="12" xr3:uid="{4B715646-AF90-4E7F-8E4A-BD027C801E48}" name="Invoice Number"/>
    <tableColumn id="13" xr3:uid="{3F70F537-7501-49DB-973C-B544C3E452E1}" name="Description "/>
    <tableColumn id="14" xr3:uid="{1D2F2E6F-967C-4BB2-81FC-A7B7DDCD7CCF}" name="Account Code "/>
    <tableColumn id="15" xr3:uid="{5C3DB19F-2AD1-4892-8158-ECE4CFF43012}" name="Account Category"/>
    <tableColumn id="16" xr3:uid="{33377F7D-D7E8-4D19-AB02-12AB4909A0AF}" name="Department "/>
    <tableColumn id="17" xr3:uid="{2E3D3C13-5997-49AF-B8E4-93A710DDD657}" name="Group"/>
    <tableColumn id="18" xr3:uid="{D9228626-30C6-44D0-9DBF-C1725D5F4068}" name="Submitter "/>
    <tableColumn id="19" xr3:uid="{4C8D93AA-FC87-484D-80BB-CEAB5401EB8C}" name="Approval"/>
    <tableColumn id="20" xr3:uid="{375291C0-FA13-446D-8CFC-50826A3EF0C0}" name="Authorisation"/>
    <tableColumn id="21" xr3:uid="{49BF49A2-6C39-4F16-B3ED-8E778734E43D}" name="Remarks"/>
    <tableColumn id="22" xr3:uid="{23AD90FF-1D2B-4ED9-AA15-25939F699FA2}" name="GST Claim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E673E7-9CA3-4528-8DAB-2636E0F13D83}" name="Table8" displayName="Table8" ref="A3:V4" totalsRowShown="0">
  <autoFilter ref="A3:V4" xr:uid="{51E673E7-9CA3-4528-8DAB-2636E0F13D83}"/>
  <tableColumns count="22">
    <tableColumn id="1" xr3:uid="{D21FD486-D114-4235-9826-A24827948591}" name="Status"/>
    <tableColumn id="2" xr3:uid="{59088485-E2E6-4890-8191-5DFA01D0936C}" name="Entity"/>
    <tableColumn id="3" xr3:uid="{09E4D540-5087-4B31-8FA8-AA1D9EADE34F}" name="Billing Date" dataDxfId="2"/>
    <tableColumn id="4" xr3:uid="{C33DD37C-1331-495D-BB79-881590E88EED}" name="Due Date" dataDxfId="1"/>
    <tableColumn id="5" xr3:uid="{13438330-5126-40F9-8EFA-972031E843D9}" name="Payment Date/ Planned Date " dataDxfId="0"/>
    <tableColumn id="6" xr3:uid="{660C6C51-118E-4047-BE8E-63EFF2260843}" name="Currency"/>
    <tableColumn id="7" xr3:uid="{1795839A-8600-4CC7-ABA8-92AF3DFEF386}" name="Sub Total"/>
    <tableColumn id="8" xr3:uid="{BAC5C5C1-4B17-4026-B99D-65D51CB42142}" name="Tax"/>
    <tableColumn id="9" xr3:uid="{F2CE27B2-7472-4A70-AF4C-4E417F769067}" name="Total Amount"/>
    <tableColumn id="10" xr3:uid="{7F5E0859-1033-4EA6-9378-7422B596CD73}" name="Amount (USD)"/>
    <tableColumn id="11" xr3:uid="{81DD3DD1-270F-42CB-B5D9-18D3D2555B5D}" name="Payee"/>
    <tableColumn id="12" xr3:uid="{9E6C5434-FA25-4C17-8B88-F4CC97CE9CA5}" name="Invoice Number"/>
    <tableColumn id="13" xr3:uid="{29AE8609-F45C-4939-80F9-E3D50BD6FEFE}" name="Description "/>
    <tableColumn id="14" xr3:uid="{8BA52CD0-F3B6-461C-8EEE-837ABBFBDBA7}" name="Account Code "/>
    <tableColumn id="15" xr3:uid="{29622295-3EAC-41A9-A5F7-BE85E1DD2E19}" name="Account Category"/>
    <tableColumn id="16" xr3:uid="{66B5F315-A8C6-449C-BDFC-EE453061DD1B}" name="Department "/>
    <tableColumn id="17" xr3:uid="{1ED3EFF5-AA56-402B-B5EB-3F50B50142EA}" name="Group"/>
    <tableColumn id="18" xr3:uid="{619F320B-60C1-4CF6-B619-824E3D899FD1}" name="Submitter "/>
    <tableColumn id="19" xr3:uid="{1DD58E54-BC0B-4EBF-B023-B81C829830D0}" name="Approval"/>
    <tableColumn id="20" xr3:uid="{1CD3F005-8B8A-48D7-81E4-6684FB081E3A}" name="Authorisation"/>
    <tableColumn id="21" xr3:uid="{89A1E897-944A-4FE2-8BDE-6AFD4A3034BC}" name="Remarks"/>
    <tableColumn id="22" xr3:uid="{72A9BE06-FE3C-490D-9758-732C23EDD15C}" name="GST Claimab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C10A47-07F3-412E-A063-E24DBBB4850F}" name="Table5" displayName="Table5" ref="A3:V4" totalsRowShown="0">
  <autoFilter ref="A3:V4" xr:uid="{8BC10A47-07F3-412E-A063-E24DBBB4850F}"/>
  <tableColumns count="22">
    <tableColumn id="1" xr3:uid="{E1131393-5FFA-4E0F-AC02-103C5BD69331}" name="Status"/>
    <tableColumn id="2" xr3:uid="{3D004792-A69A-4C33-897C-919DC30F480A}" name="Entity"/>
    <tableColumn id="3" xr3:uid="{3DB20AFA-8586-402D-9B6F-216D65126946}" name="Billing Date" dataDxfId="12"/>
    <tableColumn id="4" xr3:uid="{716CD059-C62F-4D6E-8EFC-6E69AEDD23F7}" name="Due Date" dataDxfId="11"/>
    <tableColumn id="5" xr3:uid="{9740C19A-4FB7-401F-8A6E-884367A34DFA}" name="Payment Date/ Planned Date " dataDxfId="10"/>
    <tableColumn id="6" xr3:uid="{D90F7129-93CA-4ABE-B862-9F04028F3C7B}" name="Currency"/>
    <tableColumn id="7" xr3:uid="{9E3295A3-35FD-434C-A056-7177CAACA994}" name="Sub Total"/>
    <tableColumn id="8" xr3:uid="{9F8B5905-3C56-4B64-A32D-F252401DBD26}" name="Tax"/>
    <tableColumn id="9" xr3:uid="{883D0774-2EFF-4207-AB93-EF04B0F2840F}" name="Total Amount"/>
    <tableColumn id="10" xr3:uid="{5523A567-98B5-4C6F-AD37-4991BBB3DF1A}" name="Amount (USD)"/>
    <tableColumn id="11" xr3:uid="{926306EA-1FE2-46C0-9F25-E4F0C6354742}" name="Payee"/>
    <tableColumn id="12" xr3:uid="{F21D7D76-8EC5-4CBE-85C7-7ACD7C907504}" name="Invoice Number"/>
    <tableColumn id="13" xr3:uid="{61693149-4E35-4771-8F37-7881F05B3BD4}" name="Description "/>
    <tableColumn id="14" xr3:uid="{8B1AB9B2-3468-4B45-B6B7-22017628E03A}" name="Account Code "/>
    <tableColumn id="15" xr3:uid="{DEAC4429-7F39-49D9-936F-C7DC50A642C7}" name="Account Category"/>
    <tableColumn id="16" xr3:uid="{6838DB96-7393-4725-A9CB-6F80A57904ED}" name="Department "/>
    <tableColumn id="17" xr3:uid="{8754A42F-6B1E-4B69-9EBD-A11A0DC8DB19}" name="Group"/>
    <tableColumn id="18" xr3:uid="{86EA6DAD-90C0-4B9C-980B-654E1B7D110A}" name="Submitter "/>
    <tableColumn id="19" xr3:uid="{BAC33A5D-2356-44B7-A88C-60BD275D3FB7}" name="Approval"/>
    <tableColumn id="20" xr3:uid="{FB513098-AAE8-41E8-AB61-570ADCF5CF74}" name="Authorisation"/>
    <tableColumn id="21" xr3:uid="{0CC9421E-B7E1-481F-BC2D-6C8E144F660C}" name="Remarks"/>
    <tableColumn id="22" xr3:uid="{81D6432D-EEB3-4EC3-B390-5390282CF05C}" name="GST Claimab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5D605C-3FC0-4627-B7C2-527B97E8D9D8}" name="costcategory" displayName="costcategory" ref="A1:B93" totalsRowShown="0" headerRowDxfId="35" dataDxfId="34">
  <autoFilter ref="A1:B93" xr:uid="{3F5D605C-3FC0-4627-B7C2-527B97E8D9D8}"/>
  <tableColumns count="2">
    <tableColumn id="1" xr3:uid="{B420CC29-AB40-47F3-B84D-13991EB8D1B5}" name="Cost Category" dataDxfId="33"/>
    <tableColumn id="2" xr3:uid="{CF45313E-0BE9-4800-AF25-61F498B105D7}" name="Account Code" dataDxf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E54CFA-AE37-4617-98BB-8FCEAB2B2E9B}" name="Table2" displayName="Table2" ref="D1:E16" totalsRowShown="0" headerRowDxfId="31" dataDxfId="30">
  <autoFilter ref="D1:E16" xr:uid="{8EE54CFA-AE37-4617-98BB-8FCEAB2B2E9B}"/>
  <tableColumns count="2">
    <tableColumn id="1" xr3:uid="{F9AFBC85-D191-4CF7-9C21-EFFAA48DEDE2}" name="Department" dataDxfId="29"/>
    <tableColumn id="2" xr3:uid="{7F5288E5-075C-476B-92EA-BED7F4151B22}" name="Group" dataDxfId="2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3FFE1D-5373-456D-8E55-70504E1D137F}" name="MYEmployee" displayName="MYEmployee" ref="H1:I16" totalsRowShown="0">
  <autoFilter ref="H1:I16" xr:uid="{843FFE1D-5373-456D-8E55-70504E1D137F}"/>
  <tableColumns count="2">
    <tableColumn id="1" xr3:uid="{61B1F5D1-0968-4E6B-934B-46C51AA76562}" name="MY Employee"/>
    <tableColumn id="2" xr3:uid="{2677ADB6-7A70-4018-A368-3E2DE7DAAB6C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3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6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9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E40D-E2B0-4686-A3E5-5B6E31FE5454}">
  <sheetPr>
    <tabColor rgb="FFE36D6D"/>
  </sheetPr>
  <dimension ref="A2:H17"/>
  <sheetViews>
    <sheetView topLeftCell="A2" workbookViewId="0">
      <selection activeCell="B10" sqref="B10"/>
    </sheetView>
  </sheetViews>
  <sheetFormatPr defaultRowHeight="12.75" x14ac:dyDescent="0.2"/>
  <cols>
    <col min="1" max="1" width="12" bestFit="1" customWidth="1"/>
    <col min="2" max="2" width="18.28515625" bestFit="1" customWidth="1"/>
  </cols>
  <sheetData>
    <row r="2" spans="1:8" x14ac:dyDescent="0.2">
      <c r="A2" t="s">
        <v>41</v>
      </c>
    </row>
    <row r="4" spans="1:8" x14ac:dyDescent="0.2">
      <c r="A4" s="64" t="s">
        <v>65</v>
      </c>
      <c r="B4" t="s">
        <v>11</v>
      </c>
    </row>
    <row r="5" spans="1:8" x14ac:dyDescent="0.2">
      <c r="A5" s="65" t="s">
        <v>9</v>
      </c>
      <c r="B5" s="39">
        <v>1955526.2261962099</v>
      </c>
    </row>
    <row r="6" spans="1:8" x14ac:dyDescent="0.2">
      <c r="A6" s="65" t="s">
        <v>26</v>
      </c>
      <c r="B6" s="39">
        <v>947096.69636320998</v>
      </c>
    </row>
    <row r="7" spans="1:8" x14ac:dyDescent="0.2">
      <c r="A7" s="65" t="s">
        <v>27</v>
      </c>
      <c r="B7" s="39">
        <v>987757.93866413354</v>
      </c>
    </row>
    <row r="8" spans="1:8" x14ac:dyDescent="0.2">
      <c r="A8" s="65" t="s">
        <v>36</v>
      </c>
      <c r="B8" s="39">
        <v>793996.47131582105</v>
      </c>
    </row>
    <row r="9" spans="1:8" x14ac:dyDescent="0.2">
      <c r="A9" s="65" t="s">
        <v>12</v>
      </c>
      <c r="B9" s="39">
        <v>663264.51350607991</v>
      </c>
    </row>
    <row r="10" spans="1:8" x14ac:dyDescent="0.2">
      <c r="A10" s="65" t="s">
        <v>13</v>
      </c>
      <c r="B10" s="39">
        <v>735495.79040478996</v>
      </c>
    </row>
    <row r="11" spans="1:8" x14ac:dyDescent="0.2">
      <c r="A11" s="65" t="s">
        <v>1615</v>
      </c>
      <c r="B11" s="39">
        <v>735495.79040478996</v>
      </c>
    </row>
    <row r="12" spans="1:8" x14ac:dyDescent="0.2">
      <c r="A12" s="65" t="s">
        <v>1616</v>
      </c>
      <c r="B12" s="39">
        <v>735495.79040478996</v>
      </c>
    </row>
    <row r="13" spans="1:8" x14ac:dyDescent="0.2">
      <c r="A13" s="65" t="s">
        <v>1617</v>
      </c>
      <c r="B13" s="39">
        <v>735495.79040478996</v>
      </c>
    </row>
    <row r="14" spans="1:8" x14ac:dyDescent="0.2">
      <c r="A14" s="65" t="s">
        <v>1618</v>
      </c>
      <c r="B14" s="39">
        <v>735495.79040478996</v>
      </c>
    </row>
    <row r="15" spans="1:8" x14ac:dyDescent="0.2">
      <c r="A15" s="65" t="s">
        <v>1619</v>
      </c>
      <c r="B15" s="39">
        <v>735495.79040478996</v>
      </c>
      <c r="H15" s="66"/>
    </row>
    <row r="16" spans="1:8" x14ac:dyDescent="0.2">
      <c r="A16" s="65" t="s">
        <v>20</v>
      </c>
      <c r="B16" s="39">
        <v>735495.79040478996</v>
      </c>
    </row>
    <row r="17" spans="1:2" x14ac:dyDescent="0.2">
      <c r="A17" s="65" t="s">
        <v>19</v>
      </c>
      <c r="B17" s="39">
        <v>10496112.378878983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BB59-7439-486F-B770-0D8AA20DA88E}">
  <dimension ref="A1:Q92"/>
  <sheetViews>
    <sheetView topLeftCell="A2" workbookViewId="0">
      <selection activeCell="A2" sqref="A2:F92"/>
    </sheetView>
  </sheetViews>
  <sheetFormatPr defaultRowHeight="12.75" x14ac:dyDescent="0.2"/>
  <cols>
    <col min="1" max="1" width="10.85546875" style="158" bestFit="1" customWidth="1"/>
    <col min="2" max="2" width="9.140625" style="36"/>
    <col min="3" max="3" width="20.140625" bestFit="1" customWidth="1"/>
    <col min="4" max="4" width="9.140625" style="36"/>
    <col min="5" max="5" width="14.5703125" style="37" bestFit="1" customWidth="1"/>
    <col min="6" max="6" width="11.7109375" bestFit="1" customWidth="1"/>
    <col min="8" max="8" width="12" style="152" bestFit="1" customWidth="1"/>
    <col min="10" max="10" width="24.7109375" bestFit="1" customWidth="1"/>
    <col min="11" max="11" width="18.28515625" bestFit="1" customWidth="1"/>
    <col min="16" max="16" width="18.28515625" bestFit="1" customWidth="1"/>
    <col min="17" max="17" width="14.5703125" bestFit="1" customWidth="1"/>
    <col min="18" max="28" width="11" bestFit="1" customWidth="1"/>
    <col min="29" max="29" width="13.5703125" bestFit="1" customWidth="1"/>
  </cols>
  <sheetData>
    <row r="1" spans="1:17" x14ac:dyDescent="0.2">
      <c r="A1" s="158" t="s">
        <v>1613</v>
      </c>
      <c r="J1" t="s">
        <v>1614</v>
      </c>
    </row>
    <row r="2" spans="1:17" x14ac:dyDescent="0.2">
      <c r="A2" s="157" t="s">
        <v>69</v>
      </c>
      <c r="B2" s="88" t="s">
        <v>43</v>
      </c>
      <c r="C2" s="88" t="s">
        <v>41</v>
      </c>
      <c r="D2" s="88" t="s">
        <v>70</v>
      </c>
      <c r="E2" s="94" t="s">
        <v>71</v>
      </c>
      <c r="F2" s="88" t="s">
        <v>72</v>
      </c>
      <c r="G2" s="88"/>
      <c r="H2" s="100" t="s">
        <v>73</v>
      </c>
      <c r="Q2" s="101"/>
    </row>
    <row r="3" spans="1:17" x14ac:dyDescent="0.2">
      <c r="A3" s="158">
        <v>46023</v>
      </c>
      <c r="B3" s="36" t="s">
        <v>42</v>
      </c>
      <c r="C3" t="s">
        <v>74</v>
      </c>
      <c r="D3" s="36" t="s">
        <v>4</v>
      </c>
      <c r="E3" s="37">
        <f>'AXT -Eastwest Bank'!I5</f>
        <v>825438.09</v>
      </c>
      <c r="F3" s="39">
        <f>E3*H3</f>
        <v>825438.09</v>
      </c>
      <c r="H3" s="152">
        <v>1</v>
      </c>
      <c r="J3" s="64" t="s">
        <v>65</v>
      </c>
      <c r="K3" t="s">
        <v>11</v>
      </c>
    </row>
    <row r="4" spans="1:17" x14ac:dyDescent="0.2">
      <c r="A4" s="158">
        <v>46023</v>
      </c>
      <c r="B4" s="93" t="s">
        <v>1</v>
      </c>
      <c r="C4" t="s">
        <v>75</v>
      </c>
      <c r="D4" s="36" t="s">
        <v>4</v>
      </c>
      <c r="E4" s="37">
        <f>'AXT - USD'!J5</f>
        <v>57825.83</v>
      </c>
      <c r="F4" s="39">
        <f t="shared" ref="F4:F67" si="0">E4*H4</f>
        <v>57825.83</v>
      </c>
      <c r="H4" s="152">
        <v>1</v>
      </c>
      <c r="J4" s="65" t="s">
        <v>9</v>
      </c>
      <c r="K4" s="39">
        <v>1955526.2261962101</v>
      </c>
    </row>
    <row r="5" spans="1:17" x14ac:dyDescent="0.2">
      <c r="A5" s="158">
        <v>46023</v>
      </c>
      <c r="B5" s="93" t="s">
        <v>1</v>
      </c>
      <c r="C5" t="s">
        <v>76</v>
      </c>
      <c r="D5" s="36" t="s">
        <v>77</v>
      </c>
      <c r="E5" s="37">
        <f>'AXT- SGD'!I5</f>
        <v>173074.36</v>
      </c>
      <c r="F5" s="39">
        <f t="shared" si="0"/>
        <v>136265.07818956001</v>
      </c>
      <c r="H5" s="152">
        <v>0.78732100000000005</v>
      </c>
      <c r="J5" s="66" t="s">
        <v>3</v>
      </c>
      <c r="K5" s="39">
        <v>163686.68774384999</v>
      </c>
    </row>
    <row r="6" spans="1:17" x14ac:dyDescent="0.2">
      <c r="A6" s="158">
        <v>46023</v>
      </c>
      <c r="B6" s="93" t="s">
        <v>1</v>
      </c>
      <c r="C6" t="s">
        <v>78</v>
      </c>
      <c r="D6" s="36" t="s">
        <v>79</v>
      </c>
      <c r="E6" s="37">
        <v>14245.44</v>
      </c>
      <c r="F6" s="39">
        <f t="shared" si="0"/>
        <v>2049.2777712000002</v>
      </c>
      <c r="H6" s="152">
        <f>FOREX!K2</f>
        <v>0.14385500000000001</v>
      </c>
      <c r="J6" s="87" t="s">
        <v>84</v>
      </c>
      <c r="K6" s="39">
        <v>123483.85312905</v>
      </c>
    </row>
    <row r="7" spans="1:17" x14ac:dyDescent="0.2">
      <c r="A7" s="158">
        <v>46023</v>
      </c>
      <c r="B7" s="93" t="s">
        <v>2</v>
      </c>
      <c r="C7" t="s">
        <v>80</v>
      </c>
      <c r="D7" s="36" t="s">
        <v>4</v>
      </c>
      <c r="E7" s="37">
        <f>'AXI - USD'!I6</f>
        <v>11798.62</v>
      </c>
      <c r="F7" s="39">
        <f t="shared" si="0"/>
        <v>11798.62</v>
      </c>
      <c r="H7" s="152">
        <v>1</v>
      </c>
      <c r="J7" s="87" t="s">
        <v>83</v>
      </c>
      <c r="K7" s="39">
        <v>40202.834614800006</v>
      </c>
    </row>
    <row r="8" spans="1:17" x14ac:dyDescent="0.2">
      <c r="A8" s="158">
        <v>46023</v>
      </c>
      <c r="B8" s="93" t="s">
        <v>2</v>
      </c>
      <c r="C8" t="s">
        <v>81</v>
      </c>
      <c r="D8" s="36" t="s">
        <v>82</v>
      </c>
      <c r="E8" s="37">
        <f>'AXI - MYR'!I5</f>
        <v>351069.83</v>
      </c>
      <c r="F8" s="39">
        <f t="shared" si="0"/>
        <v>89090.288619440005</v>
      </c>
      <c r="H8" s="152">
        <f>FOREX!G2</f>
        <v>0.25376799999999999</v>
      </c>
      <c r="J8" s="66" t="s">
        <v>42</v>
      </c>
      <c r="K8" s="39">
        <v>1350855.95</v>
      </c>
    </row>
    <row r="9" spans="1:17" x14ac:dyDescent="0.2">
      <c r="A9" s="158">
        <v>46023</v>
      </c>
      <c r="B9" s="93" t="s">
        <v>3</v>
      </c>
      <c r="C9" t="s">
        <v>83</v>
      </c>
      <c r="D9" s="36" t="s">
        <v>79</v>
      </c>
      <c r="E9" s="37">
        <v>139733.88</v>
      </c>
      <c r="F9" s="39">
        <f t="shared" si="0"/>
        <v>20101.417307400003</v>
      </c>
      <c r="H9" s="152">
        <f>FOREX!K2</f>
        <v>0.14385500000000001</v>
      </c>
      <c r="J9" s="87" t="s">
        <v>74</v>
      </c>
      <c r="K9" s="39">
        <v>1350855.95</v>
      </c>
    </row>
    <row r="10" spans="1:17" x14ac:dyDescent="0.2">
      <c r="A10" s="158">
        <v>46023</v>
      </c>
      <c r="B10" s="93" t="s">
        <v>3</v>
      </c>
      <c r="C10" t="s">
        <v>84</v>
      </c>
      <c r="D10" s="36" t="s">
        <v>79</v>
      </c>
      <c r="E10" s="37">
        <v>301052.42</v>
      </c>
      <c r="F10" s="39">
        <f t="shared" si="0"/>
        <v>43307.895879100004</v>
      </c>
      <c r="H10" s="152">
        <f>FOREX!K2</f>
        <v>0.14385500000000001</v>
      </c>
      <c r="J10" s="66" t="s">
        <v>2</v>
      </c>
      <c r="K10" s="39">
        <v>145647.33980464004</v>
      </c>
    </row>
    <row r="11" spans="1:17" x14ac:dyDescent="0.2">
      <c r="A11" s="158">
        <v>46053</v>
      </c>
      <c r="B11" s="36" t="s">
        <v>42</v>
      </c>
      <c r="C11" t="s">
        <v>74</v>
      </c>
      <c r="D11" s="36" t="s">
        <v>4</v>
      </c>
      <c r="E11" s="37">
        <f>'AXT -Eastwest Bank'!I10</f>
        <v>525417.86</v>
      </c>
      <c r="F11" s="39">
        <f t="shared" si="0"/>
        <v>525417.86</v>
      </c>
      <c r="H11" s="152">
        <v>1</v>
      </c>
      <c r="J11" s="87" t="s">
        <v>81</v>
      </c>
      <c r="K11" s="39">
        <v>133649.44980464003</v>
      </c>
    </row>
    <row r="12" spans="1:17" x14ac:dyDescent="0.2">
      <c r="A12" s="158">
        <v>46053</v>
      </c>
      <c r="B12" s="93" t="s">
        <v>1</v>
      </c>
      <c r="C12" t="s">
        <v>75</v>
      </c>
      <c r="D12" s="36" t="s">
        <v>4</v>
      </c>
      <c r="E12" s="37">
        <f>'AXT - USD'!J18</f>
        <v>12669.950000000012</v>
      </c>
      <c r="F12" s="39">
        <f t="shared" si="0"/>
        <v>12669.950000000012</v>
      </c>
      <c r="H12" s="152">
        <v>1</v>
      </c>
      <c r="J12" s="87" t="s">
        <v>80</v>
      </c>
      <c r="K12" s="39">
        <v>11997.89</v>
      </c>
    </row>
    <row r="13" spans="1:17" x14ac:dyDescent="0.2">
      <c r="A13" s="158">
        <v>46053</v>
      </c>
      <c r="B13" s="93" t="s">
        <v>1</v>
      </c>
      <c r="C13" t="s">
        <v>76</v>
      </c>
      <c r="D13" s="36" t="s">
        <v>77</v>
      </c>
      <c r="E13" s="37">
        <f>'AXT- SGD'!I66</f>
        <v>107296.56000000003</v>
      </c>
      <c r="F13" s="39">
        <f t="shared" si="0"/>
        <v>84476.834915760031</v>
      </c>
      <c r="H13" s="152">
        <f>FOREX!C2</f>
        <v>0.78732100000000005</v>
      </c>
      <c r="J13" s="66" t="s">
        <v>1</v>
      </c>
      <c r="K13" s="39">
        <v>295336.24864772003</v>
      </c>
    </row>
    <row r="14" spans="1:17" x14ac:dyDescent="0.2">
      <c r="A14" s="158">
        <v>46053</v>
      </c>
      <c r="B14" s="93" t="s">
        <v>1</v>
      </c>
      <c r="C14" t="s">
        <v>78</v>
      </c>
      <c r="D14" s="36" t="s">
        <v>79</v>
      </c>
      <c r="E14" s="37">
        <f>E6</f>
        <v>14245.44</v>
      </c>
      <c r="F14" s="39">
        <f t="shared" si="0"/>
        <v>2049.2777712000002</v>
      </c>
      <c r="H14" s="152">
        <f>FOREX!K2</f>
        <v>0.14385500000000001</v>
      </c>
      <c r="J14" s="87" t="s">
        <v>78</v>
      </c>
      <c r="K14" s="39">
        <v>4098.5555424000004</v>
      </c>
    </row>
    <row r="15" spans="1:17" x14ac:dyDescent="0.2">
      <c r="A15" s="158">
        <v>46053</v>
      </c>
      <c r="B15" s="93" t="s">
        <v>2</v>
      </c>
      <c r="C15" t="s">
        <v>80</v>
      </c>
      <c r="D15" s="36" t="s">
        <v>4</v>
      </c>
      <c r="E15" s="37">
        <f>'AXI - USD'!I22</f>
        <v>199.26999999999848</v>
      </c>
      <c r="F15" s="39">
        <f t="shared" si="0"/>
        <v>199.26999999999848</v>
      </c>
      <c r="H15" s="152">
        <v>1</v>
      </c>
      <c r="J15" s="87" t="s">
        <v>76</v>
      </c>
      <c r="K15" s="39">
        <v>220741.91310532004</v>
      </c>
    </row>
    <row r="16" spans="1:17" x14ac:dyDescent="0.2">
      <c r="A16" s="158">
        <v>46053</v>
      </c>
      <c r="B16" s="93" t="s">
        <v>2</v>
      </c>
      <c r="C16" t="s">
        <v>81</v>
      </c>
      <c r="D16" s="36" t="s">
        <v>82</v>
      </c>
      <c r="E16" s="37">
        <f>'AXI - MYR'!I44</f>
        <v>175590.15000000002</v>
      </c>
      <c r="F16" s="39">
        <f t="shared" si="0"/>
        <v>44559.161185200006</v>
      </c>
      <c r="H16" s="152">
        <f>FOREX!G2</f>
        <v>0.25376799999999999</v>
      </c>
      <c r="J16" s="87" t="s">
        <v>75</v>
      </c>
      <c r="K16" s="39">
        <v>70495.780000000013</v>
      </c>
    </row>
    <row r="17" spans="1:17" x14ac:dyDescent="0.2">
      <c r="A17" s="158">
        <v>46053</v>
      </c>
      <c r="B17" s="93" t="s">
        <v>3</v>
      </c>
      <c r="C17" t="s">
        <v>83</v>
      </c>
      <c r="D17" s="36" t="s">
        <v>79</v>
      </c>
      <c r="E17" s="37">
        <f>E9</f>
        <v>139733.88</v>
      </c>
      <c r="F17" s="39">
        <f t="shared" si="0"/>
        <v>20101.417307400003</v>
      </c>
      <c r="H17" s="152">
        <f>FOREX!K2</f>
        <v>0.14385500000000001</v>
      </c>
      <c r="J17" s="65" t="s">
        <v>26</v>
      </c>
      <c r="K17" s="39">
        <v>947096.69636320998</v>
      </c>
    </row>
    <row r="18" spans="1:17" x14ac:dyDescent="0.2">
      <c r="A18" s="158">
        <v>46053</v>
      </c>
      <c r="B18" s="93" t="s">
        <v>3</v>
      </c>
      <c r="C18" t="s">
        <v>84</v>
      </c>
      <c r="D18" s="36" t="s">
        <v>79</v>
      </c>
      <c r="E18" s="37">
        <f>'AXS-CNY'!I44</f>
        <v>557338.68999999994</v>
      </c>
      <c r="F18" s="39">
        <f t="shared" si="0"/>
        <v>80175.957249949992</v>
      </c>
      <c r="H18" s="152">
        <f>FOREX!K2</f>
        <v>0.14385500000000001</v>
      </c>
      <c r="J18" s="66" t="s">
        <v>3</v>
      </c>
      <c r="K18" s="39">
        <v>79998.144691769994</v>
      </c>
    </row>
    <row r="19" spans="1:17" x14ac:dyDescent="0.2">
      <c r="A19" s="158">
        <v>46081</v>
      </c>
      <c r="B19" s="36" t="s">
        <v>42</v>
      </c>
      <c r="C19" t="s">
        <v>74</v>
      </c>
      <c r="D19" s="36" t="s">
        <v>4</v>
      </c>
      <c r="E19" s="37">
        <f>'AXT -Eastwest Bank'!I15</f>
        <v>525421.94999999995</v>
      </c>
      <c r="F19" s="39">
        <f t="shared" si="0"/>
        <v>525421.94999999995</v>
      </c>
      <c r="H19" s="152">
        <v>1</v>
      </c>
      <c r="J19" s="87" t="s">
        <v>84</v>
      </c>
      <c r="K19" s="39">
        <v>59625.364189409993</v>
      </c>
    </row>
    <row r="20" spans="1:17" x14ac:dyDescent="0.2">
      <c r="A20" s="158">
        <v>46081</v>
      </c>
      <c r="B20" s="93" t="s">
        <v>1</v>
      </c>
      <c r="C20" t="s">
        <v>75</v>
      </c>
      <c r="D20" s="36" t="s">
        <v>4</v>
      </c>
      <c r="E20" s="37">
        <f>'AXT - USD'!J18</f>
        <v>12669.950000000012</v>
      </c>
      <c r="F20" s="39">
        <f t="shared" si="0"/>
        <v>12669.950000000012</v>
      </c>
      <c r="H20" s="152">
        <v>1</v>
      </c>
      <c r="J20" s="87" t="s">
        <v>83</v>
      </c>
      <c r="K20" s="39">
        <v>20372.780502360001</v>
      </c>
    </row>
    <row r="21" spans="1:17" x14ac:dyDescent="0.2">
      <c r="A21" s="158">
        <v>46081</v>
      </c>
      <c r="B21" s="93" t="s">
        <v>1</v>
      </c>
      <c r="C21" t="s">
        <v>76</v>
      </c>
      <c r="D21" s="36" t="s">
        <v>77</v>
      </c>
      <c r="E21" s="37">
        <f>'AXT- SGD'!I116</f>
        <v>85042.200000000041</v>
      </c>
      <c r="F21" s="39">
        <f t="shared" si="0"/>
        <v>67235.553910800038</v>
      </c>
      <c r="H21" s="152">
        <f>FOREX!C3</f>
        <v>0.79061400000000004</v>
      </c>
      <c r="J21" s="66" t="s">
        <v>42</v>
      </c>
      <c r="K21" s="39">
        <v>525421.94999999995</v>
      </c>
    </row>
    <row r="22" spans="1:17" x14ac:dyDescent="0.2">
      <c r="A22" s="158">
        <v>46081</v>
      </c>
      <c r="B22" s="93" t="s">
        <v>1</v>
      </c>
      <c r="C22" t="s">
        <v>78</v>
      </c>
      <c r="D22" s="36" t="s">
        <v>79</v>
      </c>
      <c r="E22" s="37">
        <f>E6</f>
        <v>14245.44</v>
      </c>
      <c r="F22" s="39">
        <f t="shared" si="0"/>
        <v>2076.9424156800001</v>
      </c>
      <c r="H22" s="152">
        <f>FOREX!K3</f>
        <v>0.14579700000000001</v>
      </c>
      <c r="J22" s="87" t="s">
        <v>74</v>
      </c>
      <c r="K22" s="39">
        <v>525421.94999999995</v>
      </c>
    </row>
    <row r="23" spans="1:17" x14ac:dyDescent="0.2">
      <c r="A23" s="158">
        <v>46081</v>
      </c>
      <c r="B23" s="93" t="s">
        <v>2</v>
      </c>
      <c r="C23" t="s">
        <v>80</v>
      </c>
      <c r="D23" s="36" t="s">
        <v>4</v>
      </c>
      <c r="E23" s="37">
        <f>'AXI - USD'!I22</f>
        <v>199.26999999999848</v>
      </c>
      <c r="F23" s="39">
        <f>E23*H23</f>
        <v>199.26999999999848</v>
      </c>
      <c r="H23" s="152">
        <v>1</v>
      </c>
      <c r="J23" s="66" t="s">
        <v>2</v>
      </c>
      <c r="K23" s="39">
        <v>259694.15534495999</v>
      </c>
    </row>
    <row r="24" spans="1:17" x14ac:dyDescent="0.2">
      <c r="A24" s="158">
        <v>46081</v>
      </c>
      <c r="B24" s="93" t="s">
        <v>2</v>
      </c>
      <c r="C24" t="s">
        <v>81</v>
      </c>
      <c r="D24" s="36" t="s">
        <v>82</v>
      </c>
      <c r="E24" s="37">
        <f>'AXI - MYR'!I99</f>
        <v>1010053.5800000001</v>
      </c>
      <c r="F24" s="39">
        <f t="shared" si="0"/>
        <v>259494.88534496</v>
      </c>
      <c r="H24" s="152">
        <f>FOREX!G3</f>
        <v>0.25691199999999997</v>
      </c>
      <c r="J24" s="87" t="s">
        <v>81</v>
      </c>
      <c r="K24" s="39">
        <v>259494.88534496</v>
      </c>
    </row>
    <row r="25" spans="1:17" x14ac:dyDescent="0.2">
      <c r="A25" s="158">
        <v>46081</v>
      </c>
      <c r="B25" s="93" t="s">
        <v>3</v>
      </c>
      <c r="C25" t="s">
        <v>83</v>
      </c>
      <c r="D25" s="36" t="s">
        <v>79</v>
      </c>
      <c r="E25" s="37">
        <f>E17</f>
        <v>139733.88</v>
      </c>
      <c r="F25" s="39">
        <f t="shared" si="0"/>
        <v>20372.780502360001</v>
      </c>
      <c r="H25" s="152">
        <f>FOREX!K3</f>
        <v>0.14579700000000001</v>
      </c>
      <c r="J25" s="87" t="s">
        <v>80</v>
      </c>
      <c r="K25" s="39">
        <v>199.26999999999848</v>
      </c>
    </row>
    <row r="26" spans="1:17" x14ac:dyDescent="0.2">
      <c r="A26" s="158">
        <v>46081</v>
      </c>
      <c r="B26" s="93" t="s">
        <v>3</v>
      </c>
      <c r="C26" t="s">
        <v>84</v>
      </c>
      <c r="D26" s="36" t="s">
        <v>79</v>
      </c>
      <c r="E26" s="37">
        <f>'AXS-CNY'!I75</f>
        <v>408961.52999999991</v>
      </c>
      <c r="F26" s="39">
        <f t="shared" si="0"/>
        <v>59625.364189409993</v>
      </c>
      <c r="H26" s="152">
        <f>FOREX!K3</f>
        <v>0.14579700000000001</v>
      </c>
      <c r="J26" s="66" t="s">
        <v>1</v>
      </c>
      <c r="K26" s="39">
        <v>81982.446326480043</v>
      </c>
    </row>
    <row r="27" spans="1:17" x14ac:dyDescent="0.2">
      <c r="A27" s="158">
        <v>46112</v>
      </c>
      <c r="B27" s="36" t="s">
        <v>42</v>
      </c>
      <c r="C27" t="s">
        <v>74</v>
      </c>
      <c r="D27" s="36" t="s">
        <v>4</v>
      </c>
      <c r="E27" s="37">
        <f>'AXT -Eastwest Bank'!I23</f>
        <v>675398.52999999991</v>
      </c>
      <c r="F27" s="39">
        <f t="shared" si="0"/>
        <v>675398.52999999991</v>
      </c>
      <c r="H27" s="152">
        <v>1</v>
      </c>
      <c r="J27" s="87" t="s">
        <v>78</v>
      </c>
      <c r="K27" s="39">
        <v>2076.9424156800001</v>
      </c>
    </row>
    <row r="28" spans="1:17" x14ac:dyDescent="0.2">
      <c r="A28" s="158">
        <v>46112</v>
      </c>
      <c r="B28" s="93" t="s">
        <v>1</v>
      </c>
      <c r="C28" t="s">
        <v>75</v>
      </c>
      <c r="D28" s="36" t="s">
        <v>4</v>
      </c>
      <c r="E28" s="37">
        <f>'AXT - USD'!J35</f>
        <v>66399.969999999972</v>
      </c>
      <c r="F28" s="39">
        <f t="shared" si="0"/>
        <v>66399.969999999972</v>
      </c>
      <c r="H28" s="152">
        <v>1</v>
      </c>
      <c r="J28" s="87" t="s">
        <v>76</v>
      </c>
      <c r="K28" s="39">
        <v>67235.553910800038</v>
      </c>
      <c r="Q28" s="151"/>
    </row>
    <row r="29" spans="1:17" x14ac:dyDescent="0.2">
      <c r="A29" s="158">
        <v>46112</v>
      </c>
      <c r="B29" s="93" t="s">
        <v>1</v>
      </c>
      <c r="C29" t="s">
        <v>76</v>
      </c>
      <c r="D29" s="36" t="s">
        <v>77</v>
      </c>
      <c r="E29" s="37">
        <f>'AXT- SGD'!I216</f>
        <v>99091.40660000006</v>
      </c>
      <c r="F29" s="39">
        <f t="shared" si="0"/>
        <v>76810.307460363649</v>
      </c>
      <c r="H29" s="152">
        <f>FOREX!C4</f>
        <v>0.775146</v>
      </c>
      <c r="J29" s="87" t="s">
        <v>75</v>
      </c>
      <c r="K29" s="39">
        <v>12669.950000000012</v>
      </c>
    </row>
    <row r="30" spans="1:17" x14ac:dyDescent="0.2">
      <c r="A30" s="158">
        <v>46112</v>
      </c>
      <c r="B30" s="93" t="s">
        <v>1</v>
      </c>
      <c r="C30" t="s">
        <v>78</v>
      </c>
      <c r="D30" s="36" t="s">
        <v>79</v>
      </c>
      <c r="E30" s="37">
        <v>2245.44</v>
      </c>
      <c r="F30" s="39">
        <f t="shared" si="0"/>
        <v>325.49673696000002</v>
      </c>
      <c r="H30" s="152">
        <f>FOREX!K4</f>
        <v>0.144959</v>
      </c>
      <c r="J30" s="65" t="s">
        <v>27</v>
      </c>
      <c r="K30" s="39">
        <v>987757.93866413354</v>
      </c>
    </row>
    <row r="31" spans="1:17" x14ac:dyDescent="0.2">
      <c r="A31" s="158">
        <v>46112</v>
      </c>
      <c r="B31" s="93" t="s">
        <v>2</v>
      </c>
      <c r="C31" t="s">
        <v>80</v>
      </c>
      <c r="D31" s="36" t="s">
        <v>4</v>
      </c>
      <c r="E31" s="37">
        <f>'AXI - USD'!I27</f>
        <v>172.50999999999848</v>
      </c>
      <c r="F31" s="39">
        <f t="shared" si="0"/>
        <v>172.50999999999848</v>
      </c>
      <c r="H31" s="152">
        <v>1</v>
      </c>
      <c r="J31" s="66" t="s">
        <v>3</v>
      </c>
      <c r="K31" s="39">
        <v>37017.30137845999</v>
      </c>
    </row>
    <row r="32" spans="1:17" x14ac:dyDescent="0.2">
      <c r="A32" s="158">
        <v>46112</v>
      </c>
      <c r="B32" s="93" t="s">
        <v>2</v>
      </c>
      <c r="C32" t="s">
        <v>81</v>
      </c>
      <c r="D32" s="36" t="s">
        <v>82</v>
      </c>
      <c r="E32" s="37">
        <f>'AXI - MYR'!I155</f>
        <v>532919.67000000004</v>
      </c>
      <c r="F32" s="39">
        <f t="shared" si="0"/>
        <v>131633.82308835001</v>
      </c>
      <c r="H32" s="152">
        <f>FOREX!G4</f>
        <v>0.247005</v>
      </c>
      <c r="J32" s="87" t="s">
        <v>84</v>
      </c>
      <c r="K32" s="39">
        <v>16759.085433809989</v>
      </c>
    </row>
    <row r="33" spans="1:11" x14ac:dyDescent="0.2">
      <c r="A33" s="158">
        <v>46112</v>
      </c>
      <c r="B33" s="93" t="s">
        <v>3</v>
      </c>
      <c r="C33" t="s">
        <v>83</v>
      </c>
      <c r="D33" s="36" t="s">
        <v>79</v>
      </c>
      <c r="E33" s="37">
        <v>139751.35</v>
      </c>
      <c r="F33" s="39">
        <f t="shared" si="0"/>
        <v>20258.215944650001</v>
      </c>
      <c r="H33" s="152">
        <f>FOREX!K4</f>
        <v>0.144959</v>
      </c>
      <c r="J33" s="87" t="s">
        <v>83</v>
      </c>
      <c r="K33" s="39">
        <v>20258.215944650001</v>
      </c>
    </row>
    <row r="34" spans="1:11" x14ac:dyDescent="0.2">
      <c r="A34" s="158">
        <v>46112</v>
      </c>
      <c r="B34" s="93" t="s">
        <v>3</v>
      </c>
      <c r="C34" t="s">
        <v>84</v>
      </c>
      <c r="D34" s="36" t="s">
        <v>79</v>
      </c>
      <c r="E34" s="37">
        <f>'AXS-CNY'!I100</f>
        <v>115612.58999999991</v>
      </c>
      <c r="F34" s="39">
        <f t="shared" si="0"/>
        <v>16759.085433809989</v>
      </c>
      <c r="H34" s="152">
        <f>FOREX!K4</f>
        <v>0.144959</v>
      </c>
      <c r="J34" s="66" t="s">
        <v>42</v>
      </c>
      <c r="K34" s="39">
        <v>675398.52999999991</v>
      </c>
    </row>
    <row r="35" spans="1:11" x14ac:dyDescent="0.2">
      <c r="A35" s="158">
        <v>46142</v>
      </c>
      <c r="B35" s="36" t="s">
        <v>42</v>
      </c>
      <c r="C35" t="s">
        <v>74</v>
      </c>
      <c r="D35" s="36" t="s">
        <v>4</v>
      </c>
      <c r="E35" s="37">
        <f>'AXT -Eastwest Bank'!I30</f>
        <v>425377.11999999988</v>
      </c>
      <c r="F35" s="39">
        <f t="shared" si="0"/>
        <v>425377.11999999988</v>
      </c>
      <c r="H35" s="152">
        <v>1</v>
      </c>
      <c r="J35" s="87" t="s">
        <v>74</v>
      </c>
      <c r="K35" s="39">
        <v>675398.52999999991</v>
      </c>
    </row>
    <row r="36" spans="1:11" x14ac:dyDescent="0.2">
      <c r="A36" s="158">
        <v>46142</v>
      </c>
      <c r="B36" s="36" t="s">
        <v>1</v>
      </c>
      <c r="C36" t="s">
        <v>75</v>
      </c>
      <c r="D36" s="36" t="s">
        <v>4</v>
      </c>
      <c r="E36" s="37">
        <f>'AXT - USD'!J48</f>
        <v>124366.29999999996</v>
      </c>
      <c r="F36" s="39">
        <f t="shared" si="0"/>
        <v>124366.29999999996</v>
      </c>
      <c r="H36" s="152">
        <v>1</v>
      </c>
      <c r="J36" s="66" t="s">
        <v>2</v>
      </c>
      <c r="K36" s="39">
        <v>131806.33308835002</v>
      </c>
    </row>
    <row r="37" spans="1:11" x14ac:dyDescent="0.2">
      <c r="A37" s="158">
        <v>46142</v>
      </c>
      <c r="B37" s="36" t="s">
        <v>1</v>
      </c>
      <c r="C37" t="s">
        <v>76</v>
      </c>
      <c r="D37" s="36" t="s">
        <v>77</v>
      </c>
      <c r="E37" s="37">
        <f>'AXT- SGD'!I280</f>
        <v>121074.25660000002</v>
      </c>
      <c r="F37" s="39">
        <f t="shared" si="0"/>
        <v>95028.246608631322</v>
      </c>
      <c r="H37" s="152">
        <f>FOREX!C5</f>
        <v>0.78487573888297002</v>
      </c>
      <c r="J37" s="87" t="s">
        <v>81</v>
      </c>
      <c r="K37" s="39">
        <v>131633.82308835001</v>
      </c>
    </row>
    <row r="38" spans="1:11" x14ac:dyDescent="0.2">
      <c r="A38" s="158">
        <v>46142</v>
      </c>
      <c r="B38" s="36" t="s">
        <v>1</v>
      </c>
      <c r="C38" t="s">
        <v>78</v>
      </c>
      <c r="D38" s="36" t="s">
        <v>79</v>
      </c>
      <c r="E38" s="37">
        <f>E30</f>
        <v>2245.44</v>
      </c>
      <c r="F38" s="39">
        <f t="shared" si="0"/>
        <v>328.80724076056646</v>
      </c>
      <c r="H38" s="152">
        <f>FOREX!K5</f>
        <v>0.146433322983721</v>
      </c>
      <c r="J38" s="87" t="s">
        <v>80</v>
      </c>
      <c r="K38" s="39">
        <v>172.50999999999848</v>
      </c>
    </row>
    <row r="39" spans="1:11" x14ac:dyDescent="0.2">
      <c r="A39" s="158">
        <v>46142</v>
      </c>
      <c r="B39" s="36" t="s">
        <v>2</v>
      </c>
      <c r="C39" t="s">
        <v>80</v>
      </c>
      <c r="D39" s="36" t="s">
        <v>4</v>
      </c>
      <c r="E39" s="37">
        <f>'AXI - USD'!I27</f>
        <v>172.50999999999848</v>
      </c>
      <c r="F39" s="39">
        <f t="shared" si="0"/>
        <v>172.50999999999848</v>
      </c>
      <c r="H39" s="152">
        <v>1</v>
      </c>
      <c r="J39" s="66" t="s">
        <v>1</v>
      </c>
      <c r="K39" s="39">
        <v>143535.77419732363</v>
      </c>
    </row>
    <row r="40" spans="1:11" x14ac:dyDescent="0.2">
      <c r="A40" s="158">
        <v>46142</v>
      </c>
      <c r="B40" s="36" t="s">
        <v>2</v>
      </c>
      <c r="C40" t="s">
        <v>81</v>
      </c>
      <c r="D40" s="36" t="s">
        <v>82</v>
      </c>
      <c r="E40" s="37">
        <f>'AXI - MYR'!I188</f>
        <v>537094.84000000008</v>
      </c>
      <c r="F40" s="39">
        <f t="shared" si="0"/>
        <v>135285.04275582649</v>
      </c>
      <c r="H40" s="152">
        <f>FOREX!G5</f>
        <v>0.25188296866867399</v>
      </c>
      <c r="J40" s="87" t="s">
        <v>78</v>
      </c>
      <c r="K40" s="39">
        <v>325.49673696000002</v>
      </c>
    </row>
    <row r="41" spans="1:11" x14ac:dyDescent="0.2">
      <c r="A41" s="158">
        <v>46142</v>
      </c>
      <c r="B41" s="36" t="s">
        <v>3</v>
      </c>
      <c r="C41" t="s">
        <v>83</v>
      </c>
      <c r="D41" s="36" t="s">
        <v>79</v>
      </c>
      <c r="E41" s="37">
        <v>46884.57</v>
      </c>
      <c r="F41" s="39">
        <f t="shared" si="0"/>
        <v>6865.4633817628755</v>
      </c>
      <c r="H41" s="152">
        <f>FOREX!K5</f>
        <v>0.146433322983721</v>
      </c>
      <c r="J41" s="87" t="s">
        <v>76</v>
      </c>
      <c r="K41" s="39">
        <v>76810.307460363649</v>
      </c>
    </row>
    <row r="42" spans="1:11" x14ac:dyDescent="0.2">
      <c r="A42" s="158">
        <v>46142</v>
      </c>
      <c r="B42" s="36" t="s">
        <v>3</v>
      </c>
      <c r="C42" t="s">
        <v>84</v>
      </c>
      <c r="D42" s="36" t="s">
        <v>79</v>
      </c>
      <c r="E42" s="37">
        <f>'AXS-CNY'!I126</f>
        <v>44486.279999999897</v>
      </c>
      <c r="F42" s="39">
        <f t="shared" si="0"/>
        <v>6572.9813288399846</v>
      </c>
      <c r="H42" s="152">
        <f>FOREX!K6</f>
        <v>0.147753</v>
      </c>
      <c r="J42" s="87" t="s">
        <v>75</v>
      </c>
      <c r="K42" s="39">
        <v>66399.969999999972</v>
      </c>
    </row>
    <row r="43" spans="1:11" x14ac:dyDescent="0.2">
      <c r="A43" s="158">
        <v>46173</v>
      </c>
      <c r="B43" s="36" t="s">
        <v>42</v>
      </c>
      <c r="C43" t="s">
        <v>74</v>
      </c>
      <c r="D43" s="36" t="s">
        <v>4</v>
      </c>
      <c r="E43" s="37">
        <f>'AXT -Eastwest Bank'!I35</f>
        <v>425380.77999999985</v>
      </c>
      <c r="F43" s="39">
        <f t="shared" si="0"/>
        <v>425380.77999999985</v>
      </c>
      <c r="H43" s="152">
        <v>1</v>
      </c>
      <c r="J43" s="65" t="s">
        <v>36</v>
      </c>
      <c r="K43" s="39">
        <v>793996.47131582105</v>
      </c>
    </row>
    <row r="44" spans="1:11" x14ac:dyDescent="0.2">
      <c r="A44" s="158">
        <v>46173</v>
      </c>
      <c r="B44" s="36" t="s">
        <v>1</v>
      </c>
      <c r="C44" t="s">
        <v>75</v>
      </c>
      <c r="D44" s="36" t="s">
        <v>4</v>
      </c>
      <c r="E44" s="37">
        <f>'AXT - USD'!J59</f>
        <v>12350.959999999963</v>
      </c>
      <c r="F44" s="39">
        <f t="shared" si="0"/>
        <v>12350.959999999963</v>
      </c>
      <c r="H44" s="152">
        <v>1</v>
      </c>
      <c r="J44" s="66" t="s">
        <v>3</v>
      </c>
      <c r="K44" s="39">
        <v>13438.44471060286</v>
      </c>
    </row>
    <row r="45" spans="1:11" x14ac:dyDescent="0.2">
      <c r="A45" s="158">
        <v>46173</v>
      </c>
      <c r="B45" s="36" t="s">
        <v>1</v>
      </c>
      <c r="C45" t="s">
        <v>76</v>
      </c>
      <c r="D45" s="36" t="s">
        <v>77</v>
      </c>
      <c r="E45" s="37">
        <f>'AXT- SGD'!I366</f>
        <v>122067.7266000001</v>
      </c>
      <c r="F45" s="39">
        <f t="shared" si="0"/>
        <v>95603.443473120074</v>
      </c>
      <c r="H45" s="152">
        <f>FOREX!C6</f>
        <v>0.78320000000000001</v>
      </c>
      <c r="J45" s="87" t="s">
        <v>84</v>
      </c>
      <c r="K45" s="39">
        <v>6572.9813288399846</v>
      </c>
    </row>
    <row r="46" spans="1:11" x14ac:dyDescent="0.2">
      <c r="A46" s="158">
        <v>46173</v>
      </c>
      <c r="B46" s="36" t="s">
        <v>1</v>
      </c>
      <c r="C46" t="s">
        <v>78</v>
      </c>
      <c r="D46" s="36" t="s">
        <v>79</v>
      </c>
      <c r="E46" s="37">
        <f>E30</f>
        <v>2245.44</v>
      </c>
      <c r="F46" s="39">
        <f t="shared" si="0"/>
        <v>331.77049632000001</v>
      </c>
      <c r="H46" s="152">
        <f>FOREX!K6</f>
        <v>0.147753</v>
      </c>
      <c r="J46" s="87" t="s">
        <v>83</v>
      </c>
      <c r="K46" s="39">
        <v>6865.4633817628755</v>
      </c>
    </row>
    <row r="47" spans="1:11" x14ac:dyDescent="0.2">
      <c r="A47" s="158">
        <v>46173</v>
      </c>
      <c r="B47" s="36" t="s">
        <v>2</v>
      </c>
      <c r="C47" t="s">
        <v>80</v>
      </c>
      <c r="D47" s="36" t="s">
        <v>4</v>
      </c>
      <c r="E47" s="37">
        <f>'AXI - USD'!I27</f>
        <v>172.50999999999848</v>
      </c>
      <c r="F47" s="39">
        <f t="shared" si="0"/>
        <v>172.50999999999848</v>
      </c>
      <c r="H47" s="152">
        <v>1</v>
      </c>
      <c r="J47" s="66" t="s">
        <v>42</v>
      </c>
      <c r="K47" s="39">
        <v>425377.11999999988</v>
      </c>
    </row>
    <row r="48" spans="1:11" x14ac:dyDescent="0.2">
      <c r="A48" s="158">
        <v>46173</v>
      </c>
      <c r="B48" s="36" t="s">
        <v>2</v>
      </c>
      <c r="C48" t="s">
        <v>81</v>
      </c>
      <c r="D48" s="36" t="s">
        <v>82</v>
      </c>
      <c r="E48" s="37">
        <f>'AXI - MYR'!I234</f>
        <v>284781.85000000003</v>
      </c>
      <c r="F48" s="39">
        <f t="shared" si="0"/>
        <v>71769.297927750013</v>
      </c>
      <c r="H48" s="152">
        <f>FOREX!G6</f>
        <v>0.25201499999999999</v>
      </c>
      <c r="J48" s="87" t="s">
        <v>74</v>
      </c>
      <c r="K48" s="39">
        <v>425377.11999999988</v>
      </c>
    </row>
    <row r="49" spans="1:11" x14ac:dyDescent="0.2">
      <c r="A49" s="158">
        <v>46173</v>
      </c>
      <c r="B49" s="36" t="s">
        <v>3</v>
      </c>
      <c r="C49" t="s">
        <v>83</v>
      </c>
      <c r="D49" s="36" t="s">
        <v>79</v>
      </c>
      <c r="E49" s="37">
        <f>0</f>
        <v>0</v>
      </c>
      <c r="F49" s="39">
        <f t="shared" si="0"/>
        <v>0</v>
      </c>
      <c r="H49" s="152">
        <f>FOREX!K6</f>
        <v>0.147753</v>
      </c>
      <c r="J49" s="66" t="s">
        <v>2</v>
      </c>
      <c r="K49" s="39">
        <v>135457.5527558265</v>
      </c>
    </row>
    <row r="50" spans="1:11" x14ac:dyDescent="0.2">
      <c r="A50" s="158">
        <v>46173</v>
      </c>
      <c r="B50" s="36" t="s">
        <v>3</v>
      </c>
      <c r="C50" t="s">
        <v>84</v>
      </c>
      <c r="D50" s="36" t="s">
        <v>79</v>
      </c>
      <c r="E50" s="37">
        <f>'AXS-CNY'!I150</f>
        <v>390217.13</v>
      </c>
      <c r="F50" s="39">
        <f t="shared" si="0"/>
        <v>57655.751608890001</v>
      </c>
      <c r="H50" s="152">
        <f>FOREX!K6</f>
        <v>0.147753</v>
      </c>
      <c r="J50" s="87" t="s">
        <v>81</v>
      </c>
      <c r="K50" s="39">
        <v>135285.04275582649</v>
      </c>
    </row>
    <row r="51" spans="1:11" x14ac:dyDescent="0.2">
      <c r="A51" s="158">
        <v>46203</v>
      </c>
      <c r="B51" s="36" t="s">
        <v>42</v>
      </c>
      <c r="C51" t="s">
        <v>74</v>
      </c>
      <c r="D51" s="36" t="s">
        <v>4</v>
      </c>
      <c r="E51" s="37">
        <f>'AXT -Eastwest Bank'!I43</f>
        <v>225380.77999999985</v>
      </c>
      <c r="F51" s="39">
        <f t="shared" si="0"/>
        <v>225380.77999999985</v>
      </c>
      <c r="H51" s="152">
        <v>1</v>
      </c>
      <c r="J51" s="87" t="s">
        <v>80</v>
      </c>
      <c r="K51" s="39">
        <v>172.50999999999848</v>
      </c>
    </row>
    <row r="52" spans="1:11" x14ac:dyDescent="0.2">
      <c r="A52" s="158">
        <v>46234</v>
      </c>
      <c r="B52" s="36" t="s">
        <v>42</v>
      </c>
      <c r="C52" t="s">
        <v>74</v>
      </c>
      <c r="D52" s="36" t="s">
        <v>4</v>
      </c>
      <c r="E52" s="37">
        <f>'AXT -Eastwest Bank'!I53</f>
        <v>225380.77999999985</v>
      </c>
      <c r="F52" s="39">
        <f t="shared" si="0"/>
        <v>225380.77999999985</v>
      </c>
      <c r="H52" s="152">
        <v>1</v>
      </c>
      <c r="J52" s="66" t="s">
        <v>1</v>
      </c>
      <c r="K52" s="39">
        <v>219723.35384939186</v>
      </c>
    </row>
    <row r="53" spans="1:11" x14ac:dyDescent="0.2">
      <c r="A53" s="158">
        <v>46265</v>
      </c>
      <c r="B53" s="36" t="s">
        <v>42</v>
      </c>
      <c r="C53" t="s">
        <v>74</v>
      </c>
      <c r="D53" s="36" t="s">
        <v>4</v>
      </c>
      <c r="E53" s="37">
        <f>'AXT -Eastwest Bank'!I64</f>
        <v>225380.77999999985</v>
      </c>
      <c r="F53" s="39">
        <f t="shared" si="0"/>
        <v>225380.77999999985</v>
      </c>
      <c r="H53" s="152">
        <v>1</v>
      </c>
      <c r="J53" s="87" t="s">
        <v>78</v>
      </c>
      <c r="K53" s="39">
        <v>328.80724076056646</v>
      </c>
    </row>
    <row r="54" spans="1:11" x14ac:dyDescent="0.2">
      <c r="A54" s="158">
        <v>46295</v>
      </c>
      <c r="B54" s="36" t="s">
        <v>42</v>
      </c>
      <c r="C54" t="s">
        <v>74</v>
      </c>
      <c r="D54" s="36" t="s">
        <v>4</v>
      </c>
      <c r="E54" s="37">
        <f>'AXT -Eastwest Bank'!I74</f>
        <v>225380.77999999985</v>
      </c>
      <c r="F54" s="39">
        <f t="shared" si="0"/>
        <v>225380.77999999985</v>
      </c>
      <c r="H54" s="152">
        <v>1</v>
      </c>
      <c r="J54" s="87" t="s">
        <v>76</v>
      </c>
      <c r="K54" s="39">
        <v>95028.246608631322</v>
      </c>
    </row>
    <row r="55" spans="1:11" x14ac:dyDescent="0.2">
      <c r="A55" s="158">
        <v>46326</v>
      </c>
      <c r="B55" s="36" t="s">
        <v>42</v>
      </c>
      <c r="C55" t="s">
        <v>74</v>
      </c>
      <c r="D55" s="36" t="s">
        <v>4</v>
      </c>
      <c r="E55" s="37">
        <f>'AXT -Eastwest Bank'!I84</f>
        <v>225380.77999999985</v>
      </c>
      <c r="F55" s="39">
        <f t="shared" si="0"/>
        <v>225380.77999999985</v>
      </c>
      <c r="H55" s="152">
        <v>1</v>
      </c>
      <c r="J55" s="87" t="s">
        <v>75</v>
      </c>
      <c r="K55" s="39">
        <v>124366.29999999996</v>
      </c>
    </row>
    <row r="56" spans="1:11" x14ac:dyDescent="0.2">
      <c r="A56" s="158">
        <v>46356</v>
      </c>
      <c r="B56" s="36" t="s">
        <v>42</v>
      </c>
      <c r="C56" t="s">
        <v>74</v>
      </c>
      <c r="D56" s="36" t="s">
        <v>4</v>
      </c>
      <c r="E56" s="37">
        <f>'AXT -Eastwest Bank'!I95</f>
        <v>225380.77999999985</v>
      </c>
      <c r="F56" s="39">
        <f t="shared" si="0"/>
        <v>225380.77999999985</v>
      </c>
      <c r="H56" s="152">
        <v>1</v>
      </c>
      <c r="J56" s="65" t="s">
        <v>12</v>
      </c>
      <c r="K56" s="39">
        <v>663264.51350607991</v>
      </c>
    </row>
    <row r="57" spans="1:11" x14ac:dyDescent="0.2">
      <c r="A57" s="158">
        <v>46387</v>
      </c>
      <c r="B57" s="36" t="s">
        <v>42</v>
      </c>
      <c r="C57" t="s">
        <v>74</v>
      </c>
      <c r="D57" s="36" t="s">
        <v>4</v>
      </c>
      <c r="E57" s="37">
        <f>'AXT -Eastwest Bank'!I105</f>
        <v>225380.77999999985</v>
      </c>
      <c r="F57" s="39">
        <f t="shared" si="0"/>
        <v>225380.77999999985</v>
      </c>
      <c r="H57" s="152">
        <v>1</v>
      </c>
      <c r="J57" s="66" t="s">
        <v>3</v>
      </c>
      <c r="K57" s="39">
        <v>57655.751608890001</v>
      </c>
    </row>
    <row r="58" spans="1:11" x14ac:dyDescent="0.2">
      <c r="A58" s="158">
        <v>46203</v>
      </c>
      <c r="B58" s="36" t="s">
        <v>1</v>
      </c>
      <c r="C58" t="s">
        <v>75</v>
      </c>
      <c r="D58" s="36" t="s">
        <v>4</v>
      </c>
      <c r="E58" s="37">
        <f>'AXT - USD'!J75</f>
        <v>210734.00999999998</v>
      </c>
      <c r="F58" s="39">
        <f t="shared" si="0"/>
        <v>210734.00999999998</v>
      </c>
      <c r="H58" s="152">
        <v>1</v>
      </c>
      <c r="J58" s="87" t="s">
        <v>84</v>
      </c>
      <c r="K58" s="39">
        <v>57655.751608890001</v>
      </c>
    </row>
    <row r="59" spans="1:11" x14ac:dyDescent="0.2">
      <c r="A59" s="158">
        <v>46234</v>
      </c>
      <c r="B59" s="36" t="s">
        <v>1</v>
      </c>
      <c r="C59" t="s">
        <v>75</v>
      </c>
      <c r="D59" s="36" t="s">
        <v>4</v>
      </c>
      <c r="E59" s="37">
        <f>'AXT - USD'!J82</f>
        <v>210734.00999999998</v>
      </c>
      <c r="F59" s="39">
        <f t="shared" si="0"/>
        <v>210734.00999999998</v>
      </c>
      <c r="H59" s="152">
        <v>1</v>
      </c>
      <c r="J59" s="87" t="s">
        <v>83</v>
      </c>
      <c r="K59" s="39">
        <v>0</v>
      </c>
    </row>
    <row r="60" spans="1:11" x14ac:dyDescent="0.2">
      <c r="A60" s="158">
        <v>46265</v>
      </c>
      <c r="B60" s="36" t="s">
        <v>1</v>
      </c>
      <c r="C60" t="s">
        <v>75</v>
      </c>
      <c r="D60" s="36" t="s">
        <v>4</v>
      </c>
      <c r="E60" s="37">
        <f>'AXT - USD'!J85</f>
        <v>210734.00999999998</v>
      </c>
      <c r="F60" s="39">
        <f t="shared" si="0"/>
        <v>210734.00999999998</v>
      </c>
      <c r="H60" s="152">
        <v>1</v>
      </c>
      <c r="J60" s="66" t="s">
        <v>42</v>
      </c>
      <c r="K60" s="39">
        <v>425380.77999999985</v>
      </c>
    </row>
    <row r="61" spans="1:11" x14ac:dyDescent="0.2">
      <c r="A61" s="158">
        <v>46295</v>
      </c>
      <c r="B61" s="36" t="s">
        <v>1</v>
      </c>
      <c r="C61" t="s">
        <v>75</v>
      </c>
      <c r="D61" s="36" t="s">
        <v>4</v>
      </c>
      <c r="E61" s="37">
        <f>'AXT - USD'!J98</f>
        <v>210734.00999999998</v>
      </c>
      <c r="F61" s="39">
        <f t="shared" si="0"/>
        <v>210734.00999999998</v>
      </c>
      <c r="H61" s="152">
        <v>1</v>
      </c>
      <c r="J61" s="87" t="s">
        <v>74</v>
      </c>
      <c r="K61" s="39">
        <v>425380.77999999985</v>
      </c>
    </row>
    <row r="62" spans="1:11" x14ac:dyDescent="0.2">
      <c r="A62" s="158">
        <v>46326</v>
      </c>
      <c r="B62" s="36" t="s">
        <v>1</v>
      </c>
      <c r="C62" t="s">
        <v>75</v>
      </c>
      <c r="D62" s="36" t="s">
        <v>4</v>
      </c>
      <c r="E62" s="37">
        <f>'AXT - USD'!J105</f>
        <v>210734.00999999998</v>
      </c>
      <c r="F62" s="39">
        <f t="shared" si="0"/>
        <v>210734.00999999998</v>
      </c>
      <c r="H62" s="152">
        <v>1</v>
      </c>
      <c r="J62" s="66" t="s">
        <v>2</v>
      </c>
      <c r="K62" s="39">
        <v>71941.807927750007</v>
      </c>
    </row>
    <row r="63" spans="1:11" x14ac:dyDescent="0.2">
      <c r="A63" s="158">
        <v>46356</v>
      </c>
      <c r="B63" s="36" t="s">
        <v>1</v>
      </c>
      <c r="C63" t="s">
        <v>75</v>
      </c>
      <c r="D63" s="36" t="s">
        <v>4</v>
      </c>
      <c r="E63" s="37">
        <f>'AXT - USD'!J112</f>
        <v>210734.00999999998</v>
      </c>
      <c r="F63" s="39">
        <f t="shared" si="0"/>
        <v>210734.00999999998</v>
      </c>
      <c r="H63" s="152">
        <v>1</v>
      </c>
      <c r="J63" s="87" t="s">
        <v>81</v>
      </c>
      <c r="K63" s="39">
        <v>71769.297927750013</v>
      </c>
    </row>
    <row r="64" spans="1:11" x14ac:dyDescent="0.2">
      <c r="A64" s="158">
        <v>46387</v>
      </c>
      <c r="B64" s="36" t="s">
        <v>1</v>
      </c>
      <c r="C64" t="s">
        <v>75</v>
      </c>
      <c r="D64" s="36" t="s">
        <v>4</v>
      </c>
      <c r="E64" s="37">
        <f>'AXT - USD'!J119</f>
        <v>210734.00999999998</v>
      </c>
      <c r="F64" s="39">
        <f t="shared" si="0"/>
        <v>210734.00999999998</v>
      </c>
      <c r="H64" s="152">
        <v>1</v>
      </c>
      <c r="J64" s="87" t="s">
        <v>80</v>
      </c>
      <c r="K64" s="39">
        <v>172.50999999999848</v>
      </c>
    </row>
    <row r="65" spans="1:11" x14ac:dyDescent="0.2">
      <c r="A65" s="158">
        <v>46203</v>
      </c>
      <c r="B65" s="36" t="s">
        <v>1</v>
      </c>
      <c r="C65" t="s">
        <v>76</v>
      </c>
      <c r="D65" s="36" t="s">
        <v>77</v>
      </c>
      <c r="E65" s="37">
        <f>'AXT- SGD'!I444</f>
        <v>252292.01750000007</v>
      </c>
      <c r="F65" s="39">
        <f t="shared" si="0"/>
        <v>197595.10810600006</v>
      </c>
      <c r="H65" s="152">
        <f>FOREX!C7</f>
        <v>0.78320000000000001</v>
      </c>
      <c r="J65" s="66" t="s">
        <v>1</v>
      </c>
      <c r="K65" s="39">
        <v>108286.17396944003</v>
      </c>
    </row>
    <row r="66" spans="1:11" x14ac:dyDescent="0.2">
      <c r="A66" s="158">
        <v>46234</v>
      </c>
      <c r="B66" s="36" t="s">
        <v>1</v>
      </c>
      <c r="C66" t="s">
        <v>76</v>
      </c>
      <c r="D66" s="36" t="s">
        <v>77</v>
      </c>
      <c r="E66" s="37">
        <f>'AXT- SGD'!I452</f>
        <v>252292.01750000007</v>
      </c>
      <c r="F66" s="39">
        <f t="shared" si="0"/>
        <v>197595.10810600006</v>
      </c>
      <c r="H66" s="152">
        <f>FOREX!C8</f>
        <v>0.78320000000000001</v>
      </c>
      <c r="J66" s="87" t="s">
        <v>78</v>
      </c>
      <c r="K66" s="39">
        <v>331.77049632000001</v>
      </c>
    </row>
    <row r="67" spans="1:11" x14ac:dyDescent="0.2">
      <c r="A67" s="158">
        <v>46265</v>
      </c>
      <c r="B67" s="36" t="s">
        <v>1</v>
      </c>
      <c r="C67" t="s">
        <v>76</v>
      </c>
      <c r="D67" s="36" t="s">
        <v>77</v>
      </c>
      <c r="E67" s="37">
        <f>'AXT- SGD'!I460</f>
        <v>252292.01750000007</v>
      </c>
      <c r="F67" s="39">
        <f t="shared" si="0"/>
        <v>197595.10810600006</v>
      </c>
      <c r="H67" s="152">
        <f>FOREX!C9</f>
        <v>0.78320000000000001</v>
      </c>
      <c r="J67" s="87" t="s">
        <v>76</v>
      </c>
      <c r="K67" s="39">
        <v>95603.443473120074</v>
      </c>
    </row>
    <row r="68" spans="1:11" x14ac:dyDescent="0.2">
      <c r="A68" s="158">
        <v>46295</v>
      </c>
      <c r="B68" s="36" t="s">
        <v>1</v>
      </c>
      <c r="C68" t="s">
        <v>76</v>
      </c>
      <c r="D68" s="36" t="s">
        <v>77</v>
      </c>
      <c r="E68" s="37">
        <f>'AXT- SGD'!I468</f>
        <v>252292.01750000007</v>
      </c>
      <c r="F68" s="39">
        <f t="shared" ref="F68:F92" si="1">E68*H68</f>
        <v>197595.10810600006</v>
      </c>
      <c r="H68" s="152">
        <f>FOREX!C10</f>
        <v>0.78320000000000001</v>
      </c>
      <c r="J68" s="87" t="s">
        <v>75</v>
      </c>
      <c r="K68" s="39">
        <v>12350.959999999963</v>
      </c>
    </row>
    <row r="69" spans="1:11" x14ac:dyDescent="0.2">
      <c r="A69" s="158">
        <v>46326</v>
      </c>
      <c r="B69" s="36" t="s">
        <v>1</v>
      </c>
      <c r="C69" t="s">
        <v>76</v>
      </c>
      <c r="D69" s="36" t="s">
        <v>77</v>
      </c>
      <c r="E69" s="37">
        <f>'AXT- SGD'!I476</f>
        <v>252292.01750000007</v>
      </c>
      <c r="F69" s="39">
        <f t="shared" si="1"/>
        <v>197595.10810600006</v>
      </c>
      <c r="H69" s="152">
        <f>FOREX!C11</f>
        <v>0.78320000000000001</v>
      </c>
      <c r="J69" s="65" t="s">
        <v>13</v>
      </c>
      <c r="K69" s="39">
        <v>735495.79040478996</v>
      </c>
    </row>
    <row r="70" spans="1:11" x14ac:dyDescent="0.2">
      <c r="A70" s="158">
        <v>46356</v>
      </c>
      <c r="B70" s="36" t="s">
        <v>1</v>
      </c>
      <c r="C70" t="s">
        <v>76</v>
      </c>
      <c r="D70" s="36" t="s">
        <v>77</v>
      </c>
      <c r="E70" s="37">
        <f>'AXT- SGD'!I484</f>
        <v>252292.01750000007</v>
      </c>
      <c r="F70" s="39">
        <f t="shared" si="1"/>
        <v>197595.10810600006</v>
      </c>
      <c r="H70" s="152">
        <f>FOREX!C12</f>
        <v>0.78320000000000001</v>
      </c>
      <c r="J70" s="65" t="s">
        <v>1615</v>
      </c>
      <c r="K70" s="39">
        <v>735495.79040478996</v>
      </c>
    </row>
    <row r="71" spans="1:11" x14ac:dyDescent="0.2">
      <c r="A71" s="158">
        <v>46387</v>
      </c>
      <c r="B71" s="36" t="s">
        <v>1</v>
      </c>
      <c r="C71" t="s">
        <v>76</v>
      </c>
      <c r="D71" s="36" t="s">
        <v>77</v>
      </c>
      <c r="E71" s="37">
        <f>'AXT- SGD'!I492</f>
        <v>252292.01750000007</v>
      </c>
      <c r="F71" s="39">
        <f t="shared" si="1"/>
        <v>197595.10810600006</v>
      </c>
      <c r="H71" s="152">
        <f>FOREX!C13</f>
        <v>0.78320000000000001</v>
      </c>
      <c r="J71" s="65" t="s">
        <v>1616</v>
      </c>
      <c r="K71" s="39">
        <v>735495.79040478996</v>
      </c>
    </row>
    <row r="72" spans="1:11" x14ac:dyDescent="0.2">
      <c r="A72" s="158">
        <v>46203</v>
      </c>
      <c r="B72" s="93" t="s">
        <v>2</v>
      </c>
      <c r="C72" t="s">
        <v>81</v>
      </c>
      <c r="D72" s="36" t="s">
        <v>82</v>
      </c>
      <c r="E72" s="37">
        <f>'AXI - MYR'!I276</f>
        <v>174424.66000000003</v>
      </c>
      <c r="F72" s="39">
        <f t="shared" si="1"/>
        <v>43957.630689900005</v>
      </c>
      <c r="H72" s="152">
        <f>FOREX!G7</f>
        <v>0.25201499999999999</v>
      </c>
      <c r="J72" s="65" t="s">
        <v>1617</v>
      </c>
      <c r="K72" s="39">
        <v>735495.79040478996</v>
      </c>
    </row>
    <row r="73" spans="1:11" x14ac:dyDescent="0.2">
      <c r="A73" s="158">
        <v>46234</v>
      </c>
      <c r="B73" s="93" t="s">
        <v>2</v>
      </c>
      <c r="C73" t="s">
        <v>81</v>
      </c>
      <c r="D73" s="36" t="s">
        <v>82</v>
      </c>
      <c r="E73" s="37">
        <f>'AXI - MYR'!I284</f>
        <v>174424.66000000003</v>
      </c>
      <c r="F73" s="39">
        <f t="shared" si="1"/>
        <v>43957.630689900005</v>
      </c>
      <c r="H73" s="152">
        <f>FOREX!G8</f>
        <v>0.25201499999999999</v>
      </c>
      <c r="J73" s="65" t="s">
        <v>1618</v>
      </c>
      <c r="K73" s="39">
        <v>735495.79040478996</v>
      </c>
    </row>
    <row r="74" spans="1:11" x14ac:dyDescent="0.2">
      <c r="A74" s="158">
        <v>46265</v>
      </c>
      <c r="B74" s="93" t="s">
        <v>2</v>
      </c>
      <c r="C74" t="s">
        <v>81</v>
      </c>
      <c r="D74" s="36" t="s">
        <v>82</v>
      </c>
      <c r="E74" s="37">
        <f>'AXI - MYR'!I292</f>
        <v>174424.66000000003</v>
      </c>
      <c r="F74" s="39">
        <f t="shared" si="1"/>
        <v>43957.630689900005</v>
      </c>
      <c r="H74" s="152">
        <f>FOREX!G9</f>
        <v>0.25201499999999999</v>
      </c>
      <c r="J74" s="65" t="s">
        <v>1619</v>
      </c>
      <c r="K74" s="39">
        <v>735495.79040478996</v>
      </c>
    </row>
    <row r="75" spans="1:11" x14ac:dyDescent="0.2">
      <c r="A75" s="158">
        <v>46295</v>
      </c>
      <c r="B75" s="93" t="s">
        <v>2</v>
      </c>
      <c r="C75" t="s">
        <v>81</v>
      </c>
      <c r="D75" s="36" t="s">
        <v>82</v>
      </c>
      <c r="E75" s="37">
        <f>'AXI - MYR'!I300</f>
        <v>174424.66000000003</v>
      </c>
      <c r="F75" s="39">
        <f t="shared" si="1"/>
        <v>43957.630689900005</v>
      </c>
      <c r="H75" s="152">
        <f>FOREX!G10</f>
        <v>0.25201499999999999</v>
      </c>
      <c r="J75" s="65" t="s">
        <v>20</v>
      </c>
      <c r="K75" s="39">
        <v>735495.79040478996</v>
      </c>
    </row>
    <row r="76" spans="1:11" x14ac:dyDescent="0.2">
      <c r="A76" s="158">
        <v>46326</v>
      </c>
      <c r="B76" s="93" t="s">
        <v>2</v>
      </c>
      <c r="C76" t="s">
        <v>81</v>
      </c>
      <c r="D76" s="36" t="s">
        <v>82</v>
      </c>
      <c r="E76" s="37">
        <f>'AXI - MYR'!I308</f>
        <v>174424.66000000003</v>
      </c>
      <c r="F76" s="39">
        <f t="shared" si="1"/>
        <v>43957.630689900005</v>
      </c>
      <c r="H76" s="152">
        <f>FOREX!G11</f>
        <v>0.25201499999999999</v>
      </c>
      <c r="J76" s="65" t="s">
        <v>19</v>
      </c>
      <c r="K76" s="39">
        <v>10496112.378878983</v>
      </c>
    </row>
    <row r="77" spans="1:11" x14ac:dyDescent="0.2">
      <c r="A77" s="158">
        <v>46356</v>
      </c>
      <c r="B77" s="93" t="s">
        <v>2</v>
      </c>
      <c r="C77" t="s">
        <v>81</v>
      </c>
      <c r="D77" s="36" t="s">
        <v>82</v>
      </c>
      <c r="E77" s="37">
        <f>'AXI - MYR'!I316</f>
        <v>174424.66000000003</v>
      </c>
      <c r="F77" s="39">
        <f t="shared" si="1"/>
        <v>43957.630689900005</v>
      </c>
      <c r="H77" s="152">
        <f>FOREX!G12</f>
        <v>0.25201499999999999</v>
      </c>
    </row>
    <row r="78" spans="1:11" x14ac:dyDescent="0.2">
      <c r="A78" s="158">
        <v>46387</v>
      </c>
      <c r="B78" s="93" t="s">
        <v>2</v>
      </c>
      <c r="C78" t="s">
        <v>81</v>
      </c>
      <c r="D78" s="36" t="s">
        <v>82</v>
      </c>
      <c r="E78" s="37">
        <f>'AXI - MYR'!I324</f>
        <v>174424.66000000003</v>
      </c>
      <c r="F78" s="39">
        <f t="shared" si="1"/>
        <v>43957.630689900005</v>
      </c>
      <c r="H78" s="152">
        <f>FOREX!G13</f>
        <v>0.25201499999999999</v>
      </c>
    </row>
    <row r="79" spans="1:11" x14ac:dyDescent="0.2">
      <c r="A79" s="158">
        <v>46203</v>
      </c>
      <c r="B79" s="36" t="s">
        <v>2</v>
      </c>
      <c r="C79" t="s">
        <v>80</v>
      </c>
      <c r="D79" s="36" t="s">
        <v>4</v>
      </c>
      <c r="E79" s="37">
        <f>'AXI - USD'!I33</f>
        <v>172.50999999999848</v>
      </c>
      <c r="F79" s="39">
        <f t="shared" si="1"/>
        <v>172.50999999999848</v>
      </c>
      <c r="H79" s="152">
        <v>1</v>
      </c>
    </row>
    <row r="80" spans="1:11" x14ac:dyDescent="0.2">
      <c r="A80" s="158">
        <v>46234</v>
      </c>
      <c r="B80" s="36" t="s">
        <v>2</v>
      </c>
      <c r="C80" t="s">
        <v>80</v>
      </c>
      <c r="D80" s="36" t="s">
        <v>4</v>
      </c>
      <c r="E80" s="37">
        <f>'AXI - USD'!I40</f>
        <v>172.50999999999848</v>
      </c>
      <c r="F80" s="39">
        <f t="shared" si="1"/>
        <v>172.50999999999848</v>
      </c>
      <c r="H80" s="152">
        <v>1</v>
      </c>
    </row>
    <row r="81" spans="1:8" x14ac:dyDescent="0.2">
      <c r="A81" s="158">
        <v>46265</v>
      </c>
      <c r="B81" s="36" t="s">
        <v>2</v>
      </c>
      <c r="C81" t="s">
        <v>80</v>
      </c>
      <c r="D81" s="36" t="s">
        <v>4</v>
      </c>
      <c r="E81" s="37">
        <f>'AXI - USD'!I47</f>
        <v>172.50999999999848</v>
      </c>
      <c r="F81" s="39">
        <f t="shared" si="1"/>
        <v>172.50999999999848</v>
      </c>
      <c r="H81" s="152">
        <v>1</v>
      </c>
    </row>
    <row r="82" spans="1:8" x14ac:dyDescent="0.2">
      <c r="A82" s="158">
        <v>46295</v>
      </c>
      <c r="B82" s="36" t="s">
        <v>2</v>
      </c>
      <c r="C82" t="s">
        <v>80</v>
      </c>
      <c r="D82" s="36" t="s">
        <v>4</v>
      </c>
      <c r="E82" s="37">
        <f>'AXI - USD'!I56</f>
        <v>172.50999999999848</v>
      </c>
      <c r="F82" s="39">
        <f t="shared" si="1"/>
        <v>172.50999999999848</v>
      </c>
      <c r="H82" s="152">
        <v>1</v>
      </c>
    </row>
    <row r="83" spans="1:8" x14ac:dyDescent="0.2">
      <c r="A83" s="158">
        <v>46326</v>
      </c>
      <c r="B83" s="36" t="s">
        <v>2</v>
      </c>
      <c r="C83" t="s">
        <v>80</v>
      </c>
      <c r="D83" s="36" t="s">
        <v>4</v>
      </c>
      <c r="E83" s="37">
        <f>'AXI - USD'!I63</f>
        <v>172.50999999999848</v>
      </c>
      <c r="F83" s="39">
        <f t="shared" si="1"/>
        <v>172.50999999999848</v>
      </c>
      <c r="H83" s="152">
        <v>1</v>
      </c>
    </row>
    <row r="84" spans="1:8" x14ac:dyDescent="0.2">
      <c r="A84" s="158">
        <v>46356</v>
      </c>
      <c r="B84" s="36" t="s">
        <v>2</v>
      </c>
      <c r="C84" t="s">
        <v>80</v>
      </c>
      <c r="D84" s="36" t="s">
        <v>4</v>
      </c>
      <c r="E84" s="37">
        <f>'AXI - USD'!I70</f>
        <v>172.50999999999848</v>
      </c>
      <c r="F84" s="39">
        <f t="shared" si="1"/>
        <v>172.50999999999848</v>
      </c>
      <c r="H84" s="152">
        <v>1</v>
      </c>
    </row>
    <row r="85" spans="1:8" x14ac:dyDescent="0.2">
      <c r="A85" s="158">
        <v>46387</v>
      </c>
      <c r="B85" s="36" t="s">
        <v>2</v>
      </c>
      <c r="C85" t="s">
        <v>80</v>
      </c>
      <c r="D85" s="36" t="s">
        <v>4</v>
      </c>
      <c r="E85" s="37">
        <f>'AXI - USD'!I77</f>
        <v>172.50999999999848</v>
      </c>
      <c r="F85" s="39">
        <f t="shared" si="1"/>
        <v>172.50999999999848</v>
      </c>
      <c r="H85" s="152">
        <v>1</v>
      </c>
    </row>
    <row r="86" spans="1:8" x14ac:dyDescent="0.2">
      <c r="A86" s="158">
        <v>46203</v>
      </c>
      <c r="B86" s="36" t="s">
        <v>3</v>
      </c>
      <c r="C86" t="s">
        <v>84</v>
      </c>
      <c r="D86" s="36" t="s">
        <v>79</v>
      </c>
      <c r="E86" s="37">
        <f>'AXS-CNY'!I166</f>
        <v>390217.12999999989</v>
      </c>
      <c r="F86" s="39">
        <f t="shared" si="1"/>
        <v>57655.751608889979</v>
      </c>
      <c r="H86" s="152">
        <f>FOREX!K7</f>
        <v>0.147753</v>
      </c>
    </row>
    <row r="87" spans="1:8" x14ac:dyDescent="0.2">
      <c r="A87" s="158">
        <v>46234</v>
      </c>
      <c r="B87" s="36" t="s">
        <v>3</v>
      </c>
      <c r="C87" t="s">
        <v>84</v>
      </c>
      <c r="D87" s="36" t="s">
        <v>79</v>
      </c>
      <c r="E87" s="37">
        <f>'AXS-CNY'!I173</f>
        <v>390217.12999999989</v>
      </c>
      <c r="F87" s="39">
        <f t="shared" si="1"/>
        <v>57655.751608889979</v>
      </c>
      <c r="H87" s="152">
        <f>FOREX!K8</f>
        <v>0.147753</v>
      </c>
    </row>
    <row r="88" spans="1:8" x14ac:dyDescent="0.2">
      <c r="A88" s="158">
        <v>46265</v>
      </c>
      <c r="B88" s="36" t="s">
        <v>3</v>
      </c>
      <c r="C88" t="s">
        <v>84</v>
      </c>
      <c r="D88" s="36" t="s">
        <v>79</v>
      </c>
      <c r="E88" s="37">
        <f>'AXS-CNY'!I179</f>
        <v>390217.12999999989</v>
      </c>
      <c r="F88" s="39">
        <f t="shared" si="1"/>
        <v>57655.751608889979</v>
      </c>
      <c r="H88" s="152">
        <f>FOREX!K9</f>
        <v>0.147753</v>
      </c>
    </row>
    <row r="89" spans="1:8" x14ac:dyDescent="0.2">
      <c r="A89" s="158">
        <v>46295</v>
      </c>
      <c r="B89" s="36" t="s">
        <v>3</v>
      </c>
      <c r="C89" t="s">
        <v>84</v>
      </c>
      <c r="D89" s="36" t="s">
        <v>79</v>
      </c>
      <c r="E89" s="37">
        <f>'AXS-CNY'!I186</f>
        <v>390217.12999999989</v>
      </c>
      <c r="F89" s="39">
        <f t="shared" si="1"/>
        <v>57655.751608889979</v>
      </c>
      <c r="H89" s="152">
        <f>FOREX!K10</f>
        <v>0.147753</v>
      </c>
    </row>
    <row r="90" spans="1:8" x14ac:dyDescent="0.2">
      <c r="A90" s="158">
        <v>46326</v>
      </c>
      <c r="B90" s="36" t="s">
        <v>3</v>
      </c>
      <c r="C90" t="s">
        <v>84</v>
      </c>
      <c r="D90" s="36" t="s">
        <v>79</v>
      </c>
      <c r="E90" s="37">
        <f>'AXS-CNY'!I193</f>
        <v>390217.12999999989</v>
      </c>
      <c r="F90" s="39">
        <f t="shared" si="1"/>
        <v>57655.751608889979</v>
      </c>
      <c r="H90" s="152">
        <f>FOREX!K11</f>
        <v>0.147753</v>
      </c>
    </row>
    <row r="91" spans="1:8" x14ac:dyDescent="0.2">
      <c r="A91" s="158">
        <v>46356</v>
      </c>
      <c r="B91" s="36" t="s">
        <v>3</v>
      </c>
      <c r="C91" t="s">
        <v>84</v>
      </c>
      <c r="D91" s="36" t="s">
        <v>79</v>
      </c>
      <c r="E91" s="37">
        <f>'AXS-CNY'!I200</f>
        <v>390217.12999999989</v>
      </c>
      <c r="F91" s="39">
        <f t="shared" si="1"/>
        <v>57655.751608889979</v>
      </c>
      <c r="H91" s="152">
        <f>FOREX!K12</f>
        <v>0.147753</v>
      </c>
    </row>
    <row r="92" spans="1:8" x14ac:dyDescent="0.2">
      <c r="A92" s="158">
        <v>46387</v>
      </c>
      <c r="B92" s="36" t="s">
        <v>3</v>
      </c>
      <c r="C92" t="s">
        <v>84</v>
      </c>
      <c r="D92" s="36" t="s">
        <v>79</v>
      </c>
      <c r="E92" s="37">
        <f>'AXS-CNY'!I207</f>
        <v>390217.12999999989</v>
      </c>
      <c r="F92" s="39">
        <f t="shared" si="1"/>
        <v>57655.751608889979</v>
      </c>
      <c r="H92" s="152">
        <f>FOREX!K13</f>
        <v>0.147753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57E0-DAA3-4481-9FE8-AEE3CC266B78}">
  <sheetPr>
    <tabColor rgb="FFE36D6D"/>
  </sheetPr>
  <dimension ref="A3:K9"/>
  <sheetViews>
    <sheetView workbookViewId="0">
      <selection activeCell="G44" sqref="G44"/>
    </sheetView>
  </sheetViews>
  <sheetFormatPr defaultRowHeight="12.75" x14ac:dyDescent="0.2"/>
  <cols>
    <col min="1" max="1" width="18.28515625" bestFit="1" customWidth="1"/>
    <col min="2" max="2" width="14.5703125" bestFit="1" customWidth="1"/>
    <col min="3" max="4" width="10" bestFit="1" customWidth="1"/>
    <col min="5" max="5" width="11" bestFit="1" customWidth="1"/>
    <col min="6" max="7" width="10" bestFit="1" customWidth="1"/>
    <col min="8" max="9" width="11" bestFit="1" customWidth="1"/>
    <col min="10" max="11" width="12.42578125" bestFit="1" customWidth="1"/>
  </cols>
  <sheetData>
    <row r="3" spans="1:11" x14ac:dyDescent="0.2">
      <c r="A3" s="64" t="s">
        <v>11</v>
      </c>
      <c r="B3" s="64" t="s">
        <v>40</v>
      </c>
    </row>
    <row r="4" spans="1:11" x14ac:dyDescent="0.2">
      <c r="B4" t="s">
        <v>1867</v>
      </c>
      <c r="C4" t="s">
        <v>17</v>
      </c>
      <c r="D4" t="s">
        <v>7</v>
      </c>
      <c r="J4" t="s">
        <v>1877</v>
      </c>
      <c r="K4" t="s">
        <v>19</v>
      </c>
    </row>
    <row r="5" spans="1:11" x14ac:dyDescent="0.2">
      <c r="A5" s="64" t="s">
        <v>65</v>
      </c>
      <c r="D5" t="s">
        <v>9</v>
      </c>
      <c r="E5" t="s">
        <v>26</v>
      </c>
      <c r="F5" t="s">
        <v>27</v>
      </c>
      <c r="G5" t="s">
        <v>36</v>
      </c>
      <c r="H5" t="s">
        <v>12</v>
      </c>
      <c r="I5" t="s">
        <v>13</v>
      </c>
    </row>
    <row r="6" spans="1:11" x14ac:dyDescent="0.2">
      <c r="A6" s="65" t="s">
        <v>1</v>
      </c>
      <c r="B6" s="39">
        <v>610519.62203006714</v>
      </c>
      <c r="C6" s="39"/>
      <c r="D6" s="39">
        <v>9786.02</v>
      </c>
      <c r="E6" s="39">
        <v>26431.461181810275</v>
      </c>
      <c r="F6" s="39">
        <v>29867.021040543164</v>
      </c>
      <c r="G6" s="39">
        <v>43635.949279673208</v>
      </c>
      <c r="H6" s="39">
        <v>139172.16314920824</v>
      </c>
      <c r="I6" s="39">
        <v>278239.44595089566</v>
      </c>
      <c r="J6" s="39">
        <v>527132.0606021306</v>
      </c>
      <c r="K6" s="39">
        <v>1137651.6826321976</v>
      </c>
    </row>
    <row r="7" spans="1:11" x14ac:dyDescent="0.2">
      <c r="A7" s="65" t="s">
        <v>3</v>
      </c>
      <c r="B7" s="39"/>
      <c r="C7" s="39">
        <v>80217.279627081851</v>
      </c>
      <c r="D7" s="39">
        <v>80217.279627081851</v>
      </c>
      <c r="E7" s="39"/>
      <c r="F7" s="39"/>
      <c r="G7" s="39"/>
      <c r="H7" s="39">
        <v>61504.020621518015</v>
      </c>
      <c r="I7" s="39"/>
      <c r="J7" s="39">
        <v>141721.30024859987</v>
      </c>
      <c r="K7" s="39">
        <v>221938.57987568172</v>
      </c>
    </row>
    <row r="8" spans="1:11" x14ac:dyDescent="0.2">
      <c r="A8" s="65" t="s">
        <v>2</v>
      </c>
      <c r="B8" s="39">
        <v>172939.19151649962</v>
      </c>
      <c r="C8" s="39"/>
      <c r="D8" s="39"/>
      <c r="E8" s="39">
        <v>455699.67746389384</v>
      </c>
      <c r="F8" s="39">
        <v>7743.3277465429437</v>
      </c>
      <c r="G8" s="39">
        <v>51666.386472839476</v>
      </c>
      <c r="H8" s="39">
        <v>967.91596831786796</v>
      </c>
      <c r="I8" s="39"/>
      <c r="J8" s="39">
        <v>516077.30765159411</v>
      </c>
      <c r="K8" s="39">
        <v>689016.4991680939</v>
      </c>
    </row>
    <row r="9" spans="1:11" x14ac:dyDescent="0.2">
      <c r="A9" s="65" t="s">
        <v>19</v>
      </c>
      <c r="B9" s="39">
        <v>783458.81354656676</v>
      </c>
      <c r="C9" s="39">
        <v>80217.279627081851</v>
      </c>
      <c r="D9" s="39">
        <v>90003.299627081855</v>
      </c>
      <c r="E9" s="39">
        <v>482131.13864570414</v>
      </c>
      <c r="F9" s="39">
        <v>37610.348787086106</v>
      </c>
      <c r="G9" s="39">
        <v>95302.335752512678</v>
      </c>
      <c r="H9" s="39">
        <v>201644.09973904412</v>
      </c>
      <c r="I9" s="39">
        <v>278239.44595089566</v>
      </c>
      <c r="J9" s="39">
        <v>1184930.6685023245</v>
      </c>
      <c r="K9" s="39">
        <v>2048606.7616759734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5E84-BE4E-4EA1-BCD0-FEEC3DD7139E}">
  <sheetPr>
    <tabColor rgb="FFE36D6D"/>
  </sheetPr>
  <dimension ref="A1:K8"/>
  <sheetViews>
    <sheetView workbookViewId="0">
      <selection activeCell="C6" sqref="C6:H6"/>
    </sheetView>
  </sheetViews>
  <sheetFormatPr defaultRowHeight="12.75" x14ac:dyDescent="0.2"/>
  <cols>
    <col min="1" max="1" width="18.28515625" bestFit="1" customWidth="1"/>
    <col min="2" max="2" width="16" bestFit="1" customWidth="1"/>
    <col min="3" max="4" width="11" bestFit="1" customWidth="1"/>
    <col min="5" max="8" width="10" bestFit="1" customWidth="1"/>
    <col min="9" max="9" width="11" bestFit="1" customWidth="1"/>
    <col min="10" max="10" width="10" bestFit="1" customWidth="1"/>
    <col min="11" max="11" width="11" bestFit="1" customWidth="1"/>
  </cols>
  <sheetData>
    <row r="1" spans="1:11" x14ac:dyDescent="0.2">
      <c r="A1" s="64" t="s">
        <v>87</v>
      </c>
      <c r="B1" t="s">
        <v>1869</v>
      </c>
    </row>
    <row r="3" spans="1:11" x14ac:dyDescent="0.2">
      <c r="A3" s="64" t="s">
        <v>11</v>
      </c>
      <c r="B3" s="64" t="s">
        <v>40</v>
      </c>
    </row>
    <row r="4" spans="1:11" x14ac:dyDescent="0.2">
      <c r="B4" t="s">
        <v>7</v>
      </c>
      <c r="I4" t="s">
        <v>1877</v>
      </c>
      <c r="J4" t="s">
        <v>1870</v>
      </c>
      <c r="K4" t="s">
        <v>19</v>
      </c>
    </row>
    <row r="5" spans="1:11" x14ac:dyDescent="0.2">
      <c r="A5" s="64" t="s">
        <v>65</v>
      </c>
      <c r="B5" t="s">
        <v>13</v>
      </c>
      <c r="C5" t="s">
        <v>1615</v>
      </c>
      <c r="D5" t="s">
        <v>1616</v>
      </c>
      <c r="E5" t="s">
        <v>1617</v>
      </c>
      <c r="F5" t="s">
        <v>1618</v>
      </c>
      <c r="G5" t="s">
        <v>1619</v>
      </c>
      <c r="H5" t="s">
        <v>20</v>
      </c>
    </row>
    <row r="6" spans="1:11" x14ac:dyDescent="0.2">
      <c r="A6" s="65" t="s">
        <v>2</v>
      </c>
      <c r="B6" s="39">
        <v>76124.171118279526</v>
      </c>
      <c r="C6" s="39"/>
      <c r="D6" s="39">
        <v>96815.020398220091</v>
      </c>
      <c r="E6" s="39"/>
      <c r="F6" s="39"/>
      <c r="G6" s="39"/>
      <c r="H6" s="39"/>
      <c r="I6" s="39">
        <v>172939.19151649962</v>
      </c>
      <c r="J6" s="39"/>
      <c r="K6" s="39">
        <v>172939.19151649962</v>
      </c>
    </row>
    <row r="7" spans="1:11" x14ac:dyDescent="0.2">
      <c r="A7" s="65" t="s">
        <v>1</v>
      </c>
      <c r="B7" s="39"/>
      <c r="C7" s="39">
        <v>161048.15045823838</v>
      </c>
      <c r="D7" s="39">
        <v>102750.47851410552</v>
      </c>
      <c r="E7" s="39">
        <v>53729.594377066358</v>
      </c>
      <c r="F7" s="39">
        <v>32666.627037154802</v>
      </c>
      <c r="G7" s="39">
        <v>63621.872120021246</v>
      </c>
      <c r="H7" s="39">
        <v>65300.744687147686</v>
      </c>
      <c r="I7" s="39">
        <v>479117.46719373396</v>
      </c>
      <c r="J7" s="39">
        <v>67315.391767699402</v>
      </c>
      <c r="K7" s="39">
        <v>546432.85896143341</v>
      </c>
    </row>
    <row r="8" spans="1:11" x14ac:dyDescent="0.2">
      <c r="A8" s="65" t="s">
        <v>19</v>
      </c>
      <c r="B8" s="39">
        <v>76124.171118279526</v>
      </c>
      <c r="C8" s="39">
        <v>161048.15045823838</v>
      </c>
      <c r="D8" s="39">
        <v>199565.49891232559</v>
      </c>
      <c r="E8" s="39">
        <v>53729.594377066358</v>
      </c>
      <c r="F8" s="39">
        <v>32666.627037154802</v>
      </c>
      <c r="G8" s="39">
        <v>63621.872120021246</v>
      </c>
      <c r="H8" s="39">
        <v>65300.744687147686</v>
      </c>
      <c r="I8" s="39">
        <v>652056.65871023363</v>
      </c>
      <c r="J8" s="39">
        <v>67315.391767699402</v>
      </c>
      <c r="K8" s="39">
        <v>719372.05047793302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7182-DE62-4977-9958-B0A8890AB3DC}">
  <sheetPr>
    <tabColor rgb="FFE36D6D"/>
  </sheetPr>
  <dimension ref="A1:J9"/>
  <sheetViews>
    <sheetView tabSelected="1" workbookViewId="0">
      <selection activeCell="I8" sqref="I8"/>
    </sheetView>
  </sheetViews>
  <sheetFormatPr defaultRowHeight="12.75" x14ac:dyDescent="0.2"/>
  <cols>
    <col min="1" max="1" width="18.28515625" bestFit="1" customWidth="1"/>
    <col min="2" max="2" width="16" bestFit="1" customWidth="1"/>
    <col min="3" max="5" width="10" bestFit="1" customWidth="1"/>
    <col min="6" max="7" width="11" bestFit="1" customWidth="1"/>
    <col min="8" max="8" width="10" bestFit="1" customWidth="1"/>
    <col min="9" max="9" width="11" bestFit="1" customWidth="1"/>
    <col min="10" max="10" width="12.42578125" bestFit="1" customWidth="1"/>
  </cols>
  <sheetData>
    <row r="1" spans="1:10" x14ac:dyDescent="0.2">
      <c r="A1" s="64" t="s">
        <v>87</v>
      </c>
      <c r="B1" t="s">
        <v>1869</v>
      </c>
    </row>
    <row r="3" spans="1:10" x14ac:dyDescent="0.2">
      <c r="A3" s="64" t="s">
        <v>11</v>
      </c>
      <c r="B3" s="64" t="s">
        <v>40</v>
      </c>
    </row>
    <row r="4" spans="1:10" x14ac:dyDescent="0.2">
      <c r="B4" t="s">
        <v>17</v>
      </c>
      <c r="C4" t="s">
        <v>7</v>
      </c>
      <c r="I4" t="s">
        <v>1877</v>
      </c>
      <c r="J4" t="s">
        <v>19</v>
      </c>
    </row>
    <row r="5" spans="1:10" x14ac:dyDescent="0.2">
      <c r="A5" s="64" t="s">
        <v>65</v>
      </c>
      <c r="C5" t="s">
        <v>9</v>
      </c>
      <c r="D5" t="s">
        <v>26</v>
      </c>
      <c r="E5" t="s">
        <v>27</v>
      </c>
      <c r="F5" t="s">
        <v>36</v>
      </c>
      <c r="G5" t="s">
        <v>12</v>
      </c>
      <c r="H5" t="s">
        <v>13</v>
      </c>
    </row>
    <row r="6" spans="1:10" x14ac:dyDescent="0.2">
      <c r="A6" s="65" t="s">
        <v>3</v>
      </c>
      <c r="B6" s="39">
        <v>160434.55925416373</v>
      </c>
      <c r="C6" s="39"/>
      <c r="D6" s="39"/>
      <c r="E6" s="39"/>
      <c r="F6" s="39">
        <v>1403.5877490708165</v>
      </c>
      <c r="G6" s="39">
        <v>60100.4328724472</v>
      </c>
      <c r="H6" s="39"/>
      <c r="I6" s="39">
        <v>61504.020621518015</v>
      </c>
      <c r="J6" s="39">
        <v>221938.57987568172</v>
      </c>
    </row>
    <row r="7" spans="1:10" x14ac:dyDescent="0.2">
      <c r="A7" s="65" t="s">
        <v>2</v>
      </c>
      <c r="B7" s="39">
        <v>507366.06393673329</v>
      </c>
      <c r="C7" s="39"/>
      <c r="D7" s="39">
        <v>7743.3277465429437</v>
      </c>
      <c r="E7" s="39"/>
      <c r="F7" s="39"/>
      <c r="G7" s="39">
        <v>173907.10748481745</v>
      </c>
      <c r="H7" s="39"/>
      <c r="I7" s="39">
        <v>181650.4352313604</v>
      </c>
      <c r="J7" s="39">
        <v>689016.49916809367</v>
      </c>
    </row>
    <row r="8" spans="1:10" x14ac:dyDescent="0.2">
      <c r="A8" s="65" t="s">
        <v>1</v>
      </c>
      <c r="B8" s="39">
        <v>9786.02</v>
      </c>
      <c r="C8" s="39">
        <v>33874.465463154243</v>
      </c>
      <c r="D8" s="39">
        <v>43635.949279673208</v>
      </c>
      <c r="E8" s="39">
        <v>69308.042641265274</v>
      </c>
      <c r="F8" s="39">
        <v>248280.52985950274</v>
      </c>
      <c r="G8" s="39">
        <v>308945.73477899778</v>
      </c>
      <c r="H8" s="39">
        <v>34216.364845702919</v>
      </c>
      <c r="I8" s="39">
        <v>738261.08686829614</v>
      </c>
      <c r="J8" s="39">
        <v>748047.10686829616</v>
      </c>
    </row>
    <row r="9" spans="1:10" x14ac:dyDescent="0.2">
      <c r="A9" s="65" t="s">
        <v>19</v>
      </c>
      <c r="B9" s="39">
        <v>677586.64319089707</v>
      </c>
      <c r="C9" s="39">
        <v>33874.465463154243</v>
      </c>
      <c r="D9" s="39">
        <v>51379.27702621615</v>
      </c>
      <c r="E9" s="39">
        <v>69308.042641265274</v>
      </c>
      <c r="F9" s="39">
        <v>249684.11760857355</v>
      </c>
      <c r="G9" s="39">
        <v>542953.27513626241</v>
      </c>
      <c r="H9" s="39">
        <v>34216.364845702919</v>
      </c>
      <c r="I9" s="39">
        <v>981415.54272117454</v>
      </c>
      <c r="J9" s="39">
        <v>1659002.1859120715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34D7-BF20-41E1-9E00-BF2E940890A0}">
  <sheetPr>
    <tabColor rgb="FFFFFF00"/>
  </sheetPr>
  <dimension ref="A1:V101"/>
  <sheetViews>
    <sheetView topLeftCell="A64" zoomScale="90" zoomScaleNormal="90" workbookViewId="0">
      <selection activeCell="O101" sqref="O101"/>
    </sheetView>
  </sheetViews>
  <sheetFormatPr defaultColWidth="9.140625" defaultRowHeight="12.75" x14ac:dyDescent="0.2"/>
  <cols>
    <col min="1" max="1" width="10.28515625" style="4" customWidth="1"/>
    <col min="2" max="2" width="11" style="4" bestFit="1" customWidth="1"/>
    <col min="3" max="6" width="11.42578125" style="160" customWidth="1"/>
    <col min="7" max="7" width="11" style="2" bestFit="1" customWidth="1"/>
    <col min="8" max="11" width="12.28515625" style="6" customWidth="1"/>
    <col min="12" max="12" width="30" style="6" customWidth="1"/>
    <col min="13" max="13" width="11.5703125" style="19" customWidth="1"/>
    <col min="14" max="14" width="41.85546875" style="4" customWidth="1"/>
    <col min="15" max="15" width="24.42578125" style="4" customWidth="1"/>
    <col min="16" max="16" width="15.42578125" style="4" customWidth="1"/>
    <col min="17" max="17" width="16.85546875" style="2" bestFit="1" customWidth="1"/>
    <col min="18" max="18" width="15.7109375" style="2" bestFit="1" customWidth="1"/>
    <col min="19" max="19" width="15.7109375" style="4" bestFit="1" customWidth="1"/>
    <col min="20" max="20" width="11.140625" style="2" bestFit="1" customWidth="1"/>
    <col min="21" max="21" width="29.85546875" style="4" bestFit="1" customWidth="1"/>
    <col min="22" max="16384" width="9.140625" style="4"/>
  </cols>
  <sheetData>
    <row r="1" spans="1:22" x14ac:dyDescent="0.2">
      <c r="A1" s="110" t="s">
        <v>86</v>
      </c>
      <c r="J1" s="19" t="s">
        <v>77</v>
      </c>
      <c r="K1" s="161">
        <v>0.77012503079194305</v>
      </c>
    </row>
    <row r="2" spans="1:22" s="2" customFormat="1" x14ac:dyDescent="0.2">
      <c r="A2" s="7" t="s">
        <v>87</v>
      </c>
      <c r="B2" s="7" t="s">
        <v>43</v>
      </c>
      <c r="C2" s="162" t="s">
        <v>6</v>
      </c>
      <c r="D2" s="162" t="s">
        <v>88</v>
      </c>
      <c r="E2" s="162" t="s">
        <v>5</v>
      </c>
      <c r="F2" s="163" t="s">
        <v>89</v>
      </c>
      <c r="G2" s="7" t="s">
        <v>70</v>
      </c>
      <c r="H2" s="9" t="s">
        <v>90</v>
      </c>
      <c r="I2" s="9" t="s">
        <v>91</v>
      </c>
      <c r="J2" s="9" t="s">
        <v>92</v>
      </c>
      <c r="K2" s="9" t="s">
        <v>72</v>
      </c>
      <c r="L2" s="9" t="s">
        <v>93</v>
      </c>
      <c r="M2" s="9" t="s">
        <v>94</v>
      </c>
      <c r="N2" s="7" t="s">
        <v>95</v>
      </c>
      <c r="O2" s="7" t="s">
        <v>96</v>
      </c>
      <c r="P2" s="7"/>
      <c r="Q2" s="7" t="s">
        <v>53</v>
      </c>
      <c r="R2" s="7" t="s">
        <v>64</v>
      </c>
      <c r="S2" s="7" t="s">
        <v>67</v>
      </c>
      <c r="T2" s="7" t="s">
        <v>97</v>
      </c>
      <c r="U2" s="7" t="s">
        <v>98</v>
      </c>
    </row>
    <row r="3" spans="1:22" s="165" customFormat="1" x14ac:dyDescent="0.2">
      <c r="A3" s="270" t="s">
        <v>15</v>
      </c>
      <c r="B3" s="2" t="s">
        <v>1</v>
      </c>
      <c r="C3" s="166">
        <v>46021</v>
      </c>
      <c r="D3" s="166">
        <v>46051</v>
      </c>
      <c r="E3" s="166">
        <v>46049</v>
      </c>
      <c r="F3" s="166">
        <v>46049</v>
      </c>
      <c r="G3" s="2" t="s">
        <v>4</v>
      </c>
      <c r="H3" s="271">
        <v>8978</v>
      </c>
      <c r="I3" s="271">
        <v>808.02</v>
      </c>
      <c r="J3" s="6">
        <f t="shared" ref="J3:J46" si="0">H3+I3</f>
        <v>9786.02</v>
      </c>
      <c r="K3" s="6">
        <f t="shared" ref="K3:K33" si="1">IF(G3="SGD", J3*$K$1, J3)</f>
        <v>9786.02</v>
      </c>
      <c r="L3" s="4" t="s">
        <v>99</v>
      </c>
      <c r="M3" s="2" t="s">
        <v>100</v>
      </c>
      <c r="N3" s="4" t="s">
        <v>101</v>
      </c>
      <c r="O3" s="4" t="s">
        <v>25</v>
      </c>
      <c r="P3" s="4" t="s">
        <v>102</v>
      </c>
      <c r="Q3" s="2" t="s">
        <v>10</v>
      </c>
      <c r="R3" s="2" t="s">
        <v>10</v>
      </c>
      <c r="S3" s="135" t="s">
        <v>103</v>
      </c>
      <c r="T3" s="2" t="s">
        <v>104</v>
      </c>
      <c r="U3" s="2"/>
      <c r="V3" s="4"/>
    </row>
    <row r="4" spans="1:22" s="165" customFormat="1" x14ac:dyDescent="0.2">
      <c r="A4" s="270" t="s">
        <v>15</v>
      </c>
      <c r="B4" s="2" t="s">
        <v>1</v>
      </c>
      <c r="C4" s="166">
        <v>46043</v>
      </c>
      <c r="D4" s="166">
        <v>46073</v>
      </c>
      <c r="E4" s="166">
        <v>46108</v>
      </c>
      <c r="F4" s="166">
        <v>46108</v>
      </c>
      <c r="G4" s="2" t="s">
        <v>77</v>
      </c>
      <c r="H4" s="271">
        <v>8866.67</v>
      </c>
      <c r="I4" s="271">
        <v>798</v>
      </c>
      <c r="J4" s="6">
        <f t="shared" si="0"/>
        <v>9664.67</v>
      </c>
      <c r="K4" s="6">
        <f t="shared" si="1"/>
        <v>7443.0042813439686</v>
      </c>
      <c r="L4" s="4" t="s">
        <v>105</v>
      </c>
      <c r="M4" s="2" t="s">
        <v>106</v>
      </c>
      <c r="N4" s="4" t="s">
        <v>107</v>
      </c>
      <c r="O4" s="4" t="s">
        <v>35</v>
      </c>
      <c r="P4" s="4" t="s">
        <v>108</v>
      </c>
      <c r="Q4" s="2" t="s">
        <v>10</v>
      </c>
      <c r="R4" s="2" t="s">
        <v>10</v>
      </c>
      <c r="S4" s="135" t="s">
        <v>103</v>
      </c>
      <c r="T4" s="2" t="s">
        <v>104</v>
      </c>
      <c r="U4" s="2"/>
      <c r="V4" s="4"/>
    </row>
    <row r="5" spans="1:22" s="165" customFormat="1" x14ac:dyDescent="0.2">
      <c r="A5" s="270" t="s">
        <v>15</v>
      </c>
      <c r="B5" s="2" t="s">
        <v>1</v>
      </c>
      <c r="C5" s="164">
        <v>46044</v>
      </c>
      <c r="D5" s="164">
        <v>46074</v>
      </c>
      <c r="E5" s="166">
        <v>46080</v>
      </c>
      <c r="F5" s="164">
        <v>46080</v>
      </c>
      <c r="G5" s="2" t="s">
        <v>77</v>
      </c>
      <c r="H5" s="271">
        <v>5000</v>
      </c>
      <c r="I5" s="271">
        <v>0</v>
      </c>
      <c r="J5" s="6">
        <f t="shared" si="0"/>
        <v>5000</v>
      </c>
      <c r="K5" s="6">
        <f t="shared" si="1"/>
        <v>3850.6251539597151</v>
      </c>
      <c r="L5" s="4" t="s">
        <v>109</v>
      </c>
      <c r="M5" s="2" t="s">
        <v>110</v>
      </c>
      <c r="N5" s="4" t="s">
        <v>111</v>
      </c>
      <c r="O5" s="4" t="s">
        <v>30</v>
      </c>
      <c r="P5" s="4" t="s">
        <v>112</v>
      </c>
      <c r="Q5" s="2" t="s">
        <v>10</v>
      </c>
      <c r="R5" s="2" t="s">
        <v>10</v>
      </c>
      <c r="S5" s="135" t="s">
        <v>56</v>
      </c>
      <c r="T5" s="2" t="s">
        <v>113</v>
      </c>
      <c r="U5" s="2"/>
      <c r="V5" s="4"/>
    </row>
    <row r="6" spans="1:22" s="167" customFormat="1" x14ac:dyDescent="0.2">
      <c r="A6" s="270" t="s">
        <v>15</v>
      </c>
      <c r="B6" s="2" t="s">
        <v>1</v>
      </c>
      <c r="C6" s="164">
        <v>46052</v>
      </c>
      <c r="D6" s="164">
        <v>46082</v>
      </c>
      <c r="E6" s="166">
        <v>46080</v>
      </c>
      <c r="F6" s="164">
        <v>46080</v>
      </c>
      <c r="G6" s="2" t="s">
        <v>77</v>
      </c>
      <c r="H6" s="271">
        <v>26900</v>
      </c>
      <c r="I6" s="271">
        <v>2421</v>
      </c>
      <c r="J6" s="6">
        <f t="shared" si="0"/>
        <v>29321</v>
      </c>
      <c r="K6" s="6">
        <f t="shared" si="1"/>
        <v>22580.836027850561</v>
      </c>
      <c r="L6" s="4" t="s">
        <v>109</v>
      </c>
      <c r="M6" s="2" t="s">
        <v>114</v>
      </c>
      <c r="N6" s="4" t="s">
        <v>115</v>
      </c>
      <c r="O6" s="4" t="s">
        <v>16</v>
      </c>
      <c r="P6" s="4" t="s">
        <v>116</v>
      </c>
      <c r="Q6" s="2" t="s">
        <v>10</v>
      </c>
      <c r="R6" s="2" t="s">
        <v>10</v>
      </c>
      <c r="S6" s="135" t="s">
        <v>56</v>
      </c>
      <c r="T6" s="2" t="s">
        <v>104</v>
      </c>
      <c r="U6" s="2"/>
      <c r="V6" s="4"/>
    </row>
    <row r="7" spans="1:22" s="167" customFormat="1" x14ac:dyDescent="0.2">
      <c r="A7" s="270" t="s">
        <v>15</v>
      </c>
      <c r="B7" s="2" t="s">
        <v>1</v>
      </c>
      <c r="C7" s="164">
        <v>46056</v>
      </c>
      <c r="D7" s="164">
        <v>46086</v>
      </c>
      <c r="E7" s="166">
        <v>46142</v>
      </c>
      <c r="F7" s="164">
        <v>46140</v>
      </c>
      <c r="G7" s="2" t="s">
        <v>77</v>
      </c>
      <c r="H7" s="271">
        <v>8866.67</v>
      </c>
      <c r="I7" s="271">
        <v>798</v>
      </c>
      <c r="J7" s="6">
        <f t="shared" si="0"/>
        <v>9664.67</v>
      </c>
      <c r="K7" s="6">
        <f t="shared" si="1"/>
        <v>7443.0042813439686</v>
      </c>
      <c r="L7" s="4" t="s">
        <v>105</v>
      </c>
      <c r="M7" s="2" t="s">
        <v>117</v>
      </c>
      <c r="N7" s="4" t="s">
        <v>118</v>
      </c>
      <c r="O7" s="4" t="s">
        <v>35</v>
      </c>
      <c r="P7" s="4" t="s">
        <v>119</v>
      </c>
      <c r="Q7" s="2" t="s">
        <v>10</v>
      </c>
      <c r="R7" s="2" t="s">
        <v>10</v>
      </c>
      <c r="S7" s="135" t="s">
        <v>103</v>
      </c>
      <c r="T7" s="2" t="s">
        <v>104</v>
      </c>
      <c r="U7" s="2"/>
      <c r="V7" s="4"/>
    </row>
    <row r="8" spans="1:22" s="167" customFormat="1" x14ac:dyDescent="0.2">
      <c r="A8" s="270" t="s">
        <v>15</v>
      </c>
      <c r="B8" s="2" t="s">
        <v>1</v>
      </c>
      <c r="C8" s="166">
        <v>46056</v>
      </c>
      <c r="D8" s="166">
        <v>46086</v>
      </c>
      <c r="E8" s="166">
        <v>46091</v>
      </c>
      <c r="F8" s="166">
        <v>46091</v>
      </c>
      <c r="G8" s="2" t="s">
        <v>4</v>
      </c>
      <c r="H8" s="271">
        <v>8978</v>
      </c>
      <c r="I8" s="271">
        <v>808.02</v>
      </c>
      <c r="J8" s="6">
        <f t="shared" si="0"/>
        <v>9786.02</v>
      </c>
      <c r="K8" s="6">
        <f t="shared" si="1"/>
        <v>9786.02</v>
      </c>
      <c r="L8" s="4" t="s">
        <v>99</v>
      </c>
      <c r="M8" s="2" t="s">
        <v>120</v>
      </c>
      <c r="N8" s="4" t="s">
        <v>121</v>
      </c>
      <c r="O8" s="4" t="s">
        <v>25</v>
      </c>
      <c r="P8" s="4" t="s">
        <v>122</v>
      </c>
      <c r="Q8" s="2" t="s">
        <v>10</v>
      </c>
      <c r="R8" s="2" t="s">
        <v>10</v>
      </c>
      <c r="S8" s="135" t="s">
        <v>103</v>
      </c>
      <c r="T8" s="2" t="s">
        <v>104</v>
      </c>
      <c r="U8" s="2"/>
      <c r="V8" s="4"/>
    </row>
    <row r="9" spans="1:22" s="167" customFormat="1" x14ac:dyDescent="0.2">
      <c r="A9" s="270" t="s">
        <v>15</v>
      </c>
      <c r="B9" s="2" t="s">
        <v>1</v>
      </c>
      <c r="C9" s="166">
        <v>46062</v>
      </c>
      <c r="D9" s="166">
        <v>46092</v>
      </c>
      <c r="E9" s="166">
        <v>46142</v>
      </c>
      <c r="F9" s="166">
        <v>46125</v>
      </c>
      <c r="G9" s="2" t="s">
        <v>77</v>
      </c>
      <c r="H9" s="271">
        <v>26900</v>
      </c>
      <c r="I9" s="271">
        <v>2421</v>
      </c>
      <c r="J9" s="6">
        <f t="shared" si="0"/>
        <v>29321</v>
      </c>
      <c r="K9" s="6">
        <f t="shared" si="1"/>
        <v>22580.836027850561</v>
      </c>
      <c r="L9" s="4" t="s">
        <v>109</v>
      </c>
      <c r="M9" s="2" t="s">
        <v>123</v>
      </c>
      <c r="N9" s="4" t="s">
        <v>124</v>
      </c>
      <c r="O9" s="4" t="s">
        <v>16</v>
      </c>
      <c r="P9" s="4" t="s">
        <v>125</v>
      </c>
      <c r="Q9" s="2" t="s">
        <v>10</v>
      </c>
      <c r="R9" s="2" t="s">
        <v>10</v>
      </c>
      <c r="S9" s="135" t="s">
        <v>56</v>
      </c>
      <c r="T9" s="2" t="s">
        <v>104</v>
      </c>
      <c r="U9" s="2"/>
      <c r="V9" s="4"/>
    </row>
    <row r="10" spans="1:22" s="167" customFormat="1" x14ac:dyDescent="0.2">
      <c r="A10" s="270" t="s">
        <v>15</v>
      </c>
      <c r="B10" s="2" t="s">
        <v>1</v>
      </c>
      <c r="C10" s="164">
        <v>46063</v>
      </c>
      <c r="D10" s="164">
        <v>46093</v>
      </c>
      <c r="E10" s="166">
        <v>46142</v>
      </c>
      <c r="F10" s="164">
        <v>46125</v>
      </c>
      <c r="G10" s="2" t="s">
        <v>77</v>
      </c>
      <c r="H10" s="271">
        <v>2609.69</v>
      </c>
      <c r="I10" s="271">
        <v>234.87</v>
      </c>
      <c r="J10" s="6">
        <f t="shared" si="0"/>
        <v>2844.56</v>
      </c>
      <c r="K10" s="6">
        <f t="shared" si="1"/>
        <v>2190.6668575895296</v>
      </c>
      <c r="L10" s="4" t="s">
        <v>109</v>
      </c>
      <c r="M10" s="2" t="s">
        <v>126</v>
      </c>
      <c r="N10" s="4" t="s">
        <v>127</v>
      </c>
      <c r="O10" s="4" t="s">
        <v>16</v>
      </c>
      <c r="P10" s="4"/>
      <c r="Q10" s="2" t="s">
        <v>10</v>
      </c>
      <c r="R10" s="2" t="s">
        <v>10</v>
      </c>
      <c r="S10" s="135" t="s">
        <v>56</v>
      </c>
      <c r="T10" s="2" t="s">
        <v>104</v>
      </c>
      <c r="U10" s="2"/>
      <c r="V10" s="4"/>
    </row>
    <row r="11" spans="1:22" s="167" customFormat="1" x14ac:dyDescent="0.2">
      <c r="A11" s="270" t="s">
        <v>15</v>
      </c>
      <c r="B11" s="2" t="s">
        <v>1</v>
      </c>
      <c r="C11" s="164">
        <v>46080</v>
      </c>
      <c r="D11" s="164">
        <v>46110</v>
      </c>
      <c r="E11" s="166">
        <v>46142</v>
      </c>
      <c r="F11" s="164">
        <v>46125</v>
      </c>
      <c r="G11" s="2" t="s">
        <v>77</v>
      </c>
      <c r="H11" s="271">
        <v>1948.24</v>
      </c>
      <c r="I11" s="271">
        <v>175.34</v>
      </c>
      <c r="J11" s="6">
        <f t="shared" si="0"/>
        <v>2123.58</v>
      </c>
      <c r="K11" s="6">
        <f t="shared" si="1"/>
        <v>1635.4221128891543</v>
      </c>
      <c r="L11" s="4" t="s">
        <v>109</v>
      </c>
      <c r="M11" s="2" t="s">
        <v>128</v>
      </c>
      <c r="N11" s="4" t="s">
        <v>129</v>
      </c>
      <c r="O11" s="4" t="s">
        <v>16</v>
      </c>
      <c r="P11" s="4"/>
      <c r="Q11" s="2" t="s">
        <v>10</v>
      </c>
      <c r="R11" s="2" t="s">
        <v>10</v>
      </c>
      <c r="S11" s="135" t="s">
        <v>56</v>
      </c>
      <c r="T11" s="2" t="s">
        <v>104</v>
      </c>
      <c r="U11" s="2"/>
      <c r="V11" s="4"/>
    </row>
    <row r="12" spans="1:22" s="167" customFormat="1" x14ac:dyDescent="0.2">
      <c r="A12" s="270" t="s">
        <v>15</v>
      </c>
      <c r="B12" s="2" t="s">
        <v>1</v>
      </c>
      <c r="C12" s="164">
        <v>46084</v>
      </c>
      <c r="D12" s="164">
        <v>46114</v>
      </c>
      <c r="E12" s="166">
        <v>46142</v>
      </c>
      <c r="F12" s="164">
        <v>46154</v>
      </c>
      <c r="G12" s="2" t="s">
        <v>77</v>
      </c>
      <c r="H12" s="271">
        <v>585.13</v>
      </c>
      <c r="I12" s="271">
        <v>52.66</v>
      </c>
      <c r="J12" s="6">
        <f t="shared" si="0"/>
        <v>637.79</v>
      </c>
      <c r="K12" s="6">
        <f t="shared" si="1"/>
        <v>491.17804338879336</v>
      </c>
      <c r="L12" s="4" t="s">
        <v>109</v>
      </c>
      <c r="M12" s="2" t="s">
        <v>130</v>
      </c>
      <c r="N12" s="4" t="s">
        <v>131</v>
      </c>
      <c r="O12" s="4" t="s">
        <v>16</v>
      </c>
      <c r="P12" s="4"/>
      <c r="Q12" s="2" t="s">
        <v>10</v>
      </c>
      <c r="R12" s="2" t="s">
        <v>10</v>
      </c>
      <c r="S12" s="135" t="s">
        <v>56</v>
      </c>
      <c r="T12" s="2" t="s">
        <v>104</v>
      </c>
      <c r="U12" s="2"/>
      <c r="V12" s="4"/>
    </row>
    <row r="13" spans="1:22" s="167" customFormat="1" x14ac:dyDescent="0.2">
      <c r="A13" s="270" t="s">
        <v>15</v>
      </c>
      <c r="B13" s="2" t="s">
        <v>1</v>
      </c>
      <c r="C13" s="166">
        <v>46084</v>
      </c>
      <c r="D13" s="166">
        <v>46114</v>
      </c>
      <c r="E13" s="166">
        <v>46142</v>
      </c>
      <c r="F13" s="166">
        <v>46149</v>
      </c>
      <c r="G13" s="2" t="s">
        <v>77</v>
      </c>
      <c r="H13" s="271">
        <v>8866.67</v>
      </c>
      <c r="I13" s="271">
        <v>798</v>
      </c>
      <c r="J13" s="6">
        <f t="shared" si="0"/>
        <v>9664.67</v>
      </c>
      <c r="K13" s="6">
        <f t="shared" si="1"/>
        <v>7443.0042813439686</v>
      </c>
      <c r="L13" s="4" t="s">
        <v>105</v>
      </c>
      <c r="M13" s="2" t="s">
        <v>132</v>
      </c>
      <c r="N13" s="4" t="s">
        <v>133</v>
      </c>
      <c r="O13" s="4" t="s">
        <v>35</v>
      </c>
      <c r="P13" s="4" t="s">
        <v>134</v>
      </c>
      <c r="Q13" s="2" t="s">
        <v>10</v>
      </c>
      <c r="R13" s="2" t="s">
        <v>10</v>
      </c>
      <c r="S13" s="135" t="s">
        <v>103</v>
      </c>
      <c r="T13" s="2" t="s">
        <v>104</v>
      </c>
      <c r="U13" s="2"/>
      <c r="V13" s="4"/>
    </row>
    <row r="14" spans="1:22" s="167" customFormat="1" x14ac:dyDescent="0.2">
      <c r="A14" s="270" t="s">
        <v>15</v>
      </c>
      <c r="B14" s="2" t="s">
        <v>1</v>
      </c>
      <c r="C14" s="166">
        <v>46086</v>
      </c>
      <c r="D14" s="166">
        <v>46116</v>
      </c>
      <c r="E14" s="166">
        <v>46107</v>
      </c>
      <c r="F14" s="166">
        <v>46107</v>
      </c>
      <c r="G14" s="2" t="s">
        <v>4</v>
      </c>
      <c r="H14" s="271">
        <v>8978</v>
      </c>
      <c r="I14" s="271">
        <v>808.02</v>
      </c>
      <c r="J14" s="6">
        <f t="shared" si="0"/>
        <v>9786.02</v>
      </c>
      <c r="K14" s="6">
        <f t="shared" si="1"/>
        <v>9786.02</v>
      </c>
      <c r="L14" s="4" t="s">
        <v>99</v>
      </c>
      <c r="M14" s="2" t="s">
        <v>135</v>
      </c>
      <c r="N14" s="4" t="s">
        <v>136</v>
      </c>
      <c r="O14" s="4" t="s">
        <v>25</v>
      </c>
      <c r="P14" s="4" t="s">
        <v>137</v>
      </c>
      <c r="Q14" s="2" t="s">
        <v>10</v>
      </c>
      <c r="R14" s="2" t="s">
        <v>10</v>
      </c>
      <c r="S14" s="135" t="s">
        <v>103</v>
      </c>
      <c r="T14" s="2" t="s">
        <v>104</v>
      </c>
      <c r="U14" s="2"/>
      <c r="V14" s="4"/>
    </row>
    <row r="15" spans="1:22" s="167" customFormat="1" x14ac:dyDescent="0.2">
      <c r="A15" s="270" t="s">
        <v>15</v>
      </c>
      <c r="B15" s="2" t="s">
        <v>1</v>
      </c>
      <c r="C15" s="164">
        <v>46087</v>
      </c>
      <c r="D15" s="164">
        <v>46117</v>
      </c>
      <c r="E15" s="166">
        <v>46090</v>
      </c>
      <c r="F15" s="164">
        <v>46090</v>
      </c>
      <c r="G15" s="2" t="s">
        <v>77</v>
      </c>
      <c r="H15" s="271">
        <v>2099</v>
      </c>
      <c r="I15" s="271">
        <v>188.91</v>
      </c>
      <c r="J15" s="6">
        <f t="shared" si="0"/>
        <v>2287.91</v>
      </c>
      <c r="K15" s="6">
        <f t="shared" si="1"/>
        <v>1761.9767591991942</v>
      </c>
      <c r="L15" s="4" t="s">
        <v>138</v>
      </c>
      <c r="M15" s="2" t="s">
        <v>139</v>
      </c>
      <c r="N15" s="4" t="s">
        <v>140</v>
      </c>
      <c r="O15" s="4" t="s">
        <v>21</v>
      </c>
      <c r="P15" s="4" t="s">
        <v>141</v>
      </c>
      <c r="Q15" s="2" t="s">
        <v>10</v>
      </c>
      <c r="R15" s="2" t="s">
        <v>10</v>
      </c>
      <c r="S15" s="135" t="s">
        <v>56</v>
      </c>
      <c r="T15" s="2" t="s">
        <v>104</v>
      </c>
      <c r="U15" s="2"/>
      <c r="V15" s="4"/>
    </row>
    <row r="16" spans="1:22" s="167" customFormat="1" x14ac:dyDescent="0.2">
      <c r="A16" s="270" t="s">
        <v>15</v>
      </c>
      <c r="B16" s="2" t="s">
        <v>1</v>
      </c>
      <c r="C16" s="164">
        <v>46093</v>
      </c>
      <c r="D16" s="164">
        <v>46123</v>
      </c>
      <c r="E16" s="166">
        <v>46142</v>
      </c>
      <c r="F16" s="164">
        <v>46154</v>
      </c>
      <c r="G16" s="2" t="s">
        <v>77</v>
      </c>
      <c r="H16" s="271">
        <v>46400</v>
      </c>
      <c r="I16" s="271">
        <v>4176</v>
      </c>
      <c r="J16" s="6">
        <f t="shared" si="0"/>
        <v>50576</v>
      </c>
      <c r="K16" s="6">
        <f t="shared" si="1"/>
        <v>38949.843557333312</v>
      </c>
      <c r="L16" s="4" t="s">
        <v>109</v>
      </c>
      <c r="M16" s="2" t="s">
        <v>142</v>
      </c>
      <c r="N16" s="4" t="s">
        <v>143</v>
      </c>
      <c r="O16" s="4" t="s">
        <v>16</v>
      </c>
      <c r="P16" s="4" t="s">
        <v>144</v>
      </c>
      <c r="Q16" s="2" t="s">
        <v>10</v>
      </c>
      <c r="R16" s="2" t="s">
        <v>10</v>
      </c>
      <c r="S16" s="135" t="s">
        <v>56</v>
      </c>
      <c r="T16" s="2" t="s">
        <v>104</v>
      </c>
      <c r="U16" s="2"/>
      <c r="V16" s="4"/>
    </row>
    <row r="17" spans="1:22" s="167" customFormat="1" x14ac:dyDescent="0.2">
      <c r="A17" s="270" t="s">
        <v>15</v>
      </c>
      <c r="B17" s="2" t="s">
        <v>1</v>
      </c>
      <c r="C17" s="164">
        <v>46094</v>
      </c>
      <c r="D17" s="164">
        <v>46124</v>
      </c>
      <c r="E17" s="166">
        <v>46107</v>
      </c>
      <c r="F17" s="164">
        <v>46107</v>
      </c>
      <c r="G17" s="2" t="s">
        <v>4</v>
      </c>
      <c r="H17" s="271">
        <v>1000</v>
      </c>
      <c r="I17" s="271">
        <v>90</v>
      </c>
      <c r="J17" s="6">
        <f t="shared" si="0"/>
        <v>1090</v>
      </c>
      <c r="K17" s="6">
        <f t="shared" si="1"/>
        <v>1090</v>
      </c>
      <c r="L17" s="4" t="s">
        <v>145</v>
      </c>
      <c r="M17" s="2" t="s">
        <v>146</v>
      </c>
      <c r="N17" s="4" t="s">
        <v>147</v>
      </c>
      <c r="O17" s="4" t="s">
        <v>18</v>
      </c>
      <c r="P17" s="4" t="s">
        <v>148</v>
      </c>
      <c r="Q17" s="2"/>
      <c r="R17" s="2" t="s">
        <v>10</v>
      </c>
      <c r="S17" s="135" t="s">
        <v>56</v>
      </c>
      <c r="T17" s="2" t="s">
        <v>104</v>
      </c>
      <c r="U17" s="2"/>
      <c r="V17" s="4"/>
    </row>
    <row r="18" spans="1:22" s="167" customFormat="1" x14ac:dyDescent="0.2">
      <c r="A18" s="270" t="s">
        <v>15</v>
      </c>
      <c r="B18" s="2" t="s">
        <v>1</v>
      </c>
      <c r="C18" s="166">
        <v>46111</v>
      </c>
      <c r="D18" s="166">
        <v>46141</v>
      </c>
      <c r="E18" s="166">
        <v>46173</v>
      </c>
      <c r="F18" s="166">
        <v>46139</v>
      </c>
      <c r="G18" s="2" t="s">
        <v>4</v>
      </c>
      <c r="H18" s="271">
        <v>8978</v>
      </c>
      <c r="I18" s="271">
        <v>808.02</v>
      </c>
      <c r="J18" s="6">
        <f t="shared" si="0"/>
        <v>9786.02</v>
      </c>
      <c r="K18" s="6">
        <f t="shared" si="1"/>
        <v>9786.02</v>
      </c>
      <c r="L18" s="4" t="s">
        <v>99</v>
      </c>
      <c r="M18" s="2" t="s">
        <v>149</v>
      </c>
      <c r="N18" s="4" t="s">
        <v>150</v>
      </c>
      <c r="O18" s="4" t="s">
        <v>25</v>
      </c>
      <c r="P18" s="4" t="s">
        <v>151</v>
      </c>
      <c r="Q18" s="2" t="s">
        <v>10</v>
      </c>
      <c r="R18" s="2" t="s">
        <v>10</v>
      </c>
      <c r="S18" s="135" t="s">
        <v>103</v>
      </c>
      <c r="T18" s="2" t="s">
        <v>104</v>
      </c>
      <c r="U18" s="2"/>
      <c r="V18" s="4"/>
    </row>
    <row r="19" spans="1:22" s="167" customFormat="1" x14ac:dyDescent="0.2">
      <c r="A19" s="270" t="s">
        <v>15</v>
      </c>
      <c r="B19" s="2" t="s">
        <v>1</v>
      </c>
      <c r="C19" s="166">
        <v>46113</v>
      </c>
      <c r="D19" s="166">
        <v>46143</v>
      </c>
      <c r="E19" s="166">
        <v>46173</v>
      </c>
      <c r="F19" s="164">
        <v>46170</v>
      </c>
      <c r="G19" s="2" t="s">
        <v>77</v>
      </c>
      <c r="H19" s="271">
        <v>8866.67</v>
      </c>
      <c r="I19" s="271">
        <v>798</v>
      </c>
      <c r="J19" s="6">
        <f t="shared" si="0"/>
        <v>9664.67</v>
      </c>
      <c r="K19" s="6">
        <f t="shared" si="1"/>
        <v>7443.0042813439686</v>
      </c>
      <c r="L19" s="4" t="s">
        <v>105</v>
      </c>
      <c r="M19" s="2" t="s">
        <v>152</v>
      </c>
      <c r="N19" s="4" t="s">
        <v>153</v>
      </c>
      <c r="O19" s="4" t="s">
        <v>22</v>
      </c>
      <c r="P19" s="4"/>
      <c r="Q19" s="2"/>
      <c r="R19" s="2"/>
      <c r="S19" s="135"/>
      <c r="T19" s="2"/>
      <c r="U19" s="2"/>
      <c r="V19" s="4"/>
    </row>
    <row r="20" spans="1:22" s="167" customFormat="1" x14ac:dyDescent="0.2">
      <c r="A20" s="270" t="s">
        <v>15</v>
      </c>
      <c r="B20" s="2" t="s">
        <v>1</v>
      </c>
      <c r="C20" s="164">
        <v>46113</v>
      </c>
      <c r="D20" s="164">
        <v>46143</v>
      </c>
      <c r="E20" s="166">
        <v>46173</v>
      </c>
      <c r="F20" s="164">
        <v>46170</v>
      </c>
      <c r="G20" s="2" t="s">
        <v>77</v>
      </c>
      <c r="H20" s="271">
        <v>8866.67</v>
      </c>
      <c r="I20" s="271">
        <v>798</v>
      </c>
      <c r="J20" s="6">
        <f t="shared" si="0"/>
        <v>9664.67</v>
      </c>
      <c r="K20" s="6">
        <f t="shared" si="1"/>
        <v>7443.0042813439686</v>
      </c>
      <c r="L20" s="4" t="s">
        <v>105</v>
      </c>
      <c r="M20" s="2" t="s">
        <v>154</v>
      </c>
      <c r="N20" s="4" t="s">
        <v>153</v>
      </c>
      <c r="O20" s="4" t="s">
        <v>23</v>
      </c>
      <c r="P20" s="4"/>
      <c r="Q20" s="2"/>
      <c r="R20" s="2"/>
      <c r="S20" s="135"/>
      <c r="T20" s="2"/>
      <c r="U20" s="2"/>
      <c r="V20" s="4"/>
    </row>
    <row r="21" spans="1:22" s="167" customFormat="1" x14ac:dyDescent="0.2">
      <c r="A21" s="270" t="s">
        <v>15</v>
      </c>
      <c r="B21" s="2" t="s">
        <v>1</v>
      </c>
      <c r="C21" s="164">
        <v>46113</v>
      </c>
      <c r="D21" s="164">
        <v>46143</v>
      </c>
      <c r="E21" s="166">
        <v>46173</v>
      </c>
      <c r="F21" s="164">
        <v>46188</v>
      </c>
      <c r="G21" s="2" t="s">
        <v>77</v>
      </c>
      <c r="H21" s="271">
        <v>16000</v>
      </c>
      <c r="I21" s="271">
        <v>1440</v>
      </c>
      <c r="J21" s="6">
        <f t="shared" si="0"/>
        <v>17440</v>
      </c>
      <c r="K21" s="6">
        <f t="shared" si="1"/>
        <v>13430.980537011486</v>
      </c>
      <c r="L21" s="4" t="s">
        <v>109</v>
      </c>
      <c r="M21" s="2" t="s">
        <v>155</v>
      </c>
      <c r="N21" s="4" t="s">
        <v>156</v>
      </c>
      <c r="O21" s="4" t="s">
        <v>157</v>
      </c>
      <c r="P21" s="4"/>
      <c r="Q21" s="2"/>
      <c r="R21" s="2"/>
      <c r="S21" s="4"/>
      <c r="T21" s="2"/>
      <c r="U21" s="4"/>
      <c r="V21" s="4"/>
    </row>
    <row r="22" spans="1:22" s="167" customFormat="1" x14ac:dyDescent="0.2">
      <c r="A22" s="273" t="s">
        <v>1153</v>
      </c>
      <c r="B22" s="2" t="s">
        <v>1</v>
      </c>
      <c r="C22" s="164">
        <v>46119</v>
      </c>
      <c r="D22" s="164">
        <v>46127</v>
      </c>
      <c r="E22" s="166">
        <v>46142</v>
      </c>
      <c r="F22" s="164"/>
      <c r="G22" s="2" t="s">
        <v>77</v>
      </c>
      <c r="H22" s="271">
        <v>76345</v>
      </c>
      <c r="I22" s="271">
        <v>6871.05</v>
      </c>
      <c r="J22" s="6">
        <f t="shared" si="0"/>
        <v>83216.05</v>
      </c>
      <c r="K22" s="6">
        <f t="shared" si="1"/>
        <v>64086.763068633874</v>
      </c>
      <c r="L22" s="4" t="s">
        <v>145</v>
      </c>
      <c r="M22" s="2" t="s">
        <v>158</v>
      </c>
      <c r="N22" s="4" t="s">
        <v>159</v>
      </c>
      <c r="O22" s="4" t="s">
        <v>37</v>
      </c>
      <c r="P22" s="4"/>
      <c r="Q22" s="2"/>
      <c r="R22" s="2"/>
      <c r="S22" s="4"/>
      <c r="T22" s="2"/>
      <c r="U22" s="4"/>
      <c r="V22" s="4"/>
    </row>
    <row r="23" spans="1:22" x14ac:dyDescent="0.2">
      <c r="A23" s="272" t="s">
        <v>14</v>
      </c>
      <c r="B23" s="2" t="s">
        <v>1</v>
      </c>
      <c r="C23" s="166">
        <v>46121</v>
      </c>
      <c r="D23" s="166">
        <v>46151</v>
      </c>
      <c r="E23" s="299">
        <v>46234</v>
      </c>
      <c r="F23" s="166"/>
      <c r="G23" s="2" t="s">
        <v>77</v>
      </c>
      <c r="H23" s="271">
        <v>10800</v>
      </c>
      <c r="I23" s="271">
        <v>972</v>
      </c>
      <c r="J23" s="6">
        <f t="shared" si="0"/>
        <v>11772</v>
      </c>
      <c r="K23" s="6">
        <f t="shared" si="1"/>
        <v>9065.9118624827533</v>
      </c>
      <c r="L23" s="4" t="s">
        <v>109</v>
      </c>
      <c r="M23" s="2" t="s">
        <v>160</v>
      </c>
      <c r="N23" s="4" t="s">
        <v>161</v>
      </c>
      <c r="O23" s="4" t="s">
        <v>16</v>
      </c>
    </row>
    <row r="24" spans="1:22" x14ac:dyDescent="0.2">
      <c r="A24" s="272" t="s">
        <v>14</v>
      </c>
      <c r="B24" s="2" t="s">
        <v>1</v>
      </c>
      <c r="C24" s="166">
        <v>46121</v>
      </c>
      <c r="D24" s="166">
        <v>46151</v>
      </c>
      <c r="E24" s="299">
        <v>46234</v>
      </c>
      <c r="F24" s="166"/>
      <c r="G24" s="2" t="s">
        <v>77</v>
      </c>
      <c r="H24" s="271">
        <v>46400</v>
      </c>
      <c r="I24" s="271">
        <v>4176</v>
      </c>
      <c r="J24" s="6">
        <f t="shared" si="0"/>
        <v>50576</v>
      </c>
      <c r="K24" s="6">
        <f t="shared" si="1"/>
        <v>38949.843557333312</v>
      </c>
      <c r="L24" s="4" t="s">
        <v>109</v>
      </c>
      <c r="M24" s="2" t="s">
        <v>162</v>
      </c>
      <c r="N24" s="4" t="s">
        <v>161</v>
      </c>
      <c r="O24" s="4" t="s">
        <v>16</v>
      </c>
    </row>
    <row r="25" spans="1:22" x14ac:dyDescent="0.2">
      <c r="A25" s="272" t="s">
        <v>14</v>
      </c>
      <c r="B25" s="2" t="s">
        <v>1</v>
      </c>
      <c r="C25" s="164">
        <v>46121</v>
      </c>
      <c r="D25" s="164">
        <v>46151</v>
      </c>
      <c r="E25" s="299">
        <v>46234</v>
      </c>
      <c r="F25" s="164"/>
      <c r="G25" s="2" t="s">
        <v>77</v>
      </c>
      <c r="H25" s="271">
        <v>40000</v>
      </c>
      <c r="I25" s="271">
        <v>3600</v>
      </c>
      <c r="J25" s="6">
        <f t="shared" si="0"/>
        <v>43600</v>
      </c>
      <c r="K25" s="6">
        <f t="shared" si="1"/>
        <v>33577.451342528715</v>
      </c>
      <c r="L25" s="4" t="s">
        <v>109</v>
      </c>
      <c r="M25" s="2" t="s">
        <v>163</v>
      </c>
      <c r="N25" s="4" t="s">
        <v>164</v>
      </c>
      <c r="O25" s="4" t="s">
        <v>16</v>
      </c>
    </row>
    <row r="26" spans="1:22" x14ac:dyDescent="0.2">
      <c r="A26" s="270" t="s">
        <v>15</v>
      </c>
      <c r="B26" s="2" t="s">
        <v>1</v>
      </c>
      <c r="C26" s="164">
        <v>46122</v>
      </c>
      <c r="D26" s="164">
        <v>46152</v>
      </c>
      <c r="E26" s="166">
        <v>46173</v>
      </c>
      <c r="F26" s="164">
        <v>46153</v>
      </c>
      <c r="G26" s="2" t="s">
        <v>77</v>
      </c>
      <c r="H26" s="271">
        <v>99</v>
      </c>
      <c r="I26" s="271">
        <v>8.91</v>
      </c>
      <c r="J26" s="6">
        <f t="shared" si="0"/>
        <v>107.91</v>
      </c>
      <c r="K26" s="6">
        <f t="shared" si="1"/>
        <v>83.104192072758579</v>
      </c>
      <c r="L26" s="4" t="s">
        <v>138</v>
      </c>
      <c r="M26" s="2" t="s">
        <v>165</v>
      </c>
      <c r="N26" s="4" t="s">
        <v>166</v>
      </c>
      <c r="O26" s="4" t="s">
        <v>21</v>
      </c>
      <c r="P26" s="4" t="s">
        <v>167</v>
      </c>
      <c r="Q26" s="2" t="s">
        <v>10</v>
      </c>
      <c r="R26" s="2" t="s">
        <v>10</v>
      </c>
      <c r="S26" s="135" t="s">
        <v>56</v>
      </c>
      <c r="T26" s="2" t="s">
        <v>104</v>
      </c>
      <c r="U26" s="2"/>
    </row>
    <row r="27" spans="1:22" x14ac:dyDescent="0.2">
      <c r="A27" s="270" t="s">
        <v>15</v>
      </c>
      <c r="B27" s="2" t="s">
        <v>1</v>
      </c>
      <c r="C27" s="164">
        <v>46126</v>
      </c>
      <c r="D27" s="164">
        <v>46156</v>
      </c>
      <c r="E27" s="166">
        <v>46173</v>
      </c>
      <c r="F27" s="164">
        <v>46155</v>
      </c>
      <c r="G27" s="2" t="s">
        <v>4</v>
      </c>
      <c r="H27" s="271">
        <v>1000</v>
      </c>
      <c r="I27" s="271">
        <v>90</v>
      </c>
      <c r="J27" s="6">
        <f t="shared" si="0"/>
        <v>1090</v>
      </c>
      <c r="K27" s="6">
        <f t="shared" si="1"/>
        <v>1090</v>
      </c>
      <c r="L27" s="4" t="s">
        <v>145</v>
      </c>
      <c r="M27" s="2" t="s">
        <v>168</v>
      </c>
      <c r="N27" s="4" t="s">
        <v>169</v>
      </c>
      <c r="O27" s="4" t="s">
        <v>18</v>
      </c>
      <c r="P27" s="4" t="s">
        <v>170</v>
      </c>
      <c r="Q27" s="2" t="s">
        <v>10</v>
      </c>
      <c r="R27" s="2" t="s">
        <v>10</v>
      </c>
      <c r="S27" s="135"/>
      <c r="T27" s="2" t="s">
        <v>104</v>
      </c>
      <c r="U27" s="2"/>
    </row>
    <row r="28" spans="1:22" x14ac:dyDescent="0.2">
      <c r="A28" s="270" t="s">
        <v>15</v>
      </c>
      <c r="B28" s="2" t="s">
        <v>1</v>
      </c>
      <c r="C28" s="166">
        <v>46133</v>
      </c>
      <c r="D28" s="166">
        <v>46163</v>
      </c>
      <c r="E28" s="166">
        <v>46173</v>
      </c>
      <c r="F28" s="166">
        <v>46199</v>
      </c>
      <c r="G28" s="2" t="s">
        <v>77</v>
      </c>
      <c r="H28" s="271">
        <v>8866.67</v>
      </c>
      <c r="I28" s="271">
        <v>798.00029999999992</v>
      </c>
      <c r="J28" s="6">
        <f t="shared" si="0"/>
        <v>9664.6702999999998</v>
      </c>
      <c r="K28" s="6">
        <f t="shared" si="1"/>
        <v>7443.0045123814771</v>
      </c>
      <c r="L28" s="4" t="s">
        <v>105</v>
      </c>
      <c r="M28" s="2" t="s">
        <v>171</v>
      </c>
      <c r="N28" s="4" t="s">
        <v>172</v>
      </c>
      <c r="O28" s="4" t="s">
        <v>22</v>
      </c>
      <c r="P28" s="4" t="s">
        <v>173</v>
      </c>
      <c r="Q28" s="2" t="s">
        <v>10</v>
      </c>
      <c r="R28" s="2" t="s">
        <v>10</v>
      </c>
      <c r="T28" s="2" t="s">
        <v>104</v>
      </c>
    </row>
    <row r="29" spans="1:22" x14ac:dyDescent="0.2">
      <c r="A29" s="270" t="s">
        <v>15</v>
      </c>
      <c r="B29" s="2" t="s">
        <v>1</v>
      </c>
      <c r="C29" s="164">
        <v>46133</v>
      </c>
      <c r="D29" s="164">
        <v>46163</v>
      </c>
      <c r="E29" s="166">
        <v>46173</v>
      </c>
      <c r="F29" s="164">
        <v>46170</v>
      </c>
      <c r="G29" s="2" t="s">
        <v>77</v>
      </c>
      <c r="H29" s="6">
        <v>8866.67</v>
      </c>
      <c r="I29" s="6">
        <v>798.00029999999992</v>
      </c>
      <c r="J29" s="6">
        <f t="shared" si="0"/>
        <v>9664.6702999999998</v>
      </c>
      <c r="K29" s="6">
        <f t="shared" si="1"/>
        <v>7443.0045123814771</v>
      </c>
      <c r="L29" s="4" t="s">
        <v>105</v>
      </c>
      <c r="M29" s="2" t="s">
        <v>174</v>
      </c>
      <c r="N29" s="4" t="s">
        <v>175</v>
      </c>
      <c r="O29" s="4" t="s">
        <v>23</v>
      </c>
      <c r="P29" s="4" t="s">
        <v>176</v>
      </c>
      <c r="Q29" s="2" t="s">
        <v>10</v>
      </c>
      <c r="R29" s="2" t="s">
        <v>10</v>
      </c>
      <c r="S29" s="135"/>
      <c r="T29" s="2" t="s">
        <v>104</v>
      </c>
      <c r="U29" s="2"/>
    </row>
    <row r="30" spans="1:22" x14ac:dyDescent="0.2">
      <c r="A30" s="273" t="s">
        <v>8</v>
      </c>
      <c r="B30" s="2" t="s">
        <v>1</v>
      </c>
      <c r="C30" s="166">
        <v>46133</v>
      </c>
      <c r="D30" s="166">
        <v>46194</v>
      </c>
      <c r="E30" s="166">
        <v>46265</v>
      </c>
      <c r="F30" s="166"/>
      <c r="G30" s="2" t="s">
        <v>4</v>
      </c>
      <c r="H30" s="271">
        <v>56000</v>
      </c>
      <c r="I30" s="271">
        <v>5040</v>
      </c>
      <c r="J30" s="6">
        <f t="shared" si="0"/>
        <v>61040</v>
      </c>
      <c r="K30" s="6">
        <f t="shared" si="1"/>
        <v>61040</v>
      </c>
      <c r="L30" s="4" t="s">
        <v>177</v>
      </c>
      <c r="M30" s="2" t="s">
        <v>178</v>
      </c>
      <c r="N30" s="4" t="s">
        <v>179</v>
      </c>
      <c r="O30" s="4" t="s">
        <v>180</v>
      </c>
      <c r="P30" s="4" t="s">
        <v>181</v>
      </c>
      <c r="Q30" s="2" t="s">
        <v>10</v>
      </c>
      <c r="R30" s="2" t="s">
        <v>10</v>
      </c>
      <c r="T30" s="2" t="s">
        <v>104</v>
      </c>
    </row>
    <row r="31" spans="1:22" x14ac:dyDescent="0.2">
      <c r="A31" s="272" t="s">
        <v>14</v>
      </c>
      <c r="B31" s="2" t="s">
        <v>1</v>
      </c>
      <c r="C31" s="164">
        <v>46140</v>
      </c>
      <c r="D31" s="164">
        <v>46170</v>
      </c>
      <c r="E31" s="299">
        <v>46234</v>
      </c>
      <c r="F31" s="164"/>
      <c r="G31" s="2" t="s">
        <v>77</v>
      </c>
      <c r="H31" s="6">
        <v>2705.65</v>
      </c>
      <c r="I31" s="6">
        <v>243.5085</v>
      </c>
      <c r="J31" s="6">
        <f t="shared" si="0"/>
        <v>2949.1585</v>
      </c>
      <c r="K31" s="6">
        <f t="shared" si="1"/>
        <v>2271.2207806228207</v>
      </c>
      <c r="L31" s="4" t="s">
        <v>109</v>
      </c>
      <c r="M31" s="2" t="s">
        <v>182</v>
      </c>
      <c r="N31" s="4" t="s">
        <v>183</v>
      </c>
      <c r="O31" s="4" t="s">
        <v>16</v>
      </c>
      <c r="P31" s="4" t="s">
        <v>184</v>
      </c>
      <c r="Q31" s="2" t="s">
        <v>10</v>
      </c>
      <c r="R31" s="2" t="s">
        <v>10</v>
      </c>
      <c r="T31" s="2" t="s">
        <v>104</v>
      </c>
    </row>
    <row r="32" spans="1:22" x14ac:dyDescent="0.2">
      <c r="A32" s="270" t="s">
        <v>15</v>
      </c>
      <c r="B32" s="2" t="s">
        <v>1</v>
      </c>
      <c r="C32" s="164">
        <v>46141</v>
      </c>
      <c r="D32" s="164">
        <v>46142</v>
      </c>
      <c r="E32" s="166">
        <v>46172</v>
      </c>
      <c r="F32" s="164">
        <v>46150</v>
      </c>
      <c r="G32" s="2" t="s">
        <v>4</v>
      </c>
      <c r="H32" s="6">
        <v>59000</v>
      </c>
      <c r="I32" s="6">
        <v>0</v>
      </c>
      <c r="J32" s="6">
        <f t="shared" si="0"/>
        <v>59000</v>
      </c>
      <c r="K32" s="6">
        <f t="shared" si="1"/>
        <v>59000</v>
      </c>
      <c r="L32" s="4" t="s">
        <v>185</v>
      </c>
      <c r="M32" s="2" t="s">
        <v>186</v>
      </c>
      <c r="N32" s="4" t="s">
        <v>187</v>
      </c>
      <c r="O32" s="4" t="s">
        <v>38</v>
      </c>
      <c r="Q32" s="2" t="s">
        <v>10</v>
      </c>
      <c r="R32" s="2" t="s">
        <v>10</v>
      </c>
      <c r="S32" s="135"/>
      <c r="U32" s="2"/>
    </row>
    <row r="33" spans="1:21" x14ac:dyDescent="0.2">
      <c r="A33" s="270" t="s">
        <v>15</v>
      </c>
      <c r="B33" s="2" t="s">
        <v>1</v>
      </c>
      <c r="C33" s="166">
        <v>46147</v>
      </c>
      <c r="D33" s="166">
        <v>46177</v>
      </c>
      <c r="E33" s="166">
        <v>46203</v>
      </c>
      <c r="F33" s="166">
        <v>46168</v>
      </c>
      <c r="G33" s="2" t="s">
        <v>4</v>
      </c>
      <c r="H33" s="6">
        <v>8978</v>
      </c>
      <c r="I33" s="6">
        <v>808.02</v>
      </c>
      <c r="J33" s="6">
        <f t="shared" si="0"/>
        <v>9786.02</v>
      </c>
      <c r="K33" s="6">
        <f t="shared" si="1"/>
        <v>9786.02</v>
      </c>
      <c r="L33" s="4" t="s">
        <v>99</v>
      </c>
      <c r="M33" s="2" t="s">
        <v>188</v>
      </c>
      <c r="N33" s="4" t="s">
        <v>189</v>
      </c>
      <c r="O33" s="4" t="s">
        <v>25</v>
      </c>
      <c r="P33" s="4" t="s">
        <v>190</v>
      </c>
      <c r="Q33" s="2" t="s">
        <v>10</v>
      </c>
      <c r="R33" s="2" t="s">
        <v>10</v>
      </c>
      <c r="S33" s="135"/>
      <c r="U33" s="2"/>
    </row>
    <row r="34" spans="1:21" x14ac:dyDescent="0.2">
      <c r="A34" s="270" t="s">
        <v>15</v>
      </c>
      <c r="B34" s="2" t="s">
        <v>1</v>
      </c>
      <c r="C34" s="166">
        <v>46150</v>
      </c>
      <c r="D34" s="166">
        <v>46180</v>
      </c>
      <c r="E34" s="166">
        <v>46203</v>
      </c>
      <c r="F34" s="166">
        <v>46176</v>
      </c>
      <c r="G34" s="2" t="s">
        <v>79</v>
      </c>
      <c r="H34" s="6">
        <v>1575966.33</v>
      </c>
      <c r="I34" s="6">
        <v>0</v>
      </c>
      <c r="J34" s="6">
        <f t="shared" si="0"/>
        <v>1575966.33</v>
      </c>
      <c r="K34" s="6">
        <v>232853.75315649001</v>
      </c>
      <c r="L34" s="4" t="s">
        <v>191</v>
      </c>
      <c r="M34" s="2" t="s">
        <v>192</v>
      </c>
      <c r="N34" s="4" t="s">
        <v>193</v>
      </c>
      <c r="O34" s="4" t="s">
        <v>194</v>
      </c>
      <c r="Q34" s="2" t="s">
        <v>10</v>
      </c>
      <c r="R34" s="2" t="s">
        <v>10</v>
      </c>
    </row>
    <row r="35" spans="1:21" x14ac:dyDescent="0.2">
      <c r="A35" s="2" t="s">
        <v>8</v>
      </c>
      <c r="B35" s="2" t="s">
        <v>1</v>
      </c>
      <c r="C35" s="166">
        <v>46157</v>
      </c>
      <c r="D35" s="166">
        <v>46187</v>
      </c>
      <c r="E35" s="166">
        <v>46234</v>
      </c>
      <c r="F35" s="166"/>
      <c r="G35" s="2" t="s">
        <v>77</v>
      </c>
      <c r="H35" s="6">
        <v>18800</v>
      </c>
      <c r="I35" s="6">
        <v>1692</v>
      </c>
      <c r="J35" s="6">
        <f t="shared" si="0"/>
        <v>20492</v>
      </c>
      <c r="K35" s="6">
        <f t="shared" ref="K35:K46" si="2">IF(G35="SGD", J35*$K$1, J35)</f>
        <v>15781.402130988497</v>
      </c>
      <c r="L35" s="4" t="s">
        <v>109</v>
      </c>
      <c r="M35" s="2" t="s">
        <v>195</v>
      </c>
      <c r="N35" s="4" t="s">
        <v>196</v>
      </c>
      <c r="O35" s="4" t="s">
        <v>16</v>
      </c>
      <c r="P35" s="4" t="s">
        <v>197</v>
      </c>
      <c r="Q35" s="2" t="s">
        <v>10</v>
      </c>
      <c r="R35" s="2" t="s">
        <v>10</v>
      </c>
      <c r="T35" s="2" t="s">
        <v>104</v>
      </c>
    </row>
    <row r="36" spans="1:21" x14ac:dyDescent="0.2">
      <c r="A36" s="2" t="s">
        <v>8</v>
      </c>
      <c r="B36" s="2" t="s">
        <v>1</v>
      </c>
      <c r="C36" s="166">
        <v>46157</v>
      </c>
      <c r="D36" s="166">
        <v>46187</v>
      </c>
      <c r="E36" s="166">
        <v>46234</v>
      </c>
      <c r="F36" s="166"/>
      <c r="G36" s="2" t="s">
        <v>77</v>
      </c>
      <c r="H36" s="6">
        <v>8100</v>
      </c>
      <c r="I36" s="6">
        <v>729</v>
      </c>
      <c r="J36" s="6">
        <f t="shared" si="0"/>
        <v>8829</v>
      </c>
      <c r="K36" s="6">
        <f t="shared" si="2"/>
        <v>6799.433896862065</v>
      </c>
      <c r="L36" s="4" t="s">
        <v>109</v>
      </c>
      <c r="M36" s="2" t="s">
        <v>198</v>
      </c>
      <c r="N36" s="4" t="s">
        <v>199</v>
      </c>
      <c r="O36" s="4" t="s">
        <v>16</v>
      </c>
      <c r="P36" s="4" t="s">
        <v>200</v>
      </c>
      <c r="Q36" s="2" t="s">
        <v>10</v>
      </c>
      <c r="R36" s="2" t="s">
        <v>10</v>
      </c>
      <c r="T36" s="2" t="s">
        <v>104</v>
      </c>
    </row>
    <row r="37" spans="1:21" x14ac:dyDescent="0.2">
      <c r="A37" s="2" t="s">
        <v>8</v>
      </c>
      <c r="B37" s="2" t="s">
        <v>1</v>
      </c>
      <c r="C37" s="166">
        <v>46157</v>
      </c>
      <c r="D37" s="166">
        <v>46187</v>
      </c>
      <c r="E37" s="166">
        <v>46234</v>
      </c>
      <c r="F37" s="166"/>
      <c r="G37" s="2" t="s">
        <v>77</v>
      </c>
      <c r="H37" s="6">
        <v>18800</v>
      </c>
      <c r="I37" s="6">
        <v>1692</v>
      </c>
      <c r="J37" s="6">
        <f t="shared" si="0"/>
        <v>20492</v>
      </c>
      <c r="K37" s="6">
        <f t="shared" si="2"/>
        <v>15781.402130988497</v>
      </c>
      <c r="L37" s="4" t="s">
        <v>109</v>
      </c>
      <c r="M37" s="2" t="s">
        <v>201</v>
      </c>
      <c r="N37" s="4" t="s">
        <v>199</v>
      </c>
      <c r="O37" s="4" t="s">
        <v>16</v>
      </c>
      <c r="P37" s="4" t="s">
        <v>197</v>
      </c>
      <c r="Q37" s="2" t="s">
        <v>10</v>
      </c>
      <c r="R37" s="2" t="s">
        <v>10</v>
      </c>
      <c r="T37" s="2" t="s">
        <v>104</v>
      </c>
    </row>
    <row r="38" spans="1:21" x14ac:dyDescent="0.2">
      <c r="A38" s="274" t="s">
        <v>28</v>
      </c>
      <c r="B38" s="2" t="s">
        <v>1</v>
      </c>
      <c r="C38" s="164">
        <v>46157</v>
      </c>
      <c r="D38" s="164">
        <v>46218</v>
      </c>
      <c r="E38" s="166">
        <v>46233</v>
      </c>
      <c r="F38" s="164"/>
      <c r="G38" s="2" t="s">
        <v>4</v>
      </c>
      <c r="H38" s="271"/>
      <c r="I38" s="271"/>
      <c r="J38" s="6">
        <f t="shared" si="0"/>
        <v>0</v>
      </c>
      <c r="K38" s="6">
        <f t="shared" si="2"/>
        <v>0</v>
      </c>
      <c r="L38" s="4" t="s">
        <v>177</v>
      </c>
      <c r="M38" s="2" t="s">
        <v>221</v>
      </c>
      <c r="N38" s="4" t="s">
        <v>222</v>
      </c>
      <c r="O38" s="4" t="s">
        <v>223</v>
      </c>
      <c r="P38" s="4" t="s">
        <v>224</v>
      </c>
    </row>
    <row r="39" spans="1:21" x14ac:dyDescent="0.2">
      <c r="A39" s="274" t="s">
        <v>28</v>
      </c>
      <c r="B39" s="2" t="s">
        <v>1</v>
      </c>
      <c r="C39" s="164">
        <v>46157</v>
      </c>
      <c r="D39" s="164">
        <v>46218</v>
      </c>
      <c r="E39" s="166">
        <v>46233</v>
      </c>
      <c r="F39" s="164"/>
      <c r="G39" s="2" t="s">
        <v>4</v>
      </c>
      <c r="H39" s="271"/>
      <c r="I39" s="271"/>
      <c r="J39" s="6">
        <f t="shared" si="0"/>
        <v>0</v>
      </c>
      <c r="K39" s="6">
        <f t="shared" si="2"/>
        <v>0</v>
      </c>
      <c r="L39" s="4" t="s">
        <v>177</v>
      </c>
      <c r="M39" s="2" t="s">
        <v>221</v>
      </c>
      <c r="N39" s="4" t="s">
        <v>225</v>
      </c>
      <c r="O39" s="4" t="s">
        <v>223</v>
      </c>
      <c r="P39" s="4" t="s">
        <v>226</v>
      </c>
    </row>
    <row r="40" spans="1:21" x14ac:dyDescent="0.2">
      <c r="A40" s="2" t="s">
        <v>15</v>
      </c>
      <c r="B40" s="2" t="s">
        <v>1</v>
      </c>
      <c r="C40" s="164">
        <v>46164</v>
      </c>
      <c r="D40" s="164">
        <v>46194</v>
      </c>
      <c r="E40" s="166">
        <v>46203</v>
      </c>
      <c r="F40" s="164">
        <v>46202</v>
      </c>
      <c r="G40" s="2" t="s">
        <v>77</v>
      </c>
      <c r="H40" s="271">
        <v>2599</v>
      </c>
      <c r="I40" s="271">
        <v>233.91</v>
      </c>
      <c r="J40" s="16">
        <f t="shared" si="0"/>
        <v>2832.91</v>
      </c>
      <c r="K40" s="16">
        <f t="shared" si="2"/>
        <v>2181.6949009808031</v>
      </c>
      <c r="L40" s="4" t="s">
        <v>138</v>
      </c>
      <c r="M40" s="2" t="s">
        <v>202</v>
      </c>
      <c r="N40" s="4" t="s">
        <v>203</v>
      </c>
      <c r="O40" s="4" t="s">
        <v>21</v>
      </c>
      <c r="P40" s="4" t="s">
        <v>204</v>
      </c>
      <c r="Q40" s="2" t="s">
        <v>10</v>
      </c>
      <c r="R40" s="2" t="s">
        <v>10</v>
      </c>
      <c r="S40" s="4" t="s">
        <v>56</v>
      </c>
      <c r="T40" s="2" t="s">
        <v>104</v>
      </c>
    </row>
    <row r="41" spans="1:21" x14ac:dyDescent="0.2">
      <c r="A41" s="2" t="s">
        <v>15</v>
      </c>
      <c r="B41" s="2" t="s">
        <v>1</v>
      </c>
      <c r="C41" s="164">
        <v>46164</v>
      </c>
      <c r="D41" s="164">
        <v>46194</v>
      </c>
      <c r="E41" s="166">
        <v>46203</v>
      </c>
      <c r="F41" s="166">
        <v>46199</v>
      </c>
      <c r="G41" s="2" t="s">
        <v>77</v>
      </c>
      <c r="H41" s="271">
        <v>8866.67</v>
      </c>
      <c r="I41" s="271">
        <v>798</v>
      </c>
      <c r="J41" s="16">
        <f t="shared" si="0"/>
        <v>9664.67</v>
      </c>
      <c r="K41" s="16">
        <f t="shared" si="2"/>
        <v>7443.0042813439686</v>
      </c>
      <c r="L41" s="4" t="s">
        <v>105</v>
      </c>
      <c r="M41" s="2" t="s">
        <v>205</v>
      </c>
      <c r="N41" s="4" t="s">
        <v>206</v>
      </c>
      <c r="O41" s="4" t="s">
        <v>22</v>
      </c>
      <c r="P41" s="4" t="s">
        <v>207</v>
      </c>
      <c r="Q41" s="2" t="s">
        <v>10</v>
      </c>
      <c r="R41" s="2" t="s">
        <v>10</v>
      </c>
      <c r="S41" s="4" t="s">
        <v>103</v>
      </c>
      <c r="T41" s="2" t="s">
        <v>104</v>
      </c>
    </row>
    <row r="42" spans="1:21" x14ac:dyDescent="0.2">
      <c r="A42" s="2" t="s">
        <v>15</v>
      </c>
      <c r="B42" s="2" t="s">
        <v>1</v>
      </c>
      <c r="C42" s="164">
        <v>46164</v>
      </c>
      <c r="D42" s="164">
        <v>46194</v>
      </c>
      <c r="E42" s="166">
        <v>46203</v>
      </c>
      <c r="F42" s="166">
        <v>46199</v>
      </c>
      <c r="G42" s="2" t="s">
        <v>77</v>
      </c>
      <c r="H42" s="271">
        <v>8866.67</v>
      </c>
      <c r="I42" s="271">
        <v>798</v>
      </c>
      <c r="J42" s="16">
        <f t="shared" si="0"/>
        <v>9664.67</v>
      </c>
      <c r="K42" s="16">
        <f t="shared" si="2"/>
        <v>7443.0042813439686</v>
      </c>
      <c r="L42" s="4" t="s">
        <v>105</v>
      </c>
      <c r="M42" s="2" t="s">
        <v>208</v>
      </c>
      <c r="N42" s="4" t="s">
        <v>206</v>
      </c>
      <c r="O42" s="4" t="s">
        <v>23</v>
      </c>
      <c r="P42" s="4" t="s">
        <v>207</v>
      </c>
      <c r="Q42" s="2" t="s">
        <v>10</v>
      </c>
      <c r="R42" s="2" t="s">
        <v>10</v>
      </c>
      <c r="S42" s="4" t="s">
        <v>103</v>
      </c>
      <c r="T42" s="2" t="s">
        <v>104</v>
      </c>
    </row>
    <row r="43" spans="1:21" x14ac:dyDescent="0.2">
      <c r="A43" s="2" t="s">
        <v>8</v>
      </c>
      <c r="B43" s="2" t="s">
        <v>1</v>
      </c>
      <c r="C43" s="164">
        <v>46164</v>
      </c>
      <c r="D43" s="164">
        <v>46194</v>
      </c>
      <c r="E43" s="166">
        <v>46234</v>
      </c>
      <c r="F43" s="164"/>
      <c r="G43" s="2" t="s">
        <v>4</v>
      </c>
      <c r="H43" s="271">
        <v>1000</v>
      </c>
      <c r="I43" s="271">
        <v>90</v>
      </c>
      <c r="J43" s="6">
        <f t="shared" si="0"/>
        <v>1090</v>
      </c>
      <c r="K43" s="6">
        <f t="shared" si="2"/>
        <v>1090</v>
      </c>
      <c r="L43" s="4" t="s">
        <v>145</v>
      </c>
      <c r="M43" s="2" t="s">
        <v>209</v>
      </c>
      <c r="N43" s="4" t="s">
        <v>210</v>
      </c>
      <c r="O43" s="4" t="s">
        <v>18</v>
      </c>
      <c r="P43" s="4" t="s">
        <v>211</v>
      </c>
      <c r="R43" s="2" t="s">
        <v>10</v>
      </c>
      <c r="S43" s="4" t="s">
        <v>56</v>
      </c>
      <c r="T43" s="2" t="s">
        <v>104</v>
      </c>
    </row>
    <row r="44" spans="1:21" x14ac:dyDescent="0.2">
      <c r="A44" s="2" t="s">
        <v>8</v>
      </c>
      <c r="B44" s="2" t="s">
        <v>1</v>
      </c>
      <c r="C44" s="164">
        <v>46170</v>
      </c>
      <c r="D44" s="164">
        <v>46200</v>
      </c>
      <c r="E44" s="166">
        <v>46234</v>
      </c>
      <c r="F44" s="164"/>
      <c r="G44" s="2" t="s">
        <v>4</v>
      </c>
      <c r="H44" s="271">
        <v>8978</v>
      </c>
      <c r="I44" s="271">
        <v>808.02</v>
      </c>
      <c r="J44" s="6">
        <f t="shared" si="0"/>
        <v>9786.02</v>
      </c>
      <c r="K44" s="6">
        <f t="shared" si="2"/>
        <v>9786.02</v>
      </c>
      <c r="L44" s="4" t="s">
        <v>99</v>
      </c>
      <c r="M44" s="2" t="s">
        <v>212</v>
      </c>
      <c r="N44" s="4" t="s">
        <v>213</v>
      </c>
      <c r="O44" s="4" t="s">
        <v>25</v>
      </c>
      <c r="P44" s="4" t="s">
        <v>214</v>
      </c>
      <c r="Q44" s="2" t="s">
        <v>10</v>
      </c>
      <c r="R44" s="2" t="s">
        <v>10</v>
      </c>
      <c r="S44" s="4" t="s">
        <v>103</v>
      </c>
      <c r="T44" s="2" t="s">
        <v>104</v>
      </c>
    </row>
    <row r="45" spans="1:21" x14ac:dyDescent="0.2">
      <c r="A45" s="2" t="s">
        <v>8</v>
      </c>
      <c r="B45" s="2" t="s">
        <v>1</v>
      </c>
      <c r="C45" s="164">
        <v>46176</v>
      </c>
      <c r="D45" s="164">
        <v>46206</v>
      </c>
      <c r="E45" s="166">
        <v>46234</v>
      </c>
      <c r="F45" s="164"/>
      <c r="G45" s="2" t="s">
        <v>77</v>
      </c>
      <c r="H45" s="271">
        <v>569.41</v>
      </c>
      <c r="I45" s="271">
        <v>51.25</v>
      </c>
      <c r="J45" s="271">
        <f t="shared" si="0"/>
        <v>620.66</v>
      </c>
      <c r="K45" s="6">
        <f t="shared" si="2"/>
        <v>477.98580161132736</v>
      </c>
      <c r="L45" s="4" t="s">
        <v>109</v>
      </c>
      <c r="M45" s="2" t="s">
        <v>215</v>
      </c>
      <c r="N45" s="4" t="s">
        <v>216</v>
      </c>
      <c r="O45" s="4" t="s">
        <v>16</v>
      </c>
      <c r="P45" s="4" t="s">
        <v>217</v>
      </c>
      <c r="Q45" s="2" t="s">
        <v>10</v>
      </c>
      <c r="R45" s="2" t="s">
        <v>10</v>
      </c>
      <c r="T45" s="2" t="s">
        <v>104</v>
      </c>
    </row>
    <row r="46" spans="1:21" x14ac:dyDescent="0.2">
      <c r="A46" s="2" t="s">
        <v>8</v>
      </c>
      <c r="B46" s="2" t="s">
        <v>1</v>
      </c>
      <c r="C46" s="164">
        <v>46176</v>
      </c>
      <c r="D46" s="164">
        <v>46206</v>
      </c>
      <c r="E46" s="166">
        <v>46234</v>
      </c>
      <c r="F46" s="164"/>
      <c r="G46" s="2" t="s">
        <v>77</v>
      </c>
      <c r="H46" s="271">
        <v>2093.66</v>
      </c>
      <c r="I46" s="271">
        <v>188.43</v>
      </c>
      <c r="J46" s="271">
        <f t="shared" si="0"/>
        <v>2282.0899999999997</v>
      </c>
      <c r="K46" s="6">
        <f t="shared" si="2"/>
        <v>1757.494631519985</v>
      </c>
      <c r="L46" s="4" t="s">
        <v>109</v>
      </c>
      <c r="M46" s="2" t="s">
        <v>218</v>
      </c>
      <c r="N46" s="4" t="s">
        <v>219</v>
      </c>
      <c r="O46" s="4" t="s">
        <v>16</v>
      </c>
      <c r="P46" s="4" t="s">
        <v>220</v>
      </c>
      <c r="Q46" s="2" t="s">
        <v>10</v>
      </c>
      <c r="R46" s="2" t="s">
        <v>10</v>
      </c>
      <c r="T46" s="2" t="s">
        <v>104</v>
      </c>
    </row>
    <row r="47" spans="1:21" x14ac:dyDescent="0.2">
      <c r="A47" s="2" t="s">
        <v>1620</v>
      </c>
      <c r="B47" s="2" t="s">
        <v>1</v>
      </c>
      <c r="C47" s="164">
        <v>46191</v>
      </c>
      <c r="D47" s="164">
        <v>46221</v>
      </c>
      <c r="E47" s="166">
        <v>46234</v>
      </c>
      <c r="F47" s="164"/>
      <c r="G47" s="2" t="s">
        <v>77</v>
      </c>
      <c r="H47" s="271">
        <v>8866.67</v>
      </c>
      <c r="I47" s="271">
        <v>798</v>
      </c>
      <c r="J47" s="271">
        <v>9664.67</v>
      </c>
      <c r="K47" s="271">
        <v>7443.0042813439686</v>
      </c>
      <c r="L47" s="4" t="s">
        <v>105</v>
      </c>
      <c r="M47" s="2" t="s">
        <v>1621</v>
      </c>
      <c r="N47" s="4" t="s">
        <v>254</v>
      </c>
      <c r="O47" s="4" t="s">
        <v>22</v>
      </c>
      <c r="P47" s="4" t="s">
        <v>255</v>
      </c>
      <c r="Q47" s="2" t="s">
        <v>10</v>
      </c>
      <c r="R47" s="2" t="s">
        <v>10</v>
      </c>
      <c r="S47" s="4" t="s">
        <v>103</v>
      </c>
      <c r="T47" s="2" t="s">
        <v>104</v>
      </c>
    </row>
    <row r="48" spans="1:21" x14ac:dyDescent="0.2">
      <c r="A48" s="2" t="s">
        <v>1620</v>
      </c>
      <c r="B48" s="2" t="s">
        <v>1</v>
      </c>
      <c r="C48" s="164">
        <v>46195</v>
      </c>
      <c r="D48" s="164">
        <v>46225</v>
      </c>
      <c r="E48" s="166">
        <v>46234</v>
      </c>
      <c r="F48" s="164"/>
      <c r="G48" s="2" t="s">
        <v>77</v>
      </c>
      <c r="H48" s="271">
        <v>2364.12</v>
      </c>
      <c r="I48" s="271">
        <v>212.77</v>
      </c>
      <c r="J48" s="271">
        <f>H48+I48</f>
        <v>2576.89</v>
      </c>
      <c r="K48" s="6">
        <f t="shared" ref="K48:K49" si="3">IF(G48="SGD", J48*$K$1, J48)</f>
        <v>1984.52749059745</v>
      </c>
      <c r="L48" s="4" t="s">
        <v>109</v>
      </c>
      <c r="M48" s="2" t="s">
        <v>1622</v>
      </c>
      <c r="N48" s="4" t="s">
        <v>1623</v>
      </c>
      <c r="O48" s="4" t="s">
        <v>16</v>
      </c>
      <c r="Q48" s="2" t="s">
        <v>10</v>
      </c>
      <c r="R48" s="2" t="s">
        <v>10</v>
      </c>
      <c r="S48" s="4" t="s">
        <v>103</v>
      </c>
      <c r="T48" s="2" t="s">
        <v>104</v>
      </c>
    </row>
    <row r="49" spans="1:22" x14ac:dyDescent="0.2">
      <c r="A49" s="2" t="s">
        <v>1620</v>
      </c>
      <c r="B49" s="2" t="s">
        <v>1</v>
      </c>
      <c r="C49" s="164">
        <v>46195</v>
      </c>
      <c r="D49" s="164">
        <v>46225</v>
      </c>
      <c r="E49" s="166">
        <v>46234</v>
      </c>
      <c r="F49" s="164"/>
      <c r="G49" s="2" t="s">
        <v>77</v>
      </c>
      <c r="H49" s="271">
        <v>1700.91</v>
      </c>
      <c r="I49" s="271">
        <v>153.08000000000001</v>
      </c>
      <c r="J49" s="271">
        <f t="shared" ref="J49:J51" si="4">H49+I49</f>
        <v>1853.99</v>
      </c>
      <c r="K49" s="6">
        <f t="shared" si="3"/>
        <v>1427.8041058379545</v>
      </c>
      <c r="L49" s="4" t="s">
        <v>109</v>
      </c>
      <c r="M49" s="2" t="s">
        <v>1624</v>
      </c>
      <c r="N49" s="4" t="s">
        <v>1625</v>
      </c>
      <c r="O49" s="4" t="s">
        <v>16</v>
      </c>
      <c r="Q49" s="2" t="s">
        <v>10</v>
      </c>
      <c r="R49" s="2" t="s">
        <v>10</v>
      </c>
      <c r="S49" s="4" t="s">
        <v>103</v>
      </c>
      <c r="T49" s="2" t="s">
        <v>104</v>
      </c>
    </row>
    <row r="50" spans="1:22" x14ac:dyDescent="0.2">
      <c r="A50" s="270" t="s">
        <v>15</v>
      </c>
      <c r="B50" s="2" t="s">
        <v>1</v>
      </c>
      <c r="C50" s="164">
        <v>46195</v>
      </c>
      <c r="D50" s="164">
        <v>46225</v>
      </c>
      <c r="E50" s="166">
        <v>46234</v>
      </c>
      <c r="F50" s="166">
        <v>46195</v>
      </c>
      <c r="G50" s="2" t="s">
        <v>77</v>
      </c>
      <c r="H50" s="271">
        <v>99</v>
      </c>
      <c r="I50" s="271">
        <v>8.91</v>
      </c>
      <c r="J50" s="271">
        <f t="shared" si="4"/>
        <v>107.91</v>
      </c>
      <c r="K50" s="271">
        <v>7444.0042813439704</v>
      </c>
      <c r="L50" s="4" t="s">
        <v>138</v>
      </c>
      <c r="M50" s="2" t="s">
        <v>988</v>
      </c>
      <c r="N50" s="4" t="s">
        <v>248</v>
      </c>
      <c r="O50" s="4" t="s">
        <v>21</v>
      </c>
      <c r="P50" s="4" t="s">
        <v>249</v>
      </c>
      <c r="Q50" s="2" t="s">
        <v>10</v>
      </c>
      <c r="R50" s="2" t="s">
        <v>10</v>
      </c>
      <c r="S50" s="4" t="s">
        <v>103</v>
      </c>
      <c r="T50" s="2" t="s">
        <v>104</v>
      </c>
    </row>
    <row r="51" spans="1:22" x14ac:dyDescent="0.2">
      <c r="A51" s="2" t="s">
        <v>1620</v>
      </c>
      <c r="B51" s="2" t="s">
        <v>1</v>
      </c>
      <c r="C51" s="164">
        <v>46197</v>
      </c>
      <c r="D51" s="164">
        <v>46227</v>
      </c>
      <c r="E51" s="166">
        <v>46234</v>
      </c>
      <c r="F51" s="166"/>
      <c r="G51" s="2" t="s">
        <v>77</v>
      </c>
      <c r="H51" s="271">
        <v>15000</v>
      </c>
      <c r="I51" s="271">
        <v>1350</v>
      </c>
      <c r="J51" s="271">
        <f t="shared" si="4"/>
        <v>16350</v>
      </c>
      <c r="K51" s="6">
        <f t="shared" ref="K51" si="5">IF(G51="SGD", J51*$K$1, J51)</f>
        <v>12591.544253448268</v>
      </c>
      <c r="L51" s="4" t="s">
        <v>109</v>
      </c>
      <c r="M51" s="2" t="s">
        <v>1626</v>
      </c>
      <c r="N51" s="4" t="s">
        <v>1627</v>
      </c>
      <c r="O51" s="4" t="s">
        <v>1628</v>
      </c>
      <c r="P51" s="4" t="s">
        <v>1629</v>
      </c>
      <c r="Q51" s="2" t="s">
        <v>10</v>
      </c>
      <c r="R51" s="2" t="s">
        <v>10</v>
      </c>
      <c r="S51" s="4" t="s">
        <v>103</v>
      </c>
      <c r="T51" s="2" t="s">
        <v>104</v>
      </c>
    </row>
    <row r="52" spans="1:22" x14ac:dyDescent="0.2">
      <c r="A52" s="2" t="s">
        <v>1620</v>
      </c>
      <c r="B52" s="2" t="s">
        <v>1</v>
      </c>
      <c r="C52" s="166">
        <v>46198</v>
      </c>
      <c r="D52" s="166">
        <v>46228</v>
      </c>
      <c r="E52" s="166">
        <v>46234</v>
      </c>
      <c r="F52" s="166"/>
      <c r="G52" s="2" t="s">
        <v>4</v>
      </c>
      <c r="H52" s="271">
        <v>1000</v>
      </c>
      <c r="I52" s="271">
        <v>90</v>
      </c>
      <c r="J52" s="271">
        <v>1090</v>
      </c>
      <c r="K52" s="271">
        <v>1090</v>
      </c>
      <c r="L52" s="4" t="s">
        <v>145</v>
      </c>
      <c r="M52" s="2" t="s">
        <v>1630</v>
      </c>
      <c r="N52" s="4" t="s">
        <v>266</v>
      </c>
      <c r="O52" s="4" t="s">
        <v>18</v>
      </c>
      <c r="P52" s="4" t="s">
        <v>267</v>
      </c>
      <c r="Q52" s="2" t="s">
        <v>10</v>
      </c>
      <c r="R52" s="2" t="s">
        <v>10</v>
      </c>
      <c r="S52" s="4" t="s">
        <v>103</v>
      </c>
      <c r="T52" s="2" t="s">
        <v>104</v>
      </c>
    </row>
    <row r="53" spans="1:22" x14ac:dyDescent="0.2">
      <c r="A53" s="274" t="s">
        <v>28</v>
      </c>
      <c r="B53" s="2" t="s">
        <v>1</v>
      </c>
      <c r="C53" s="164">
        <v>46204</v>
      </c>
      <c r="D53" s="164">
        <v>46235</v>
      </c>
      <c r="E53" s="166">
        <v>46265</v>
      </c>
      <c r="F53" s="164"/>
      <c r="G53" s="2" t="s">
        <v>77</v>
      </c>
      <c r="H53" s="271">
        <v>18900</v>
      </c>
      <c r="I53" s="271">
        <v>1701</v>
      </c>
      <c r="J53" s="6">
        <f t="shared" ref="J53:J87" si="6">H53+I53</f>
        <v>20601</v>
      </c>
      <c r="K53" s="6">
        <f t="shared" ref="K53:K87" si="7">IF(G53="SGD", J53*$K$1, J53)</f>
        <v>15865.345759344818</v>
      </c>
      <c r="L53" s="4" t="s">
        <v>109</v>
      </c>
      <c r="M53" s="2" t="s">
        <v>221</v>
      </c>
      <c r="N53" s="4" t="s">
        <v>227</v>
      </c>
      <c r="O53" s="4" t="s">
        <v>16</v>
      </c>
      <c r="P53" s="4" t="s">
        <v>228</v>
      </c>
    </row>
    <row r="54" spans="1:22" x14ac:dyDescent="0.2">
      <c r="A54" s="274" t="s">
        <v>28</v>
      </c>
      <c r="B54" s="2" t="s">
        <v>1</v>
      </c>
      <c r="C54" s="166">
        <v>46235</v>
      </c>
      <c r="D54" s="166">
        <v>46266</v>
      </c>
      <c r="E54" s="166">
        <v>46295</v>
      </c>
      <c r="F54" s="166"/>
      <c r="G54" s="2" t="s">
        <v>77</v>
      </c>
      <c r="H54" s="271">
        <v>18900</v>
      </c>
      <c r="I54" s="271">
        <v>1701</v>
      </c>
      <c r="J54" s="6">
        <f t="shared" si="6"/>
        <v>20601</v>
      </c>
      <c r="K54" s="6">
        <f t="shared" si="7"/>
        <v>15865.345759344818</v>
      </c>
      <c r="L54" s="4" t="s">
        <v>109</v>
      </c>
      <c r="M54" s="2" t="s">
        <v>221</v>
      </c>
      <c r="N54" s="4" t="s">
        <v>229</v>
      </c>
      <c r="O54" s="4" t="s">
        <v>16</v>
      </c>
      <c r="P54" s="4" t="s">
        <v>230</v>
      </c>
    </row>
    <row r="55" spans="1:22" s="168" customFormat="1" x14ac:dyDescent="0.2">
      <c r="A55" s="274" t="s">
        <v>28</v>
      </c>
      <c r="B55" s="2" t="s">
        <v>1</v>
      </c>
      <c r="C55" s="166">
        <v>46235</v>
      </c>
      <c r="D55" s="166">
        <v>46266</v>
      </c>
      <c r="E55" s="166">
        <v>46295</v>
      </c>
      <c r="F55" s="166"/>
      <c r="G55" s="2" t="s">
        <v>77</v>
      </c>
      <c r="H55" s="271">
        <v>14318.08</v>
      </c>
      <c r="I55" s="271">
        <v>1288.6271999999999</v>
      </c>
      <c r="J55" s="6">
        <f t="shared" si="6"/>
        <v>15606.707200000001</v>
      </c>
      <c r="K55" s="6">
        <f t="shared" si="7"/>
        <v>12019.11586296084</v>
      </c>
      <c r="L55" s="4" t="s">
        <v>109</v>
      </c>
      <c r="M55" s="2" t="s">
        <v>221</v>
      </c>
      <c r="N55" s="4" t="s">
        <v>231</v>
      </c>
      <c r="O55" s="4" t="s">
        <v>16</v>
      </c>
      <c r="P55" s="4" t="s">
        <v>232</v>
      </c>
      <c r="Q55" s="2"/>
      <c r="R55" s="2"/>
      <c r="S55" s="4"/>
      <c r="T55" s="2"/>
      <c r="U55" s="4"/>
      <c r="V55" s="4"/>
    </row>
    <row r="56" spans="1:22" x14ac:dyDescent="0.2">
      <c r="A56" s="274" t="s">
        <v>28</v>
      </c>
      <c r="B56" s="2" t="s">
        <v>1</v>
      </c>
      <c r="C56" s="164">
        <v>46266</v>
      </c>
      <c r="D56" s="164">
        <v>46296</v>
      </c>
      <c r="E56" s="166">
        <v>46325</v>
      </c>
      <c r="F56" s="164"/>
      <c r="G56" s="2" t="s">
        <v>77</v>
      </c>
      <c r="H56" s="271">
        <v>8225.2800000000007</v>
      </c>
      <c r="I56" s="271">
        <v>740.27520000000004</v>
      </c>
      <c r="J56" s="6">
        <f t="shared" si="6"/>
        <v>8965.5552000000007</v>
      </c>
      <c r="K56" s="6">
        <f t="shared" si="7"/>
        <v>6904.5984744668658</v>
      </c>
      <c r="L56" s="4" t="s">
        <v>109</v>
      </c>
      <c r="M56" s="2" t="s">
        <v>221</v>
      </c>
      <c r="N56" s="4" t="s">
        <v>233</v>
      </c>
      <c r="O56" s="4" t="s">
        <v>16</v>
      </c>
      <c r="P56" s="4" t="s">
        <v>234</v>
      </c>
    </row>
    <row r="57" spans="1:22" x14ac:dyDescent="0.2">
      <c r="A57" s="274" t="s">
        <v>28</v>
      </c>
      <c r="B57" s="2" t="s">
        <v>1</v>
      </c>
      <c r="C57" s="166">
        <v>46296</v>
      </c>
      <c r="D57" s="166">
        <v>46327</v>
      </c>
      <c r="E57" s="166">
        <v>46356</v>
      </c>
      <c r="F57" s="166"/>
      <c r="G57" s="2" t="s">
        <v>77</v>
      </c>
      <c r="H57" s="271">
        <v>46400</v>
      </c>
      <c r="I57" s="271">
        <v>4176</v>
      </c>
      <c r="J57" s="6">
        <f t="shared" si="6"/>
        <v>50576</v>
      </c>
      <c r="K57" s="6">
        <f t="shared" si="7"/>
        <v>38949.843557333312</v>
      </c>
      <c r="L57" s="4" t="s">
        <v>109</v>
      </c>
      <c r="M57" s="2" t="s">
        <v>221</v>
      </c>
      <c r="N57" s="4" t="s">
        <v>235</v>
      </c>
      <c r="O57" s="4" t="s">
        <v>16</v>
      </c>
      <c r="P57" s="4" t="s">
        <v>236</v>
      </c>
    </row>
    <row r="58" spans="1:22" x14ac:dyDescent="0.2">
      <c r="A58" s="274" t="s">
        <v>28</v>
      </c>
      <c r="B58" s="2" t="s">
        <v>1</v>
      </c>
      <c r="C58" s="164">
        <v>46332</v>
      </c>
      <c r="D58" s="164">
        <v>46362</v>
      </c>
      <c r="E58" s="166">
        <v>46387</v>
      </c>
      <c r="F58" s="164"/>
      <c r="G58" s="2" t="s">
        <v>77</v>
      </c>
      <c r="H58" s="271">
        <v>18800</v>
      </c>
      <c r="I58" s="271">
        <v>1692</v>
      </c>
      <c r="J58" s="6">
        <f t="shared" si="6"/>
        <v>20492</v>
      </c>
      <c r="K58" s="6">
        <f t="shared" si="7"/>
        <v>15781.402130988497</v>
      </c>
      <c r="L58" s="4" t="s">
        <v>109</v>
      </c>
      <c r="M58" s="2" t="s">
        <v>221</v>
      </c>
      <c r="N58" s="4" t="s">
        <v>237</v>
      </c>
      <c r="O58" s="4" t="s">
        <v>16</v>
      </c>
      <c r="P58" s="4" t="s">
        <v>238</v>
      </c>
    </row>
    <row r="59" spans="1:22" x14ac:dyDescent="0.2">
      <c r="A59" s="274" t="s">
        <v>28</v>
      </c>
      <c r="B59" s="2" t="s">
        <v>1</v>
      </c>
      <c r="C59" s="164">
        <v>46332</v>
      </c>
      <c r="D59" s="164">
        <v>46362</v>
      </c>
      <c r="E59" s="166">
        <v>46387</v>
      </c>
      <c r="F59" s="164"/>
      <c r="G59" s="2" t="s">
        <v>77</v>
      </c>
      <c r="H59" s="271">
        <v>10800</v>
      </c>
      <c r="I59" s="271">
        <v>972</v>
      </c>
      <c r="J59" s="6">
        <f t="shared" si="6"/>
        <v>11772</v>
      </c>
      <c r="K59" s="6">
        <f t="shared" si="7"/>
        <v>9065.9118624827533</v>
      </c>
      <c r="L59" s="4" t="s">
        <v>109</v>
      </c>
      <c r="M59" s="2" t="s">
        <v>221</v>
      </c>
      <c r="N59" s="4" t="s">
        <v>239</v>
      </c>
      <c r="O59" s="4" t="s">
        <v>16</v>
      </c>
      <c r="P59" s="4" t="s">
        <v>240</v>
      </c>
    </row>
    <row r="60" spans="1:22" x14ac:dyDescent="0.2">
      <c r="A60" s="274" t="s">
        <v>28</v>
      </c>
      <c r="B60" s="2" t="s">
        <v>1</v>
      </c>
      <c r="C60" s="166">
        <v>46341</v>
      </c>
      <c r="D60" s="166">
        <v>46371</v>
      </c>
      <c r="E60" s="166">
        <v>46387</v>
      </c>
      <c r="F60" s="166"/>
      <c r="G60" s="2" t="s">
        <v>77</v>
      </c>
      <c r="H60" s="271">
        <v>18800</v>
      </c>
      <c r="I60" s="271">
        <v>1692</v>
      </c>
      <c r="J60" s="6">
        <f t="shared" si="6"/>
        <v>20492</v>
      </c>
      <c r="K60" s="6">
        <f t="shared" si="7"/>
        <v>15781.402130988497</v>
      </c>
      <c r="L60" s="4" t="s">
        <v>109</v>
      </c>
      <c r="M60" s="2" t="s">
        <v>221</v>
      </c>
      <c r="N60" s="4" t="s">
        <v>241</v>
      </c>
      <c r="O60" s="4" t="s">
        <v>16</v>
      </c>
      <c r="P60" s="4" t="s">
        <v>242</v>
      </c>
    </row>
    <row r="61" spans="1:22" x14ac:dyDescent="0.2">
      <c r="A61" s="274" t="s">
        <v>28</v>
      </c>
      <c r="B61" s="2" t="s">
        <v>1</v>
      </c>
      <c r="C61" s="164">
        <v>46371</v>
      </c>
      <c r="D61" s="164">
        <v>46402</v>
      </c>
      <c r="E61" s="166">
        <v>46418</v>
      </c>
      <c r="F61" s="164"/>
      <c r="G61" s="2" t="s">
        <v>77</v>
      </c>
      <c r="H61" s="271">
        <v>10800</v>
      </c>
      <c r="I61" s="271">
        <v>972</v>
      </c>
      <c r="J61" s="6">
        <f t="shared" si="6"/>
        <v>11772</v>
      </c>
      <c r="K61" s="6">
        <f t="shared" si="7"/>
        <v>9065.9118624827533</v>
      </c>
      <c r="L61" s="4" t="s">
        <v>109</v>
      </c>
      <c r="M61" s="2" t="s">
        <v>221</v>
      </c>
      <c r="N61" s="4" t="s">
        <v>243</v>
      </c>
      <c r="O61" s="4" t="s">
        <v>16</v>
      </c>
      <c r="P61" s="4" t="s">
        <v>244</v>
      </c>
    </row>
    <row r="62" spans="1:22" x14ac:dyDescent="0.2">
      <c r="A62" s="274" t="s">
        <v>28</v>
      </c>
      <c r="B62" s="2" t="s">
        <v>1</v>
      </c>
      <c r="C62" s="164">
        <v>46402</v>
      </c>
      <c r="D62" s="164">
        <v>46433</v>
      </c>
      <c r="E62" s="166">
        <v>46446</v>
      </c>
      <c r="F62" s="164"/>
      <c r="G62" s="2" t="s">
        <v>77</v>
      </c>
      <c r="H62" s="271">
        <v>40000</v>
      </c>
      <c r="I62" s="271">
        <v>3600</v>
      </c>
      <c r="J62" s="6">
        <f t="shared" si="6"/>
        <v>43600</v>
      </c>
      <c r="K62" s="6">
        <f t="shared" si="7"/>
        <v>33577.451342528715</v>
      </c>
      <c r="L62" s="4" t="s">
        <v>109</v>
      </c>
      <c r="M62" s="2" t="s">
        <v>221</v>
      </c>
      <c r="N62" s="4" t="s">
        <v>245</v>
      </c>
      <c r="O62" s="4" t="s">
        <v>16</v>
      </c>
      <c r="P62" s="4" t="s">
        <v>246</v>
      </c>
    </row>
    <row r="63" spans="1:22" x14ac:dyDescent="0.2">
      <c r="A63" s="274" t="s">
        <v>247</v>
      </c>
      <c r="B63" s="2" t="s">
        <v>1</v>
      </c>
      <c r="C63" s="166"/>
      <c r="D63" s="166"/>
      <c r="E63" s="166">
        <v>46234</v>
      </c>
      <c r="F63" s="166"/>
      <c r="G63" s="2" t="s">
        <v>77</v>
      </c>
      <c r="H63" s="271">
        <v>99</v>
      </c>
      <c r="I63" s="271">
        <v>8.91</v>
      </c>
      <c r="J63" s="6">
        <f t="shared" si="6"/>
        <v>107.91</v>
      </c>
      <c r="K63" s="6">
        <f t="shared" si="7"/>
        <v>83.104192072758579</v>
      </c>
      <c r="L63" s="4" t="s">
        <v>138</v>
      </c>
      <c r="M63" s="2" t="s">
        <v>221</v>
      </c>
      <c r="N63" s="4" t="s">
        <v>248</v>
      </c>
      <c r="O63" s="4" t="s">
        <v>21</v>
      </c>
      <c r="P63" s="4" t="s">
        <v>249</v>
      </c>
    </row>
    <row r="64" spans="1:22" s="169" customFormat="1" x14ac:dyDescent="0.2">
      <c r="A64" s="274" t="s">
        <v>247</v>
      </c>
      <c r="B64" s="2" t="s">
        <v>1</v>
      </c>
      <c r="C64" s="166"/>
      <c r="D64" s="166"/>
      <c r="E64" s="166">
        <v>46265</v>
      </c>
      <c r="F64" s="166"/>
      <c r="G64" s="2" t="s">
        <v>77</v>
      </c>
      <c r="H64" s="271">
        <v>99</v>
      </c>
      <c r="I64" s="271">
        <v>8.91</v>
      </c>
      <c r="J64" s="6">
        <f t="shared" si="6"/>
        <v>107.91</v>
      </c>
      <c r="K64" s="6">
        <f t="shared" si="7"/>
        <v>83.104192072758579</v>
      </c>
      <c r="L64" s="4" t="s">
        <v>138</v>
      </c>
      <c r="M64" s="2" t="s">
        <v>221</v>
      </c>
      <c r="N64" s="4" t="s">
        <v>250</v>
      </c>
      <c r="O64" s="4" t="s">
        <v>21</v>
      </c>
      <c r="P64" s="4" t="s">
        <v>251</v>
      </c>
      <c r="Q64" s="2"/>
      <c r="R64" s="2"/>
      <c r="S64" s="4"/>
      <c r="T64" s="2"/>
      <c r="U64" s="4"/>
      <c r="V64" s="4"/>
    </row>
    <row r="65" spans="1:16" x14ac:dyDescent="0.2">
      <c r="A65" s="274" t="s">
        <v>247</v>
      </c>
      <c r="B65" s="2" t="s">
        <v>1</v>
      </c>
      <c r="C65" s="164"/>
      <c r="D65" s="164"/>
      <c r="E65" s="166">
        <v>46295</v>
      </c>
      <c r="F65" s="164"/>
      <c r="G65" s="2" t="s">
        <v>77</v>
      </c>
      <c r="H65" s="271">
        <v>99</v>
      </c>
      <c r="I65" s="271">
        <v>8.91</v>
      </c>
      <c r="J65" s="6">
        <f t="shared" si="6"/>
        <v>107.91</v>
      </c>
      <c r="K65" s="6">
        <f t="shared" si="7"/>
        <v>83.104192072758579</v>
      </c>
      <c r="L65" s="4" t="s">
        <v>138</v>
      </c>
      <c r="M65" s="2" t="s">
        <v>221</v>
      </c>
      <c r="N65" s="4" t="s">
        <v>252</v>
      </c>
      <c r="O65" s="4" t="s">
        <v>21</v>
      </c>
      <c r="P65" s="4" t="s">
        <v>253</v>
      </c>
    </row>
    <row r="66" spans="1:16" x14ac:dyDescent="0.2">
      <c r="A66" s="274" t="s">
        <v>247</v>
      </c>
      <c r="B66" s="2" t="s">
        <v>1</v>
      </c>
      <c r="C66" s="164"/>
      <c r="D66" s="164"/>
      <c r="E66" s="166">
        <v>46265</v>
      </c>
      <c r="F66" s="164"/>
      <c r="G66" s="2" t="s">
        <v>77</v>
      </c>
      <c r="H66" s="271">
        <v>8866.67</v>
      </c>
      <c r="I66" s="271">
        <v>798</v>
      </c>
      <c r="J66" s="6">
        <f t="shared" si="6"/>
        <v>9664.67</v>
      </c>
      <c r="K66" s="6">
        <f t="shared" si="7"/>
        <v>7443.0042813439686</v>
      </c>
      <c r="L66" s="4" t="s">
        <v>105</v>
      </c>
      <c r="M66" s="2" t="s">
        <v>221</v>
      </c>
      <c r="N66" s="4" t="s">
        <v>254</v>
      </c>
      <c r="O66" s="4" t="s">
        <v>22</v>
      </c>
      <c r="P66" s="4" t="s">
        <v>255</v>
      </c>
    </row>
    <row r="67" spans="1:16" x14ac:dyDescent="0.2">
      <c r="A67" s="274" t="s">
        <v>247</v>
      </c>
      <c r="B67" s="2" t="s">
        <v>1</v>
      </c>
      <c r="C67" s="164"/>
      <c r="D67" s="164"/>
      <c r="E67" s="166">
        <v>46295</v>
      </c>
      <c r="F67" s="164"/>
      <c r="G67" s="2" t="s">
        <v>77</v>
      </c>
      <c r="H67" s="271">
        <v>8866.67</v>
      </c>
      <c r="I67" s="271">
        <v>798</v>
      </c>
      <c r="J67" s="6">
        <f t="shared" si="6"/>
        <v>9664.67</v>
      </c>
      <c r="K67" s="6">
        <f t="shared" si="7"/>
        <v>7443.0042813439686</v>
      </c>
      <c r="L67" s="4" t="s">
        <v>105</v>
      </c>
      <c r="M67" s="2" t="s">
        <v>221</v>
      </c>
      <c r="N67" s="4" t="s">
        <v>256</v>
      </c>
      <c r="O67" s="4" t="s">
        <v>22</v>
      </c>
      <c r="P67" s="4" t="s">
        <v>257</v>
      </c>
    </row>
    <row r="68" spans="1:16" x14ac:dyDescent="0.2">
      <c r="A68" s="274" t="s">
        <v>247</v>
      </c>
      <c r="B68" s="2" t="s">
        <v>1</v>
      </c>
      <c r="C68" s="164"/>
      <c r="D68" s="164"/>
      <c r="E68" s="166">
        <v>46326</v>
      </c>
      <c r="F68" s="164"/>
      <c r="G68" s="2" t="s">
        <v>77</v>
      </c>
      <c r="H68" s="271">
        <v>8866.67</v>
      </c>
      <c r="I68" s="271">
        <v>798</v>
      </c>
      <c r="J68" s="6">
        <f t="shared" si="6"/>
        <v>9664.67</v>
      </c>
      <c r="K68" s="6">
        <f t="shared" si="7"/>
        <v>7443.0042813439686</v>
      </c>
      <c r="L68" s="4" t="s">
        <v>105</v>
      </c>
      <c r="M68" s="2" t="s">
        <v>221</v>
      </c>
      <c r="N68" s="4" t="s">
        <v>258</v>
      </c>
      <c r="O68" s="4" t="s">
        <v>22</v>
      </c>
      <c r="P68" s="4" t="s">
        <v>259</v>
      </c>
    </row>
    <row r="69" spans="1:16" x14ac:dyDescent="0.2">
      <c r="A69" s="274" t="s">
        <v>247</v>
      </c>
      <c r="B69" s="2" t="s">
        <v>1</v>
      </c>
      <c r="C69" s="166"/>
      <c r="D69" s="166"/>
      <c r="E69" s="166">
        <v>46356</v>
      </c>
      <c r="F69" s="166"/>
      <c r="G69" s="2" t="s">
        <v>77</v>
      </c>
      <c r="H69" s="271">
        <v>8866.67</v>
      </c>
      <c r="I69" s="271">
        <v>798</v>
      </c>
      <c r="J69" s="6">
        <f t="shared" si="6"/>
        <v>9664.67</v>
      </c>
      <c r="K69" s="6">
        <f t="shared" si="7"/>
        <v>7443.0042813439686</v>
      </c>
      <c r="L69" s="4" t="s">
        <v>105</v>
      </c>
      <c r="M69" s="2" t="s">
        <v>221</v>
      </c>
      <c r="N69" s="4" t="s">
        <v>260</v>
      </c>
      <c r="O69" s="4" t="s">
        <v>22</v>
      </c>
      <c r="P69" s="4" t="s">
        <v>261</v>
      </c>
    </row>
    <row r="70" spans="1:16" x14ac:dyDescent="0.2">
      <c r="A70" s="274" t="s">
        <v>247</v>
      </c>
      <c r="B70" s="2" t="s">
        <v>1</v>
      </c>
      <c r="C70" s="166"/>
      <c r="D70" s="166"/>
      <c r="E70" s="166">
        <v>46387</v>
      </c>
      <c r="F70" s="166"/>
      <c r="G70" s="2" t="s">
        <v>77</v>
      </c>
      <c r="H70" s="271">
        <v>8866.67</v>
      </c>
      <c r="I70" s="271">
        <v>798</v>
      </c>
      <c r="J70" s="6">
        <f t="shared" si="6"/>
        <v>9664.67</v>
      </c>
      <c r="K70" s="6">
        <f t="shared" si="7"/>
        <v>7443.0042813439686</v>
      </c>
      <c r="L70" s="4" t="s">
        <v>105</v>
      </c>
      <c r="M70" s="2" t="s">
        <v>221</v>
      </c>
      <c r="N70" s="4" t="s">
        <v>262</v>
      </c>
      <c r="O70" s="4" t="s">
        <v>22</v>
      </c>
      <c r="P70" s="4" t="s">
        <v>263</v>
      </c>
    </row>
    <row r="71" spans="1:16" x14ac:dyDescent="0.2">
      <c r="A71" s="274" t="s">
        <v>247</v>
      </c>
      <c r="B71" s="2" t="s">
        <v>1</v>
      </c>
      <c r="C71" s="164"/>
      <c r="D71" s="164"/>
      <c r="E71" s="166">
        <v>46418</v>
      </c>
      <c r="F71" s="164"/>
      <c r="G71" s="2" t="s">
        <v>77</v>
      </c>
      <c r="H71" s="271">
        <v>8866.67</v>
      </c>
      <c r="I71" s="271">
        <v>798</v>
      </c>
      <c r="J71" s="6">
        <f t="shared" si="6"/>
        <v>9664.67</v>
      </c>
      <c r="K71" s="6">
        <f t="shared" si="7"/>
        <v>7443.0042813439686</v>
      </c>
      <c r="L71" s="4" t="s">
        <v>105</v>
      </c>
      <c r="M71" s="2" t="s">
        <v>221</v>
      </c>
      <c r="N71" s="4" t="s">
        <v>264</v>
      </c>
      <c r="O71" s="4" t="s">
        <v>22</v>
      </c>
      <c r="P71" s="4" t="s">
        <v>265</v>
      </c>
    </row>
    <row r="72" spans="1:16" x14ac:dyDescent="0.2">
      <c r="A72" s="274" t="s">
        <v>247</v>
      </c>
      <c r="B72" s="2" t="s">
        <v>1</v>
      </c>
      <c r="C72" s="166"/>
      <c r="D72" s="166"/>
      <c r="E72" s="166">
        <v>46265</v>
      </c>
      <c r="F72" s="166"/>
      <c r="G72" s="2" t="s">
        <v>77</v>
      </c>
      <c r="H72" s="271">
        <v>8866.67</v>
      </c>
      <c r="I72" s="271">
        <v>798</v>
      </c>
      <c r="J72" s="6">
        <f t="shared" si="6"/>
        <v>9664.67</v>
      </c>
      <c r="K72" s="6">
        <f t="shared" si="7"/>
        <v>7443.0042813439686</v>
      </c>
      <c r="L72" s="4" t="s">
        <v>105</v>
      </c>
      <c r="M72" s="2" t="s">
        <v>221</v>
      </c>
      <c r="N72" s="4" t="s">
        <v>254</v>
      </c>
      <c r="O72" s="4" t="s">
        <v>23</v>
      </c>
      <c r="P72" s="4" t="s">
        <v>255</v>
      </c>
    </row>
    <row r="73" spans="1:16" x14ac:dyDescent="0.2">
      <c r="A73" s="274" t="s">
        <v>247</v>
      </c>
      <c r="B73" s="2" t="s">
        <v>1</v>
      </c>
      <c r="C73" s="166"/>
      <c r="D73" s="166"/>
      <c r="E73" s="166">
        <v>46295</v>
      </c>
      <c r="F73" s="166"/>
      <c r="G73" s="2" t="s">
        <v>77</v>
      </c>
      <c r="H73" s="271">
        <v>8866.67</v>
      </c>
      <c r="I73" s="271">
        <v>798</v>
      </c>
      <c r="J73" s="6">
        <f t="shared" si="6"/>
        <v>9664.67</v>
      </c>
      <c r="K73" s="6">
        <f t="shared" si="7"/>
        <v>7443.0042813439686</v>
      </c>
      <c r="L73" s="4" t="s">
        <v>105</v>
      </c>
      <c r="M73" s="2" t="s">
        <v>221</v>
      </c>
      <c r="N73" s="4" t="s">
        <v>256</v>
      </c>
      <c r="O73" s="4" t="s">
        <v>23</v>
      </c>
      <c r="P73" s="4" t="s">
        <v>257</v>
      </c>
    </row>
    <row r="74" spans="1:16" x14ac:dyDescent="0.2">
      <c r="A74" s="274" t="s">
        <v>247</v>
      </c>
      <c r="B74" s="2" t="s">
        <v>1</v>
      </c>
      <c r="C74" s="164"/>
      <c r="D74" s="164"/>
      <c r="E74" s="166">
        <v>46326</v>
      </c>
      <c r="F74" s="164"/>
      <c r="G74" s="2" t="s">
        <v>77</v>
      </c>
      <c r="H74" s="271">
        <v>8866.67</v>
      </c>
      <c r="I74" s="271">
        <v>798</v>
      </c>
      <c r="J74" s="6">
        <f t="shared" si="6"/>
        <v>9664.67</v>
      </c>
      <c r="K74" s="6">
        <f t="shared" si="7"/>
        <v>7443.0042813439686</v>
      </c>
      <c r="L74" s="4" t="s">
        <v>105</v>
      </c>
      <c r="M74" s="2" t="s">
        <v>221</v>
      </c>
      <c r="N74" s="4" t="s">
        <v>258</v>
      </c>
      <c r="O74" s="4" t="s">
        <v>23</v>
      </c>
      <c r="P74" s="4" t="s">
        <v>259</v>
      </c>
    </row>
    <row r="75" spans="1:16" x14ac:dyDescent="0.2">
      <c r="A75" s="274" t="s">
        <v>247</v>
      </c>
      <c r="B75" s="2" t="s">
        <v>1</v>
      </c>
      <c r="C75" s="164"/>
      <c r="D75" s="164"/>
      <c r="E75" s="166">
        <v>46356</v>
      </c>
      <c r="F75" s="164"/>
      <c r="G75" s="2" t="s">
        <v>77</v>
      </c>
      <c r="H75" s="271">
        <v>8866.67</v>
      </c>
      <c r="I75" s="271">
        <v>798</v>
      </c>
      <c r="J75" s="6">
        <f t="shared" si="6"/>
        <v>9664.67</v>
      </c>
      <c r="K75" s="6">
        <f t="shared" si="7"/>
        <v>7443.0042813439686</v>
      </c>
      <c r="L75" s="4" t="s">
        <v>105</v>
      </c>
      <c r="M75" s="2" t="s">
        <v>221</v>
      </c>
      <c r="N75" s="4" t="s">
        <v>260</v>
      </c>
      <c r="O75" s="4" t="s">
        <v>23</v>
      </c>
      <c r="P75" s="4" t="s">
        <v>261</v>
      </c>
    </row>
    <row r="76" spans="1:16" x14ac:dyDescent="0.2">
      <c r="A76" s="274" t="s">
        <v>247</v>
      </c>
      <c r="B76" s="2" t="s">
        <v>1</v>
      </c>
      <c r="C76" s="164"/>
      <c r="D76" s="164"/>
      <c r="E76" s="166">
        <v>46387</v>
      </c>
      <c r="F76" s="164"/>
      <c r="G76" s="2" t="s">
        <v>77</v>
      </c>
      <c r="H76" s="271">
        <v>8866.67</v>
      </c>
      <c r="I76" s="271">
        <v>798</v>
      </c>
      <c r="J76" s="6">
        <f t="shared" si="6"/>
        <v>9664.67</v>
      </c>
      <c r="K76" s="6">
        <f t="shared" si="7"/>
        <v>7443.0042813439686</v>
      </c>
      <c r="L76" s="4" t="s">
        <v>105</v>
      </c>
      <c r="M76" s="2" t="s">
        <v>221</v>
      </c>
      <c r="N76" s="4" t="s">
        <v>262</v>
      </c>
      <c r="O76" s="4" t="s">
        <v>23</v>
      </c>
      <c r="P76" s="4" t="s">
        <v>263</v>
      </c>
    </row>
    <row r="77" spans="1:16" x14ac:dyDescent="0.2">
      <c r="A77" s="274" t="s">
        <v>247</v>
      </c>
      <c r="B77" s="2" t="s">
        <v>1</v>
      </c>
      <c r="C77" s="166"/>
      <c r="D77" s="166"/>
      <c r="E77" s="166">
        <v>46418</v>
      </c>
      <c r="F77" s="166"/>
      <c r="G77" s="2" t="s">
        <v>77</v>
      </c>
      <c r="H77" s="271">
        <v>8866.67</v>
      </c>
      <c r="I77" s="271">
        <v>798</v>
      </c>
      <c r="J77" s="6">
        <f t="shared" si="6"/>
        <v>9664.67</v>
      </c>
      <c r="K77" s="6">
        <f t="shared" si="7"/>
        <v>7443.0042813439686</v>
      </c>
      <c r="L77" s="4" t="s">
        <v>105</v>
      </c>
      <c r="M77" s="2" t="s">
        <v>221</v>
      </c>
      <c r="N77" s="4" t="s">
        <v>264</v>
      </c>
      <c r="O77" s="4" t="s">
        <v>23</v>
      </c>
      <c r="P77" s="4" t="s">
        <v>265</v>
      </c>
    </row>
    <row r="78" spans="1:16" x14ac:dyDescent="0.2">
      <c r="A78" s="274" t="s">
        <v>247</v>
      </c>
      <c r="B78" s="2" t="s">
        <v>1</v>
      </c>
      <c r="C78" s="166"/>
      <c r="D78" s="166"/>
      <c r="E78" s="166">
        <v>46234</v>
      </c>
      <c r="F78" s="166"/>
      <c r="G78" s="2" t="s">
        <v>4</v>
      </c>
      <c r="H78" s="271">
        <v>1000</v>
      </c>
      <c r="I78" s="271">
        <v>90</v>
      </c>
      <c r="J78" s="6">
        <f t="shared" si="6"/>
        <v>1090</v>
      </c>
      <c r="K78" s="6">
        <f t="shared" si="7"/>
        <v>1090</v>
      </c>
      <c r="L78" s="4" t="s">
        <v>145</v>
      </c>
      <c r="M78" s="2" t="s">
        <v>221</v>
      </c>
      <c r="N78" s="4" t="s">
        <v>266</v>
      </c>
      <c r="O78" s="4" t="s">
        <v>18</v>
      </c>
      <c r="P78" s="4" t="s">
        <v>267</v>
      </c>
    </row>
    <row r="79" spans="1:16" x14ac:dyDescent="0.2">
      <c r="A79" s="274" t="s">
        <v>247</v>
      </c>
      <c r="B79" s="2" t="s">
        <v>1</v>
      </c>
      <c r="C79" s="166"/>
      <c r="D79" s="166"/>
      <c r="E79" s="166">
        <v>46265</v>
      </c>
      <c r="F79" s="166"/>
      <c r="G79" s="2" t="s">
        <v>4</v>
      </c>
      <c r="H79" s="271">
        <v>1000</v>
      </c>
      <c r="I79" s="271">
        <v>90</v>
      </c>
      <c r="J79" s="6">
        <f t="shared" si="6"/>
        <v>1090</v>
      </c>
      <c r="K79" s="6">
        <f t="shared" si="7"/>
        <v>1090</v>
      </c>
      <c r="L79" s="4" t="s">
        <v>145</v>
      </c>
      <c r="M79" s="2" t="s">
        <v>221</v>
      </c>
      <c r="N79" s="4" t="s">
        <v>268</v>
      </c>
      <c r="O79" s="4" t="s">
        <v>18</v>
      </c>
      <c r="P79" s="4" t="s">
        <v>269</v>
      </c>
    </row>
    <row r="80" spans="1:16" x14ac:dyDescent="0.2">
      <c r="A80" s="274" t="s">
        <v>247</v>
      </c>
      <c r="B80" s="2" t="s">
        <v>1</v>
      </c>
      <c r="C80" s="164"/>
      <c r="D80" s="164"/>
      <c r="E80" s="166">
        <v>46295</v>
      </c>
      <c r="F80" s="164"/>
      <c r="G80" s="2" t="s">
        <v>4</v>
      </c>
      <c r="H80" s="271">
        <v>1000</v>
      </c>
      <c r="I80" s="271">
        <v>90</v>
      </c>
      <c r="J80" s="6">
        <f t="shared" si="6"/>
        <v>1090</v>
      </c>
      <c r="K80" s="6">
        <f t="shared" si="7"/>
        <v>1090</v>
      </c>
      <c r="L80" s="4" t="s">
        <v>145</v>
      </c>
      <c r="M80" s="2" t="s">
        <v>221</v>
      </c>
      <c r="N80" s="4" t="s">
        <v>270</v>
      </c>
      <c r="O80" s="4" t="s">
        <v>18</v>
      </c>
      <c r="P80" s="4" t="s">
        <v>271</v>
      </c>
    </row>
    <row r="81" spans="1:21" x14ac:dyDescent="0.2">
      <c r="A81" s="274" t="s">
        <v>247</v>
      </c>
      <c r="B81" s="2" t="s">
        <v>1</v>
      </c>
      <c r="C81" s="164"/>
      <c r="D81" s="164"/>
      <c r="E81" s="166">
        <v>46326</v>
      </c>
      <c r="F81" s="164"/>
      <c r="G81" s="2" t="s">
        <v>4</v>
      </c>
      <c r="H81" s="271">
        <v>1000</v>
      </c>
      <c r="I81" s="271">
        <v>90</v>
      </c>
      <c r="J81" s="6">
        <f t="shared" si="6"/>
        <v>1090</v>
      </c>
      <c r="K81" s="6">
        <f t="shared" si="7"/>
        <v>1090</v>
      </c>
      <c r="L81" s="4" t="s">
        <v>145</v>
      </c>
      <c r="M81" s="2" t="s">
        <v>221</v>
      </c>
      <c r="N81" s="4" t="s">
        <v>272</v>
      </c>
      <c r="O81" s="4" t="s">
        <v>18</v>
      </c>
      <c r="P81" s="4" t="s">
        <v>273</v>
      </c>
    </row>
    <row r="82" spans="1:21" x14ac:dyDescent="0.2">
      <c r="A82" s="274" t="s">
        <v>247</v>
      </c>
      <c r="B82" s="2" t="s">
        <v>1</v>
      </c>
      <c r="C82" s="166"/>
      <c r="D82" s="166"/>
      <c r="E82" s="166">
        <v>46265</v>
      </c>
      <c r="F82" s="166"/>
      <c r="G82" s="2" t="s">
        <v>4</v>
      </c>
      <c r="H82" s="271">
        <v>8978</v>
      </c>
      <c r="I82" s="271">
        <v>808.02</v>
      </c>
      <c r="J82" s="6">
        <f t="shared" si="6"/>
        <v>9786.02</v>
      </c>
      <c r="K82" s="6">
        <f t="shared" si="7"/>
        <v>9786.02</v>
      </c>
      <c r="L82" s="4" t="s">
        <v>99</v>
      </c>
      <c r="M82" s="2" t="s">
        <v>221</v>
      </c>
      <c r="N82" s="4" t="s">
        <v>274</v>
      </c>
      <c r="O82" s="4" t="s">
        <v>39</v>
      </c>
      <c r="P82" s="4" t="s">
        <v>275</v>
      </c>
    </row>
    <row r="83" spans="1:21" x14ac:dyDescent="0.2">
      <c r="A83" s="274" t="s">
        <v>247</v>
      </c>
      <c r="B83" s="2" t="s">
        <v>1</v>
      </c>
      <c r="C83" s="164"/>
      <c r="D83" s="164"/>
      <c r="E83" s="166">
        <v>46295</v>
      </c>
      <c r="F83" s="164"/>
      <c r="G83" s="2" t="s">
        <v>4</v>
      </c>
      <c r="H83" s="271">
        <v>8978</v>
      </c>
      <c r="I83" s="271">
        <v>808.02</v>
      </c>
      <c r="J83" s="6">
        <f t="shared" si="6"/>
        <v>9786.02</v>
      </c>
      <c r="K83" s="6">
        <f t="shared" si="7"/>
        <v>9786.02</v>
      </c>
      <c r="L83" s="4" t="s">
        <v>99</v>
      </c>
      <c r="M83" s="2" t="s">
        <v>221</v>
      </c>
      <c r="N83" s="4" t="s">
        <v>276</v>
      </c>
      <c r="O83" s="4" t="s">
        <v>39</v>
      </c>
      <c r="P83" s="4" t="s">
        <v>277</v>
      </c>
    </row>
    <row r="84" spans="1:21" x14ac:dyDescent="0.2">
      <c r="A84" s="274" t="s">
        <v>247</v>
      </c>
      <c r="B84" s="2" t="s">
        <v>1</v>
      </c>
      <c r="C84" s="164"/>
      <c r="D84" s="164"/>
      <c r="E84" s="166">
        <v>46326</v>
      </c>
      <c r="F84" s="164"/>
      <c r="G84" s="2" t="s">
        <v>4</v>
      </c>
      <c r="H84" s="271">
        <v>8978</v>
      </c>
      <c r="I84" s="271">
        <v>808.02</v>
      </c>
      <c r="J84" s="6">
        <f t="shared" si="6"/>
        <v>9786.02</v>
      </c>
      <c r="K84" s="6">
        <f t="shared" si="7"/>
        <v>9786.02</v>
      </c>
      <c r="L84" s="4" t="s">
        <v>99</v>
      </c>
      <c r="M84" s="2" t="s">
        <v>221</v>
      </c>
      <c r="N84" s="4" t="s">
        <v>278</v>
      </c>
      <c r="O84" s="4" t="s">
        <v>39</v>
      </c>
      <c r="P84" s="4" t="s">
        <v>279</v>
      </c>
    </row>
    <row r="85" spans="1:21" x14ac:dyDescent="0.2">
      <c r="A85" s="274" t="s">
        <v>247</v>
      </c>
      <c r="B85" s="2" t="s">
        <v>1</v>
      </c>
      <c r="C85" s="164"/>
      <c r="D85" s="164"/>
      <c r="E85" s="166">
        <v>46356</v>
      </c>
      <c r="F85" s="164"/>
      <c r="G85" s="2" t="s">
        <v>4</v>
      </c>
      <c r="H85" s="271">
        <v>8978</v>
      </c>
      <c r="I85" s="271">
        <v>808.02</v>
      </c>
      <c r="J85" s="6">
        <f t="shared" si="6"/>
        <v>9786.02</v>
      </c>
      <c r="K85" s="6">
        <f t="shared" si="7"/>
        <v>9786.02</v>
      </c>
      <c r="L85" s="4" t="s">
        <v>99</v>
      </c>
      <c r="M85" s="2" t="s">
        <v>221</v>
      </c>
      <c r="N85" s="4" t="s">
        <v>280</v>
      </c>
      <c r="O85" s="4" t="s">
        <v>39</v>
      </c>
      <c r="P85" s="4" t="s">
        <v>281</v>
      </c>
    </row>
    <row r="86" spans="1:21" x14ac:dyDescent="0.2">
      <c r="A86" s="274" t="s">
        <v>247</v>
      </c>
      <c r="B86" s="2" t="s">
        <v>1</v>
      </c>
      <c r="C86" s="166"/>
      <c r="D86" s="166"/>
      <c r="E86" s="166">
        <v>46387</v>
      </c>
      <c r="F86" s="166"/>
      <c r="G86" s="2" t="s">
        <v>4</v>
      </c>
      <c r="H86" s="271">
        <v>8978</v>
      </c>
      <c r="I86" s="271">
        <v>808.02</v>
      </c>
      <c r="J86" s="6">
        <f t="shared" si="6"/>
        <v>9786.02</v>
      </c>
      <c r="K86" s="6">
        <f t="shared" si="7"/>
        <v>9786.02</v>
      </c>
      <c r="L86" s="4" t="s">
        <v>99</v>
      </c>
      <c r="M86" s="2" t="s">
        <v>221</v>
      </c>
      <c r="N86" s="4" t="s">
        <v>282</v>
      </c>
      <c r="O86" s="4" t="s">
        <v>39</v>
      </c>
      <c r="P86" s="4" t="s">
        <v>283</v>
      </c>
    </row>
    <row r="87" spans="1:21" x14ac:dyDescent="0.2">
      <c r="A87" s="274" t="s">
        <v>247</v>
      </c>
      <c r="B87" s="2" t="s">
        <v>1</v>
      </c>
      <c r="C87" s="166"/>
      <c r="D87" s="166"/>
      <c r="E87" s="166">
        <v>46418</v>
      </c>
      <c r="F87" s="166"/>
      <c r="G87" s="2" t="s">
        <v>4</v>
      </c>
      <c r="H87" s="271">
        <v>8978</v>
      </c>
      <c r="I87" s="271">
        <v>808.02</v>
      </c>
      <c r="J87" s="6">
        <f t="shared" si="6"/>
        <v>9786.02</v>
      </c>
      <c r="K87" s="6">
        <f t="shared" si="7"/>
        <v>9786.02</v>
      </c>
      <c r="L87" s="4" t="s">
        <v>99</v>
      </c>
      <c r="M87" s="2" t="s">
        <v>221</v>
      </c>
      <c r="N87" s="4" t="s">
        <v>284</v>
      </c>
      <c r="O87" s="4" t="s">
        <v>39</v>
      </c>
      <c r="P87" s="4" t="s">
        <v>285</v>
      </c>
    </row>
    <row r="88" spans="1:21" s="165" customFormat="1" x14ac:dyDescent="0.2">
      <c r="A88" s="270" t="s">
        <v>15</v>
      </c>
      <c r="B88" s="2" t="s">
        <v>2</v>
      </c>
      <c r="C88" s="164">
        <v>46000</v>
      </c>
      <c r="D88" s="164">
        <v>46090</v>
      </c>
      <c r="E88" s="166">
        <v>46142</v>
      </c>
      <c r="F88" s="164">
        <v>46135</v>
      </c>
      <c r="G88" s="2" t="s">
        <v>82</v>
      </c>
      <c r="H88" s="271">
        <v>197700</v>
      </c>
      <c r="I88" s="271">
        <v>15816</v>
      </c>
      <c r="J88" s="6">
        <f t="shared" ref="J88" si="8">H88+I88</f>
        <v>213516</v>
      </c>
      <c r="K88" s="6">
        <v>51666.386472839476</v>
      </c>
      <c r="L88" s="4" t="s">
        <v>287</v>
      </c>
      <c r="M88" s="2" t="s">
        <v>288</v>
      </c>
      <c r="N88" s="4" t="s">
        <v>289</v>
      </c>
      <c r="O88" s="4" t="s">
        <v>290</v>
      </c>
      <c r="P88" s="4" t="s">
        <v>291</v>
      </c>
      <c r="Q88" s="2" t="s">
        <v>10</v>
      </c>
      <c r="R88" s="2" t="s">
        <v>10</v>
      </c>
      <c r="S88" s="135" t="s">
        <v>103</v>
      </c>
      <c r="T88" s="2" t="s">
        <v>104</v>
      </c>
      <c r="U88" s="2"/>
    </row>
    <row r="89" spans="1:21" x14ac:dyDescent="0.2">
      <c r="A89" s="270" t="s">
        <v>15</v>
      </c>
      <c r="B89" s="2" t="s">
        <v>2</v>
      </c>
      <c r="C89" s="164">
        <v>46008</v>
      </c>
      <c r="D89" s="164">
        <v>46038</v>
      </c>
      <c r="E89" s="166">
        <v>46081</v>
      </c>
      <c r="F89" s="164">
        <v>46066</v>
      </c>
      <c r="G89" s="2" t="s">
        <v>82</v>
      </c>
      <c r="H89" s="271">
        <v>1876020</v>
      </c>
      <c r="I89" s="271">
        <v>7200</v>
      </c>
      <c r="J89" s="6">
        <f>H89+I89</f>
        <v>1883220</v>
      </c>
      <c r="K89" s="6">
        <v>455699.67746389384</v>
      </c>
      <c r="L89" s="4" t="s">
        <v>292</v>
      </c>
      <c r="M89" s="2" t="s">
        <v>100</v>
      </c>
      <c r="N89" s="4" t="s">
        <v>293</v>
      </c>
      <c r="O89" s="4" t="s">
        <v>31</v>
      </c>
      <c r="P89" s="4" t="s">
        <v>294</v>
      </c>
      <c r="Q89" s="2" t="s">
        <v>10</v>
      </c>
      <c r="R89" s="2" t="s">
        <v>10</v>
      </c>
      <c r="S89" s="135" t="s">
        <v>103</v>
      </c>
      <c r="T89" s="2" t="s">
        <v>104</v>
      </c>
      <c r="U89" s="2"/>
    </row>
    <row r="90" spans="1:21" x14ac:dyDescent="0.2">
      <c r="A90" s="270" t="s">
        <v>15</v>
      </c>
      <c r="B90" s="2" t="s">
        <v>2</v>
      </c>
      <c r="C90" s="164">
        <v>46057</v>
      </c>
      <c r="D90" s="164">
        <v>46087</v>
      </c>
      <c r="E90" s="166">
        <v>46112</v>
      </c>
      <c r="F90" s="164">
        <v>46094</v>
      </c>
      <c r="G90" s="2" t="s">
        <v>82</v>
      </c>
      <c r="H90" s="271">
        <v>32000</v>
      </c>
      <c r="I90" s="271">
        <v>0</v>
      </c>
      <c r="J90" s="6">
        <f t="shared" ref="J90:J94" si="9">H90+I90</f>
        <v>32000</v>
      </c>
      <c r="K90" s="6">
        <v>7743.3277465429437</v>
      </c>
      <c r="L90" s="4" t="s">
        <v>292</v>
      </c>
      <c r="M90" s="2" t="s">
        <v>295</v>
      </c>
      <c r="N90" s="4" t="s">
        <v>296</v>
      </c>
      <c r="O90" s="4" t="s">
        <v>297</v>
      </c>
      <c r="P90" s="4" t="s">
        <v>298</v>
      </c>
      <c r="Q90" s="2" t="s">
        <v>10</v>
      </c>
      <c r="R90" s="2" t="s">
        <v>10</v>
      </c>
      <c r="S90" s="135" t="s">
        <v>103</v>
      </c>
      <c r="T90" s="2" t="s">
        <v>113</v>
      </c>
      <c r="U90" s="2"/>
    </row>
    <row r="91" spans="1:21" x14ac:dyDescent="0.2">
      <c r="A91" s="2" t="s">
        <v>8</v>
      </c>
      <c r="B91" s="2" t="s">
        <v>2</v>
      </c>
      <c r="C91" s="166">
        <v>46147</v>
      </c>
      <c r="D91" s="166">
        <v>46238</v>
      </c>
      <c r="E91" s="166">
        <v>46265</v>
      </c>
      <c r="F91" s="166"/>
      <c r="G91" s="2" t="s">
        <v>82</v>
      </c>
      <c r="H91" s="271">
        <v>26000</v>
      </c>
      <c r="I91" s="271">
        <v>2080</v>
      </c>
      <c r="J91" s="6">
        <f t="shared" si="9"/>
        <v>28080</v>
      </c>
      <c r="K91" s="6">
        <v>6794.7700975914331</v>
      </c>
      <c r="L91" s="4" t="s">
        <v>300</v>
      </c>
      <c r="M91" s="2" t="s">
        <v>188</v>
      </c>
      <c r="N91" s="4" t="s">
        <v>301</v>
      </c>
      <c r="O91" s="4" t="s">
        <v>32</v>
      </c>
      <c r="P91" s="4" t="s">
        <v>302</v>
      </c>
    </row>
    <row r="92" spans="1:21" x14ac:dyDescent="0.2">
      <c r="A92" s="2" t="s">
        <v>8</v>
      </c>
      <c r="B92" s="2" t="s">
        <v>2</v>
      </c>
      <c r="C92" s="164">
        <v>46147</v>
      </c>
      <c r="D92" s="164">
        <v>46238</v>
      </c>
      <c r="E92" s="166">
        <v>46265</v>
      </c>
      <c r="F92" s="164"/>
      <c r="G92" s="2" t="s">
        <v>82</v>
      </c>
      <c r="H92" s="271">
        <v>102990</v>
      </c>
      <c r="I92" s="271">
        <v>8239.2000000000007</v>
      </c>
      <c r="J92" s="6">
        <f t="shared" si="9"/>
        <v>111229.2</v>
      </c>
      <c r="K92" s="6">
        <v>26915.129705805448</v>
      </c>
      <c r="L92" s="4" t="s">
        <v>300</v>
      </c>
      <c r="M92" s="2" t="s">
        <v>192</v>
      </c>
      <c r="N92" s="4" t="s">
        <v>303</v>
      </c>
      <c r="O92" s="4" t="s">
        <v>33</v>
      </c>
      <c r="P92" s="4" t="s">
        <v>304</v>
      </c>
    </row>
    <row r="93" spans="1:21" x14ac:dyDescent="0.2">
      <c r="A93" s="270" t="s">
        <v>15</v>
      </c>
      <c r="B93" s="2" t="s">
        <v>2</v>
      </c>
      <c r="C93" s="164">
        <v>46149</v>
      </c>
      <c r="D93" s="164">
        <v>46179</v>
      </c>
      <c r="E93" s="166">
        <v>46173</v>
      </c>
      <c r="F93" s="164">
        <v>46171</v>
      </c>
      <c r="G93" s="2" t="s">
        <v>82</v>
      </c>
      <c r="H93" s="271">
        <v>4000</v>
      </c>
      <c r="I93" s="271">
        <v>0</v>
      </c>
      <c r="J93" s="6">
        <f t="shared" si="9"/>
        <v>4000</v>
      </c>
      <c r="K93" s="6">
        <v>967.91596831786796</v>
      </c>
      <c r="L93" s="4" t="s">
        <v>292</v>
      </c>
      <c r="M93" s="2" t="s">
        <v>195</v>
      </c>
      <c r="N93" s="4" t="s">
        <v>305</v>
      </c>
      <c r="O93" s="4" t="s">
        <v>306</v>
      </c>
      <c r="P93" s="4" t="s">
        <v>307</v>
      </c>
      <c r="S93" s="135"/>
      <c r="U93" s="2"/>
    </row>
    <row r="94" spans="1:21" x14ac:dyDescent="0.2">
      <c r="A94" s="2" t="s">
        <v>8</v>
      </c>
      <c r="B94" s="2" t="s">
        <v>2</v>
      </c>
      <c r="C94" s="164">
        <v>46164</v>
      </c>
      <c r="D94" s="164">
        <v>46254</v>
      </c>
      <c r="E94" s="166">
        <v>46264</v>
      </c>
      <c r="F94" s="164"/>
      <c r="G94" s="2" t="s">
        <v>82</v>
      </c>
      <c r="H94" s="271">
        <v>241470</v>
      </c>
      <c r="I94" s="271">
        <v>19317.599999999999</v>
      </c>
      <c r="J94" s="6">
        <f t="shared" si="9"/>
        <v>260787.6</v>
      </c>
      <c r="K94" s="6">
        <v>63105.120594823209</v>
      </c>
      <c r="L94" s="4" t="s">
        <v>300</v>
      </c>
      <c r="M94" s="2" t="s">
        <v>198</v>
      </c>
      <c r="N94" s="4" t="s">
        <v>308</v>
      </c>
      <c r="O94" s="4" t="s">
        <v>34</v>
      </c>
      <c r="P94" s="4" t="s">
        <v>309</v>
      </c>
      <c r="Q94" s="2" t="s">
        <v>10</v>
      </c>
      <c r="R94" s="2" t="s">
        <v>10</v>
      </c>
      <c r="T94" s="2" t="s">
        <v>104</v>
      </c>
    </row>
    <row r="95" spans="1:21" x14ac:dyDescent="0.2">
      <c r="A95" s="2" t="s">
        <v>8</v>
      </c>
      <c r="B95" s="2" t="s">
        <v>2</v>
      </c>
      <c r="C95" s="166">
        <v>46171</v>
      </c>
      <c r="D95" s="166">
        <v>46201</v>
      </c>
      <c r="E95" s="166">
        <v>46203</v>
      </c>
      <c r="F95" s="166"/>
      <c r="G95" s="2" t="s">
        <v>82</v>
      </c>
      <c r="H95" s="271">
        <v>313870</v>
      </c>
      <c r="I95" s="271">
        <v>720</v>
      </c>
      <c r="J95" s="6">
        <f>H95+I95</f>
        <v>314590</v>
      </c>
      <c r="K95" s="6">
        <v>76124.171118279526</v>
      </c>
      <c r="L95" s="4" t="s">
        <v>292</v>
      </c>
      <c r="M95" s="2" t="s">
        <v>201</v>
      </c>
      <c r="N95" s="4" t="s">
        <v>310</v>
      </c>
      <c r="O95" s="4" t="s">
        <v>31</v>
      </c>
      <c r="P95" s="4" t="s">
        <v>311</v>
      </c>
      <c r="Q95" s="2" t="s">
        <v>10</v>
      </c>
      <c r="R95" s="2" t="s">
        <v>10</v>
      </c>
      <c r="S95" s="4" t="s">
        <v>103</v>
      </c>
      <c r="T95" s="2" t="s">
        <v>104</v>
      </c>
    </row>
    <row r="96" spans="1:21" x14ac:dyDescent="0.2">
      <c r="A96" s="270" t="s">
        <v>15</v>
      </c>
      <c r="B96" s="2" t="s">
        <v>3</v>
      </c>
      <c r="C96" s="164">
        <v>45985</v>
      </c>
      <c r="D96" s="164">
        <v>45996</v>
      </c>
      <c r="E96" s="164">
        <v>46022</v>
      </c>
      <c r="F96" s="164">
        <v>46002</v>
      </c>
      <c r="G96" s="2" t="s">
        <v>79</v>
      </c>
      <c r="H96" s="6">
        <v>65526.89</v>
      </c>
      <c r="I96" s="6">
        <v>3931.61</v>
      </c>
      <c r="J96" s="6">
        <f t="shared" ref="J96:J100" si="10">H96+I96</f>
        <v>69458.5</v>
      </c>
      <c r="K96" s="6">
        <v>9784.3335677273499</v>
      </c>
      <c r="L96" s="176" t="s">
        <v>313</v>
      </c>
      <c r="M96" s="276" t="s">
        <v>314</v>
      </c>
      <c r="N96" s="176" t="s">
        <v>315</v>
      </c>
      <c r="O96" s="4" t="s">
        <v>316</v>
      </c>
      <c r="Q96" s="2" t="s">
        <v>10</v>
      </c>
      <c r="R96" s="19" t="s">
        <v>10</v>
      </c>
      <c r="S96" s="4" t="s">
        <v>317</v>
      </c>
    </row>
    <row r="97" spans="1:21" x14ac:dyDescent="0.2">
      <c r="A97" s="270" t="s">
        <v>15</v>
      </c>
      <c r="B97" s="2" t="s">
        <v>3</v>
      </c>
      <c r="C97" s="164">
        <v>45985</v>
      </c>
      <c r="D97" s="164">
        <v>45996</v>
      </c>
      <c r="E97" s="164">
        <v>46022</v>
      </c>
      <c r="F97" s="164">
        <v>46002</v>
      </c>
      <c r="G97" s="2" t="s">
        <v>79</v>
      </c>
      <c r="H97" s="6">
        <v>235849.06</v>
      </c>
      <c r="I97" s="6">
        <v>14150.94</v>
      </c>
      <c r="J97" s="6">
        <f t="shared" si="10"/>
        <v>250000</v>
      </c>
      <c r="K97" s="6">
        <v>35216.473029677254</v>
      </c>
      <c r="L97" s="176" t="s">
        <v>313</v>
      </c>
      <c r="M97" s="276" t="s">
        <v>318</v>
      </c>
      <c r="N97" s="176" t="s">
        <v>315</v>
      </c>
      <c r="O97" s="4" t="s">
        <v>316</v>
      </c>
      <c r="Q97" s="2" t="s">
        <v>10</v>
      </c>
      <c r="R97" s="19" t="s">
        <v>10</v>
      </c>
      <c r="S97" s="4" t="s">
        <v>317</v>
      </c>
    </row>
    <row r="98" spans="1:21" x14ac:dyDescent="0.2">
      <c r="A98" s="270" t="s">
        <v>15</v>
      </c>
      <c r="B98" s="2" t="s">
        <v>3</v>
      </c>
      <c r="C98" s="164">
        <v>45985</v>
      </c>
      <c r="D98" s="164">
        <v>45996</v>
      </c>
      <c r="E98" s="164">
        <v>46022</v>
      </c>
      <c r="F98" s="164">
        <v>46002</v>
      </c>
      <c r="G98" s="2" t="s">
        <v>79</v>
      </c>
      <c r="H98" s="6">
        <v>235849.06</v>
      </c>
      <c r="I98" s="6">
        <v>14150.94</v>
      </c>
      <c r="J98" s="6">
        <f t="shared" si="10"/>
        <v>250000</v>
      </c>
      <c r="K98" s="6">
        <v>35216.473029677254</v>
      </c>
      <c r="L98" s="176" t="s">
        <v>313</v>
      </c>
      <c r="M98" s="276" t="s">
        <v>319</v>
      </c>
      <c r="N98" s="176" t="s">
        <v>315</v>
      </c>
      <c r="O98" s="4" t="s">
        <v>316</v>
      </c>
      <c r="Q98" s="2" t="s">
        <v>10</v>
      </c>
      <c r="R98" s="19" t="s">
        <v>10</v>
      </c>
      <c r="S98" s="4" t="s">
        <v>317</v>
      </c>
    </row>
    <row r="99" spans="1:21" x14ac:dyDescent="0.2">
      <c r="A99" s="270" t="s">
        <v>15</v>
      </c>
      <c r="B99" s="2" t="s">
        <v>3</v>
      </c>
      <c r="C99" s="164">
        <v>46020</v>
      </c>
      <c r="D99" s="164">
        <v>46034</v>
      </c>
      <c r="E99" s="164">
        <v>46052</v>
      </c>
      <c r="F99" s="164">
        <v>46045</v>
      </c>
      <c r="G99" s="2" t="s">
        <v>79</v>
      </c>
      <c r="H99" s="6">
        <v>537225</v>
      </c>
      <c r="I99" s="6">
        <v>32233.5</v>
      </c>
      <c r="J99" s="6">
        <f t="shared" si="10"/>
        <v>569458.5</v>
      </c>
      <c r="K99" s="6">
        <v>80217.279627081851</v>
      </c>
      <c r="L99" s="176" t="s">
        <v>313</v>
      </c>
      <c r="M99" s="276" t="s">
        <v>320</v>
      </c>
      <c r="N99" s="176" t="s">
        <v>315</v>
      </c>
      <c r="O99" s="4" t="s">
        <v>316</v>
      </c>
      <c r="Q99" s="19" t="s">
        <v>10</v>
      </c>
      <c r="R99" s="19" t="s">
        <v>10</v>
      </c>
      <c r="S99" s="4" t="s">
        <v>317</v>
      </c>
    </row>
    <row r="100" spans="1:21" x14ac:dyDescent="0.2">
      <c r="A100" s="270" t="s">
        <v>15</v>
      </c>
      <c r="B100" s="2" t="s">
        <v>3</v>
      </c>
      <c r="C100" s="164">
        <v>46127</v>
      </c>
      <c r="D100" s="164">
        <v>46142</v>
      </c>
      <c r="E100" s="164">
        <v>46142</v>
      </c>
      <c r="F100" s="164">
        <v>46169</v>
      </c>
      <c r="G100" s="2" t="s">
        <v>79</v>
      </c>
      <c r="H100" s="6">
        <v>9400</v>
      </c>
      <c r="I100" s="6">
        <v>564</v>
      </c>
      <c r="J100" s="6">
        <f t="shared" si="10"/>
        <v>9964</v>
      </c>
      <c r="K100" s="6">
        <v>1403.5877490708165</v>
      </c>
      <c r="L100" s="176" t="s">
        <v>321</v>
      </c>
      <c r="M100" s="276" t="s">
        <v>322</v>
      </c>
      <c r="N100" s="176" t="s">
        <v>323</v>
      </c>
      <c r="O100" s="4" t="s">
        <v>324</v>
      </c>
      <c r="Q100" s="2" t="s">
        <v>10</v>
      </c>
      <c r="R100" s="19" t="s">
        <v>10</v>
      </c>
    </row>
    <row r="101" spans="1:21" x14ac:dyDescent="0.2">
      <c r="A101" s="270" t="s">
        <v>15</v>
      </c>
      <c r="B101" s="2" t="s">
        <v>3</v>
      </c>
      <c r="C101" s="164">
        <v>46167</v>
      </c>
      <c r="D101" s="164">
        <v>46173</v>
      </c>
      <c r="E101" s="164">
        <v>46173</v>
      </c>
      <c r="F101" s="164">
        <v>46169</v>
      </c>
      <c r="G101" s="2" t="s">
        <v>79</v>
      </c>
      <c r="H101" s="271">
        <v>402500</v>
      </c>
      <c r="I101" s="271">
        <v>24150</v>
      </c>
      <c r="J101" s="6">
        <f>H101+I101</f>
        <v>426650</v>
      </c>
      <c r="K101" s="6">
        <v>60100.4328724472</v>
      </c>
      <c r="L101" s="176" t="s">
        <v>313</v>
      </c>
      <c r="M101" s="4"/>
      <c r="N101" s="2"/>
      <c r="O101" s="4" t="s">
        <v>315</v>
      </c>
      <c r="Q101" s="2" t="s">
        <v>10</v>
      </c>
      <c r="R101" s="19" t="s">
        <v>10</v>
      </c>
      <c r="S101" s="2"/>
      <c r="T101" s="4"/>
      <c r="U101" s="2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9EB1FC-CBD2-4BA1-A2CD-37E876A95FE6}">
          <x14:formula1>
            <xm:f>Setting!$D$19:$D$24</xm:f>
          </x14:formula1>
          <xm:sqref>A3:A1048576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529C5-28E4-406D-BBAB-EDC13E0F1BFB}">
  <dimension ref="A1:V4"/>
  <sheetViews>
    <sheetView workbookViewId="0">
      <selection activeCell="L4" sqref="L4"/>
    </sheetView>
  </sheetViews>
  <sheetFormatPr defaultRowHeight="12.75" x14ac:dyDescent="0.2"/>
  <cols>
    <col min="1" max="2" width="9.28515625" bestFit="1" customWidth="1"/>
    <col min="3" max="3" width="12" bestFit="1" customWidth="1"/>
    <col min="4" max="4" width="10.5703125" bestFit="1" customWidth="1"/>
    <col min="5" max="5" width="27" bestFit="1" customWidth="1"/>
    <col min="6" max="6" width="10.28515625" bestFit="1" customWidth="1"/>
    <col min="7" max="7" width="10.42578125" bestFit="1" customWidth="1"/>
    <col min="8" max="8" width="9.28515625" bestFit="1" customWidth="1"/>
    <col min="9" max="9" width="14" bestFit="1" customWidth="1"/>
    <col min="10" max="10" width="14.42578125" bestFit="1" customWidth="1"/>
    <col min="11" max="11" width="9.28515625" bestFit="1" customWidth="1"/>
    <col min="12" max="13" width="16.28515625" bestFit="1" customWidth="1"/>
    <col min="14" max="14" width="15" bestFit="1" customWidth="1"/>
    <col min="15" max="15" width="17.140625" bestFit="1" customWidth="1"/>
    <col min="16" max="16" width="13.42578125" bestFit="1" customWidth="1"/>
    <col min="17" max="17" width="9.28515625" bestFit="1" customWidth="1"/>
    <col min="18" max="18" width="11.7109375" bestFit="1" customWidth="1"/>
    <col min="19" max="19" width="10.28515625" bestFit="1" customWidth="1"/>
    <col min="20" max="20" width="14" bestFit="1" customWidth="1"/>
    <col min="21" max="21" width="10" bestFit="1" customWidth="1"/>
    <col min="22" max="22" width="14.140625" bestFit="1" customWidth="1"/>
  </cols>
  <sheetData>
    <row r="1" spans="1:22" x14ac:dyDescent="0.2">
      <c r="A1" s="69" t="s">
        <v>1878</v>
      </c>
    </row>
    <row r="3" spans="1:22" x14ac:dyDescent="0.2">
      <c r="A3" t="s">
        <v>87</v>
      </c>
      <c r="B3" t="s">
        <v>43</v>
      </c>
      <c r="C3" t="s">
        <v>54</v>
      </c>
      <c r="D3" t="s">
        <v>88</v>
      </c>
      <c r="E3" t="s">
        <v>1866</v>
      </c>
      <c r="F3" t="s">
        <v>70</v>
      </c>
      <c r="G3" t="s">
        <v>90</v>
      </c>
      <c r="H3" t="s">
        <v>91</v>
      </c>
      <c r="I3" t="s">
        <v>92</v>
      </c>
      <c r="J3" t="s">
        <v>72</v>
      </c>
      <c r="K3" t="s">
        <v>325</v>
      </c>
      <c r="L3" t="s">
        <v>94</v>
      </c>
      <c r="M3" t="s">
        <v>95</v>
      </c>
      <c r="N3" t="s">
        <v>53</v>
      </c>
      <c r="O3" t="s">
        <v>64</v>
      </c>
      <c r="P3" t="s">
        <v>67</v>
      </c>
      <c r="Q3" t="s">
        <v>44</v>
      </c>
      <c r="R3" t="s">
        <v>326</v>
      </c>
      <c r="S3" t="s">
        <v>327</v>
      </c>
      <c r="T3" t="s">
        <v>328</v>
      </c>
      <c r="U3" t="s">
        <v>98</v>
      </c>
      <c r="V3" t="s">
        <v>329</v>
      </c>
    </row>
    <row r="4" spans="1:22" x14ac:dyDescent="0.2">
      <c r="A4" t="s">
        <v>15</v>
      </c>
      <c r="B4" t="s">
        <v>2</v>
      </c>
      <c r="C4" s="38">
        <v>46173</v>
      </c>
      <c r="D4" s="38">
        <v>46173</v>
      </c>
      <c r="E4" s="38">
        <v>46171</v>
      </c>
      <c r="F4" t="s">
        <v>82</v>
      </c>
      <c r="J4">
        <v>15742.95</v>
      </c>
      <c r="K4" t="s">
        <v>1803</v>
      </c>
      <c r="L4" t="s">
        <v>443</v>
      </c>
      <c r="M4" t="s">
        <v>443</v>
      </c>
      <c r="N4" t="s">
        <v>387</v>
      </c>
      <c r="O4" t="s">
        <v>47</v>
      </c>
      <c r="P4" t="s">
        <v>1841</v>
      </c>
      <c r="Q4" t="s">
        <v>1844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B717-D950-4CAE-BA6E-ECF5B4986DA0}">
  <sheetPr>
    <tabColor rgb="FFE36D6D"/>
  </sheetPr>
  <dimension ref="A1:I1024"/>
  <sheetViews>
    <sheetView topLeftCell="A73" workbookViewId="0">
      <selection activeCell="C94" sqref="C94"/>
    </sheetView>
  </sheetViews>
  <sheetFormatPr defaultRowHeight="12.75" x14ac:dyDescent="0.2"/>
  <cols>
    <col min="1" max="1" width="44.140625" bestFit="1" customWidth="1"/>
    <col min="2" max="2" width="16" style="37" bestFit="1" customWidth="1"/>
    <col min="3" max="9" width="12" bestFit="1" customWidth="1"/>
  </cols>
  <sheetData>
    <row r="1" spans="1:9" x14ac:dyDescent="0.2">
      <c r="A1" s="64" t="s">
        <v>87</v>
      </c>
      <c r="B1" t="s">
        <v>15</v>
      </c>
    </row>
    <row r="2" spans="1:9" x14ac:dyDescent="0.2">
      <c r="A2" s="64" t="s">
        <v>72</v>
      </c>
      <c r="B2" t="s">
        <v>1869</v>
      </c>
    </row>
    <row r="4" spans="1:9" x14ac:dyDescent="0.2">
      <c r="A4" s="64" t="s">
        <v>11</v>
      </c>
      <c r="B4" s="64" t="s">
        <v>40</v>
      </c>
    </row>
    <row r="5" spans="1:9" x14ac:dyDescent="0.2">
      <c r="B5" t="s">
        <v>7</v>
      </c>
      <c r="H5" t="s">
        <v>1877</v>
      </c>
      <c r="I5" t="s">
        <v>19</v>
      </c>
    </row>
    <row r="6" spans="1:9" x14ac:dyDescent="0.2">
      <c r="A6" s="64" t="s">
        <v>65</v>
      </c>
      <c r="B6" t="s">
        <v>9</v>
      </c>
      <c r="C6" t="s">
        <v>26</v>
      </c>
      <c r="D6" t="s">
        <v>27</v>
      </c>
      <c r="E6" t="s">
        <v>36</v>
      </c>
      <c r="F6" t="s">
        <v>12</v>
      </c>
      <c r="G6" t="s">
        <v>13</v>
      </c>
    </row>
    <row r="7" spans="1:9" x14ac:dyDescent="0.2">
      <c r="A7" s="65" t="s">
        <v>45</v>
      </c>
      <c r="B7" s="331">
        <v>26646.327115999997</v>
      </c>
      <c r="C7" s="331">
        <v>11781.977261119999</v>
      </c>
      <c r="D7" s="331">
        <v>132634.77235930221</v>
      </c>
      <c r="E7" s="331">
        <v>28722.288568656146</v>
      </c>
      <c r="F7" s="331">
        <v>13277.290592419999</v>
      </c>
      <c r="G7" s="331">
        <v>3505.3274999999999</v>
      </c>
      <c r="H7" s="331">
        <v>216567.98339749832</v>
      </c>
      <c r="I7" s="331">
        <v>216567.98339749832</v>
      </c>
    </row>
    <row r="8" spans="1:9" x14ac:dyDescent="0.2">
      <c r="A8" s="66" t="s">
        <v>1</v>
      </c>
      <c r="B8" s="331">
        <v>20532.759999999998</v>
      </c>
      <c r="C8" s="331">
        <v>5797.04</v>
      </c>
      <c r="D8" s="331">
        <v>78660.74230516734</v>
      </c>
      <c r="E8" s="331">
        <v>22263.5</v>
      </c>
      <c r="F8" s="331">
        <v>5811.79354582</v>
      </c>
      <c r="G8" s="331"/>
      <c r="H8" s="331">
        <v>133065.83585098732</v>
      </c>
      <c r="I8" s="331">
        <v>133065.83585098732</v>
      </c>
    </row>
    <row r="9" spans="1:9" x14ac:dyDescent="0.2">
      <c r="A9" s="87" t="s">
        <v>46</v>
      </c>
      <c r="B9" s="331"/>
      <c r="C9" s="331"/>
      <c r="D9" s="331"/>
      <c r="E9" s="331"/>
      <c r="F9" s="331">
        <v>49.353545820000001</v>
      </c>
      <c r="G9" s="331"/>
      <c r="H9" s="331">
        <v>49.353545820000001</v>
      </c>
      <c r="I9" s="331">
        <v>49.353545820000001</v>
      </c>
    </row>
    <row r="10" spans="1:9" x14ac:dyDescent="0.2">
      <c r="A10" s="86" t="s">
        <v>393</v>
      </c>
      <c r="B10" s="331"/>
      <c r="C10" s="331"/>
      <c r="D10" s="331"/>
      <c r="E10" s="331"/>
      <c r="F10" s="331">
        <v>49.353545820000001</v>
      </c>
      <c r="G10" s="331"/>
      <c r="H10" s="331">
        <v>49.353545820000001</v>
      </c>
      <c r="I10" s="331">
        <v>49.353545820000001</v>
      </c>
    </row>
    <row r="11" spans="1:9" x14ac:dyDescent="0.2">
      <c r="A11" s="87" t="s">
        <v>47</v>
      </c>
      <c r="B11" s="331">
        <v>20532.759999999998</v>
      </c>
      <c r="C11" s="331">
        <v>5797.04</v>
      </c>
      <c r="D11" s="331">
        <v>37639.17</v>
      </c>
      <c r="E11" s="331">
        <v>22263.5</v>
      </c>
      <c r="F11" s="331">
        <v>5762.4400000000005</v>
      </c>
      <c r="G11" s="331"/>
      <c r="H11" s="331">
        <v>91994.909999999989</v>
      </c>
      <c r="I11" s="331">
        <v>91994.909999999989</v>
      </c>
    </row>
    <row r="12" spans="1:9" x14ac:dyDescent="0.2">
      <c r="A12" s="86" t="s">
        <v>387</v>
      </c>
      <c r="B12" s="331">
        <v>20532.759999999998</v>
      </c>
      <c r="C12" s="331">
        <v>3053.23</v>
      </c>
      <c r="D12" s="331">
        <v>37329.25</v>
      </c>
      <c r="E12" s="331">
        <v>16700.13</v>
      </c>
      <c r="F12" s="331">
        <v>5.43</v>
      </c>
      <c r="G12" s="331"/>
      <c r="H12" s="331">
        <v>77620.799999999988</v>
      </c>
      <c r="I12" s="331">
        <v>77620.799999999988</v>
      </c>
    </row>
    <row r="13" spans="1:9" x14ac:dyDescent="0.2">
      <c r="A13" s="86" t="s">
        <v>364</v>
      </c>
      <c r="B13" s="331"/>
      <c r="C13" s="331">
        <v>2743.81</v>
      </c>
      <c r="D13" s="331">
        <v>309.92</v>
      </c>
      <c r="E13" s="331">
        <v>5563.37</v>
      </c>
      <c r="F13" s="331">
        <v>5757.01</v>
      </c>
      <c r="G13" s="331"/>
      <c r="H13" s="331">
        <v>14374.11</v>
      </c>
      <c r="I13" s="331">
        <v>14374.11</v>
      </c>
    </row>
    <row r="14" spans="1:9" x14ac:dyDescent="0.2">
      <c r="A14" s="87" t="s">
        <v>48</v>
      </c>
      <c r="B14" s="331"/>
      <c r="C14" s="331"/>
      <c r="D14" s="331">
        <v>41021.572305167334</v>
      </c>
      <c r="E14" s="331"/>
      <c r="F14" s="331"/>
      <c r="G14" s="331"/>
      <c r="H14" s="331">
        <v>41021.572305167334</v>
      </c>
      <c r="I14" s="331">
        <v>41021.572305167334</v>
      </c>
    </row>
    <row r="15" spans="1:9" x14ac:dyDescent="0.2">
      <c r="A15" s="86" t="s">
        <v>356</v>
      </c>
      <c r="B15" s="331"/>
      <c r="C15" s="331"/>
      <c r="D15" s="331">
        <v>41021.572305167334</v>
      </c>
      <c r="E15" s="331"/>
      <c r="F15" s="331"/>
      <c r="G15" s="331"/>
      <c r="H15" s="331">
        <v>41021.572305167334</v>
      </c>
      <c r="I15" s="331">
        <v>41021.572305167334</v>
      </c>
    </row>
    <row r="16" spans="1:9" x14ac:dyDescent="0.2">
      <c r="A16" s="66" t="s">
        <v>2</v>
      </c>
      <c r="B16" s="331">
        <v>6113.5671159999993</v>
      </c>
      <c r="C16" s="331">
        <v>5984.9372611199997</v>
      </c>
      <c r="D16" s="331">
        <v>53974.030054134877</v>
      </c>
      <c r="E16" s="331">
        <v>6458.7885686561467</v>
      </c>
      <c r="F16" s="331">
        <v>7465.4970465999995</v>
      </c>
      <c r="G16" s="331">
        <v>3505.3274999999999</v>
      </c>
      <c r="H16" s="331">
        <v>83502.147546511012</v>
      </c>
      <c r="I16" s="331">
        <v>83502.147546511012</v>
      </c>
    </row>
    <row r="17" spans="1:9" x14ac:dyDescent="0.2">
      <c r="A17" s="65" t="s">
        <v>62</v>
      </c>
      <c r="B17" s="331">
        <v>322851.76128111477</v>
      </c>
      <c r="C17" s="331">
        <v>275433.4261236008</v>
      </c>
      <c r="D17" s="331">
        <v>238343.25840255187</v>
      </c>
      <c r="E17" s="331">
        <v>129925.27124554092</v>
      </c>
      <c r="F17" s="331">
        <v>264494.87594499451</v>
      </c>
      <c r="G17" s="331">
        <v>1046075846.8087564</v>
      </c>
      <c r="H17" s="331">
        <v>1047306895.4017544</v>
      </c>
      <c r="I17" s="331">
        <v>1047306895.4017544</v>
      </c>
    </row>
    <row r="18" spans="1:9" x14ac:dyDescent="0.2">
      <c r="A18" s="66" t="s">
        <v>1</v>
      </c>
      <c r="B18" s="331">
        <v>145791.39812031479</v>
      </c>
      <c r="C18" s="331">
        <v>53522.870108720716</v>
      </c>
      <c r="D18" s="331">
        <v>206138.88667088639</v>
      </c>
      <c r="E18" s="331">
        <v>112710.01424528239</v>
      </c>
      <c r="F18" s="331">
        <v>242949.16210432284</v>
      </c>
      <c r="G18" s="331">
        <v>1045917854.9002709</v>
      </c>
      <c r="H18" s="331">
        <v>1046678967.2315207</v>
      </c>
      <c r="I18" s="331">
        <v>1046678967.2315207</v>
      </c>
    </row>
    <row r="19" spans="1:9" x14ac:dyDescent="0.2">
      <c r="A19" s="87" t="s">
        <v>447</v>
      </c>
      <c r="B19" s="331"/>
      <c r="C19" s="331"/>
      <c r="D19" s="331"/>
      <c r="E19" s="331"/>
      <c r="F19" s="331">
        <v>19716.608060799997</v>
      </c>
      <c r="G19" s="331"/>
      <c r="H19" s="331">
        <v>19716.608060799997</v>
      </c>
      <c r="I19" s="331">
        <v>19716.608060799997</v>
      </c>
    </row>
    <row r="20" spans="1:9" x14ac:dyDescent="0.2">
      <c r="A20" s="86" t="s">
        <v>447</v>
      </c>
      <c r="B20" s="331"/>
      <c r="C20" s="331"/>
      <c r="D20" s="331"/>
      <c r="E20" s="331"/>
      <c r="F20" s="331">
        <v>19716.608060799997</v>
      </c>
      <c r="G20" s="331"/>
      <c r="H20" s="331">
        <v>19716.608060799997</v>
      </c>
      <c r="I20" s="331">
        <v>19716.608060799997</v>
      </c>
    </row>
    <row r="21" spans="1:9" x14ac:dyDescent="0.2">
      <c r="A21" s="87" t="s">
        <v>464</v>
      </c>
      <c r="B21" s="331">
        <v>40570.651129999998</v>
      </c>
      <c r="C21" s="331"/>
      <c r="D21" s="331"/>
      <c r="E21" s="331"/>
      <c r="F21" s="331"/>
      <c r="G21" s="331">
        <v>120800.18000000001</v>
      </c>
      <c r="H21" s="331">
        <v>161370.83113000001</v>
      </c>
      <c r="I21" s="331">
        <v>161370.83113000001</v>
      </c>
    </row>
    <row r="22" spans="1:9" x14ac:dyDescent="0.2">
      <c r="A22" s="86" t="s">
        <v>464</v>
      </c>
      <c r="B22" s="331">
        <v>40570.651129999998</v>
      </c>
      <c r="C22" s="331"/>
      <c r="D22" s="331"/>
      <c r="E22" s="331"/>
      <c r="F22" s="331"/>
      <c r="G22" s="331">
        <v>120800.18000000001</v>
      </c>
      <c r="H22" s="331">
        <v>161370.83113000001</v>
      </c>
      <c r="I22" s="331">
        <v>161370.83113000001</v>
      </c>
    </row>
    <row r="23" spans="1:9" x14ac:dyDescent="0.2">
      <c r="A23" s="87" t="s">
        <v>1148</v>
      </c>
      <c r="B23" s="331"/>
      <c r="C23" s="331"/>
      <c r="D23" s="331"/>
      <c r="E23" s="331"/>
      <c r="F23" s="331">
        <v>180760.77</v>
      </c>
      <c r="G23" s="331">
        <v>62000</v>
      </c>
      <c r="H23" s="331">
        <v>242760.77</v>
      </c>
      <c r="I23" s="331">
        <v>242760.77</v>
      </c>
    </row>
    <row r="24" spans="1:9" x14ac:dyDescent="0.2">
      <c r="A24" s="86" t="s">
        <v>1041</v>
      </c>
      <c r="B24" s="331"/>
      <c r="C24" s="331"/>
      <c r="D24" s="331"/>
      <c r="E24" s="331"/>
      <c r="F24" s="331">
        <v>180760.77</v>
      </c>
      <c r="G24" s="331">
        <v>62000</v>
      </c>
      <c r="H24" s="331">
        <v>242760.77</v>
      </c>
      <c r="I24" s="331">
        <v>242760.77</v>
      </c>
    </row>
    <row r="25" spans="1:9" x14ac:dyDescent="0.2">
      <c r="A25" s="87" t="s">
        <v>332</v>
      </c>
      <c r="B25" s="331">
        <v>119.44451912480481</v>
      </c>
      <c r="C25" s="331">
        <v>0.30225956240240875</v>
      </c>
      <c r="D25" s="331">
        <v>99.852259562402423</v>
      </c>
      <c r="E25" s="331">
        <v>39.442259562402413</v>
      </c>
      <c r="F25" s="331">
        <v>40.892259562402415</v>
      </c>
      <c r="G25" s="331">
        <v>23.272259562402407</v>
      </c>
      <c r="H25" s="331">
        <v>323.20581693681686</v>
      </c>
      <c r="I25" s="331">
        <v>323.20581693681686</v>
      </c>
    </row>
    <row r="26" spans="1:9" x14ac:dyDescent="0.2">
      <c r="A26" s="86" t="s">
        <v>332</v>
      </c>
      <c r="B26" s="331">
        <v>119.44451912480481</v>
      </c>
      <c r="C26" s="331">
        <v>0.30225956240240875</v>
      </c>
      <c r="D26" s="331">
        <v>99.852259562402423</v>
      </c>
      <c r="E26" s="331">
        <v>39.442259562402413</v>
      </c>
      <c r="F26" s="331">
        <v>40.892259562402415</v>
      </c>
      <c r="G26" s="331">
        <v>23.272259562402407</v>
      </c>
      <c r="H26" s="331">
        <v>323.20581693681686</v>
      </c>
      <c r="I26" s="331">
        <v>323.20581693681686</v>
      </c>
    </row>
    <row r="27" spans="1:9" x14ac:dyDescent="0.2">
      <c r="A27" s="87" t="s">
        <v>510</v>
      </c>
      <c r="B27" s="331"/>
      <c r="C27" s="331"/>
      <c r="D27" s="331">
        <v>8853.7900000000009</v>
      </c>
      <c r="E27" s="331"/>
      <c r="F27" s="331"/>
      <c r="G27" s="331"/>
      <c r="H27" s="331">
        <v>8853.7900000000009</v>
      </c>
      <c r="I27" s="331">
        <v>8853.7900000000009</v>
      </c>
    </row>
    <row r="28" spans="1:9" x14ac:dyDescent="0.2">
      <c r="A28" s="86" t="s">
        <v>509</v>
      </c>
      <c r="B28" s="331"/>
      <c r="C28" s="331"/>
      <c r="D28" s="331">
        <v>8853.7900000000009</v>
      </c>
      <c r="E28" s="331"/>
      <c r="F28" s="331"/>
      <c r="G28" s="331"/>
      <c r="H28" s="331">
        <v>8853.7900000000009</v>
      </c>
      <c r="I28" s="331">
        <v>8853.7900000000009</v>
      </c>
    </row>
    <row r="29" spans="1:9" x14ac:dyDescent="0.2">
      <c r="A29" s="87" t="s">
        <v>344</v>
      </c>
      <c r="B29" s="331">
        <v>101.96177118</v>
      </c>
      <c r="C29" s="331"/>
      <c r="D29" s="331">
        <v>65.337407612388446</v>
      </c>
      <c r="E29" s="331"/>
      <c r="F29" s="331">
        <v>55.174892279999995</v>
      </c>
      <c r="G29" s="331"/>
      <c r="H29" s="331">
        <v>222.47407107238843</v>
      </c>
      <c r="I29" s="331">
        <v>222.47407107238843</v>
      </c>
    </row>
    <row r="30" spans="1:9" x14ac:dyDescent="0.2">
      <c r="A30" s="86" t="s">
        <v>344</v>
      </c>
      <c r="B30" s="331">
        <v>101.96177118</v>
      </c>
      <c r="C30" s="331"/>
      <c r="D30" s="331">
        <v>65.337407612388446</v>
      </c>
      <c r="E30" s="331"/>
      <c r="F30" s="331">
        <v>55.174892279999995</v>
      </c>
      <c r="G30" s="331"/>
      <c r="H30" s="331">
        <v>222.47407107238843</v>
      </c>
      <c r="I30" s="331">
        <v>222.47407107238843</v>
      </c>
    </row>
    <row r="31" spans="1:9" x14ac:dyDescent="0.2">
      <c r="A31" s="87" t="s">
        <v>572</v>
      </c>
      <c r="B31" s="331"/>
      <c r="C31" s="331"/>
      <c r="D31" s="331">
        <v>138.70721929593688</v>
      </c>
      <c r="E31" s="331"/>
      <c r="F31" s="331"/>
      <c r="G31" s="331"/>
      <c r="H31" s="331">
        <v>138.70721929593688</v>
      </c>
      <c r="I31" s="331">
        <v>138.70721929593688</v>
      </c>
    </row>
    <row r="32" spans="1:9" x14ac:dyDescent="0.2">
      <c r="A32" s="86" t="s">
        <v>786</v>
      </c>
      <c r="B32" s="331"/>
      <c r="C32" s="331"/>
      <c r="D32" s="331">
        <v>138.70721929593688</v>
      </c>
      <c r="E32" s="331"/>
      <c r="F32" s="331"/>
      <c r="G32" s="331"/>
      <c r="H32" s="331">
        <v>138.70721929593688</v>
      </c>
      <c r="I32" s="331">
        <v>138.70721929593688</v>
      </c>
    </row>
    <row r="33" spans="1:9" x14ac:dyDescent="0.2">
      <c r="A33" s="87" t="s">
        <v>49</v>
      </c>
      <c r="B33" s="331"/>
      <c r="C33" s="331"/>
      <c r="D33" s="331"/>
      <c r="E33" s="331"/>
      <c r="F33" s="331"/>
      <c r="G33" s="331">
        <v>1043557372.2575999</v>
      </c>
      <c r="H33" s="331">
        <v>1043557372.2575999</v>
      </c>
      <c r="I33" s="331">
        <v>1043557372.2575999</v>
      </c>
    </row>
    <row r="34" spans="1:9" x14ac:dyDescent="0.2">
      <c r="A34" s="86" t="s">
        <v>560</v>
      </c>
      <c r="B34" s="331"/>
      <c r="C34" s="331"/>
      <c r="D34" s="331"/>
      <c r="E34" s="331"/>
      <c r="F34" s="331"/>
      <c r="G34" s="331">
        <v>1043557372.2575999</v>
      </c>
      <c r="H34" s="331">
        <v>1043557372.2575999</v>
      </c>
      <c r="I34" s="331">
        <v>1043557372.2575999</v>
      </c>
    </row>
    <row r="35" spans="1:9" x14ac:dyDescent="0.2">
      <c r="A35" s="87" t="s">
        <v>46</v>
      </c>
      <c r="B35" s="331">
        <v>6720.6980273600002</v>
      </c>
      <c r="C35" s="331">
        <v>11950.492177817056</v>
      </c>
      <c r="D35" s="331">
        <v>25811.693975805098</v>
      </c>
      <c r="E35" s="331">
        <v>4185.3137910915857</v>
      </c>
      <c r="F35" s="331">
        <v>3620.4232261999996</v>
      </c>
      <c r="G35" s="331">
        <v>684626.63329999999</v>
      </c>
      <c r="H35" s="331">
        <v>736915.25449827372</v>
      </c>
      <c r="I35" s="331">
        <v>736915.25449827372</v>
      </c>
    </row>
    <row r="36" spans="1:9" x14ac:dyDescent="0.2">
      <c r="A36" s="86" t="s">
        <v>349</v>
      </c>
      <c r="B36" s="331">
        <v>1106.05216043</v>
      </c>
      <c r="C36" s="331">
        <v>8254.1769762771219</v>
      </c>
      <c r="D36" s="331">
        <v>24285.977559777311</v>
      </c>
      <c r="E36" s="331">
        <v>2403.7604536096601</v>
      </c>
      <c r="F36" s="331">
        <v>1114.49716734</v>
      </c>
      <c r="G36" s="331"/>
      <c r="H36" s="331">
        <v>37164.464317434096</v>
      </c>
      <c r="I36" s="331">
        <v>37164.464317434096</v>
      </c>
    </row>
    <row r="37" spans="1:9" x14ac:dyDescent="0.2">
      <c r="A37" s="86" t="s">
        <v>393</v>
      </c>
      <c r="B37" s="331"/>
      <c r="C37" s="331">
        <v>200.2325080059052</v>
      </c>
      <c r="D37" s="331">
        <v>61.532989960276254</v>
      </c>
      <c r="E37" s="331">
        <v>133.18542282515864</v>
      </c>
      <c r="F37" s="331">
        <v>49.08999618</v>
      </c>
      <c r="G37" s="331"/>
      <c r="H37" s="331">
        <v>444.0409169713401</v>
      </c>
      <c r="I37" s="331">
        <v>444.0409169713401</v>
      </c>
    </row>
    <row r="38" spans="1:9" x14ac:dyDescent="0.2">
      <c r="A38" s="86" t="s">
        <v>390</v>
      </c>
      <c r="B38" s="331">
        <v>1464.0233995000001</v>
      </c>
      <c r="C38" s="331">
        <v>3218.8838899507764</v>
      </c>
      <c r="D38" s="331">
        <v>1346.6623463686597</v>
      </c>
      <c r="E38" s="331">
        <v>1648.367914656767</v>
      </c>
      <c r="F38" s="331">
        <v>1442.05863368</v>
      </c>
      <c r="G38" s="331">
        <v>684626.63329999999</v>
      </c>
      <c r="H38" s="331">
        <v>693746.62948415615</v>
      </c>
      <c r="I38" s="331">
        <v>693746.62948415615</v>
      </c>
    </row>
    <row r="39" spans="1:9" x14ac:dyDescent="0.2">
      <c r="A39" s="86" t="s">
        <v>540</v>
      </c>
      <c r="B39" s="331">
        <v>4150.6224674300001</v>
      </c>
      <c r="C39" s="331"/>
      <c r="D39" s="331">
        <v>117.5210796988505</v>
      </c>
      <c r="E39" s="331"/>
      <c r="F39" s="331"/>
      <c r="G39" s="331"/>
      <c r="H39" s="331">
        <v>4268.1435471288505</v>
      </c>
      <c r="I39" s="331">
        <v>4268.1435471288505</v>
      </c>
    </row>
    <row r="40" spans="1:9" x14ac:dyDescent="0.2">
      <c r="A40" s="86" t="s">
        <v>751</v>
      </c>
      <c r="B40" s="331"/>
      <c r="C40" s="331">
        <v>277.19880358325196</v>
      </c>
      <c r="D40" s="331"/>
      <c r="E40" s="331"/>
      <c r="F40" s="331">
        <v>1014.777429</v>
      </c>
      <c r="G40" s="331"/>
      <c r="H40" s="331">
        <v>1291.9762325832519</v>
      </c>
      <c r="I40" s="331">
        <v>1291.9762325832519</v>
      </c>
    </row>
    <row r="41" spans="1:9" x14ac:dyDescent="0.2">
      <c r="A41" s="87" t="s">
        <v>346</v>
      </c>
      <c r="B41" s="331"/>
      <c r="C41" s="331"/>
      <c r="D41" s="331"/>
      <c r="E41" s="331">
        <v>4.2356876693556869</v>
      </c>
      <c r="F41" s="331">
        <v>43.020603000000001</v>
      </c>
      <c r="G41" s="331"/>
      <c r="H41" s="331">
        <v>47.256290669355685</v>
      </c>
      <c r="I41" s="331">
        <v>47.256290669355685</v>
      </c>
    </row>
    <row r="42" spans="1:9" x14ac:dyDescent="0.2">
      <c r="A42" s="86" t="s">
        <v>346</v>
      </c>
      <c r="B42" s="331"/>
      <c r="C42" s="331"/>
      <c r="D42" s="331"/>
      <c r="E42" s="331">
        <v>4.2356876693556869</v>
      </c>
      <c r="F42" s="331">
        <v>43.020603000000001</v>
      </c>
      <c r="G42" s="331"/>
      <c r="H42" s="331">
        <v>47.256290669355685</v>
      </c>
      <c r="I42" s="331">
        <v>47.256290669355685</v>
      </c>
    </row>
    <row r="43" spans="1:9" x14ac:dyDescent="0.2">
      <c r="A43" s="87" t="s">
        <v>47</v>
      </c>
      <c r="B43" s="331">
        <v>33691.040000000001</v>
      </c>
      <c r="C43" s="331">
        <v>27762.191242493656</v>
      </c>
      <c r="D43" s="331">
        <v>115487.94077271716</v>
      </c>
      <c r="E43" s="331">
        <v>78190.210654590192</v>
      </c>
      <c r="F43" s="331">
        <v>32580.940000000002</v>
      </c>
      <c r="G43" s="331">
        <v>24590.549337072891</v>
      </c>
      <c r="H43" s="331">
        <v>312302.87200687389</v>
      </c>
      <c r="I43" s="331">
        <v>312302.87200687389</v>
      </c>
    </row>
    <row r="44" spans="1:9" x14ac:dyDescent="0.2">
      <c r="A44" s="86" t="s">
        <v>387</v>
      </c>
      <c r="B44" s="331">
        <v>33691.040000000001</v>
      </c>
      <c r="C44" s="331">
        <v>25680.711242493657</v>
      </c>
      <c r="D44" s="331">
        <v>115129.20077271716</v>
      </c>
      <c r="E44" s="331">
        <v>72719.24065459019</v>
      </c>
      <c r="F44" s="331">
        <v>25157.86</v>
      </c>
      <c r="G44" s="331">
        <v>24590.549337072891</v>
      </c>
      <c r="H44" s="331">
        <v>296968.60200687387</v>
      </c>
      <c r="I44" s="331">
        <v>296968.60200687387</v>
      </c>
    </row>
    <row r="45" spans="1:9" x14ac:dyDescent="0.2">
      <c r="A45" s="86" t="s">
        <v>364</v>
      </c>
      <c r="B45" s="331"/>
      <c r="C45" s="331">
        <v>2081.48</v>
      </c>
      <c r="D45" s="331">
        <v>358.74</v>
      </c>
      <c r="E45" s="331">
        <v>5470.97</v>
      </c>
      <c r="F45" s="331">
        <v>7423.08</v>
      </c>
      <c r="G45" s="331"/>
      <c r="H45" s="331">
        <v>15334.27</v>
      </c>
      <c r="I45" s="331">
        <v>15334.27</v>
      </c>
    </row>
    <row r="46" spans="1:9" x14ac:dyDescent="0.2">
      <c r="A46" s="87" t="s">
        <v>924</v>
      </c>
      <c r="B46" s="331"/>
      <c r="C46" s="331"/>
      <c r="D46" s="331"/>
      <c r="E46" s="331"/>
      <c r="F46" s="331">
        <v>309.283254</v>
      </c>
      <c r="G46" s="331"/>
      <c r="H46" s="331">
        <v>309.283254</v>
      </c>
      <c r="I46" s="331">
        <v>309.283254</v>
      </c>
    </row>
    <row r="47" spans="1:9" x14ac:dyDescent="0.2">
      <c r="A47" s="86" t="s">
        <v>924</v>
      </c>
      <c r="B47" s="331"/>
      <c r="C47" s="331"/>
      <c r="D47" s="331"/>
      <c r="E47" s="331"/>
      <c r="F47" s="331">
        <v>309.283254</v>
      </c>
      <c r="G47" s="331"/>
      <c r="H47" s="331">
        <v>309.283254</v>
      </c>
      <c r="I47" s="331">
        <v>309.283254</v>
      </c>
    </row>
    <row r="48" spans="1:9" x14ac:dyDescent="0.2">
      <c r="A48" s="87" t="s">
        <v>58</v>
      </c>
      <c r="B48" s="331">
        <v>797.04441435000001</v>
      </c>
      <c r="C48" s="331"/>
      <c r="D48" s="331">
        <v>216.59258208503076</v>
      </c>
      <c r="E48" s="331">
        <v>108.08704807164921</v>
      </c>
      <c r="F48" s="331"/>
      <c r="G48" s="331"/>
      <c r="H48" s="331">
        <v>1121.72404450668</v>
      </c>
      <c r="I48" s="331">
        <v>1121.72404450668</v>
      </c>
    </row>
    <row r="49" spans="1:9" x14ac:dyDescent="0.2">
      <c r="A49" s="86" t="s">
        <v>58</v>
      </c>
      <c r="B49" s="331">
        <v>797.04441435000001</v>
      </c>
      <c r="C49" s="331"/>
      <c r="D49" s="331">
        <v>216.59258208503076</v>
      </c>
      <c r="E49" s="331">
        <v>108.08704807164921</v>
      </c>
      <c r="F49" s="331"/>
      <c r="G49" s="331"/>
      <c r="H49" s="331">
        <v>1121.72404450668</v>
      </c>
      <c r="I49" s="331">
        <v>1121.72404450668</v>
      </c>
    </row>
    <row r="50" spans="1:9" x14ac:dyDescent="0.2">
      <c r="A50" s="87" t="s">
        <v>375</v>
      </c>
      <c r="B50" s="331">
        <v>561.33625337000012</v>
      </c>
      <c r="C50" s="331">
        <v>549.07604320373161</v>
      </c>
      <c r="D50" s="331">
        <v>549.07527307870089</v>
      </c>
      <c r="E50" s="331"/>
      <c r="F50" s="331"/>
      <c r="G50" s="331">
        <v>681.71</v>
      </c>
      <c r="H50" s="331">
        <v>2341.1975696524328</v>
      </c>
      <c r="I50" s="331">
        <v>2341.1975696524328</v>
      </c>
    </row>
    <row r="51" spans="1:9" x14ac:dyDescent="0.2">
      <c r="A51" s="86" t="s">
        <v>374</v>
      </c>
      <c r="B51" s="331">
        <v>561.33625337000012</v>
      </c>
      <c r="C51" s="331">
        <v>549.07604320373161</v>
      </c>
      <c r="D51" s="331">
        <v>549.07527307870089</v>
      </c>
      <c r="E51" s="331"/>
      <c r="F51" s="331"/>
      <c r="G51" s="331">
        <v>681.71</v>
      </c>
      <c r="H51" s="331">
        <v>2341.1975696524328</v>
      </c>
      <c r="I51" s="331">
        <v>2341.1975696524328</v>
      </c>
    </row>
    <row r="52" spans="1:9" x14ac:dyDescent="0.2">
      <c r="A52" s="87" t="s">
        <v>50</v>
      </c>
      <c r="B52" s="331">
        <v>332.91868485000003</v>
      </c>
      <c r="C52" s="331">
        <v>132.8542690619181</v>
      </c>
      <c r="D52" s="331">
        <v>95.695736326206841</v>
      </c>
      <c r="E52" s="331">
        <v>9.6034591339755302</v>
      </c>
      <c r="F52" s="331">
        <v>239.03177201999998</v>
      </c>
      <c r="G52" s="331">
        <v>62.293000000000006</v>
      </c>
      <c r="H52" s="331">
        <v>872.39692139210047</v>
      </c>
      <c r="I52" s="331">
        <v>872.39692139210047</v>
      </c>
    </row>
    <row r="53" spans="1:9" x14ac:dyDescent="0.2">
      <c r="A53" s="86" t="s">
        <v>686</v>
      </c>
      <c r="B53" s="331">
        <v>62.670751600000003</v>
      </c>
      <c r="C53" s="331"/>
      <c r="D53" s="331"/>
      <c r="E53" s="331"/>
      <c r="F53" s="331"/>
      <c r="G53" s="331"/>
      <c r="H53" s="331">
        <v>62.670751600000003</v>
      </c>
      <c r="I53" s="331">
        <v>62.670751600000003</v>
      </c>
    </row>
    <row r="54" spans="1:9" x14ac:dyDescent="0.2">
      <c r="A54" s="86" t="s">
        <v>50</v>
      </c>
      <c r="B54" s="331">
        <v>270.24793325000002</v>
      </c>
      <c r="C54" s="331">
        <v>132.8542690619181</v>
      </c>
      <c r="D54" s="331">
        <v>95.695736326206841</v>
      </c>
      <c r="E54" s="331">
        <v>7.6242378048402362</v>
      </c>
      <c r="F54" s="331">
        <v>147.52578671999999</v>
      </c>
      <c r="G54" s="331">
        <v>62.293000000000006</v>
      </c>
      <c r="H54" s="331">
        <v>716.24096316296516</v>
      </c>
      <c r="I54" s="331">
        <v>716.24096316296516</v>
      </c>
    </row>
    <row r="55" spans="1:9" x14ac:dyDescent="0.2">
      <c r="A55" s="86" t="s">
        <v>470</v>
      </c>
      <c r="B55" s="331"/>
      <c r="C55" s="331"/>
      <c r="D55" s="331"/>
      <c r="E55" s="331">
        <v>1.9792213291352936</v>
      </c>
      <c r="F55" s="331">
        <v>91.505985299999992</v>
      </c>
      <c r="G55" s="331"/>
      <c r="H55" s="331">
        <v>93.485206629135291</v>
      </c>
      <c r="I55" s="331">
        <v>93.485206629135291</v>
      </c>
    </row>
    <row r="56" spans="1:9" x14ac:dyDescent="0.2">
      <c r="A56" s="87" t="s">
        <v>849</v>
      </c>
      <c r="B56" s="331"/>
      <c r="C56" s="331"/>
      <c r="D56" s="331">
        <v>231.03750923758292</v>
      </c>
      <c r="E56" s="331"/>
      <c r="F56" s="331"/>
      <c r="G56" s="331"/>
      <c r="H56" s="331">
        <v>231.03750923758292</v>
      </c>
      <c r="I56" s="331">
        <v>231.03750923758292</v>
      </c>
    </row>
    <row r="57" spans="1:9" x14ac:dyDescent="0.2">
      <c r="A57" s="86" t="s">
        <v>849</v>
      </c>
      <c r="B57" s="331"/>
      <c r="C57" s="331"/>
      <c r="D57" s="331">
        <v>231.03750923758292</v>
      </c>
      <c r="E57" s="331"/>
      <c r="F57" s="331"/>
      <c r="G57" s="331"/>
      <c r="H57" s="331">
        <v>231.03750923758292</v>
      </c>
      <c r="I57" s="331">
        <v>231.03750923758292</v>
      </c>
    </row>
    <row r="58" spans="1:9" x14ac:dyDescent="0.2">
      <c r="A58" s="87" t="s">
        <v>367</v>
      </c>
      <c r="B58" s="331">
        <v>27999.14242855</v>
      </c>
      <c r="C58" s="331">
        <v>69.31125277127488</v>
      </c>
      <c r="D58" s="331">
        <v>1068.933542739217</v>
      </c>
      <c r="E58" s="331"/>
      <c r="F58" s="331"/>
      <c r="G58" s="331"/>
      <c r="H58" s="331">
        <v>29137.387224060494</v>
      </c>
      <c r="I58" s="331">
        <v>29137.387224060494</v>
      </c>
    </row>
    <row r="59" spans="1:9" x14ac:dyDescent="0.2">
      <c r="A59" s="86" t="s">
        <v>367</v>
      </c>
      <c r="B59" s="331">
        <v>27999.14242855</v>
      </c>
      <c r="C59" s="331">
        <v>69.31125277127488</v>
      </c>
      <c r="D59" s="331">
        <v>1068.933542739217</v>
      </c>
      <c r="E59" s="331"/>
      <c r="F59" s="331"/>
      <c r="G59" s="331"/>
      <c r="H59" s="331">
        <v>29137.387224060494</v>
      </c>
      <c r="I59" s="331">
        <v>29137.387224060494</v>
      </c>
    </row>
    <row r="60" spans="1:9" x14ac:dyDescent="0.2">
      <c r="A60" s="87" t="s">
        <v>801</v>
      </c>
      <c r="B60" s="331"/>
      <c r="C60" s="331"/>
      <c r="D60" s="331">
        <v>2643.0691056779483</v>
      </c>
      <c r="E60" s="331">
        <v>48.51787693989241</v>
      </c>
      <c r="F60" s="331">
        <v>197.66222999999999</v>
      </c>
      <c r="G60" s="331"/>
      <c r="H60" s="331">
        <v>2889.2492126178408</v>
      </c>
      <c r="I60" s="331">
        <v>2889.2492126178408</v>
      </c>
    </row>
    <row r="61" spans="1:9" x14ac:dyDescent="0.2">
      <c r="A61" s="86" t="s">
        <v>801</v>
      </c>
      <c r="B61" s="331"/>
      <c r="C61" s="331"/>
      <c r="D61" s="331">
        <v>2643.0691056779483</v>
      </c>
      <c r="E61" s="331">
        <v>48.51787693989241</v>
      </c>
      <c r="F61" s="331">
        <v>197.66222999999999</v>
      </c>
      <c r="G61" s="331"/>
      <c r="H61" s="331">
        <v>2889.2492126178408</v>
      </c>
      <c r="I61" s="331">
        <v>2889.2492126178408</v>
      </c>
    </row>
    <row r="62" spans="1:9" x14ac:dyDescent="0.2">
      <c r="A62" s="87" t="s">
        <v>410</v>
      </c>
      <c r="B62" s="331">
        <v>20503.633931880002</v>
      </c>
      <c r="C62" s="331"/>
      <c r="D62" s="331">
        <v>40111.623373784802</v>
      </c>
      <c r="E62" s="331">
        <v>20055.811686892401</v>
      </c>
      <c r="F62" s="331"/>
      <c r="G62" s="331">
        <v>20055.810000000001</v>
      </c>
      <c r="H62" s="331">
        <v>100726.87899255721</v>
      </c>
      <c r="I62" s="331">
        <v>100726.87899255721</v>
      </c>
    </row>
    <row r="63" spans="1:9" x14ac:dyDescent="0.2">
      <c r="A63" s="86" t="s">
        <v>409</v>
      </c>
      <c r="B63" s="331">
        <v>20503.633931880002</v>
      </c>
      <c r="C63" s="331"/>
      <c r="D63" s="331">
        <v>40111.623373784802</v>
      </c>
      <c r="E63" s="331">
        <v>20055.811686892401</v>
      </c>
      <c r="F63" s="331"/>
      <c r="G63" s="331">
        <v>20055.810000000001</v>
      </c>
      <c r="H63" s="331">
        <v>100726.87899255721</v>
      </c>
      <c r="I63" s="331">
        <v>100726.87899255721</v>
      </c>
    </row>
    <row r="64" spans="1:9" x14ac:dyDescent="0.2">
      <c r="A64" s="87" t="s">
        <v>749</v>
      </c>
      <c r="B64" s="331"/>
      <c r="C64" s="331">
        <v>316.59840015856781</v>
      </c>
      <c r="D64" s="331"/>
      <c r="E64" s="331"/>
      <c r="F64" s="331"/>
      <c r="G64" s="331"/>
      <c r="H64" s="331">
        <v>316.59840015856781</v>
      </c>
      <c r="I64" s="331">
        <v>316.59840015856781</v>
      </c>
    </row>
    <row r="65" spans="1:9" x14ac:dyDescent="0.2">
      <c r="A65" s="86" t="s">
        <v>749</v>
      </c>
      <c r="B65" s="331"/>
      <c r="C65" s="331">
        <v>316.59840015856781</v>
      </c>
      <c r="D65" s="331"/>
      <c r="E65" s="331"/>
      <c r="F65" s="331"/>
      <c r="G65" s="331"/>
      <c r="H65" s="331">
        <v>316.59840015856781</v>
      </c>
      <c r="I65" s="331">
        <v>316.59840015856781</v>
      </c>
    </row>
    <row r="66" spans="1:9" x14ac:dyDescent="0.2">
      <c r="A66" s="87" t="s">
        <v>51</v>
      </c>
      <c r="B66" s="331">
        <v>2240.2825394500001</v>
      </c>
      <c r="C66" s="331">
        <v>5124.7531865896226</v>
      </c>
      <c r="D66" s="331">
        <v>1639.532193165988</v>
      </c>
      <c r="E66" s="331">
        <v>3259.7467240845972</v>
      </c>
      <c r="F66" s="331">
        <v>2523.2701614599996</v>
      </c>
      <c r="G66" s="331">
        <v>1443313.1335560004</v>
      </c>
      <c r="H66" s="331">
        <v>1458100.7183607507</v>
      </c>
      <c r="I66" s="331">
        <v>1458100.7183607507</v>
      </c>
    </row>
    <row r="67" spans="1:9" x14ac:dyDescent="0.2">
      <c r="A67" s="86" t="s">
        <v>684</v>
      </c>
      <c r="B67" s="331">
        <v>785.48654207000004</v>
      </c>
      <c r="C67" s="331">
        <v>369.32886101689212</v>
      </c>
      <c r="D67" s="331">
        <v>769.93249953424504</v>
      </c>
      <c r="E67" s="331">
        <v>361.88945321944198</v>
      </c>
      <c r="F67" s="331">
        <v>143.41751292000001</v>
      </c>
      <c r="G67" s="331"/>
      <c r="H67" s="331">
        <v>2430.0548687605792</v>
      </c>
      <c r="I67" s="331">
        <v>2430.0548687605792</v>
      </c>
    </row>
    <row r="68" spans="1:9" x14ac:dyDescent="0.2">
      <c r="A68" s="86" t="s">
        <v>527</v>
      </c>
      <c r="B68" s="331">
        <v>1305.64590714</v>
      </c>
      <c r="C68" s="331">
        <v>4741.1000000000004</v>
      </c>
      <c r="D68" s="331">
        <v>689.61377268535784</v>
      </c>
      <c r="E68" s="331">
        <v>2897.857270865155</v>
      </c>
      <c r="F68" s="331">
        <v>2379.8526485399998</v>
      </c>
      <c r="G68" s="331">
        <v>1443313.1335560004</v>
      </c>
      <c r="H68" s="331">
        <v>1455327.203155231</v>
      </c>
      <c r="I68" s="331">
        <v>1455327.203155231</v>
      </c>
    </row>
    <row r="69" spans="1:9" x14ac:dyDescent="0.2">
      <c r="A69" s="86" t="s">
        <v>688</v>
      </c>
      <c r="B69" s="331">
        <v>149.15009024</v>
      </c>
      <c r="C69" s="331">
        <v>14.324325572730139</v>
      </c>
      <c r="D69" s="331">
        <v>179.98592094638502</v>
      </c>
      <c r="E69" s="331"/>
      <c r="F69" s="331"/>
      <c r="G69" s="331"/>
      <c r="H69" s="331">
        <v>343.46033675911519</v>
      </c>
      <c r="I69" s="331">
        <v>343.46033675911519</v>
      </c>
    </row>
    <row r="70" spans="1:9" x14ac:dyDescent="0.2">
      <c r="A70" s="87" t="s">
        <v>691</v>
      </c>
      <c r="B70" s="331">
        <v>2281.6562580000004</v>
      </c>
      <c r="C70" s="331"/>
      <c r="D70" s="331">
        <v>839.4362835632179</v>
      </c>
      <c r="E70" s="331"/>
      <c r="F70" s="331"/>
      <c r="G70" s="331"/>
      <c r="H70" s="331">
        <v>3121.0925415632182</v>
      </c>
      <c r="I70" s="331">
        <v>3121.0925415632182</v>
      </c>
    </row>
    <row r="71" spans="1:9" x14ac:dyDescent="0.2">
      <c r="A71" s="86" t="s">
        <v>691</v>
      </c>
      <c r="B71" s="331">
        <v>2281.6562580000004</v>
      </c>
      <c r="C71" s="331"/>
      <c r="D71" s="331">
        <v>839.4362835632179</v>
      </c>
      <c r="E71" s="331"/>
      <c r="F71" s="331"/>
      <c r="G71" s="331"/>
      <c r="H71" s="331">
        <v>3121.0925415632182</v>
      </c>
      <c r="I71" s="331">
        <v>3121.0925415632182</v>
      </c>
    </row>
    <row r="72" spans="1:9" x14ac:dyDescent="0.2">
      <c r="A72" s="87" t="s">
        <v>60</v>
      </c>
      <c r="B72" s="331">
        <v>163.32974145</v>
      </c>
      <c r="C72" s="331"/>
      <c r="D72" s="331">
        <v>339.5481260761677</v>
      </c>
      <c r="E72" s="331">
        <v>124.92968249506897</v>
      </c>
      <c r="F72" s="331">
        <v>172.27715170935767</v>
      </c>
      <c r="G72" s="331">
        <v>104.28110000000001</v>
      </c>
      <c r="H72" s="331">
        <v>904.3658017305944</v>
      </c>
      <c r="I72" s="331">
        <v>904.3658017305944</v>
      </c>
    </row>
    <row r="73" spans="1:9" x14ac:dyDescent="0.2">
      <c r="A73" s="86" t="s">
        <v>60</v>
      </c>
      <c r="B73" s="331">
        <v>163.32974145</v>
      </c>
      <c r="C73" s="331"/>
      <c r="D73" s="331">
        <v>339.5481260761677</v>
      </c>
      <c r="E73" s="331">
        <v>124.92968249506897</v>
      </c>
      <c r="F73" s="331">
        <v>172.27715170935767</v>
      </c>
      <c r="G73" s="331">
        <v>104.28110000000001</v>
      </c>
      <c r="H73" s="331">
        <v>904.3658017305944</v>
      </c>
      <c r="I73" s="331">
        <v>904.3658017305944</v>
      </c>
    </row>
    <row r="74" spans="1:9" x14ac:dyDescent="0.2">
      <c r="A74" s="87" t="s">
        <v>499</v>
      </c>
      <c r="B74" s="331"/>
      <c r="C74" s="331">
        <v>6292.6916266009666</v>
      </c>
      <c r="D74" s="331"/>
      <c r="E74" s="331"/>
      <c r="F74" s="331"/>
      <c r="G74" s="331"/>
      <c r="H74" s="331">
        <v>6292.6916266009666</v>
      </c>
      <c r="I74" s="331">
        <v>6292.6916266009666</v>
      </c>
    </row>
    <row r="75" spans="1:9" x14ac:dyDescent="0.2">
      <c r="A75" s="86" t="s">
        <v>499</v>
      </c>
      <c r="B75" s="331"/>
      <c r="C75" s="331">
        <v>6292.6916266009666</v>
      </c>
      <c r="D75" s="331"/>
      <c r="E75" s="331"/>
      <c r="F75" s="331"/>
      <c r="G75" s="331"/>
      <c r="H75" s="331">
        <v>6292.6916266009666</v>
      </c>
      <c r="I75" s="331">
        <v>6292.6916266009666</v>
      </c>
    </row>
    <row r="76" spans="1:9" x14ac:dyDescent="0.2">
      <c r="A76" s="87" t="s">
        <v>48</v>
      </c>
      <c r="B76" s="331">
        <v>9192.3663355000008</v>
      </c>
      <c r="C76" s="331">
        <v>831.71963075468261</v>
      </c>
      <c r="D76" s="331">
        <v>7252.391636135193</v>
      </c>
      <c r="E76" s="331">
        <v>5635.3899128200437</v>
      </c>
      <c r="F76" s="331">
        <v>2570.5701710399999</v>
      </c>
      <c r="G76" s="331">
        <v>3762.7051000000001</v>
      </c>
      <c r="H76" s="331">
        <v>29245.142786249922</v>
      </c>
      <c r="I76" s="331">
        <v>29245.142786249922</v>
      </c>
    </row>
    <row r="77" spans="1:9" x14ac:dyDescent="0.2">
      <c r="A77" s="86" t="s">
        <v>475</v>
      </c>
      <c r="B77" s="331">
        <v>2120.4050439900002</v>
      </c>
      <c r="C77" s="331">
        <v>9.7035753879784838</v>
      </c>
      <c r="D77" s="331"/>
      <c r="E77" s="331"/>
      <c r="F77" s="331">
        <v>820.43778078000003</v>
      </c>
      <c r="G77" s="331">
        <v>129.42930000000001</v>
      </c>
      <c r="H77" s="331">
        <v>3079.9757001579792</v>
      </c>
      <c r="I77" s="331">
        <v>3079.9757001579792</v>
      </c>
    </row>
    <row r="78" spans="1:9" x14ac:dyDescent="0.2">
      <c r="A78" s="86" t="s">
        <v>391</v>
      </c>
      <c r="B78" s="331">
        <v>76.881895650000004</v>
      </c>
      <c r="C78" s="331">
        <v>18.359780734079923</v>
      </c>
      <c r="D78" s="331">
        <v>52.715058357708507</v>
      </c>
      <c r="E78" s="331">
        <v>28.155771125753439</v>
      </c>
      <c r="F78" s="331">
        <v>5.2399869599999995</v>
      </c>
      <c r="G78" s="331">
        <v>26.133799999999997</v>
      </c>
      <c r="H78" s="331">
        <v>207.48629282754189</v>
      </c>
      <c r="I78" s="331">
        <v>207.48629282754189</v>
      </c>
    </row>
    <row r="79" spans="1:9" x14ac:dyDescent="0.2">
      <c r="A79" s="86" t="s">
        <v>402</v>
      </c>
      <c r="B79" s="331">
        <v>7.8732100000000003</v>
      </c>
      <c r="C79" s="331">
        <v>159.8548526414836</v>
      </c>
      <c r="D79" s="331">
        <v>20.532534483453233</v>
      </c>
      <c r="E79" s="331">
        <v>35.726100178438237</v>
      </c>
      <c r="F79" s="331">
        <v>14.223929100000001</v>
      </c>
      <c r="G79" s="331"/>
      <c r="H79" s="331">
        <v>238.21062640337507</v>
      </c>
      <c r="I79" s="331">
        <v>238.21062640337507</v>
      </c>
    </row>
    <row r="80" spans="1:9" x14ac:dyDescent="0.2">
      <c r="A80" s="86" t="s">
        <v>353</v>
      </c>
      <c r="B80" s="331">
        <v>6932.3299121600003</v>
      </c>
      <c r="C80" s="331">
        <v>541.37479289581222</v>
      </c>
      <c r="D80" s="331">
        <v>7170.4031241945431</v>
      </c>
      <c r="E80" s="331">
        <v>3938.9276899903198</v>
      </c>
      <c r="F80" s="331">
        <v>1674.9819855600001</v>
      </c>
      <c r="G80" s="331">
        <v>2389.5410000000002</v>
      </c>
      <c r="H80" s="331">
        <v>22647.558504800676</v>
      </c>
      <c r="I80" s="331">
        <v>22647.558504800676</v>
      </c>
    </row>
    <row r="81" spans="1:9" x14ac:dyDescent="0.2">
      <c r="A81" s="86" t="s">
        <v>356</v>
      </c>
      <c r="B81" s="331">
        <v>54.876273700000006</v>
      </c>
      <c r="C81" s="331">
        <v>102.42662909532844</v>
      </c>
      <c r="D81" s="331">
        <v>8.7409190994885542</v>
      </c>
      <c r="E81" s="331">
        <v>1632.5803515255325</v>
      </c>
      <c r="F81" s="331">
        <v>55.68648864</v>
      </c>
      <c r="G81" s="331">
        <v>1217.6009999999999</v>
      </c>
      <c r="H81" s="331">
        <v>3071.9116620603495</v>
      </c>
      <c r="I81" s="331">
        <v>3071.9116620603495</v>
      </c>
    </row>
    <row r="82" spans="1:9" x14ac:dyDescent="0.2">
      <c r="A82" s="87" t="s">
        <v>618</v>
      </c>
      <c r="B82" s="331">
        <v>377.91408000000001</v>
      </c>
      <c r="C82" s="331">
        <v>492.88001970684354</v>
      </c>
      <c r="D82" s="331">
        <v>462.07501847516585</v>
      </c>
      <c r="E82" s="331">
        <v>924.1500369503317</v>
      </c>
      <c r="F82" s="331"/>
      <c r="G82" s="331">
        <v>462.07501847516585</v>
      </c>
      <c r="H82" s="331">
        <v>2719.0941736075069</v>
      </c>
      <c r="I82" s="331">
        <v>2719.0941736075069</v>
      </c>
    </row>
    <row r="83" spans="1:9" x14ac:dyDescent="0.2">
      <c r="A83" s="86" t="s">
        <v>621</v>
      </c>
      <c r="B83" s="331"/>
      <c r="C83" s="331">
        <v>462.07501847516585</v>
      </c>
      <c r="D83" s="331">
        <v>462.07501847516585</v>
      </c>
      <c r="E83" s="331">
        <v>924.1500369503317</v>
      </c>
      <c r="F83" s="331"/>
      <c r="G83" s="331">
        <v>462.07501847516585</v>
      </c>
      <c r="H83" s="331">
        <v>2310.3750923758294</v>
      </c>
      <c r="I83" s="331">
        <v>2310.3750923758294</v>
      </c>
    </row>
    <row r="84" spans="1:9" x14ac:dyDescent="0.2">
      <c r="A84" s="86" t="s">
        <v>617</v>
      </c>
      <c r="B84" s="331">
        <v>377.91408000000001</v>
      </c>
      <c r="C84" s="331">
        <v>30.805001231677721</v>
      </c>
      <c r="D84" s="331"/>
      <c r="E84" s="331"/>
      <c r="F84" s="331"/>
      <c r="G84" s="331"/>
      <c r="H84" s="331">
        <v>408.71908123167771</v>
      </c>
      <c r="I84" s="331">
        <v>408.71908123167771</v>
      </c>
    </row>
    <row r="85" spans="1:9" x14ac:dyDescent="0.2">
      <c r="A85" s="87" t="s">
        <v>371</v>
      </c>
      <c r="B85" s="331">
        <v>137.97800525</v>
      </c>
      <c r="C85" s="331"/>
      <c r="D85" s="331">
        <v>232.55465554824303</v>
      </c>
      <c r="E85" s="331">
        <v>124.5754249809047</v>
      </c>
      <c r="F85" s="331">
        <v>119.2383222511008</v>
      </c>
      <c r="G85" s="331"/>
      <c r="H85" s="331">
        <v>614.34640803024854</v>
      </c>
      <c r="I85" s="331">
        <v>614.34640803024854</v>
      </c>
    </row>
    <row r="86" spans="1:9" x14ac:dyDescent="0.2">
      <c r="A86" s="86" t="s">
        <v>370</v>
      </c>
      <c r="B86" s="331">
        <v>137.97800525</v>
      </c>
      <c r="C86" s="331"/>
      <c r="D86" s="331">
        <v>232.55465554824303</v>
      </c>
      <c r="E86" s="331">
        <v>124.5754249809047</v>
      </c>
      <c r="F86" s="331">
        <v>119.2383222511008</v>
      </c>
      <c r="G86" s="331"/>
      <c r="H86" s="331">
        <v>614.34640803024854</v>
      </c>
      <c r="I86" s="331">
        <v>614.34640803024854</v>
      </c>
    </row>
    <row r="87" spans="1:9" x14ac:dyDescent="0.2">
      <c r="A87" s="66" t="s">
        <v>2</v>
      </c>
      <c r="B87" s="331">
        <v>174772.94206840001</v>
      </c>
      <c r="C87" s="331">
        <v>220586.43601488008</v>
      </c>
      <c r="D87" s="331">
        <v>24346.811731665486</v>
      </c>
      <c r="E87" s="331">
        <v>16170.667000258531</v>
      </c>
      <c r="F87" s="331">
        <v>21171.41384067167</v>
      </c>
      <c r="G87" s="331">
        <v>157991.90848537444</v>
      </c>
      <c r="H87" s="331">
        <v>615040.17914125021</v>
      </c>
      <c r="I87" s="331">
        <v>615040.17914125021</v>
      </c>
    </row>
    <row r="88" spans="1:9" x14ac:dyDescent="0.2">
      <c r="A88" s="66" t="s">
        <v>3</v>
      </c>
      <c r="B88" s="331">
        <v>2287.4210924000004</v>
      </c>
      <c r="C88" s="331">
        <v>1324.1200000000001</v>
      </c>
      <c r="D88" s="331">
        <v>7857.56</v>
      </c>
      <c r="E88" s="331">
        <v>1044.5900000000001</v>
      </c>
      <c r="F88" s="331">
        <v>374.3</v>
      </c>
      <c r="G88" s="331"/>
      <c r="H88" s="331">
        <v>12887.9910924</v>
      </c>
      <c r="I88" s="331">
        <v>12887.9910924</v>
      </c>
    </row>
    <row r="89" spans="1:9" x14ac:dyDescent="0.2">
      <c r="A89" s="65" t="s">
        <v>66</v>
      </c>
      <c r="B89" s="331">
        <v>5924.5905250000005</v>
      </c>
      <c r="C89" s="331"/>
      <c r="D89" s="331">
        <v>3080.7311606770099</v>
      </c>
      <c r="E89" s="331">
        <v>26</v>
      </c>
      <c r="F89" s="331"/>
      <c r="G89" s="331"/>
      <c r="H89" s="331">
        <v>9031.3216856770105</v>
      </c>
      <c r="I89" s="331">
        <v>9031.3216856770105</v>
      </c>
    </row>
    <row r="90" spans="1:9" x14ac:dyDescent="0.2">
      <c r="A90" s="66" t="s">
        <v>1</v>
      </c>
      <c r="B90" s="331">
        <v>5924.5905250000005</v>
      </c>
      <c r="C90" s="331"/>
      <c r="D90" s="331">
        <v>3080.7311606770099</v>
      </c>
      <c r="E90" s="331">
        <v>26</v>
      </c>
      <c r="F90" s="331"/>
      <c r="G90" s="331"/>
      <c r="H90" s="331">
        <v>9031.3216856770105</v>
      </c>
      <c r="I90" s="331">
        <v>9031.3216856770105</v>
      </c>
    </row>
    <row r="91" spans="1:9" x14ac:dyDescent="0.2">
      <c r="A91" s="87" t="s">
        <v>332</v>
      </c>
      <c r="B91" s="331"/>
      <c r="C91" s="331"/>
      <c r="D91" s="331"/>
      <c r="E91" s="331">
        <v>26</v>
      </c>
      <c r="F91" s="331"/>
      <c r="G91" s="331"/>
      <c r="H91" s="331">
        <v>26</v>
      </c>
      <c r="I91" s="331">
        <v>26</v>
      </c>
    </row>
    <row r="92" spans="1:9" x14ac:dyDescent="0.2">
      <c r="A92" s="86" t="s">
        <v>332</v>
      </c>
      <c r="B92" s="331"/>
      <c r="C92" s="331"/>
      <c r="D92" s="331"/>
      <c r="E92" s="331">
        <v>26</v>
      </c>
      <c r="F92" s="331"/>
      <c r="G92" s="331"/>
      <c r="H92" s="331">
        <v>26</v>
      </c>
      <c r="I92" s="331">
        <v>26</v>
      </c>
    </row>
    <row r="93" spans="1:9" x14ac:dyDescent="0.2">
      <c r="A93" s="87" t="s">
        <v>1168</v>
      </c>
      <c r="B93" s="331">
        <v>5924.5905250000005</v>
      </c>
      <c r="C93" s="331"/>
      <c r="D93" s="331"/>
      <c r="E93" s="331"/>
      <c r="F93" s="331"/>
      <c r="G93" s="331"/>
      <c r="H93" s="331">
        <v>5924.5905250000005</v>
      </c>
      <c r="I93" s="331">
        <v>5924.5905250000005</v>
      </c>
    </row>
    <row r="94" spans="1:9" x14ac:dyDescent="0.2">
      <c r="A94" s="86" t="s">
        <v>700</v>
      </c>
      <c r="B94" s="331">
        <v>5924.5905250000005</v>
      </c>
      <c r="C94" s="331"/>
      <c r="D94" s="331"/>
      <c r="E94" s="331"/>
      <c r="F94" s="331"/>
      <c r="G94" s="331"/>
      <c r="H94" s="331">
        <v>5924.5905250000005</v>
      </c>
      <c r="I94" s="331">
        <v>5924.5905250000005</v>
      </c>
    </row>
    <row r="95" spans="1:9" x14ac:dyDescent="0.2">
      <c r="A95" s="87" t="s">
        <v>691</v>
      </c>
      <c r="B95" s="331"/>
      <c r="C95" s="331"/>
      <c r="D95" s="331">
        <v>3080.7311606770099</v>
      </c>
      <c r="E95" s="331"/>
      <c r="F95" s="331"/>
      <c r="G95" s="331"/>
      <c r="H95" s="331">
        <v>3080.7311606770099</v>
      </c>
      <c r="I95" s="331">
        <v>3080.7311606770099</v>
      </c>
    </row>
    <row r="96" spans="1:9" x14ac:dyDescent="0.2">
      <c r="A96" s="86" t="s">
        <v>691</v>
      </c>
      <c r="B96" s="331"/>
      <c r="C96" s="331"/>
      <c r="D96" s="331">
        <v>3080.7311606770099</v>
      </c>
      <c r="E96" s="331"/>
      <c r="F96" s="331"/>
      <c r="G96" s="331"/>
      <c r="H96" s="331">
        <v>3080.7311606770099</v>
      </c>
      <c r="I96" s="331">
        <v>3080.7311606770099</v>
      </c>
    </row>
    <row r="97" spans="1:9" x14ac:dyDescent="0.2">
      <c r="A97" s="65" t="s">
        <v>55</v>
      </c>
      <c r="B97" s="331">
        <v>87959.490060409997</v>
      </c>
      <c r="C97" s="331">
        <v>47206.402455832882</v>
      </c>
      <c r="D97" s="331">
        <v>217454.25576249749</v>
      </c>
      <c r="E97" s="331">
        <v>93964.070009783958</v>
      </c>
      <c r="F97" s="331">
        <v>54299.693984760001</v>
      </c>
      <c r="G97" s="331">
        <v>13213.2199</v>
      </c>
      <c r="H97" s="331">
        <v>514097.13217328419</v>
      </c>
      <c r="I97" s="331">
        <v>514097.13217328419</v>
      </c>
    </row>
    <row r="98" spans="1:9" x14ac:dyDescent="0.2">
      <c r="A98" s="66" t="s">
        <v>1</v>
      </c>
      <c r="B98" s="331">
        <v>61693.252866160001</v>
      </c>
      <c r="C98" s="331">
        <v>6743.8944558328812</v>
      </c>
      <c r="D98" s="331">
        <v>161699.23576249747</v>
      </c>
      <c r="E98" s="331">
        <v>55953.090009783955</v>
      </c>
      <c r="F98" s="331">
        <v>3964.14398476</v>
      </c>
      <c r="G98" s="331">
        <v>4619.129899999999</v>
      </c>
      <c r="H98" s="331">
        <v>294672.74697903421</v>
      </c>
      <c r="I98" s="331">
        <v>294672.74697903421</v>
      </c>
    </row>
    <row r="99" spans="1:9" x14ac:dyDescent="0.2">
      <c r="A99" s="87" t="s">
        <v>464</v>
      </c>
      <c r="B99" s="331"/>
      <c r="C99" s="331">
        <v>118.32200973087411</v>
      </c>
      <c r="D99" s="331"/>
      <c r="E99" s="331"/>
      <c r="F99" s="331"/>
      <c r="G99" s="331"/>
      <c r="H99" s="331">
        <v>118.32200973087411</v>
      </c>
      <c r="I99" s="331">
        <v>118.32200973087411</v>
      </c>
    </row>
    <row r="100" spans="1:9" x14ac:dyDescent="0.2">
      <c r="A100" s="86" t="s">
        <v>464</v>
      </c>
      <c r="B100" s="331"/>
      <c r="C100" s="331">
        <v>118.32200973087411</v>
      </c>
      <c r="D100" s="331"/>
      <c r="E100" s="331"/>
      <c r="F100" s="331"/>
      <c r="G100" s="331"/>
      <c r="H100" s="331">
        <v>118.32200973087411</v>
      </c>
      <c r="I100" s="331">
        <v>118.32200973087411</v>
      </c>
    </row>
    <row r="101" spans="1:9" x14ac:dyDescent="0.2">
      <c r="A101" s="87" t="s">
        <v>332</v>
      </c>
      <c r="B101" s="331"/>
      <c r="C101" s="331"/>
      <c r="D101" s="331"/>
      <c r="E101" s="331"/>
      <c r="F101" s="331"/>
      <c r="G101" s="331">
        <v>7.7000000000000002E-3</v>
      </c>
      <c r="H101" s="331">
        <v>7.7000000000000002E-3</v>
      </c>
      <c r="I101" s="331">
        <v>7.7000000000000002E-3</v>
      </c>
    </row>
    <row r="102" spans="1:9" x14ac:dyDescent="0.2">
      <c r="A102" s="86" t="s">
        <v>332</v>
      </c>
      <c r="B102" s="331"/>
      <c r="C102" s="331"/>
      <c r="D102" s="331"/>
      <c r="E102" s="331"/>
      <c r="F102" s="331"/>
      <c r="G102" s="331">
        <v>7.7000000000000002E-3</v>
      </c>
      <c r="H102" s="331">
        <v>7.7000000000000002E-3</v>
      </c>
      <c r="I102" s="331">
        <v>7.7000000000000002E-3</v>
      </c>
    </row>
    <row r="103" spans="1:9" x14ac:dyDescent="0.2">
      <c r="A103" s="87" t="s">
        <v>46</v>
      </c>
      <c r="B103" s="331"/>
      <c r="C103" s="331">
        <v>21.563500862174404</v>
      </c>
      <c r="D103" s="331"/>
      <c r="E103" s="331"/>
      <c r="F103" s="331"/>
      <c r="G103" s="331">
        <v>149.2645</v>
      </c>
      <c r="H103" s="331">
        <v>170.82800086217441</v>
      </c>
      <c r="I103" s="331">
        <v>170.82800086217441</v>
      </c>
    </row>
    <row r="104" spans="1:9" x14ac:dyDescent="0.2">
      <c r="A104" s="86" t="s">
        <v>349</v>
      </c>
      <c r="B104" s="331"/>
      <c r="C104" s="331">
        <v>21.563500862174404</v>
      </c>
      <c r="D104" s="331"/>
      <c r="E104" s="331"/>
      <c r="F104" s="331"/>
      <c r="G104" s="331"/>
      <c r="H104" s="331">
        <v>21.563500862174404</v>
      </c>
      <c r="I104" s="331">
        <v>21.563500862174404</v>
      </c>
    </row>
    <row r="105" spans="1:9" x14ac:dyDescent="0.2">
      <c r="A105" s="86" t="s">
        <v>540</v>
      </c>
      <c r="B105" s="331"/>
      <c r="C105" s="331"/>
      <c r="D105" s="331"/>
      <c r="E105" s="331"/>
      <c r="F105" s="331"/>
      <c r="G105" s="331">
        <v>149.2645</v>
      </c>
      <c r="H105" s="331">
        <v>149.2645</v>
      </c>
      <c r="I105" s="331">
        <v>149.2645</v>
      </c>
    </row>
    <row r="106" spans="1:9" x14ac:dyDescent="0.2">
      <c r="A106" s="87" t="s">
        <v>47</v>
      </c>
      <c r="B106" s="331">
        <v>56907.16</v>
      </c>
      <c r="C106" s="331">
        <v>5535.0599999999995</v>
      </c>
      <c r="D106" s="331">
        <v>132626.34999999998</v>
      </c>
      <c r="E106" s="331">
        <v>49403.700307919426</v>
      </c>
      <c r="F106" s="331">
        <v>2331.64</v>
      </c>
      <c r="G106" s="331">
        <v>1925</v>
      </c>
      <c r="H106" s="331">
        <v>248728.9103079194</v>
      </c>
      <c r="I106" s="331">
        <v>248728.9103079194</v>
      </c>
    </row>
    <row r="107" spans="1:9" x14ac:dyDescent="0.2">
      <c r="A107" s="86" t="s">
        <v>387</v>
      </c>
      <c r="B107" s="331">
        <v>56907.16</v>
      </c>
      <c r="C107" s="331">
        <v>2960.72</v>
      </c>
      <c r="D107" s="331">
        <v>132325.51999999999</v>
      </c>
      <c r="E107" s="331">
        <v>36691.53</v>
      </c>
      <c r="F107" s="331">
        <v>2.33</v>
      </c>
      <c r="G107" s="331"/>
      <c r="H107" s="331">
        <v>228887.25999999998</v>
      </c>
      <c r="I107" s="331">
        <v>228887.25999999998</v>
      </c>
    </row>
    <row r="108" spans="1:9" x14ac:dyDescent="0.2">
      <c r="A108" s="86" t="s">
        <v>875</v>
      </c>
      <c r="B108" s="331"/>
      <c r="C108" s="331"/>
      <c r="D108" s="331"/>
      <c r="E108" s="331">
        <v>7701.2503079194303</v>
      </c>
      <c r="F108" s="331"/>
      <c r="G108" s="331">
        <v>1925</v>
      </c>
      <c r="H108" s="331">
        <v>9626.2503079194303</v>
      </c>
      <c r="I108" s="331">
        <v>9626.2503079194303</v>
      </c>
    </row>
    <row r="109" spans="1:9" x14ac:dyDescent="0.2">
      <c r="A109" s="86" t="s">
        <v>364</v>
      </c>
      <c r="B109" s="331"/>
      <c r="C109" s="331">
        <v>2574.34</v>
      </c>
      <c r="D109" s="331">
        <v>300.83</v>
      </c>
      <c r="E109" s="331">
        <v>5010.92</v>
      </c>
      <c r="F109" s="331">
        <v>2329.31</v>
      </c>
      <c r="G109" s="331"/>
      <c r="H109" s="331">
        <v>10215.4</v>
      </c>
      <c r="I109" s="331">
        <v>10215.4</v>
      </c>
    </row>
    <row r="110" spans="1:9" x14ac:dyDescent="0.2">
      <c r="A110" s="87" t="s">
        <v>58</v>
      </c>
      <c r="B110" s="331"/>
      <c r="C110" s="331"/>
      <c r="D110" s="331">
        <v>25829.334767810433</v>
      </c>
      <c r="E110" s="331">
        <v>4696.5458902822011</v>
      </c>
      <c r="F110" s="331"/>
      <c r="G110" s="331"/>
      <c r="H110" s="331">
        <v>30525.880658092632</v>
      </c>
      <c r="I110" s="331">
        <v>30525.880658092632</v>
      </c>
    </row>
    <row r="111" spans="1:9" x14ac:dyDescent="0.2">
      <c r="A111" s="86" t="s">
        <v>58</v>
      </c>
      <c r="B111" s="331"/>
      <c r="C111" s="331"/>
      <c r="D111" s="331">
        <v>25829.334767810433</v>
      </c>
      <c r="E111" s="331">
        <v>4696.5458902822011</v>
      </c>
      <c r="F111" s="331"/>
      <c r="G111" s="331"/>
      <c r="H111" s="331">
        <v>30525.880658092632</v>
      </c>
      <c r="I111" s="331">
        <v>30525.880658092632</v>
      </c>
    </row>
    <row r="112" spans="1:9" x14ac:dyDescent="0.2">
      <c r="A112" s="87" t="s">
        <v>50</v>
      </c>
      <c r="B112" s="331">
        <v>40.940692000000006</v>
      </c>
      <c r="C112" s="331"/>
      <c r="D112" s="331"/>
      <c r="E112" s="331"/>
      <c r="F112" s="331">
        <v>84.614937359999999</v>
      </c>
      <c r="G112" s="331"/>
      <c r="H112" s="331">
        <v>125.55562936000001</v>
      </c>
      <c r="I112" s="331">
        <v>125.55562936000001</v>
      </c>
    </row>
    <row r="113" spans="1:9" x14ac:dyDescent="0.2">
      <c r="A113" s="86" t="s">
        <v>686</v>
      </c>
      <c r="B113" s="331">
        <v>40.940692000000006</v>
      </c>
      <c r="C113" s="331"/>
      <c r="D113" s="331"/>
      <c r="E113" s="331"/>
      <c r="F113" s="331"/>
      <c r="G113" s="331"/>
      <c r="H113" s="331">
        <v>40.940692000000006</v>
      </c>
      <c r="I113" s="331">
        <v>40.940692000000006</v>
      </c>
    </row>
    <row r="114" spans="1:9" x14ac:dyDescent="0.2">
      <c r="A114" s="86" t="s">
        <v>50</v>
      </c>
      <c r="B114" s="331"/>
      <c r="C114" s="331"/>
      <c r="D114" s="331"/>
      <c r="E114" s="331"/>
      <c r="F114" s="331">
        <v>84.614937359999999</v>
      </c>
      <c r="G114" s="331"/>
      <c r="H114" s="331">
        <v>84.614937359999999</v>
      </c>
      <c r="I114" s="331">
        <v>84.614937359999999</v>
      </c>
    </row>
    <row r="115" spans="1:9" x14ac:dyDescent="0.2">
      <c r="A115" s="87" t="s">
        <v>51</v>
      </c>
      <c r="B115" s="331"/>
      <c r="C115" s="331"/>
      <c r="D115" s="331"/>
      <c r="E115" s="331">
        <v>28.363704884067261</v>
      </c>
      <c r="F115" s="331">
        <v>15.40990248</v>
      </c>
      <c r="G115" s="331">
        <v>1242.934</v>
      </c>
      <c r="H115" s="331">
        <v>1286.7076073640671</v>
      </c>
      <c r="I115" s="331">
        <v>1286.7076073640671</v>
      </c>
    </row>
    <row r="116" spans="1:9" x14ac:dyDescent="0.2">
      <c r="A116" s="86" t="s">
        <v>684</v>
      </c>
      <c r="B116" s="331"/>
      <c r="C116" s="331"/>
      <c r="D116" s="331"/>
      <c r="E116" s="331">
        <v>28.363704884067261</v>
      </c>
      <c r="F116" s="331">
        <v>15.40990248</v>
      </c>
      <c r="G116" s="331"/>
      <c r="H116" s="331">
        <v>43.77360736406726</v>
      </c>
      <c r="I116" s="331">
        <v>43.77360736406726</v>
      </c>
    </row>
    <row r="117" spans="1:9" x14ac:dyDescent="0.2">
      <c r="A117" s="86" t="s">
        <v>527</v>
      </c>
      <c r="B117" s="331"/>
      <c r="C117" s="331"/>
      <c r="D117" s="331"/>
      <c r="E117" s="331"/>
      <c r="F117" s="331"/>
      <c r="G117" s="331">
        <v>1242.934</v>
      </c>
      <c r="H117" s="331">
        <v>1242.934</v>
      </c>
      <c r="I117" s="331">
        <v>1242.934</v>
      </c>
    </row>
    <row r="118" spans="1:9" x14ac:dyDescent="0.2">
      <c r="A118" s="87" t="s">
        <v>60</v>
      </c>
      <c r="B118" s="331">
        <v>4335.4067061300002</v>
      </c>
      <c r="C118" s="331">
        <v>0</v>
      </c>
      <c r="D118" s="331">
        <v>125.03749999937989</v>
      </c>
      <c r="E118" s="331">
        <v>275.29659475719592</v>
      </c>
      <c r="F118" s="331">
        <v>173.0513445</v>
      </c>
      <c r="G118" s="331">
        <v>95.464600000000004</v>
      </c>
      <c r="H118" s="331">
        <v>5004.2567453865759</v>
      </c>
      <c r="I118" s="331">
        <v>5004.2567453865759</v>
      </c>
    </row>
    <row r="119" spans="1:9" x14ac:dyDescent="0.2">
      <c r="A119" s="86" t="s">
        <v>60</v>
      </c>
      <c r="B119" s="331">
        <v>4335.4067061300002</v>
      </c>
      <c r="C119" s="331">
        <v>0</v>
      </c>
      <c r="D119" s="331">
        <v>125.03749999937989</v>
      </c>
      <c r="E119" s="331">
        <v>275.29659475719592</v>
      </c>
      <c r="F119" s="331">
        <v>173.0513445</v>
      </c>
      <c r="G119" s="331">
        <v>95.464600000000004</v>
      </c>
      <c r="H119" s="331">
        <v>5004.2567453865759</v>
      </c>
      <c r="I119" s="331">
        <v>5004.2567453865759</v>
      </c>
    </row>
    <row r="120" spans="1:9" x14ac:dyDescent="0.2">
      <c r="A120" s="87" t="s">
        <v>48</v>
      </c>
      <c r="B120" s="331">
        <v>409.74546803000004</v>
      </c>
      <c r="C120" s="331">
        <v>1068.9489452398327</v>
      </c>
      <c r="D120" s="331">
        <v>3118.5134946876624</v>
      </c>
      <c r="E120" s="331">
        <v>1549.1835119410725</v>
      </c>
      <c r="F120" s="331">
        <v>1359.42780042</v>
      </c>
      <c r="G120" s="331">
        <v>1206.4590999999998</v>
      </c>
      <c r="H120" s="331">
        <v>8712.2783203185681</v>
      </c>
      <c r="I120" s="331">
        <v>8712.2783203185681</v>
      </c>
    </row>
    <row r="121" spans="1:9" x14ac:dyDescent="0.2">
      <c r="A121" s="86" t="s">
        <v>475</v>
      </c>
      <c r="B121" s="331"/>
      <c r="C121" s="331"/>
      <c r="D121" s="331">
        <v>430.03011594391307</v>
      </c>
      <c r="E121" s="331">
        <v>236.15884069234932</v>
      </c>
      <c r="F121" s="331">
        <v>730.97818092</v>
      </c>
      <c r="G121" s="331"/>
      <c r="H121" s="331">
        <v>1397.1671375562623</v>
      </c>
      <c r="I121" s="331">
        <v>1397.1671375562623</v>
      </c>
    </row>
    <row r="122" spans="1:9" x14ac:dyDescent="0.2">
      <c r="A122" s="86" t="s">
        <v>391</v>
      </c>
      <c r="B122" s="331"/>
      <c r="C122" s="331">
        <v>223.80603519844658</v>
      </c>
      <c r="D122" s="331">
        <v>164.0520340592997</v>
      </c>
      <c r="E122" s="331"/>
      <c r="F122" s="331">
        <v>154.03701312000001</v>
      </c>
      <c r="G122" s="331">
        <v>179.78730000000002</v>
      </c>
      <c r="H122" s="331">
        <v>721.68238237774631</v>
      </c>
      <c r="I122" s="331">
        <v>721.68238237774631</v>
      </c>
    </row>
    <row r="123" spans="1:9" x14ac:dyDescent="0.2">
      <c r="A123" s="86" t="s">
        <v>353</v>
      </c>
      <c r="B123" s="331">
        <v>368.41111553000002</v>
      </c>
      <c r="C123" s="331">
        <v>719.95908628615587</v>
      </c>
      <c r="D123" s="331">
        <v>2335.334844623796</v>
      </c>
      <c r="E123" s="331">
        <v>1206.185225726957</v>
      </c>
      <c r="F123" s="331">
        <v>388.01483322000001</v>
      </c>
      <c r="G123" s="331">
        <v>988.67229999999984</v>
      </c>
      <c r="H123" s="331">
        <v>6006.577405386909</v>
      </c>
      <c r="I123" s="331">
        <v>6006.577405386909</v>
      </c>
    </row>
    <row r="124" spans="1:9" x14ac:dyDescent="0.2">
      <c r="A124" s="86" t="s">
        <v>356</v>
      </c>
      <c r="B124" s="331">
        <v>41.334352500000001</v>
      </c>
      <c r="C124" s="331">
        <v>125.18382375523035</v>
      </c>
      <c r="D124" s="331">
        <v>189.09650006065368</v>
      </c>
      <c r="E124" s="331">
        <v>106.83944552176627</v>
      </c>
      <c r="F124" s="331">
        <v>86.39777316</v>
      </c>
      <c r="G124" s="331">
        <v>37.999500000000005</v>
      </c>
      <c r="H124" s="331">
        <v>586.85139499765035</v>
      </c>
      <c r="I124" s="331">
        <v>586.85139499765035</v>
      </c>
    </row>
    <row r="125" spans="1:9" x14ac:dyDescent="0.2">
      <c r="A125" s="66" t="s">
        <v>2</v>
      </c>
      <c r="B125" s="331">
        <v>14304.056</v>
      </c>
      <c r="C125" s="331">
        <v>22298.328000000001</v>
      </c>
      <c r="D125" s="331">
        <v>26937.760000000002</v>
      </c>
      <c r="E125" s="331">
        <v>24991.16</v>
      </c>
      <c r="F125" s="331">
        <v>23734.95</v>
      </c>
      <c r="G125" s="331">
        <v>8594.09</v>
      </c>
      <c r="H125" s="331">
        <v>120860.344</v>
      </c>
      <c r="I125" s="331">
        <v>120860.344</v>
      </c>
    </row>
    <row r="126" spans="1:9" x14ac:dyDescent="0.2">
      <c r="A126" s="66" t="s">
        <v>3</v>
      </c>
      <c r="B126" s="331">
        <v>11962.181194249999</v>
      </c>
      <c r="C126" s="331">
        <v>18164.18</v>
      </c>
      <c r="D126" s="331">
        <v>28817.26</v>
      </c>
      <c r="E126" s="331">
        <v>13019.82</v>
      </c>
      <c r="F126" s="331">
        <v>26600.6</v>
      </c>
      <c r="G126" s="331"/>
      <c r="H126" s="331">
        <v>98564.041194249992</v>
      </c>
      <c r="I126" s="331">
        <v>98564.041194249992</v>
      </c>
    </row>
    <row r="127" spans="1:9" x14ac:dyDescent="0.2">
      <c r="A127" s="65" t="s">
        <v>61</v>
      </c>
      <c r="B127" s="331">
        <v>69327.788491620013</v>
      </c>
      <c r="C127" s="331">
        <v>32331.202757402105</v>
      </c>
      <c r="D127" s="331">
        <v>99488.648365784189</v>
      </c>
      <c r="E127" s="331">
        <v>74302.763430030172</v>
      </c>
      <c r="F127" s="331">
        <v>25882.300339037341</v>
      </c>
      <c r="G127" s="331">
        <v>2274.2709999999997</v>
      </c>
      <c r="H127" s="331">
        <v>303606.97438387381</v>
      </c>
      <c r="I127" s="331">
        <v>303606.97438387381</v>
      </c>
    </row>
    <row r="128" spans="1:9" x14ac:dyDescent="0.2">
      <c r="A128" s="66" t="s">
        <v>1</v>
      </c>
      <c r="B128" s="331">
        <v>53289.196659410009</v>
      </c>
      <c r="C128" s="331">
        <v>11275.762038202105</v>
      </c>
      <c r="D128" s="331">
        <v>75580.100006137291</v>
      </c>
      <c r="E128" s="331">
        <v>57740.713430030162</v>
      </c>
      <c r="F128" s="331">
        <v>10912.21033903734</v>
      </c>
      <c r="G128" s="331">
        <v>567.346</v>
      </c>
      <c r="H128" s="331">
        <v>209365.32847281694</v>
      </c>
      <c r="I128" s="331">
        <v>209365.32847281694</v>
      </c>
    </row>
    <row r="129" spans="1:9" x14ac:dyDescent="0.2">
      <c r="A129" s="87" t="s">
        <v>49</v>
      </c>
      <c r="B129" s="331"/>
      <c r="C129" s="331"/>
      <c r="D129" s="331"/>
      <c r="E129" s="331"/>
      <c r="F129" s="331"/>
      <c r="G129" s="331">
        <v>168.75319999999999</v>
      </c>
      <c r="H129" s="331">
        <v>168.75319999999999</v>
      </c>
      <c r="I129" s="331">
        <v>168.75319999999999</v>
      </c>
    </row>
    <row r="130" spans="1:9" x14ac:dyDescent="0.2">
      <c r="A130" s="86" t="s">
        <v>560</v>
      </c>
      <c r="B130" s="331"/>
      <c r="C130" s="331"/>
      <c r="D130" s="331"/>
      <c r="E130" s="331"/>
      <c r="F130" s="331"/>
      <c r="G130" s="331">
        <v>168.75319999999999</v>
      </c>
      <c r="H130" s="331">
        <v>168.75319999999999</v>
      </c>
      <c r="I130" s="331">
        <v>168.75319999999999</v>
      </c>
    </row>
    <row r="131" spans="1:9" x14ac:dyDescent="0.2">
      <c r="A131" s="87" t="s">
        <v>46</v>
      </c>
      <c r="B131" s="331"/>
      <c r="C131" s="331">
        <v>7.7012503079194303</v>
      </c>
      <c r="D131" s="331"/>
      <c r="E131" s="331"/>
      <c r="F131" s="331"/>
      <c r="G131" s="331"/>
      <c r="H131" s="331">
        <v>7.7012503079194303</v>
      </c>
      <c r="I131" s="331">
        <v>7.7012503079194303</v>
      </c>
    </row>
    <row r="132" spans="1:9" x14ac:dyDescent="0.2">
      <c r="A132" s="86" t="s">
        <v>751</v>
      </c>
      <c r="B132" s="331"/>
      <c r="C132" s="331">
        <v>7.7012503079194303</v>
      </c>
      <c r="D132" s="331"/>
      <c r="E132" s="331"/>
      <c r="F132" s="331"/>
      <c r="G132" s="331"/>
      <c r="H132" s="331">
        <v>7.7012503079194303</v>
      </c>
      <c r="I132" s="331">
        <v>7.7012503079194303</v>
      </c>
    </row>
    <row r="133" spans="1:9" x14ac:dyDescent="0.2">
      <c r="A133" s="87" t="s">
        <v>47</v>
      </c>
      <c r="B133" s="331">
        <v>52437.150000000009</v>
      </c>
      <c r="C133" s="331">
        <v>7945.0599999999995</v>
      </c>
      <c r="D133" s="331">
        <v>71174.8</v>
      </c>
      <c r="E133" s="331">
        <v>57364.800000000003</v>
      </c>
      <c r="F133" s="331">
        <v>9882.36</v>
      </c>
      <c r="G133" s="331">
        <v>59.3</v>
      </c>
      <c r="H133" s="331">
        <v>198863.47000000003</v>
      </c>
      <c r="I133" s="331">
        <v>198863.47000000003</v>
      </c>
    </row>
    <row r="134" spans="1:9" x14ac:dyDescent="0.2">
      <c r="A134" s="86" t="s">
        <v>387</v>
      </c>
      <c r="B134" s="331">
        <v>52437.150000000009</v>
      </c>
      <c r="C134" s="331">
        <v>4186.9799999999996</v>
      </c>
      <c r="D134" s="331">
        <v>70750.240000000005</v>
      </c>
      <c r="E134" s="331">
        <v>47601.760000000002</v>
      </c>
      <c r="F134" s="331">
        <v>1971.07</v>
      </c>
      <c r="G134" s="331">
        <v>0.39</v>
      </c>
      <c r="H134" s="331">
        <v>176947.59000000003</v>
      </c>
      <c r="I134" s="331">
        <v>176947.59000000003</v>
      </c>
    </row>
    <row r="135" spans="1:9" x14ac:dyDescent="0.2">
      <c r="A135" s="86" t="s">
        <v>364</v>
      </c>
      <c r="B135" s="331"/>
      <c r="C135" s="331">
        <v>3758.08</v>
      </c>
      <c r="D135" s="331">
        <v>424.56000000000006</v>
      </c>
      <c r="E135" s="331">
        <v>9763.0400000000009</v>
      </c>
      <c r="F135" s="331">
        <v>7911.2900000000009</v>
      </c>
      <c r="G135" s="331">
        <v>58.91</v>
      </c>
      <c r="H135" s="331">
        <v>21915.88</v>
      </c>
      <c r="I135" s="331">
        <v>21915.88</v>
      </c>
    </row>
    <row r="136" spans="1:9" x14ac:dyDescent="0.2">
      <c r="A136" s="87" t="s">
        <v>68</v>
      </c>
      <c r="B136" s="331"/>
      <c r="C136" s="331"/>
      <c r="D136" s="331">
        <v>1040.924095369314</v>
      </c>
      <c r="E136" s="331"/>
      <c r="F136" s="331">
        <v>177.43091939999999</v>
      </c>
      <c r="G136" s="331">
        <v>251.79</v>
      </c>
      <c r="H136" s="331">
        <v>1470.145014769314</v>
      </c>
      <c r="I136" s="331">
        <v>1470.145014769314</v>
      </c>
    </row>
    <row r="137" spans="1:9" x14ac:dyDescent="0.2">
      <c r="A137" s="86" t="s">
        <v>68</v>
      </c>
      <c r="B137" s="331"/>
      <c r="C137" s="331"/>
      <c r="D137" s="331">
        <v>1040.924095369314</v>
      </c>
      <c r="E137" s="331"/>
      <c r="F137" s="331">
        <v>177.43091939999999</v>
      </c>
      <c r="G137" s="331">
        <v>251.79</v>
      </c>
      <c r="H137" s="331">
        <v>1470.145014769314</v>
      </c>
      <c r="I137" s="331">
        <v>1470.145014769314</v>
      </c>
    </row>
    <row r="138" spans="1:9" x14ac:dyDescent="0.2">
      <c r="A138" s="87" t="s">
        <v>51</v>
      </c>
      <c r="B138" s="331">
        <v>852.04665941000007</v>
      </c>
      <c r="C138" s="331">
        <v>218.07999999999998</v>
      </c>
      <c r="D138" s="331">
        <v>1134.232444100066</v>
      </c>
      <c r="E138" s="331"/>
      <c r="F138" s="331">
        <v>108.55144584000001</v>
      </c>
      <c r="G138" s="331"/>
      <c r="H138" s="331">
        <v>2312.910549350066</v>
      </c>
      <c r="I138" s="331">
        <v>2312.910549350066</v>
      </c>
    </row>
    <row r="139" spans="1:9" x14ac:dyDescent="0.2">
      <c r="A139" s="86" t="s">
        <v>799</v>
      </c>
      <c r="B139" s="331"/>
      <c r="C139" s="331"/>
      <c r="D139" s="331">
        <v>485.17876939892415</v>
      </c>
      <c r="E139" s="331"/>
      <c r="F139" s="331">
        <v>25.796858880000002</v>
      </c>
      <c r="G139" s="331"/>
      <c r="H139" s="331">
        <v>510.97562827892415</v>
      </c>
      <c r="I139" s="331">
        <v>510.97562827892415</v>
      </c>
    </row>
    <row r="140" spans="1:9" x14ac:dyDescent="0.2">
      <c r="A140" s="86" t="s">
        <v>684</v>
      </c>
      <c r="B140" s="331"/>
      <c r="C140" s="331"/>
      <c r="D140" s="331"/>
      <c r="E140" s="331"/>
      <c r="F140" s="331">
        <v>57.577844880000001</v>
      </c>
      <c r="G140" s="331"/>
      <c r="H140" s="331">
        <v>57.577844880000001</v>
      </c>
      <c r="I140" s="331">
        <v>57.577844880000001</v>
      </c>
    </row>
    <row r="141" spans="1:9" x14ac:dyDescent="0.2">
      <c r="A141" s="86" t="s">
        <v>527</v>
      </c>
      <c r="B141" s="331">
        <v>802.87058975000002</v>
      </c>
      <c r="C141" s="331">
        <v>218.07999999999998</v>
      </c>
      <c r="D141" s="331">
        <v>649.05367470114174</v>
      </c>
      <c r="E141" s="331"/>
      <c r="F141" s="331">
        <v>25.176742080000004</v>
      </c>
      <c r="G141" s="331"/>
      <c r="H141" s="331">
        <v>1695.1810065311417</v>
      </c>
      <c r="I141" s="331">
        <v>1695.1810065311417</v>
      </c>
    </row>
    <row r="142" spans="1:9" x14ac:dyDescent="0.2">
      <c r="A142" s="86" t="s">
        <v>688</v>
      </c>
      <c r="B142" s="331">
        <v>49.176069660000003</v>
      </c>
      <c r="C142" s="331"/>
      <c r="D142" s="331"/>
      <c r="E142" s="331"/>
      <c r="F142" s="331"/>
      <c r="G142" s="331"/>
      <c r="H142" s="331">
        <v>49.176069660000003</v>
      </c>
      <c r="I142" s="331">
        <v>49.176069660000003</v>
      </c>
    </row>
    <row r="143" spans="1:9" x14ac:dyDescent="0.2">
      <c r="A143" s="87" t="s">
        <v>60</v>
      </c>
      <c r="B143" s="331"/>
      <c r="C143" s="331"/>
      <c r="D143" s="331"/>
      <c r="E143" s="331">
        <v>80.185418206057122</v>
      </c>
      <c r="F143" s="331">
        <v>208.2498392573398</v>
      </c>
      <c r="G143" s="331">
        <v>22.206800000000001</v>
      </c>
      <c r="H143" s="331">
        <v>310.6420574633969</v>
      </c>
      <c r="I143" s="331">
        <v>310.6420574633969</v>
      </c>
    </row>
    <row r="144" spans="1:9" x14ac:dyDescent="0.2">
      <c r="A144" s="86" t="s">
        <v>60</v>
      </c>
      <c r="B144" s="331"/>
      <c r="C144" s="331"/>
      <c r="D144" s="331"/>
      <c r="E144" s="331">
        <v>80.185418206057122</v>
      </c>
      <c r="F144" s="331">
        <v>208.2498392573398</v>
      </c>
      <c r="G144" s="331">
        <v>22.206800000000001</v>
      </c>
      <c r="H144" s="331">
        <v>310.6420574633969</v>
      </c>
      <c r="I144" s="331">
        <v>310.6420574633969</v>
      </c>
    </row>
    <row r="145" spans="1:9" x14ac:dyDescent="0.2">
      <c r="A145" s="87" t="s">
        <v>48</v>
      </c>
      <c r="B145" s="331"/>
      <c r="C145" s="331">
        <v>3104.9207878941852</v>
      </c>
      <c r="D145" s="331">
        <v>2230.1434666679243</v>
      </c>
      <c r="E145" s="331">
        <v>295.72801182410615</v>
      </c>
      <c r="F145" s="331">
        <v>535.61813454000003</v>
      </c>
      <c r="G145" s="331">
        <v>65.295999999999992</v>
      </c>
      <c r="H145" s="331">
        <v>6231.7064009262149</v>
      </c>
      <c r="I145" s="331">
        <v>6231.7064009262149</v>
      </c>
    </row>
    <row r="146" spans="1:9" x14ac:dyDescent="0.2">
      <c r="A146" s="86" t="s">
        <v>475</v>
      </c>
      <c r="B146" s="331"/>
      <c r="C146" s="331"/>
      <c r="D146" s="331">
        <v>85.044907150354277</v>
      </c>
      <c r="E146" s="331">
        <v>295.72801182410615</v>
      </c>
      <c r="F146" s="331">
        <v>288.02099922000002</v>
      </c>
      <c r="G146" s="331"/>
      <c r="H146" s="331">
        <v>668.7939181944605</v>
      </c>
      <c r="I146" s="331">
        <v>668.7939181944605</v>
      </c>
    </row>
    <row r="147" spans="1:9" x14ac:dyDescent="0.2">
      <c r="A147" s="86" t="s">
        <v>339</v>
      </c>
      <c r="B147" s="331"/>
      <c r="C147" s="331">
        <v>2310.3750923758294</v>
      </c>
      <c r="D147" s="331">
        <v>1217.0054824095839</v>
      </c>
      <c r="E147" s="331"/>
      <c r="F147" s="331"/>
      <c r="G147" s="331"/>
      <c r="H147" s="331">
        <v>3527.380574785413</v>
      </c>
      <c r="I147" s="331">
        <v>3527.380574785413</v>
      </c>
    </row>
    <row r="148" spans="1:9" x14ac:dyDescent="0.2">
      <c r="A148" s="86" t="s">
        <v>391</v>
      </c>
      <c r="B148" s="331"/>
      <c r="C148" s="331"/>
      <c r="D148" s="331"/>
      <c r="E148" s="331"/>
      <c r="F148" s="331">
        <v>7.8212231399999999</v>
      </c>
      <c r="G148" s="331"/>
      <c r="H148" s="331">
        <v>7.8212231399999999</v>
      </c>
      <c r="I148" s="331">
        <v>7.8212231399999999</v>
      </c>
    </row>
    <row r="149" spans="1:9" x14ac:dyDescent="0.2">
      <c r="A149" s="86" t="s">
        <v>402</v>
      </c>
      <c r="B149" s="331"/>
      <c r="C149" s="331">
        <v>191.72262641565425</v>
      </c>
      <c r="D149" s="331">
        <v>74.163040465264118</v>
      </c>
      <c r="E149" s="331"/>
      <c r="F149" s="331"/>
      <c r="G149" s="331"/>
      <c r="H149" s="331">
        <v>265.88566688091839</v>
      </c>
      <c r="I149" s="331">
        <v>265.88566688091839</v>
      </c>
    </row>
    <row r="150" spans="1:9" x14ac:dyDescent="0.2">
      <c r="A150" s="86" t="s">
        <v>353</v>
      </c>
      <c r="B150" s="331"/>
      <c r="C150" s="331">
        <v>318.28497397600216</v>
      </c>
      <c r="D150" s="331">
        <v>667.06689917136521</v>
      </c>
      <c r="E150" s="331"/>
      <c r="F150" s="331">
        <v>171.8498682</v>
      </c>
      <c r="G150" s="331"/>
      <c r="H150" s="331">
        <v>1157.2017413473673</v>
      </c>
      <c r="I150" s="331">
        <v>1157.2017413473673</v>
      </c>
    </row>
    <row r="151" spans="1:9" x14ac:dyDescent="0.2">
      <c r="A151" s="86" t="s">
        <v>356</v>
      </c>
      <c r="B151" s="331"/>
      <c r="C151" s="331">
        <v>284.5380951266992</v>
      </c>
      <c r="D151" s="331">
        <v>186.86313747135705</v>
      </c>
      <c r="E151" s="331"/>
      <c r="F151" s="331">
        <v>67.926043980000003</v>
      </c>
      <c r="G151" s="331">
        <v>65.295999999999992</v>
      </c>
      <c r="H151" s="331">
        <v>604.62327657805622</v>
      </c>
      <c r="I151" s="331">
        <v>604.62327657805622</v>
      </c>
    </row>
    <row r="152" spans="1:9" x14ac:dyDescent="0.2">
      <c r="A152" s="66" t="s">
        <v>2</v>
      </c>
      <c r="B152" s="331">
        <v>13000.908246160001</v>
      </c>
      <c r="C152" s="331">
        <v>17905.3007192</v>
      </c>
      <c r="D152" s="331">
        <v>18406.148359646904</v>
      </c>
      <c r="E152" s="331">
        <v>14379.89</v>
      </c>
      <c r="F152" s="331">
        <v>9577.6899999999987</v>
      </c>
      <c r="G152" s="331">
        <v>1706.925</v>
      </c>
      <c r="H152" s="331">
        <v>74976.862325006907</v>
      </c>
      <c r="I152" s="331">
        <v>74976.862325006907</v>
      </c>
    </row>
    <row r="153" spans="1:9" x14ac:dyDescent="0.2">
      <c r="A153" s="66" t="s">
        <v>3</v>
      </c>
      <c r="B153" s="331">
        <v>3037.68358605</v>
      </c>
      <c r="C153" s="331">
        <v>3150.1400000000003</v>
      </c>
      <c r="D153" s="331">
        <v>5502.4</v>
      </c>
      <c r="E153" s="331">
        <v>2182.16</v>
      </c>
      <c r="F153" s="331">
        <v>5392.4</v>
      </c>
      <c r="G153" s="331"/>
      <c r="H153" s="331">
        <v>19264.783586049998</v>
      </c>
      <c r="I153" s="331">
        <v>19264.783586049998</v>
      </c>
    </row>
    <row r="154" spans="1:9" x14ac:dyDescent="0.2">
      <c r="A154" s="65" t="s">
        <v>19</v>
      </c>
      <c r="B154" s="331">
        <v>512709.95747414482</v>
      </c>
      <c r="C154" s="331">
        <v>366753.00859795575</v>
      </c>
      <c r="D154" s="331">
        <v>691001.66605081293</v>
      </c>
      <c r="E154" s="331">
        <v>326940.39325401123</v>
      </c>
      <c r="F154" s="331">
        <v>357954.16086121195</v>
      </c>
      <c r="G154" s="331">
        <v>1046094839.6271563</v>
      </c>
      <c r="H154" s="331">
        <v>1048350198.8133943</v>
      </c>
      <c r="I154" s="331">
        <v>1048350198.8133943</v>
      </c>
    </row>
    <row r="155" spans="1:9" x14ac:dyDescent="0.2">
      <c r="B155"/>
    </row>
    <row r="156" spans="1:9" x14ac:dyDescent="0.2">
      <c r="B156"/>
    </row>
    <row r="157" spans="1:9" x14ac:dyDescent="0.2">
      <c r="B157"/>
    </row>
    <row r="158" spans="1:9" x14ac:dyDescent="0.2">
      <c r="B158"/>
    </row>
    <row r="159" spans="1:9" x14ac:dyDescent="0.2">
      <c r="B159"/>
    </row>
    <row r="160" spans="1:9" x14ac:dyDescent="0.2">
      <c r="B160"/>
    </row>
    <row r="161" spans="2:2" x14ac:dyDescent="0.2">
      <c r="B161"/>
    </row>
    <row r="162" spans="2:2" x14ac:dyDescent="0.2">
      <c r="B162"/>
    </row>
    <row r="163" spans="2:2" x14ac:dyDescent="0.2">
      <c r="B163"/>
    </row>
    <row r="164" spans="2:2" x14ac:dyDescent="0.2">
      <c r="B164"/>
    </row>
    <row r="165" spans="2:2" x14ac:dyDescent="0.2">
      <c r="B165"/>
    </row>
    <row r="166" spans="2:2" x14ac:dyDescent="0.2">
      <c r="B166"/>
    </row>
    <row r="167" spans="2:2" x14ac:dyDescent="0.2">
      <c r="B167"/>
    </row>
    <row r="168" spans="2:2" x14ac:dyDescent="0.2">
      <c r="B168"/>
    </row>
    <row r="169" spans="2:2" x14ac:dyDescent="0.2">
      <c r="B169"/>
    </row>
    <row r="170" spans="2:2" x14ac:dyDescent="0.2">
      <c r="B170"/>
    </row>
    <row r="171" spans="2:2" x14ac:dyDescent="0.2">
      <c r="B171"/>
    </row>
    <row r="172" spans="2:2" x14ac:dyDescent="0.2">
      <c r="B172"/>
    </row>
    <row r="173" spans="2:2" x14ac:dyDescent="0.2">
      <c r="B173"/>
    </row>
    <row r="174" spans="2:2" x14ac:dyDescent="0.2">
      <c r="B174"/>
    </row>
    <row r="175" spans="2:2" x14ac:dyDescent="0.2">
      <c r="B175"/>
    </row>
    <row r="176" spans="2:2" x14ac:dyDescent="0.2">
      <c r="B176"/>
    </row>
    <row r="177" spans="2:2" x14ac:dyDescent="0.2">
      <c r="B177"/>
    </row>
    <row r="178" spans="2:2" x14ac:dyDescent="0.2">
      <c r="B178"/>
    </row>
    <row r="179" spans="2:2" x14ac:dyDescent="0.2">
      <c r="B179"/>
    </row>
    <row r="180" spans="2:2" x14ac:dyDescent="0.2">
      <c r="B180"/>
    </row>
    <row r="181" spans="2:2" x14ac:dyDescent="0.2">
      <c r="B181"/>
    </row>
    <row r="182" spans="2:2" x14ac:dyDescent="0.2">
      <c r="B182"/>
    </row>
    <row r="183" spans="2:2" x14ac:dyDescent="0.2">
      <c r="B183"/>
    </row>
    <row r="184" spans="2:2" x14ac:dyDescent="0.2">
      <c r="B184"/>
    </row>
    <row r="185" spans="2:2" x14ac:dyDescent="0.2">
      <c r="B185"/>
    </row>
    <row r="186" spans="2:2" x14ac:dyDescent="0.2">
      <c r="B186"/>
    </row>
    <row r="187" spans="2:2" x14ac:dyDescent="0.2">
      <c r="B187"/>
    </row>
    <row r="188" spans="2:2" x14ac:dyDescent="0.2">
      <c r="B188"/>
    </row>
    <row r="189" spans="2:2" x14ac:dyDescent="0.2">
      <c r="B189"/>
    </row>
    <row r="190" spans="2:2" x14ac:dyDescent="0.2">
      <c r="B190"/>
    </row>
    <row r="191" spans="2:2" x14ac:dyDescent="0.2">
      <c r="B191"/>
    </row>
    <row r="192" spans="2:2" x14ac:dyDescent="0.2">
      <c r="B192"/>
    </row>
    <row r="193" spans="2:2" x14ac:dyDescent="0.2">
      <c r="B193"/>
    </row>
    <row r="194" spans="2:2" x14ac:dyDescent="0.2">
      <c r="B194"/>
    </row>
    <row r="195" spans="2:2" x14ac:dyDescent="0.2">
      <c r="B195"/>
    </row>
    <row r="196" spans="2:2" x14ac:dyDescent="0.2">
      <c r="B196"/>
    </row>
    <row r="197" spans="2:2" x14ac:dyDescent="0.2">
      <c r="B197"/>
    </row>
    <row r="198" spans="2:2" x14ac:dyDescent="0.2">
      <c r="B198"/>
    </row>
    <row r="199" spans="2:2" x14ac:dyDescent="0.2">
      <c r="B199"/>
    </row>
    <row r="200" spans="2:2" x14ac:dyDescent="0.2">
      <c r="B200"/>
    </row>
    <row r="201" spans="2:2" x14ac:dyDescent="0.2">
      <c r="B201"/>
    </row>
    <row r="202" spans="2:2" x14ac:dyDescent="0.2">
      <c r="B202"/>
    </row>
    <row r="203" spans="2:2" x14ac:dyDescent="0.2">
      <c r="B203"/>
    </row>
    <row r="204" spans="2:2" x14ac:dyDescent="0.2">
      <c r="B204"/>
    </row>
    <row r="205" spans="2:2" x14ac:dyDescent="0.2">
      <c r="B205"/>
    </row>
    <row r="206" spans="2:2" x14ac:dyDescent="0.2">
      <c r="B206"/>
    </row>
    <row r="207" spans="2:2" x14ac:dyDescent="0.2">
      <c r="B207"/>
    </row>
    <row r="208" spans="2:2" x14ac:dyDescent="0.2">
      <c r="B208"/>
    </row>
    <row r="209" spans="2:2" x14ac:dyDescent="0.2">
      <c r="B209"/>
    </row>
    <row r="210" spans="2:2" x14ac:dyDescent="0.2">
      <c r="B210"/>
    </row>
    <row r="211" spans="2:2" x14ac:dyDescent="0.2">
      <c r="B211"/>
    </row>
    <row r="212" spans="2:2" x14ac:dyDescent="0.2">
      <c r="B212"/>
    </row>
    <row r="213" spans="2:2" x14ac:dyDescent="0.2">
      <c r="B213"/>
    </row>
    <row r="214" spans="2:2" x14ac:dyDescent="0.2">
      <c r="B214"/>
    </row>
    <row r="215" spans="2:2" x14ac:dyDescent="0.2">
      <c r="B215"/>
    </row>
    <row r="216" spans="2:2" x14ac:dyDescent="0.2">
      <c r="B216"/>
    </row>
    <row r="217" spans="2:2" x14ac:dyDescent="0.2">
      <c r="B217"/>
    </row>
    <row r="218" spans="2:2" x14ac:dyDescent="0.2">
      <c r="B218"/>
    </row>
    <row r="219" spans="2:2" x14ac:dyDescent="0.2">
      <c r="B219"/>
    </row>
    <row r="220" spans="2:2" x14ac:dyDescent="0.2">
      <c r="B220"/>
    </row>
    <row r="221" spans="2:2" x14ac:dyDescent="0.2">
      <c r="B221"/>
    </row>
    <row r="222" spans="2:2" x14ac:dyDescent="0.2">
      <c r="B222"/>
    </row>
    <row r="223" spans="2:2" x14ac:dyDescent="0.2">
      <c r="B223"/>
    </row>
    <row r="224" spans="2:2" x14ac:dyDescent="0.2">
      <c r="B224"/>
    </row>
    <row r="225" spans="2:2" x14ac:dyDescent="0.2">
      <c r="B225"/>
    </row>
    <row r="226" spans="2:2" x14ac:dyDescent="0.2">
      <c r="B226"/>
    </row>
    <row r="227" spans="2:2" x14ac:dyDescent="0.2">
      <c r="B227"/>
    </row>
    <row r="228" spans="2:2" x14ac:dyDescent="0.2">
      <c r="B228"/>
    </row>
    <row r="229" spans="2:2" x14ac:dyDescent="0.2">
      <c r="B229"/>
    </row>
    <row r="230" spans="2:2" x14ac:dyDescent="0.2">
      <c r="B230"/>
    </row>
    <row r="231" spans="2:2" x14ac:dyDescent="0.2">
      <c r="B231"/>
    </row>
    <row r="232" spans="2:2" x14ac:dyDescent="0.2">
      <c r="B232"/>
    </row>
    <row r="233" spans="2:2" x14ac:dyDescent="0.2">
      <c r="B233"/>
    </row>
    <row r="234" spans="2:2" x14ac:dyDescent="0.2">
      <c r="B234"/>
    </row>
    <row r="235" spans="2:2" x14ac:dyDescent="0.2">
      <c r="B235"/>
    </row>
    <row r="236" spans="2:2" x14ac:dyDescent="0.2">
      <c r="B236"/>
    </row>
    <row r="237" spans="2:2" x14ac:dyDescent="0.2">
      <c r="B237"/>
    </row>
    <row r="238" spans="2:2" x14ac:dyDescent="0.2">
      <c r="B238"/>
    </row>
    <row r="239" spans="2:2" x14ac:dyDescent="0.2">
      <c r="B239"/>
    </row>
    <row r="240" spans="2:2" x14ac:dyDescent="0.2">
      <c r="B240"/>
    </row>
    <row r="241" spans="2:2" x14ac:dyDescent="0.2">
      <c r="B241"/>
    </row>
    <row r="242" spans="2:2" x14ac:dyDescent="0.2">
      <c r="B242"/>
    </row>
    <row r="243" spans="2:2" x14ac:dyDescent="0.2">
      <c r="B243"/>
    </row>
    <row r="244" spans="2:2" x14ac:dyDescent="0.2">
      <c r="B244"/>
    </row>
    <row r="245" spans="2:2" x14ac:dyDescent="0.2">
      <c r="B245"/>
    </row>
    <row r="246" spans="2:2" x14ac:dyDescent="0.2">
      <c r="B246"/>
    </row>
    <row r="247" spans="2:2" x14ac:dyDescent="0.2">
      <c r="B247"/>
    </row>
    <row r="248" spans="2:2" x14ac:dyDescent="0.2">
      <c r="B248"/>
    </row>
    <row r="249" spans="2:2" x14ac:dyDescent="0.2">
      <c r="B249"/>
    </row>
    <row r="250" spans="2:2" x14ac:dyDescent="0.2">
      <c r="B250"/>
    </row>
    <row r="251" spans="2:2" x14ac:dyDescent="0.2">
      <c r="B251"/>
    </row>
    <row r="252" spans="2:2" x14ac:dyDescent="0.2">
      <c r="B252"/>
    </row>
    <row r="253" spans="2:2" x14ac:dyDescent="0.2">
      <c r="B253"/>
    </row>
    <row r="254" spans="2:2" x14ac:dyDescent="0.2">
      <c r="B254"/>
    </row>
    <row r="255" spans="2:2" x14ac:dyDescent="0.2">
      <c r="B255"/>
    </row>
    <row r="256" spans="2:2" x14ac:dyDescent="0.2">
      <c r="B256"/>
    </row>
    <row r="257" spans="2:2" x14ac:dyDescent="0.2">
      <c r="B257"/>
    </row>
    <row r="258" spans="2:2" x14ac:dyDescent="0.2">
      <c r="B258"/>
    </row>
    <row r="259" spans="2:2" x14ac:dyDescent="0.2">
      <c r="B259"/>
    </row>
    <row r="260" spans="2:2" x14ac:dyDescent="0.2">
      <c r="B260"/>
    </row>
    <row r="261" spans="2:2" x14ac:dyDescent="0.2">
      <c r="B261"/>
    </row>
    <row r="262" spans="2:2" x14ac:dyDescent="0.2">
      <c r="B262"/>
    </row>
    <row r="263" spans="2:2" x14ac:dyDescent="0.2">
      <c r="B263"/>
    </row>
    <row r="264" spans="2:2" x14ac:dyDescent="0.2">
      <c r="B264"/>
    </row>
    <row r="265" spans="2:2" x14ac:dyDescent="0.2">
      <c r="B265"/>
    </row>
    <row r="266" spans="2:2" x14ac:dyDescent="0.2">
      <c r="B266"/>
    </row>
    <row r="267" spans="2:2" x14ac:dyDescent="0.2">
      <c r="B267"/>
    </row>
    <row r="268" spans="2:2" x14ac:dyDescent="0.2">
      <c r="B268"/>
    </row>
    <row r="269" spans="2:2" x14ac:dyDescent="0.2">
      <c r="B269"/>
    </row>
    <row r="270" spans="2:2" x14ac:dyDescent="0.2">
      <c r="B270"/>
    </row>
    <row r="271" spans="2:2" x14ac:dyDescent="0.2">
      <c r="B271"/>
    </row>
    <row r="272" spans="2:2" x14ac:dyDescent="0.2">
      <c r="B272"/>
    </row>
    <row r="273" spans="2:2" x14ac:dyDescent="0.2">
      <c r="B273"/>
    </row>
    <row r="274" spans="2:2" x14ac:dyDescent="0.2">
      <c r="B274"/>
    </row>
    <row r="275" spans="2:2" x14ac:dyDescent="0.2">
      <c r="B275"/>
    </row>
    <row r="276" spans="2:2" x14ac:dyDescent="0.2">
      <c r="B276"/>
    </row>
    <row r="277" spans="2:2" x14ac:dyDescent="0.2">
      <c r="B277"/>
    </row>
    <row r="278" spans="2:2" x14ac:dyDescent="0.2">
      <c r="B278"/>
    </row>
    <row r="279" spans="2:2" x14ac:dyDescent="0.2">
      <c r="B279"/>
    </row>
    <row r="280" spans="2:2" x14ac:dyDescent="0.2">
      <c r="B280"/>
    </row>
    <row r="281" spans="2:2" x14ac:dyDescent="0.2">
      <c r="B281"/>
    </row>
    <row r="282" spans="2:2" x14ac:dyDescent="0.2">
      <c r="B282"/>
    </row>
    <row r="283" spans="2:2" x14ac:dyDescent="0.2">
      <c r="B283"/>
    </row>
    <row r="284" spans="2:2" x14ac:dyDescent="0.2">
      <c r="B284"/>
    </row>
    <row r="285" spans="2:2" x14ac:dyDescent="0.2">
      <c r="B285"/>
    </row>
    <row r="286" spans="2:2" x14ac:dyDescent="0.2">
      <c r="B286"/>
    </row>
    <row r="287" spans="2:2" x14ac:dyDescent="0.2">
      <c r="B287"/>
    </row>
    <row r="288" spans="2:2" x14ac:dyDescent="0.2">
      <c r="B288"/>
    </row>
    <row r="289" spans="2:2" x14ac:dyDescent="0.2">
      <c r="B289"/>
    </row>
    <row r="290" spans="2:2" x14ac:dyDescent="0.2">
      <c r="B290"/>
    </row>
    <row r="291" spans="2:2" x14ac:dyDescent="0.2">
      <c r="B291"/>
    </row>
    <row r="292" spans="2:2" x14ac:dyDescent="0.2">
      <c r="B292"/>
    </row>
    <row r="293" spans="2:2" x14ac:dyDescent="0.2">
      <c r="B293"/>
    </row>
    <row r="294" spans="2:2" x14ac:dyDescent="0.2">
      <c r="B294"/>
    </row>
    <row r="295" spans="2:2" x14ac:dyDescent="0.2">
      <c r="B295"/>
    </row>
    <row r="296" spans="2:2" x14ac:dyDescent="0.2">
      <c r="B296"/>
    </row>
    <row r="297" spans="2:2" x14ac:dyDescent="0.2">
      <c r="B297"/>
    </row>
    <row r="298" spans="2:2" x14ac:dyDescent="0.2">
      <c r="B298"/>
    </row>
    <row r="299" spans="2:2" x14ac:dyDescent="0.2">
      <c r="B299"/>
    </row>
    <row r="300" spans="2:2" x14ac:dyDescent="0.2">
      <c r="B300"/>
    </row>
    <row r="301" spans="2:2" x14ac:dyDescent="0.2">
      <c r="B301"/>
    </row>
    <row r="302" spans="2:2" x14ac:dyDescent="0.2">
      <c r="B302"/>
    </row>
    <row r="303" spans="2:2" x14ac:dyDescent="0.2">
      <c r="B303"/>
    </row>
    <row r="304" spans="2:2" x14ac:dyDescent="0.2">
      <c r="B304"/>
    </row>
    <row r="305" spans="2:2" x14ac:dyDescent="0.2">
      <c r="B305"/>
    </row>
    <row r="306" spans="2:2" x14ac:dyDescent="0.2">
      <c r="B306"/>
    </row>
    <row r="307" spans="2:2" x14ac:dyDescent="0.2">
      <c r="B307"/>
    </row>
    <row r="308" spans="2:2" x14ac:dyDescent="0.2">
      <c r="B308"/>
    </row>
    <row r="309" spans="2:2" x14ac:dyDescent="0.2">
      <c r="B309"/>
    </row>
    <row r="310" spans="2:2" x14ac:dyDescent="0.2">
      <c r="B310"/>
    </row>
    <row r="311" spans="2:2" x14ac:dyDescent="0.2">
      <c r="B311"/>
    </row>
    <row r="312" spans="2:2" x14ac:dyDescent="0.2">
      <c r="B312"/>
    </row>
    <row r="313" spans="2:2" x14ac:dyDescent="0.2">
      <c r="B313"/>
    </row>
    <row r="314" spans="2:2" x14ac:dyDescent="0.2">
      <c r="B314"/>
    </row>
    <row r="315" spans="2:2" x14ac:dyDescent="0.2">
      <c r="B315"/>
    </row>
    <row r="316" spans="2:2" x14ac:dyDescent="0.2">
      <c r="B316"/>
    </row>
    <row r="317" spans="2:2" x14ac:dyDescent="0.2">
      <c r="B317"/>
    </row>
    <row r="318" spans="2:2" x14ac:dyDescent="0.2">
      <c r="B318"/>
    </row>
    <row r="319" spans="2:2" x14ac:dyDescent="0.2">
      <c r="B319"/>
    </row>
    <row r="320" spans="2:2" x14ac:dyDescent="0.2">
      <c r="B320"/>
    </row>
    <row r="321" spans="2:2" x14ac:dyDescent="0.2">
      <c r="B321"/>
    </row>
    <row r="322" spans="2:2" x14ac:dyDescent="0.2">
      <c r="B322"/>
    </row>
    <row r="323" spans="2:2" x14ac:dyDescent="0.2">
      <c r="B323"/>
    </row>
    <row r="324" spans="2:2" x14ac:dyDescent="0.2">
      <c r="B324"/>
    </row>
    <row r="325" spans="2:2" x14ac:dyDescent="0.2">
      <c r="B325"/>
    </row>
    <row r="326" spans="2:2" x14ac:dyDescent="0.2">
      <c r="B326"/>
    </row>
    <row r="327" spans="2:2" x14ac:dyDescent="0.2">
      <c r="B327"/>
    </row>
    <row r="328" spans="2:2" x14ac:dyDescent="0.2">
      <c r="B328"/>
    </row>
    <row r="329" spans="2:2" x14ac:dyDescent="0.2">
      <c r="B329"/>
    </row>
    <row r="330" spans="2:2" x14ac:dyDescent="0.2">
      <c r="B330"/>
    </row>
    <row r="331" spans="2:2" x14ac:dyDescent="0.2">
      <c r="B331"/>
    </row>
    <row r="332" spans="2:2" x14ac:dyDescent="0.2">
      <c r="B332"/>
    </row>
    <row r="333" spans="2:2" x14ac:dyDescent="0.2">
      <c r="B333"/>
    </row>
    <row r="334" spans="2:2" x14ac:dyDescent="0.2">
      <c r="B334"/>
    </row>
    <row r="335" spans="2:2" x14ac:dyDescent="0.2">
      <c r="B335"/>
    </row>
    <row r="336" spans="2:2" x14ac:dyDescent="0.2">
      <c r="B336"/>
    </row>
    <row r="337" spans="2:2" x14ac:dyDescent="0.2">
      <c r="B337"/>
    </row>
    <row r="338" spans="2:2" x14ac:dyDescent="0.2">
      <c r="B338"/>
    </row>
    <row r="339" spans="2:2" x14ac:dyDescent="0.2">
      <c r="B339"/>
    </row>
    <row r="340" spans="2:2" x14ac:dyDescent="0.2">
      <c r="B340"/>
    </row>
    <row r="341" spans="2:2" x14ac:dyDescent="0.2">
      <c r="B341"/>
    </row>
    <row r="342" spans="2:2" x14ac:dyDescent="0.2">
      <c r="B342"/>
    </row>
    <row r="343" spans="2:2" x14ac:dyDescent="0.2">
      <c r="B343"/>
    </row>
    <row r="344" spans="2:2" x14ac:dyDescent="0.2">
      <c r="B344"/>
    </row>
    <row r="345" spans="2:2" x14ac:dyDescent="0.2">
      <c r="B345"/>
    </row>
    <row r="346" spans="2:2" x14ac:dyDescent="0.2">
      <c r="B346"/>
    </row>
    <row r="347" spans="2:2" x14ac:dyDescent="0.2">
      <c r="B347"/>
    </row>
    <row r="348" spans="2:2" x14ac:dyDescent="0.2">
      <c r="B348"/>
    </row>
    <row r="349" spans="2:2" x14ac:dyDescent="0.2">
      <c r="B349"/>
    </row>
    <row r="350" spans="2:2" x14ac:dyDescent="0.2">
      <c r="B350"/>
    </row>
    <row r="351" spans="2:2" x14ac:dyDescent="0.2">
      <c r="B351"/>
    </row>
    <row r="352" spans="2:2" x14ac:dyDescent="0.2">
      <c r="B352"/>
    </row>
    <row r="353" spans="2:2" x14ac:dyDescent="0.2">
      <c r="B353"/>
    </row>
    <row r="354" spans="2:2" x14ac:dyDescent="0.2">
      <c r="B354"/>
    </row>
    <row r="355" spans="2:2" x14ac:dyDescent="0.2">
      <c r="B355"/>
    </row>
    <row r="356" spans="2:2" x14ac:dyDescent="0.2">
      <c r="B356"/>
    </row>
    <row r="357" spans="2:2" x14ac:dyDescent="0.2">
      <c r="B357"/>
    </row>
    <row r="358" spans="2:2" x14ac:dyDescent="0.2">
      <c r="B358"/>
    </row>
    <row r="359" spans="2:2" x14ac:dyDescent="0.2">
      <c r="B359"/>
    </row>
    <row r="360" spans="2:2" x14ac:dyDescent="0.2">
      <c r="B360"/>
    </row>
    <row r="361" spans="2:2" x14ac:dyDescent="0.2">
      <c r="B361"/>
    </row>
    <row r="362" spans="2:2" x14ac:dyDescent="0.2">
      <c r="B362"/>
    </row>
    <row r="363" spans="2:2" x14ac:dyDescent="0.2">
      <c r="B363"/>
    </row>
    <row r="364" spans="2:2" x14ac:dyDescent="0.2">
      <c r="B364"/>
    </row>
    <row r="365" spans="2:2" x14ac:dyDescent="0.2">
      <c r="B365"/>
    </row>
    <row r="366" spans="2:2" x14ac:dyDescent="0.2">
      <c r="B366"/>
    </row>
    <row r="367" spans="2:2" x14ac:dyDescent="0.2">
      <c r="B367"/>
    </row>
    <row r="368" spans="2:2" x14ac:dyDescent="0.2">
      <c r="B368"/>
    </row>
    <row r="369" spans="2:2" x14ac:dyDescent="0.2">
      <c r="B369"/>
    </row>
    <row r="370" spans="2:2" x14ac:dyDescent="0.2">
      <c r="B370"/>
    </row>
    <row r="371" spans="2:2" x14ac:dyDescent="0.2">
      <c r="B371"/>
    </row>
    <row r="372" spans="2:2" x14ac:dyDescent="0.2">
      <c r="B372"/>
    </row>
    <row r="373" spans="2:2" x14ac:dyDescent="0.2">
      <c r="B373"/>
    </row>
    <row r="374" spans="2:2" x14ac:dyDescent="0.2">
      <c r="B374"/>
    </row>
    <row r="375" spans="2:2" x14ac:dyDescent="0.2">
      <c r="B375"/>
    </row>
    <row r="376" spans="2:2" x14ac:dyDescent="0.2">
      <c r="B376"/>
    </row>
    <row r="377" spans="2:2" x14ac:dyDescent="0.2">
      <c r="B377"/>
    </row>
    <row r="378" spans="2:2" x14ac:dyDescent="0.2">
      <c r="B378"/>
    </row>
    <row r="379" spans="2:2" x14ac:dyDescent="0.2">
      <c r="B379"/>
    </row>
    <row r="380" spans="2:2" x14ac:dyDescent="0.2">
      <c r="B380"/>
    </row>
    <row r="381" spans="2:2" x14ac:dyDescent="0.2">
      <c r="B381"/>
    </row>
    <row r="382" spans="2:2" x14ac:dyDescent="0.2">
      <c r="B382"/>
    </row>
    <row r="383" spans="2:2" x14ac:dyDescent="0.2">
      <c r="B383"/>
    </row>
    <row r="384" spans="2:2" x14ac:dyDescent="0.2">
      <c r="B384"/>
    </row>
    <row r="385" spans="2:2" x14ac:dyDescent="0.2">
      <c r="B385"/>
    </row>
    <row r="386" spans="2:2" x14ac:dyDescent="0.2">
      <c r="B386"/>
    </row>
    <row r="387" spans="2:2" x14ac:dyDescent="0.2">
      <c r="B387"/>
    </row>
    <row r="388" spans="2:2" x14ac:dyDescent="0.2">
      <c r="B388"/>
    </row>
    <row r="389" spans="2:2" x14ac:dyDescent="0.2">
      <c r="B389"/>
    </row>
    <row r="390" spans="2:2" x14ac:dyDescent="0.2">
      <c r="B390"/>
    </row>
    <row r="391" spans="2:2" x14ac:dyDescent="0.2">
      <c r="B391"/>
    </row>
    <row r="392" spans="2:2" x14ac:dyDescent="0.2">
      <c r="B392"/>
    </row>
    <row r="393" spans="2:2" x14ac:dyDescent="0.2">
      <c r="B393"/>
    </row>
    <row r="394" spans="2:2" x14ac:dyDescent="0.2">
      <c r="B394"/>
    </row>
    <row r="395" spans="2:2" x14ac:dyDescent="0.2">
      <c r="B395"/>
    </row>
    <row r="396" spans="2:2" x14ac:dyDescent="0.2">
      <c r="B396"/>
    </row>
    <row r="397" spans="2:2" x14ac:dyDescent="0.2">
      <c r="B397"/>
    </row>
    <row r="398" spans="2:2" x14ac:dyDescent="0.2">
      <c r="B398"/>
    </row>
    <row r="399" spans="2:2" x14ac:dyDescent="0.2">
      <c r="B399"/>
    </row>
    <row r="400" spans="2:2" x14ac:dyDescent="0.2">
      <c r="B400"/>
    </row>
    <row r="401" spans="2:2" x14ac:dyDescent="0.2">
      <c r="B401"/>
    </row>
    <row r="402" spans="2:2" x14ac:dyDescent="0.2">
      <c r="B402"/>
    </row>
    <row r="403" spans="2:2" x14ac:dyDescent="0.2">
      <c r="B403"/>
    </row>
    <row r="404" spans="2:2" x14ac:dyDescent="0.2">
      <c r="B404"/>
    </row>
    <row r="405" spans="2:2" x14ac:dyDescent="0.2">
      <c r="B405"/>
    </row>
    <row r="406" spans="2:2" x14ac:dyDescent="0.2">
      <c r="B406"/>
    </row>
    <row r="407" spans="2:2" x14ac:dyDescent="0.2">
      <c r="B407"/>
    </row>
    <row r="408" spans="2:2" x14ac:dyDescent="0.2">
      <c r="B408"/>
    </row>
    <row r="409" spans="2:2" x14ac:dyDescent="0.2">
      <c r="B409"/>
    </row>
    <row r="410" spans="2:2" x14ac:dyDescent="0.2">
      <c r="B410"/>
    </row>
    <row r="411" spans="2:2" x14ac:dyDescent="0.2">
      <c r="B411"/>
    </row>
    <row r="412" spans="2:2" x14ac:dyDescent="0.2">
      <c r="B412"/>
    </row>
    <row r="413" spans="2:2" x14ac:dyDescent="0.2">
      <c r="B413"/>
    </row>
    <row r="414" spans="2:2" x14ac:dyDescent="0.2">
      <c r="B414"/>
    </row>
    <row r="415" spans="2:2" x14ac:dyDescent="0.2">
      <c r="B415"/>
    </row>
    <row r="416" spans="2:2" x14ac:dyDescent="0.2">
      <c r="B416"/>
    </row>
    <row r="417" spans="2:2" x14ac:dyDescent="0.2">
      <c r="B417"/>
    </row>
    <row r="418" spans="2:2" x14ac:dyDescent="0.2">
      <c r="B418"/>
    </row>
    <row r="419" spans="2:2" x14ac:dyDescent="0.2">
      <c r="B419"/>
    </row>
    <row r="420" spans="2:2" x14ac:dyDescent="0.2">
      <c r="B420"/>
    </row>
    <row r="421" spans="2:2" x14ac:dyDescent="0.2">
      <c r="B421"/>
    </row>
    <row r="422" spans="2:2" x14ac:dyDescent="0.2">
      <c r="B422"/>
    </row>
    <row r="423" spans="2:2" x14ac:dyDescent="0.2">
      <c r="B423"/>
    </row>
    <row r="424" spans="2:2" x14ac:dyDescent="0.2">
      <c r="B424"/>
    </row>
    <row r="425" spans="2:2" x14ac:dyDescent="0.2">
      <c r="B425"/>
    </row>
    <row r="426" spans="2:2" x14ac:dyDescent="0.2">
      <c r="B426"/>
    </row>
    <row r="427" spans="2:2" x14ac:dyDescent="0.2">
      <c r="B427"/>
    </row>
    <row r="428" spans="2:2" x14ac:dyDescent="0.2">
      <c r="B428"/>
    </row>
    <row r="429" spans="2:2" x14ac:dyDescent="0.2">
      <c r="B429"/>
    </row>
    <row r="430" spans="2:2" x14ac:dyDescent="0.2">
      <c r="B430"/>
    </row>
    <row r="431" spans="2:2" x14ac:dyDescent="0.2">
      <c r="B431"/>
    </row>
    <row r="432" spans="2:2" x14ac:dyDescent="0.2">
      <c r="B432"/>
    </row>
    <row r="433" spans="2:2" x14ac:dyDescent="0.2">
      <c r="B433"/>
    </row>
    <row r="434" spans="2:2" x14ac:dyDescent="0.2">
      <c r="B434"/>
    </row>
    <row r="435" spans="2:2" x14ac:dyDescent="0.2">
      <c r="B435"/>
    </row>
    <row r="436" spans="2:2" x14ac:dyDescent="0.2">
      <c r="B436"/>
    </row>
    <row r="437" spans="2:2" x14ac:dyDescent="0.2">
      <c r="B437"/>
    </row>
    <row r="438" spans="2:2" x14ac:dyDescent="0.2">
      <c r="B438"/>
    </row>
    <row r="439" spans="2:2" x14ac:dyDescent="0.2">
      <c r="B439"/>
    </row>
    <row r="440" spans="2:2" x14ac:dyDescent="0.2">
      <c r="B440"/>
    </row>
    <row r="441" spans="2:2" x14ac:dyDescent="0.2">
      <c r="B441"/>
    </row>
    <row r="442" spans="2:2" x14ac:dyDescent="0.2">
      <c r="B442"/>
    </row>
    <row r="443" spans="2:2" x14ac:dyDescent="0.2">
      <c r="B443"/>
    </row>
    <row r="444" spans="2:2" x14ac:dyDescent="0.2">
      <c r="B444"/>
    </row>
    <row r="445" spans="2:2" x14ac:dyDescent="0.2">
      <c r="B445"/>
    </row>
    <row r="446" spans="2:2" x14ac:dyDescent="0.2">
      <c r="B446"/>
    </row>
    <row r="447" spans="2:2" x14ac:dyDescent="0.2">
      <c r="B447"/>
    </row>
    <row r="448" spans="2:2" x14ac:dyDescent="0.2">
      <c r="B448"/>
    </row>
    <row r="449" spans="2:2" x14ac:dyDescent="0.2">
      <c r="B449"/>
    </row>
    <row r="450" spans="2:2" x14ac:dyDescent="0.2">
      <c r="B450"/>
    </row>
    <row r="451" spans="2:2" x14ac:dyDescent="0.2">
      <c r="B451"/>
    </row>
    <row r="452" spans="2:2" x14ac:dyDescent="0.2">
      <c r="B452"/>
    </row>
    <row r="453" spans="2:2" x14ac:dyDescent="0.2">
      <c r="B453"/>
    </row>
    <row r="454" spans="2:2" x14ac:dyDescent="0.2">
      <c r="B454"/>
    </row>
    <row r="455" spans="2:2" x14ac:dyDescent="0.2">
      <c r="B455"/>
    </row>
    <row r="456" spans="2:2" x14ac:dyDescent="0.2">
      <c r="B456"/>
    </row>
    <row r="457" spans="2:2" x14ac:dyDescent="0.2">
      <c r="B457"/>
    </row>
    <row r="458" spans="2:2" x14ac:dyDescent="0.2">
      <c r="B458"/>
    </row>
    <row r="459" spans="2:2" x14ac:dyDescent="0.2">
      <c r="B459"/>
    </row>
    <row r="460" spans="2:2" x14ac:dyDescent="0.2">
      <c r="B460"/>
    </row>
    <row r="461" spans="2:2" x14ac:dyDescent="0.2">
      <c r="B461"/>
    </row>
    <row r="462" spans="2:2" x14ac:dyDescent="0.2">
      <c r="B462"/>
    </row>
    <row r="463" spans="2:2" x14ac:dyDescent="0.2">
      <c r="B463"/>
    </row>
    <row r="464" spans="2:2" x14ac:dyDescent="0.2">
      <c r="B464"/>
    </row>
    <row r="465" spans="2:2" x14ac:dyDescent="0.2">
      <c r="B465"/>
    </row>
    <row r="466" spans="2:2" x14ac:dyDescent="0.2">
      <c r="B466"/>
    </row>
    <row r="467" spans="2:2" x14ac:dyDescent="0.2">
      <c r="B467"/>
    </row>
    <row r="468" spans="2:2" x14ac:dyDescent="0.2">
      <c r="B468"/>
    </row>
    <row r="469" spans="2:2" x14ac:dyDescent="0.2">
      <c r="B469"/>
    </row>
    <row r="470" spans="2:2" x14ac:dyDescent="0.2">
      <c r="B470"/>
    </row>
    <row r="471" spans="2:2" x14ac:dyDescent="0.2">
      <c r="B471"/>
    </row>
    <row r="472" spans="2:2" x14ac:dyDescent="0.2">
      <c r="B472"/>
    </row>
    <row r="473" spans="2:2" x14ac:dyDescent="0.2">
      <c r="B473"/>
    </row>
    <row r="474" spans="2:2" x14ac:dyDescent="0.2">
      <c r="B474"/>
    </row>
    <row r="475" spans="2:2" x14ac:dyDescent="0.2">
      <c r="B475"/>
    </row>
    <row r="476" spans="2:2" x14ac:dyDescent="0.2">
      <c r="B476"/>
    </row>
    <row r="477" spans="2:2" x14ac:dyDescent="0.2">
      <c r="B477"/>
    </row>
    <row r="478" spans="2:2" x14ac:dyDescent="0.2">
      <c r="B478"/>
    </row>
    <row r="479" spans="2:2" x14ac:dyDescent="0.2">
      <c r="B479"/>
    </row>
    <row r="480" spans="2:2" x14ac:dyDescent="0.2">
      <c r="B480"/>
    </row>
    <row r="481" spans="2:2" x14ac:dyDescent="0.2">
      <c r="B481"/>
    </row>
    <row r="482" spans="2:2" x14ac:dyDescent="0.2">
      <c r="B482"/>
    </row>
    <row r="483" spans="2:2" x14ac:dyDescent="0.2">
      <c r="B483"/>
    </row>
    <row r="484" spans="2:2" x14ac:dyDescent="0.2">
      <c r="B484"/>
    </row>
    <row r="485" spans="2:2" x14ac:dyDescent="0.2">
      <c r="B485"/>
    </row>
    <row r="486" spans="2:2" x14ac:dyDescent="0.2">
      <c r="B486"/>
    </row>
    <row r="487" spans="2:2" x14ac:dyDescent="0.2">
      <c r="B487"/>
    </row>
    <row r="488" spans="2:2" x14ac:dyDescent="0.2">
      <c r="B488"/>
    </row>
    <row r="489" spans="2:2" x14ac:dyDescent="0.2">
      <c r="B489"/>
    </row>
    <row r="490" spans="2:2" x14ac:dyDescent="0.2">
      <c r="B490"/>
    </row>
    <row r="491" spans="2:2" x14ac:dyDescent="0.2">
      <c r="B491"/>
    </row>
    <row r="492" spans="2:2" x14ac:dyDescent="0.2">
      <c r="B492"/>
    </row>
    <row r="493" spans="2:2" x14ac:dyDescent="0.2">
      <c r="B493"/>
    </row>
    <row r="494" spans="2:2" x14ac:dyDescent="0.2">
      <c r="B494"/>
    </row>
    <row r="495" spans="2:2" x14ac:dyDescent="0.2">
      <c r="B495"/>
    </row>
    <row r="496" spans="2:2" x14ac:dyDescent="0.2">
      <c r="B496"/>
    </row>
    <row r="497" spans="2:2" x14ac:dyDescent="0.2">
      <c r="B497"/>
    </row>
    <row r="498" spans="2:2" x14ac:dyDescent="0.2">
      <c r="B498"/>
    </row>
    <row r="499" spans="2:2" x14ac:dyDescent="0.2">
      <c r="B499"/>
    </row>
    <row r="500" spans="2:2" x14ac:dyDescent="0.2">
      <c r="B500"/>
    </row>
    <row r="501" spans="2:2" x14ac:dyDescent="0.2">
      <c r="B501"/>
    </row>
    <row r="502" spans="2:2" x14ac:dyDescent="0.2">
      <c r="B502"/>
    </row>
    <row r="503" spans="2:2" x14ac:dyDescent="0.2">
      <c r="B503"/>
    </row>
    <row r="504" spans="2:2" x14ac:dyDescent="0.2">
      <c r="B504"/>
    </row>
    <row r="505" spans="2:2" x14ac:dyDescent="0.2">
      <c r="B505"/>
    </row>
    <row r="506" spans="2:2" x14ac:dyDescent="0.2">
      <c r="B506"/>
    </row>
    <row r="507" spans="2:2" x14ac:dyDescent="0.2">
      <c r="B507"/>
    </row>
    <row r="508" spans="2:2" x14ac:dyDescent="0.2">
      <c r="B508"/>
    </row>
    <row r="509" spans="2:2" x14ac:dyDescent="0.2">
      <c r="B509"/>
    </row>
    <row r="510" spans="2:2" x14ac:dyDescent="0.2">
      <c r="B510"/>
    </row>
    <row r="511" spans="2:2" x14ac:dyDescent="0.2">
      <c r="B511"/>
    </row>
    <row r="512" spans="2:2" x14ac:dyDescent="0.2">
      <c r="B512"/>
    </row>
    <row r="513" spans="2:2" x14ac:dyDescent="0.2">
      <c r="B513"/>
    </row>
    <row r="514" spans="2:2" x14ac:dyDescent="0.2">
      <c r="B514"/>
    </row>
    <row r="515" spans="2:2" x14ac:dyDescent="0.2">
      <c r="B515"/>
    </row>
    <row r="516" spans="2:2" x14ac:dyDescent="0.2">
      <c r="B516"/>
    </row>
    <row r="517" spans="2:2" x14ac:dyDescent="0.2">
      <c r="B517"/>
    </row>
    <row r="518" spans="2:2" x14ac:dyDescent="0.2">
      <c r="B518"/>
    </row>
    <row r="519" spans="2:2" x14ac:dyDescent="0.2">
      <c r="B519"/>
    </row>
    <row r="520" spans="2:2" x14ac:dyDescent="0.2">
      <c r="B520"/>
    </row>
    <row r="521" spans="2:2" x14ac:dyDescent="0.2">
      <c r="B521"/>
    </row>
    <row r="522" spans="2:2" x14ac:dyDescent="0.2">
      <c r="B522"/>
    </row>
    <row r="523" spans="2:2" x14ac:dyDescent="0.2">
      <c r="B523"/>
    </row>
    <row r="524" spans="2:2" x14ac:dyDescent="0.2">
      <c r="B524"/>
    </row>
    <row r="525" spans="2:2" x14ac:dyDescent="0.2">
      <c r="B525"/>
    </row>
    <row r="526" spans="2:2" x14ac:dyDescent="0.2">
      <c r="B526"/>
    </row>
    <row r="527" spans="2:2" x14ac:dyDescent="0.2">
      <c r="B527"/>
    </row>
    <row r="528" spans="2:2" x14ac:dyDescent="0.2">
      <c r="B528"/>
    </row>
    <row r="529" spans="2:2" x14ac:dyDescent="0.2">
      <c r="B529"/>
    </row>
    <row r="530" spans="2:2" x14ac:dyDescent="0.2">
      <c r="B530"/>
    </row>
    <row r="531" spans="2:2" x14ac:dyDescent="0.2">
      <c r="B531"/>
    </row>
    <row r="532" spans="2:2" x14ac:dyDescent="0.2">
      <c r="B532"/>
    </row>
    <row r="533" spans="2:2" x14ac:dyDescent="0.2">
      <c r="B533"/>
    </row>
    <row r="534" spans="2:2" x14ac:dyDescent="0.2">
      <c r="B534"/>
    </row>
    <row r="535" spans="2:2" x14ac:dyDescent="0.2">
      <c r="B535"/>
    </row>
    <row r="536" spans="2:2" x14ac:dyDescent="0.2">
      <c r="B536"/>
    </row>
    <row r="537" spans="2:2" x14ac:dyDescent="0.2">
      <c r="B537"/>
    </row>
    <row r="538" spans="2:2" x14ac:dyDescent="0.2">
      <c r="B538"/>
    </row>
    <row r="539" spans="2:2" x14ac:dyDescent="0.2">
      <c r="B539"/>
    </row>
    <row r="540" spans="2:2" x14ac:dyDescent="0.2">
      <c r="B540"/>
    </row>
    <row r="541" spans="2:2" x14ac:dyDescent="0.2">
      <c r="B541"/>
    </row>
    <row r="542" spans="2:2" x14ac:dyDescent="0.2">
      <c r="B542"/>
    </row>
    <row r="543" spans="2:2" x14ac:dyDescent="0.2">
      <c r="B543"/>
    </row>
    <row r="544" spans="2:2" x14ac:dyDescent="0.2">
      <c r="B544"/>
    </row>
    <row r="545" spans="2:2" x14ac:dyDescent="0.2">
      <c r="B545"/>
    </row>
    <row r="546" spans="2:2" x14ac:dyDescent="0.2">
      <c r="B546"/>
    </row>
    <row r="547" spans="2:2" x14ac:dyDescent="0.2">
      <c r="B547"/>
    </row>
    <row r="548" spans="2:2" x14ac:dyDescent="0.2">
      <c r="B548"/>
    </row>
    <row r="549" spans="2:2" x14ac:dyDescent="0.2">
      <c r="B549"/>
    </row>
    <row r="550" spans="2:2" x14ac:dyDescent="0.2">
      <c r="B550"/>
    </row>
    <row r="551" spans="2:2" x14ac:dyDescent="0.2">
      <c r="B551"/>
    </row>
    <row r="552" spans="2:2" x14ac:dyDescent="0.2">
      <c r="B552"/>
    </row>
    <row r="553" spans="2:2" x14ac:dyDescent="0.2">
      <c r="B553"/>
    </row>
    <row r="554" spans="2:2" x14ac:dyDescent="0.2">
      <c r="B554"/>
    </row>
    <row r="555" spans="2:2" x14ac:dyDescent="0.2">
      <c r="B555"/>
    </row>
    <row r="556" spans="2:2" x14ac:dyDescent="0.2">
      <c r="B556"/>
    </row>
    <row r="557" spans="2:2" x14ac:dyDescent="0.2">
      <c r="B557"/>
    </row>
    <row r="558" spans="2:2" x14ac:dyDescent="0.2">
      <c r="B558"/>
    </row>
    <row r="559" spans="2:2" x14ac:dyDescent="0.2">
      <c r="B559"/>
    </row>
    <row r="560" spans="2:2" x14ac:dyDescent="0.2">
      <c r="B560"/>
    </row>
    <row r="561" spans="2:2" x14ac:dyDescent="0.2">
      <c r="B561"/>
    </row>
    <row r="562" spans="2:2" x14ac:dyDescent="0.2">
      <c r="B562"/>
    </row>
    <row r="563" spans="2:2" x14ac:dyDescent="0.2">
      <c r="B563"/>
    </row>
    <row r="564" spans="2:2" x14ac:dyDescent="0.2">
      <c r="B564"/>
    </row>
    <row r="565" spans="2:2" x14ac:dyDescent="0.2">
      <c r="B565"/>
    </row>
    <row r="566" spans="2:2" x14ac:dyDescent="0.2">
      <c r="B566"/>
    </row>
    <row r="567" spans="2:2" x14ac:dyDescent="0.2">
      <c r="B567"/>
    </row>
    <row r="568" spans="2:2" x14ac:dyDescent="0.2">
      <c r="B568"/>
    </row>
    <row r="569" spans="2:2" x14ac:dyDescent="0.2">
      <c r="B569"/>
    </row>
    <row r="570" spans="2:2" x14ac:dyDescent="0.2">
      <c r="B570"/>
    </row>
    <row r="571" spans="2:2" x14ac:dyDescent="0.2">
      <c r="B571"/>
    </row>
    <row r="572" spans="2:2" x14ac:dyDescent="0.2">
      <c r="B572"/>
    </row>
    <row r="573" spans="2:2" x14ac:dyDescent="0.2">
      <c r="B573"/>
    </row>
    <row r="574" spans="2:2" x14ac:dyDescent="0.2">
      <c r="B574"/>
    </row>
    <row r="575" spans="2:2" x14ac:dyDescent="0.2">
      <c r="B575"/>
    </row>
    <row r="576" spans="2:2" x14ac:dyDescent="0.2">
      <c r="B576"/>
    </row>
    <row r="577" spans="2:2" x14ac:dyDescent="0.2">
      <c r="B577"/>
    </row>
    <row r="578" spans="2:2" x14ac:dyDescent="0.2">
      <c r="B578"/>
    </row>
    <row r="579" spans="2:2" x14ac:dyDescent="0.2">
      <c r="B579"/>
    </row>
    <row r="580" spans="2:2" x14ac:dyDescent="0.2">
      <c r="B580"/>
    </row>
    <row r="581" spans="2:2" x14ac:dyDescent="0.2">
      <c r="B581"/>
    </row>
    <row r="582" spans="2:2" x14ac:dyDescent="0.2">
      <c r="B582"/>
    </row>
    <row r="583" spans="2:2" x14ac:dyDescent="0.2">
      <c r="B583"/>
    </row>
    <row r="584" spans="2:2" x14ac:dyDescent="0.2">
      <c r="B584"/>
    </row>
    <row r="585" spans="2:2" x14ac:dyDescent="0.2">
      <c r="B585"/>
    </row>
    <row r="586" spans="2:2" x14ac:dyDescent="0.2">
      <c r="B586"/>
    </row>
    <row r="587" spans="2:2" x14ac:dyDescent="0.2">
      <c r="B587"/>
    </row>
    <row r="588" spans="2:2" x14ac:dyDescent="0.2">
      <c r="B588"/>
    </row>
    <row r="589" spans="2:2" x14ac:dyDescent="0.2">
      <c r="B589"/>
    </row>
    <row r="590" spans="2:2" x14ac:dyDescent="0.2">
      <c r="B590"/>
    </row>
    <row r="591" spans="2:2" x14ac:dyDescent="0.2">
      <c r="B591"/>
    </row>
    <row r="592" spans="2:2" x14ac:dyDescent="0.2">
      <c r="B592"/>
    </row>
    <row r="593" spans="2:2" x14ac:dyDescent="0.2">
      <c r="B593"/>
    </row>
    <row r="594" spans="2:2" x14ac:dyDescent="0.2">
      <c r="B594"/>
    </row>
    <row r="595" spans="2:2" x14ac:dyDescent="0.2">
      <c r="B595"/>
    </row>
    <row r="596" spans="2:2" x14ac:dyDescent="0.2">
      <c r="B596"/>
    </row>
    <row r="597" spans="2:2" x14ac:dyDescent="0.2">
      <c r="B597"/>
    </row>
    <row r="598" spans="2:2" x14ac:dyDescent="0.2">
      <c r="B598"/>
    </row>
    <row r="599" spans="2:2" x14ac:dyDescent="0.2">
      <c r="B599"/>
    </row>
    <row r="600" spans="2:2" x14ac:dyDescent="0.2">
      <c r="B600"/>
    </row>
    <row r="601" spans="2:2" x14ac:dyDescent="0.2">
      <c r="B601"/>
    </row>
    <row r="602" spans="2:2" x14ac:dyDescent="0.2">
      <c r="B602"/>
    </row>
    <row r="603" spans="2:2" x14ac:dyDescent="0.2">
      <c r="B603"/>
    </row>
    <row r="604" spans="2:2" x14ac:dyDescent="0.2">
      <c r="B604"/>
    </row>
    <row r="605" spans="2:2" x14ac:dyDescent="0.2">
      <c r="B605"/>
    </row>
    <row r="606" spans="2:2" x14ac:dyDescent="0.2">
      <c r="B606"/>
    </row>
    <row r="607" spans="2:2" x14ac:dyDescent="0.2">
      <c r="B607"/>
    </row>
    <row r="608" spans="2:2" x14ac:dyDescent="0.2">
      <c r="B608"/>
    </row>
    <row r="609" spans="2:2" x14ac:dyDescent="0.2">
      <c r="B609"/>
    </row>
    <row r="610" spans="2:2" x14ac:dyDescent="0.2">
      <c r="B610"/>
    </row>
    <row r="611" spans="2:2" x14ac:dyDescent="0.2">
      <c r="B611"/>
    </row>
    <row r="612" spans="2:2" x14ac:dyDescent="0.2">
      <c r="B612"/>
    </row>
    <row r="613" spans="2:2" x14ac:dyDescent="0.2">
      <c r="B613"/>
    </row>
    <row r="614" spans="2:2" x14ac:dyDescent="0.2">
      <c r="B614"/>
    </row>
    <row r="615" spans="2:2" x14ac:dyDescent="0.2">
      <c r="B615"/>
    </row>
    <row r="616" spans="2:2" x14ac:dyDescent="0.2">
      <c r="B616"/>
    </row>
    <row r="617" spans="2:2" x14ac:dyDescent="0.2">
      <c r="B617"/>
    </row>
    <row r="618" spans="2:2" x14ac:dyDescent="0.2">
      <c r="B618"/>
    </row>
    <row r="619" spans="2:2" x14ac:dyDescent="0.2">
      <c r="B619"/>
    </row>
    <row r="620" spans="2:2" x14ac:dyDescent="0.2">
      <c r="B620"/>
    </row>
    <row r="621" spans="2:2" x14ac:dyDescent="0.2">
      <c r="B621"/>
    </row>
    <row r="622" spans="2:2" x14ac:dyDescent="0.2">
      <c r="B622"/>
    </row>
    <row r="623" spans="2:2" x14ac:dyDescent="0.2">
      <c r="B623"/>
    </row>
    <row r="624" spans="2:2" x14ac:dyDescent="0.2">
      <c r="B624"/>
    </row>
    <row r="625" spans="2:2" x14ac:dyDescent="0.2">
      <c r="B625"/>
    </row>
    <row r="626" spans="2:2" x14ac:dyDescent="0.2">
      <c r="B626"/>
    </row>
    <row r="627" spans="2:2" x14ac:dyDescent="0.2">
      <c r="B627"/>
    </row>
    <row r="628" spans="2:2" x14ac:dyDescent="0.2">
      <c r="B628"/>
    </row>
    <row r="629" spans="2:2" x14ac:dyDescent="0.2">
      <c r="B629"/>
    </row>
    <row r="630" spans="2:2" x14ac:dyDescent="0.2">
      <c r="B630"/>
    </row>
    <row r="631" spans="2:2" x14ac:dyDescent="0.2">
      <c r="B631"/>
    </row>
    <row r="632" spans="2:2" x14ac:dyDescent="0.2">
      <c r="B632"/>
    </row>
    <row r="633" spans="2:2" x14ac:dyDescent="0.2">
      <c r="B633"/>
    </row>
    <row r="634" spans="2:2" x14ac:dyDescent="0.2">
      <c r="B634"/>
    </row>
    <row r="635" spans="2:2" x14ac:dyDescent="0.2">
      <c r="B635"/>
    </row>
    <row r="636" spans="2:2" x14ac:dyDescent="0.2">
      <c r="B636"/>
    </row>
    <row r="637" spans="2:2" x14ac:dyDescent="0.2">
      <c r="B637"/>
    </row>
    <row r="638" spans="2:2" x14ac:dyDescent="0.2">
      <c r="B638"/>
    </row>
    <row r="639" spans="2:2" x14ac:dyDescent="0.2">
      <c r="B639"/>
    </row>
    <row r="640" spans="2:2" x14ac:dyDescent="0.2">
      <c r="B640"/>
    </row>
    <row r="641" spans="2:2" x14ac:dyDescent="0.2">
      <c r="B641"/>
    </row>
    <row r="642" spans="2:2" x14ac:dyDescent="0.2">
      <c r="B642"/>
    </row>
    <row r="643" spans="2:2" x14ac:dyDescent="0.2">
      <c r="B643"/>
    </row>
    <row r="644" spans="2:2" x14ac:dyDescent="0.2">
      <c r="B644"/>
    </row>
    <row r="645" spans="2:2" x14ac:dyDescent="0.2">
      <c r="B645"/>
    </row>
    <row r="646" spans="2:2" x14ac:dyDescent="0.2">
      <c r="B646"/>
    </row>
    <row r="647" spans="2:2" x14ac:dyDescent="0.2">
      <c r="B647"/>
    </row>
    <row r="648" spans="2:2" x14ac:dyDescent="0.2">
      <c r="B648"/>
    </row>
    <row r="649" spans="2:2" x14ac:dyDescent="0.2">
      <c r="B649"/>
    </row>
    <row r="650" spans="2:2" x14ac:dyDescent="0.2">
      <c r="B650"/>
    </row>
    <row r="651" spans="2:2" x14ac:dyDescent="0.2">
      <c r="B651"/>
    </row>
    <row r="652" spans="2:2" x14ac:dyDescent="0.2">
      <c r="B652"/>
    </row>
    <row r="653" spans="2:2" x14ac:dyDescent="0.2">
      <c r="B653"/>
    </row>
    <row r="654" spans="2:2" x14ac:dyDescent="0.2">
      <c r="B654"/>
    </row>
    <row r="655" spans="2:2" x14ac:dyDescent="0.2">
      <c r="B655"/>
    </row>
    <row r="656" spans="2:2" x14ac:dyDescent="0.2">
      <c r="B656"/>
    </row>
    <row r="657" spans="2:2" x14ac:dyDescent="0.2">
      <c r="B657"/>
    </row>
    <row r="658" spans="2:2" x14ac:dyDescent="0.2">
      <c r="B658"/>
    </row>
    <row r="659" spans="2:2" x14ac:dyDescent="0.2">
      <c r="B659"/>
    </row>
    <row r="660" spans="2:2" x14ac:dyDescent="0.2">
      <c r="B660"/>
    </row>
    <row r="661" spans="2:2" x14ac:dyDescent="0.2">
      <c r="B661"/>
    </row>
    <row r="662" spans="2:2" x14ac:dyDescent="0.2">
      <c r="B662"/>
    </row>
    <row r="663" spans="2:2" x14ac:dyDescent="0.2">
      <c r="B663"/>
    </row>
    <row r="664" spans="2:2" x14ac:dyDescent="0.2">
      <c r="B664"/>
    </row>
    <row r="665" spans="2:2" x14ac:dyDescent="0.2">
      <c r="B665"/>
    </row>
    <row r="666" spans="2:2" x14ac:dyDescent="0.2">
      <c r="B666"/>
    </row>
    <row r="667" spans="2:2" x14ac:dyDescent="0.2">
      <c r="B667"/>
    </row>
    <row r="668" spans="2:2" x14ac:dyDescent="0.2">
      <c r="B668"/>
    </row>
    <row r="669" spans="2:2" x14ac:dyDescent="0.2">
      <c r="B669"/>
    </row>
    <row r="670" spans="2:2" x14ac:dyDescent="0.2">
      <c r="B670"/>
    </row>
    <row r="671" spans="2:2" x14ac:dyDescent="0.2">
      <c r="B671"/>
    </row>
    <row r="672" spans="2:2" x14ac:dyDescent="0.2">
      <c r="B672"/>
    </row>
    <row r="673" spans="2:2" x14ac:dyDescent="0.2">
      <c r="B673"/>
    </row>
    <row r="674" spans="2:2" x14ac:dyDescent="0.2">
      <c r="B674"/>
    </row>
    <row r="675" spans="2:2" x14ac:dyDescent="0.2">
      <c r="B675"/>
    </row>
    <row r="676" spans="2:2" x14ac:dyDescent="0.2">
      <c r="B676"/>
    </row>
    <row r="677" spans="2:2" x14ac:dyDescent="0.2">
      <c r="B677"/>
    </row>
    <row r="678" spans="2:2" x14ac:dyDescent="0.2">
      <c r="B678"/>
    </row>
    <row r="679" spans="2:2" x14ac:dyDescent="0.2">
      <c r="B679"/>
    </row>
    <row r="680" spans="2:2" x14ac:dyDescent="0.2">
      <c r="B680"/>
    </row>
    <row r="681" spans="2:2" x14ac:dyDescent="0.2">
      <c r="B681"/>
    </row>
    <row r="682" spans="2:2" x14ac:dyDescent="0.2">
      <c r="B682"/>
    </row>
    <row r="683" spans="2:2" x14ac:dyDescent="0.2">
      <c r="B683"/>
    </row>
    <row r="684" spans="2:2" x14ac:dyDescent="0.2">
      <c r="B684"/>
    </row>
    <row r="685" spans="2:2" x14ac:dyDescent="0.2">
      <c r="B685"/>
    </row>
    <row r="686" spans="2:2" x14ac:dyDescent="0.2">
      <c r="B686"/>
    </row>
    <row r="687" spans="2:2" x14ac:dyDescent="0.2">
      <c r="B687"/>
    </row>
    <row r="688" spans="2:2" x14ac:dyDescent="0.2">
      <c r="B688"/>
    </row>
    <row r="689" spans="2:2" x14ac:dyDescent="0.2">
      <c r="B689"/>
    </row>
    <row r="690" spans="2:2" x14ac:dyDescent="0.2">
      <c r="B690"/>
    </row>
    <row r="691" spans="2:2" x14ac:dyDescent="0.2">
      <c r="B691"/>
    </row>
    <row r="692" spans="2:2" x14ac:dyDescent="0.2">
      <c r="B692"/>
    </row>
    <row r="693" spans="2:2" x14ac:dyDescent="0.2">
      <c r="B693"/>
    </row>
    <row r="694" spans="2:2" x14ac:dyDescent="0.2">
      <c r="B694"/>
    </row>
    <row r="695" spans="2:2" x14ac:dyDescent="0.2">
      <c r="B695"/>
    </row>
    <row r="696" spans="2:2" x14ac:dyDescent="0.2">
      <c r="B696"/>
    </row>
    <row r="697" spans="2:2" x14ac:dyDescent="0.2">
      <c r="B697"/>
    </row>
    <row r="698" spans="2:2" x14ac:dyDescent="0.2">
      <c r="B698"/>
    </row>
    <row r="699" spans="2:2" x14ac:dyDescent="0.2">
      <c r="B699"/>
    </row>
    <row r="700" spans="2:2" x14ac:dyDescent="0.2">
      <c r="B700"/>
    </row>
    <row r="701" spans="2:2" x14ac:dyDescent="0.2">
      <c r="B701"/>
    </row>
    <row r="702" spans="2:2" x14ac:dyDescent="0.2">
      <c r="B702"/>
    </row>
    <row r="703" spans="2:2" x14ac:dyDescent="0.2">
      <c r="B703"/>
    </row>
    <row r="704" spans="2:2" x14ac:dyDescent="0.2">
      <c r="B704"/>
    </row>
    <row r="705" spans="2:2" x14ac:dyDescent="0.2">
      <c r="B705"/>
    </row>
    <row r="706" spans="2:2" x14ac:dyDescent="0.2">
      <c r="B706"/>
    </row>
    <row r="707" spans="2:2" x14ac:dyDescent="0.2">
      <c r="B707"/>
    </row>
    <row r="708" spans="2:2" x14ac:dyDescent="0.2">
      <c r="B708"/>
    </row>
    <row r="709" spans="2:2" x14ac:dyDescent="0.2">
      <c r="B709"/>
    </row>
    <row r="710" spans="2:2" x14ac:dyDescent="0.2">
      <c r="B710"/>
    </row>
    <row r="711" spans="2:2" x14ac:dyDescent="0.2">
      <c r="B711"/>
    </row>
    <row r="712" spans="2:2" x14ac:dyDescent="0.2">
      <c r="B712"/>
    </row>
    <row r="713" spans="2:2" x14ac:dyDescent="0.2">
      <c r="B713"/>
    </row>
    <row r="714" spans="2:2" x14ac:dyDescent="0.2">
      <c r="B714"/>
    </row>
    <row r="715" spans="2:2" x14ac:dyDescent="0.2">
      <c r="B715"/>
    </row>
    <row r="716" spans="2:2" x14ac:dyDescent="0.2">
      <c r="B716"/>
    </row>
    <row r="717" spans="2:2" x14ac:dyDescent="0.2">
      <c r="B717"/>
    </row>
    <row r="718" spans="2:2" x14ac:dyDescent="0.2">
      <c r="B718"/>
    </row>
    <row r="719" spans="2:2" x14ac:dyDescent="0.2">
      <c r="B719"/>
    </row>
    <row r="720" spans="2:2" x14ac:dyDescent="0.2">
      <c r="B720"/>
    </row>
    <row r="721" spans="2:2" x14ac:dyDescent="0.2">
      <c r="B721"/>
    </row>
    <row r="722" spans="2:2" x14ac:dyDescent="0.2">
      <c r="B722"/>
    </row>
    <row r="723" spans="2:2" x14ac:dyDescent="0.2">
      <c r="B723"/>
    </row>
    <row r="724" spans="2:2" x14ac:dyDescent="0.2">
      <c r="B724"/>
    </row>
    <row r="725" spans="2:2" x14ac:dyDescent="0.2">
      <c r="B725"/>
    </row>
    <row r="726" spans="2:2" x14ac:dyDescent="0.2">
      <c r="B726"/>
    </row>
    <row r="727" spans="2:2" x14ac:dyDescent="0.2">
      <c r="B727"/>
    </row>
    <row r="728" spans="2:2" x14ac:dyDescent="0.2">
      <c r="B728"/>
    </row>
    <row r="729" spans="2:2" x14ac:dyDescent="0.2">
      <c r="B729"/>
    </row>
    <row r="730" spans="2:2" x14ac:dyDescent="0.2">
      <c r="B730"/>
    </row>
    <row r="731" spans="2:2" x14ac:dyDescent="0.2">
      <c r="B731"/>
    </row>
    <row r="732" spans="2:2" x14ac:dyDescent="0.2">
      <c r="B732"/>
    </row>
    <row r="733" spans="2:2" x14ac:dyDescent="0.2">
      <c r="B733"/>
    </row>
    <row r="734" spans="2:2" x14ac:dyDescent="0.2">
      <c r="B734"/>
    </row>
    <row r="735" spans="2:2" x14ac:dyDescent="0.2">
      <c r="B735"/>
    </row>
    <row r="736" spans="2:2" x14ac:dyDescent="0.2">
      <c r="B736"/>
    </row>
    <row r="737" spans="2:2" x14ac:dyDescent="0.2">
      <c r="B737"/>
    </row>
    <row r="738" spans="2:2" x14ac:dyDescent="0.2">
      <c r="B738"/>
    </row>
    <row r="739" spans="2:2" x14ac:dyDescent="0.2">
      <c r="B739"/>
    </row>
    <row r="740" spans="2:2" x14ac:dyDescent="0.2">
      <c r="B740"/>
    </row>
    <row r="741" spans="2:2" x14ac:dyDescent="0.2">
      <c r="B741"/>
    </row>
    <row r="742" spans="2:2" x14ac:dyDescent="0.2">
      <c r="B742"/>
    </row>
    <row r="743" spans="2:2" x14ac:dyDescent="0.2">
      <c r="B743"/>
    </row>
    <row r="744" spans="2:2" x14ac:dyDescent="0.2">
      <c r="B744"/>
    </row>
    <row r="745" spans="2:2" x14ac:dyDescent="0.2">
      <c r="B745"/>
    </row>
    <row r="746" spans="2:2" x14ac:dyDescent="0.2">
      <c r="B746"/>
    </row>
    <row r="747" spans="2:2" x14ac:dyDescent="0.2">
      <c r="B747"/>
    </row>
    <row r="748" spans="2:2" x14ac:dyDescent="0.2">
      <c r="B748"/>
    </row>
    <row r="749" spans="2:2" x14ac:dyDescent="0.2">
      <c r="B749"/>
    </row>
    <row r="750" spans="2:2" x14ac:dyDescent="0.2">
      <c r="B750"/>
    </row>
    <row r="751" spans="2:2" x14ac:dyDescent="0.2">
      <c r="B751"/>
    </row>
    <row r="752" spans="2:2" x14ac:dyDescent="0.2">
      <c r="B752"/>
    </row>
    <row r="753" spans="2:2" x14ac:dyDescent="0.2">
      <c r="B753"/>
    </row>
    <row r="754" spans="2:2" x14ac:dyDescent="0.2">
      <c r="B754"/>
    </row>
    <row r="755" spans="2:2" x14ac:dyDescent="0.2">
      <c r="B755"/>
    </row>
    <row r="756" spans="2:2" x14ac:dyDescent="0.2">
      <c r="B756"/>
    </row>
    <row r="757" spans="2:2" x14ac:dyDescent="0.2">
      <c r="B757"/>
    </row>
    <row r="758" spans="2:2" x14ac:dyDescent="0.2">
      <c r="B758"/>
    </row>
    <row r="759" spans="2:2" x14ac:dyDescent="0.2">
      <c r="B759"/>
    </row>
    <row r="760" spans="2:2" x14ac:dyDescent="0.2">
      <c r="B760"/>
    </row>
    <row r="761" spans="2:2" x14ac:dyDescent="0.2">
      <c r="B761"/>
    </row>
    <row r="762" spans="2:2" x14ac:dyDescent="0.2">
      <c r="B762"/>
    </row>
    <row r="763" spans="2:2" x14ac:dyDescent="0.2">
      <c r="B763"/>
    </row>
    <row r="764" spans="2:2" x14ac:dyDescent="0.2">
      <c r="B764"/>
    </row>
    <row r="765" spans="2:2" x14ac:dyDescent="0.2">
      <c r="B765"/>
    </row>
    <row r="766" spans="2:2" x14ac:dyDescent="0.2">
      <c r="B766"/>
    </row>
    <row r="767" spans="2:2" x14ac:dyDescent="0.2">
      <c r="B767"/>
    </row>
    <row r="768" spans="2:2" x14ac:dyDescent="0.2">
      <c r="B768"/>
    </row>
    <row r="769" spans="2:2" x14ac:dyDescent="0.2">
      <c r="B769"/>
    </row>
    <row r="770" spans="2:2" x14ac:dyDescent="0.2">
      <c r="B770"/>
    </row>
    <row r="771" spans="2:2" x14ac:dyDescent="0.2">
      <c r="B771"/>
    </row>
    <row r="772" spans="2:2" x14ac:dyDescent="0.2">
      <c r="B772"/>
    </row>
    <row r="773" spans="2:2" x14ac:dyDescent="0.2">
      <c r="B773"/>
    </row>
    <row r="774" spans="2:2" x14ac:dyDescent="0.2">
      <c r="B774"/>
    </row>
    <row r="775" spans="2:2" x14ac:dyDescent="0.2">
      <c r="B775"/>
    </row>
    <row r="776" spans="2:2" x14ac:dyDescent="0.2">
      <c r="B776"/>
    </row>
    <row r="777" spans="2:2" x14ac:dyDescent="0.2">
      <c r="B777"/>
    </row>
    <row r="778" spans="2:2" x14ac:dyDescent="0.2">
      <c r="B778"/>
    </row>
    <row r="779" spans="2:2" x14ac:dyDescent="0.2">
      <c r="B779"/>
    </row>
    <row r="780" spans="2:2" x14ac:dyDescent="0.2">
      <c r="B780"/>
    </row>
    <row r="781" spans="2:2" x14ac:dyDescent="0.2">
      <c r="B781"/>
    </row>
    <row r="782" spans="2:2" x14ac:dyDescent="0.2">
      <c r="B782"/>
    </row>
    <row r="783" spans="2:2" x14ac:dyDescent="0.2">
      <c r="B783"/>
    </row>
    <row r="784" spans="2:2" x14ac:dyDescent="0.2">
      <c r="B784"/>
    </row>
    <row r="785" spans="2:2" x14ac:dyDescent="0.2">
      <c r="B785"/>
    </row>
    <row r="786" spans="2:2" x14ac:dyDescent="0.2">
      <c r="B786"/>
    </row>
    <row r="787" spans="2:2" x14ac:dyDescent="0.2">
      <c r="B787"/>
    </row>
    <row r="788" spans="2:2" x14ac:dyDescent="0.2">
      <c r="B788"/>
    </row>
    <row r="789" spans="2:2" x14ac:dyDescent="0.2">
      <c r="B789"/>
    </row>
    <row r="790" spans="2:2" x14ac:dyDescent="0.2">
      <c r="B790"/>
    </row>
    <row r="791" spans="2:2" x14ac:dyDescent="0.2">
      <c r="B791"/>
    </row>
    <row r="792" spans="2:2" x14ac:dyDescent="0.2">
      <c r="B792"/>
    </row>
    <row r="793" spans="2:2" x14ac:dyDescent="0.2">
      <c r="B793"/>
    </row>
    <row r="794" spans="2:2" x14ac:dyDescent="0.2">
      <c r="B794"/>
    </row>
    <row r="795" spans="2:2" x14ac:dyDescent="0.2">
      <c r="B795"/>
    </row>
    <row r="796" spans="2:2" x14ac:dyDescent="0.2">
      <c r="B796"/>
    </row>
    <row r="797" spans="2:2" x14ac:dyDescent="0.2">
      <c r="B797"/>
    </row>
    <row r="798" spans="2:2" x14ac:dyDescent="0.2">
      <c r="B798"/>
    </row>
    <row r="799" spans="2:2" x14ac:dyDescent="0.2">
      <c r="B799"/>
    </row>
    <row r="800" spans="2:2" x14ac:dyDescent="0.2">
      <c r="B800"/>
    </row>
    <row r="801" spans="2:2" x14ac:dyDescent="0.2">
      <c r="B801"/>
    </row>
    <row r="802" spans="2:2" x14ac:dyDescent="0.2">
      <c r="B802"/>
    </row>
    <row r="803" spans="2:2" x14ac:dyDescent="0.2">
      <c r="B803"/>
    </row>
    <row r="804" spans="2:2" x14ac:dyDescent="0.2">
      <c r="B804"/>
    </row>
    <row r="805" spans="2:2" x14ac:dyDescent="0.2">
      <c r="B805"/>
    </row>
    <row r="806" spans="2:2" x14ac:dyDescent="0.2">
      <c r="B806"/>
    </row>
    <row r="807" spans="2:2" x14ac:dyDescent="0.2">
      <c r="B807"/>
    </row>
    <row r="808" spans="2:2" x14ac:dyDescent="0.2">
      <c r="B808"/>
    </row>
    <row r="809" spans="2:2" x14ac:dyDescent="0.2">
      <c r="B809"/>
    </row>
    <row r="810" spans="2:2" x14ac:dyDescent="0.2">
      <c r="B810"/>
    </row>
    <row r="811" spans="2:2" x14ac:dyDescent="0.2">
      <c r="B811"/>
    </row>
    <row r="812" spans="2:2" x14ac:dyDescent="0.2">
      <c r="B812"/>
    </row>
    <row r="813" spans="2:2" x14ac:dyDescent="0.2">
      <c r="B813"/>
    </row>
    <row r="814" spans="2:2" x14ac:dyDescent="0.2">
      <c r="B814"/>
    </row>
    <row r="815" spans="2:2" x14ac:dyDescent="0.2">
      <c r="B815"/>
    </row>
    <row r="816" spans="2:2" x14ac:dyDescent="0.2">
      <c r="B816"/>
    </row>
    <row r="817" spans="2:2" x14ac:dyDescent="0.2">
      <c r="B817"/>
    </row>
    <row r="818" spans="2:2" x14ac:dyDescent="0.2">
      <c r="B818"/>
    </row>
    <row r="819" spans="2:2" x14ac:dyDescent="0.2">
      <c r="B819"/>
    </row>
    <row r="820" spans="2:2" x14ac:dyDescent="0.2">
      <c r="B820"/>
    </row>
    <row r="821" spans="2:2" x14ac:dyDescent="0.2">
      <c r="B821"/>
    </row>
    <row r="822" spans="2:2" x14ac:dyDescent="0.2">
      <c r="B822"/>
    </row>
    <row r="823" spans="2:2" x14ac:dyDescent="0.2">
      <c r="B823"/>
    </row>
    <row r="824" spans="2:2" x14ac:dyDescent="0.2">
      <c r="B824"/>
    </row>
    <row r="825" spans="2:2" x14ac:dyDescent="0.2">
      <c r="B825"/>
    </row>
    <row r="826" spans="2:2" x14ac:dyDescent="0.2">
      <c r="B826"/>
    </row>
    <row r="827" spans="2:2" x14ac:dyDescent="0.2">
      <c r="B827"/>
    </row>
    <row r="828" spans="2:2" x14ac:dyDescent="0.2">
      <c r="B828"/>
    </row>
    <row r="829" spans="2:2" x14ac:dyDescent="0.2">
      <c r="B829"/>
    </row>
    <row r="830" spans="2:2" x14ac:dyDescent="0.2">
      <c r="B830"/>
    </row>
    <row r="831" spans="2:2" x14ac:dyDescent="0.2">
      <c r="B831"/>
    </row>
    <row r="832" spans="2:2" x14ac:dyDescent="0.2">
      <c r="B832"/>
    </row>
    <row r="833" spans="2:2" x14ac:dyDescent="0.2">
      <c r="B833"/>
    </row>
    <row r="834" spans="2:2" x14ac:dyDescent="0.2">
      <c r="B834"/>
    </row>
    <row r="835" spans="2:2" x14ac:dyDescent="0.2">
      <c r="B835"/>
    </row>
    <row r="836" spans="2:2" x14ac:dyDescent="0.2">
      <c r="B836"/>
    </row>
    <row r="837" spans="2:2" x14ac:dyDescent="0.2">
      <c r="B837"/>
    </row>
    <row r="838" spans="2:2" x14ac:dyDescent="0.2">
      <c r="B838"/>
    </row>
    <row r="839" spans="2:2" x14ac:dyDescent="0.2">
      <c r="B839"/>
    </row>
    <row r="840" spans="2:2" x14ac:dyDescent="0.2">
      <c r="B840"/>
    </row>
    <row r="841" spans="2:2" x14ac:dyDescent="0.2">
      <c r="B841"/>
    </row>
    <row r="842" spans="2:2" x14ac:dyDescent="0.2">
      <c r="B842"/>
    </row>
    <row r="843" spans="2:2" x14ac:dyDescent="0.2">
      <c r="B843"/>
    </row>
    <row r="844" spans="2:2" x14ac:dyDescent="0.2">
      <c r="B844"/>
    </row>
    <row r="845" spans="2:2" x14ac:dyDescent="0.2">
      <c r="B845"/>
    </row>
    <row r="846" spans="2:2" x14ac:dyDescent="0.2">
      <c r="B846"/>
    </row>
    <row r="847" spans="2:2" x14ac:dyDescent="0.2">
      <c r="B847"/>
    </row>
    <row r="848" spans="2:2" x14ac:dyDescent="0.2">
      <c r="B848"/>
    </row>
    <row r="849" spans="2:2" x14ac:dyDescent="0.2">
      <c r="B849"/>
    </row>
    <row r="850" spans="2:2" x14ac:dyDescent="0.2">
      <c r="B850"/>
    </row>
    <row r="851" spans="2:2" x14ac:dyDescent="0.2">
      <c r="B851"/>
    </row>
    <row r="852" spans="2:2" x14ac:dyDescent="0.2">
      <c r="B852"/>
    </row>
    <row r="853" spans="2:2" x14ac:dyDescent="0.2">
      <c r="B853"/>
    </row>
    <row r="854" spans="2:2" x14ac:dyDescent="0.2">
      <c r="B854"/>
    </row>
    <row r="855" spans="2:2" x14ac:dyDescent="0.2">
      <c r="B855"/>
    </row>
    <row r="856" spans="2:2" x14ac:dyDescent="0.2">
      <c r="B856"/>
    </row>
    <row r="857" spans="2:2" x14ac:dyDescent="0.2">
      <c r="B857"/>
    </row>
    <row r="858" spans="2:2" x14ac:dyDescent="0.2">
      <c r="B858"/>
    </row>
    <row r="859" spans="2:2" x14ac:dyDescent="0.2">
      <c r="B859"/>
    </row>
    <row r="860" spans="2:2" x14ac:dyDescent="0.2">
      <c r="B860"/>
    </row>
    <row r="861" spans="2:2" x14ac:dyDescent="0.2">
      <c r="B861"/>
    </row>
    <row r="862" spans="2:2" x14ac:dyDescent="0.2">
      <c r="B862"/>
    </row>
    <row r="863" spans="2:2" x14ac:dyDescent="0.2">
      <c r="B863"/>
    </row>
    <row r="864" spans="2:2" x14ac:dyDescent="0.2">
      <c r="B864"/>
    </row>
    <row r="865" spans="2:2" x14ac:dyDescent="0.2">
      <c r="B865"/>
    </row>
    <row r="866" spans="2:2" x14ac:dyDescent="0.2">
      <c r="B866"/>
    </row>
    <row r="867" spans="2:2" x14ac:dyDescent="0.2">
      <c r="B867"/>
    </row>
    <row r="868" spans="2:2" x14ac:dyDescent="0.2">
      <c r="B868"/>
    </row>
    <row r="869" spans="2:2" x14ac:dyDescent="0.2">
      <c r="B869"/>
    </row>
    <row r="870" spans="2:2" x14ac:dyDescent="0.2">
      <c r="B870"/>
    </row>
    <row r="871" spans="2:2" x14ac:dyDescent="0.2">
      <c r="B871"/>
    </row>
    <row r="872" spans="2:2" x14ac:dyDescent="0.2">
      <c r="B872"/>
    </row>
    <row r="873" spans="2:2" x14ac:dyDescent="0.2">
      <c r="B873"/>
    </row>
    <row r="874" spans="2:2" x14ac:dyDescent="0.2">
      <c r="B874"/>
    </row>
    <row r="875" spans="2:2" x14ac:dyDescent="0.2">
      <c r="B875"/>
    </row>
    <row r="876" spans="2:2" x14ac:dyDescent="0.2">
      <c r="B876"/>
    </row>
    <row r="877" spans="2:2" x14ac:dyDescent="0.2">
      <c r="B877"/>
    </row>
    <row r="878" spans="2:2" x14ac:dyDescent="0.2">
      <c r="B878"/>
    </row>
    <row r="879" spans="2:2" x14ac:dyDescent="0.2">
      <c r="B879"/>
    </row>
    <row r="880" spans="2:2" x14ac:dyDescent="0.2">
      <c r="B880"/>
    </row>
    <row r="881" spans="2:2" x14ac:dyDescent="0.2">
      <c r="B881"/>
    </row>
    <row r="882" spans="2:2" x14ac:dyDescent="0.2">
      <c r="B882"/>
    </row>
    <row r="883" spans="2:2" x14ac:dyDescent="0.2">
      <c r="B883"/>
    </row>
    <row r="884" spans="2:2" x14ac:dyDescent="0.2">
      <c r="B884"/>
    </row>
    <row r="885" spans="2:2" x14ac:dyDescent="0.2">
      <c r="B885"/>
    </row>
    <row r="886" spans="2:2" x14ac:dyDescent="0.2">
      <c r="B886"/>
    </row>
    <row r="887" spans="2:2" x14ac:dyDescent="0.2">
      <c r="B887"/>
    </row>
    <row r="888" spans="2:2" x14ac:dyDescent="0.2">
      <c r="B888"/>
    </row>
    <row r="889" spans="2:2" x14ac:dyDescent="0.2">
      <c r="B889"/>
    </row>
    <row r="890" spans="2:2" x14ac:dyDescent="0.2">
      <c r="B890"/>
    </row>
    <row r="891" spans="2:2" x14ac:dyDescent="0.2">
      <c r="B891"/>
    </row>
    <row r="892" spans="2:2" x14ac:dyDescent="0.2">
      <c r="B892"/>
    </row>
    <row r="893" spans="2:2" x14ac:dyDescent="0.2">
      <c r="B893"/>
    </row>
    <row r="894" spans="2:2" x14ac:dyDescent="0.2">
      <c r="B894"/>
    </row>
    <row r="895" spans="2:2" x14ac:dyDescent="0.2">
      <c r="B895"/>
    </row>
    <row r="896" spans="2:2" x14ac:dyDescent="0.2">
      <c r="B896"/>
    </row>
    <row r="897" spans="2:2" x14ac:dyDescent="0.2">
      <c r="B897"/>
    </row>
    <row r="898" spans="2:2" x14ac:dyDescent="0.2">
      <c r="B898"/>
    </row>
    <row r="899" spans="2:2" x14ac:dyDescent="0.2">
      <c r="B899"/>
    </row>
    <row r="900" spans="2:2" x14ac:dyDescent="0.2">
      <c r="B900"/>
    </row>
    <row r="901" spans="2:2" x14ac:dyDescent="0.2">
      <c r="B901"/>
    </row>
    <row r="902" spans="2:2" x14ac:dyDescent="0.2">
      <c r="B902"/>
    </row>
    <row r="903" spans="2:2" x14ac:dyDescent="0.2">
      <c r="B903"/>
    </row>
    <row r="904" spans="2:2" x14ac:dyDescent="0.2">
      <c r="B904"/>
    </row>
    <row r="905" spans="2:2" x14ac:dyDescent="0.2">
      <c r="B905"/>
    </row>
    <row r="906" spans="2:2" x14ac:dyDescent="0.2">
      <c r="B906"/>
    </row>
    <row r="907" spans="2:2" x14ac:dyDescent="0.2">
      <c r="B907"/>
    </row>
    <row r="908" spans="2:2" x14ac:dyDescent="0.2">
      <c r="B908"/>
    </row>
    <row r="909" spans="2:2" x14ac:dyDescent="0.2">
      <c r="B909"/>
    </row>
    <row r="910" spans="2:2" x14ac:dyDescent="0.2">
      <c r="B910"/>
    </row>
    <row r="911" spans="2:2" x14ac:dyDescent="0.2">
      <c r="B911"/>
    </row>
    <row r="912" spans="2:2" x14ac:dyDescent="0.2">
      <c r="B912"/>
    </row>
    <row r="913" spans="2:2" x14ac:dyDescent="0.2">
      <c r="B913"/>
    </row>
    <row r="914" spans="2:2" x14ac:dyDescent="0.2">
      <c r="B914"/>
    </row>
    <row r="915" spans="2:2" x14ac:dyDescent="0.2">
      <c r="B915"/>
    </row>
    <row r="916" spans="2:2" x14ac:dyDescent="0.2">
      <c r="B916"/>
    </row>
    <row r="917" spans="2:2" x14ac:dyDescent="0.2">
      <c r="B917"/>
    </row>
    <row r="918" spans="2:2" x14ac:dyDescent="0.2">
      <c r="B918"/>
    </row>
    <row r="919" spans="2:2" x14ac:dyDescent="0.2">
      <c r="B919"/>
    </row>
    <row r="920" spans="2:2" x14ac:dyDescent="0.2">
      <c r="B920"/>
    </row>
    <row r="921" spans="2:2" x14ac:dyDescent="0.2">
      <c r="B921"/>
    </row>
    <row r="922" spans="2:2" x14ac:dyDescent="0.2">
      <c r="B922"/>
    </row>
    <row r="923" spans="2:2" x14ac:dyDescent="0.2">
      <c r="B923"/>
    </row>
    <row r="924" spans="2:2" x14ac:dyDescent="0.2">
      <c r="B924"/>
    </row>
    <row r="925" spans="2:2" x14ac:dyDescent="0.2">
      <c r="B925"/>
    </row>
    <row r="926" spans="2:2" x14ac:dyDescent="0.2">
      <c r="B926"/>
    </row>
    <row r="927" spans="2:2" x14ac:dyDescent="0.2">
      <c r="B927"/>
    </row>
    <row r="928" spans="2:2" x14ac:dyDescent="0.2">
      <c r="B928"/>
    </row>
    <row r="929" spans="2:2" x14ac:dyDescent="0.2">
      <c r="B929"/>
    </row>
    <row r="930" spans="2:2" x14ac:dyDescent="0.2">
      <c r="B930"/>
    </row>
    <row r="931" spans="2:2" x14ac:dyDescent="0.2">
      <c r="B931"/>
    </row>
    <row r="932" spans="2:2" x14ac:dyDescent="0.2">
      <c r="B932"/>
    </row>
    <row r="933" spans="2:2" x14ac:dyDescent="0.2">
      <c r="B933"/>
    </row>
    <row r="934" spans="2:2" x14ac:dyDescent="0.2">
      <c r="B934"/>
    </row>
    <row r="935" spans="2:2" x14ac:dyDescent="0.2">
      <c r="B935"/>
    </row>
    <row r="936" spans="2:2" x14ac:dyDescent="0.2">
      <c r="B936"/>
    </row>
    <row r="937" spans="2:2" x14ac:dyDescent="0.2">
      <c r="B937"/>
    </row>
    <row r="938" spans="2:2" x14ac:dyDescent="0.2">
      <c r="B938"/>
    </row>
    <row r="939" spans="2:2" x14ac:dyDescent="0.2">
      <c r="B939"/>
    </row>
    <row r="940" spans="2:2" x14ac:dyDescent="0.2">
      <c r="B940"/>
    </row>
    <row r="941" spans="2:2" x14ac:dyDescent="0.2">
      <c r="B941"/>
    </row>
    <row r="942" spans="2:2" x14ac:dyDescent="0.2">
      <c r="B942"/>
    </row>
    <row r="943" spans="2:2" x14ac:dyDescent="0.2">
      <c r="B943"/>
    </row>
    <row r="944" spans="2:2" x14ac:dyDescent="0.2">
      <c r="B944"/>
    </row>
    <row r="945" spans="2:2" x14ac:dyDescent="0.2">
      <c r="B945"/>
    </row>
    <row r="946" spans="2:2" x14ac:dyDescent="0.2">
      <c r="B946"/>
    </row>
    <row r="947" spans="2:2" x14ac:dyDescent="0.2">
      <c r="B947"/>
    </row>
    <row r="948" spans="2:2" x14ac:dyDescent="0.2">
      <c r="B948"/>
    </row>
    <row r="949" spans="2:2" x14ac:dyDescent="0.2">
      <c r="B949"/>
    </row>
    <row r="950" spans="2:2" x14ac:dyDescent="0.2">
      <c r="B950"/>
    </row>
    <row r="951" spans="2:2" x14ac:dyDescent="0.2">
      <c r="B951"/>
    </row>
    <row r="952" spans="2:2" x14ac:dyDescent="0.2">
      <c r="B952"/>
    </row>
    <row r="953" spans="2:2" x14ac:dyDescent="0.2">
      <c r="B953"/>
    </row>
    <row r="954" spans="2:2" x14ac:dyDescent="0.2">
      <c r="B954"/>
    </row>
    <row r="955" spans="2:2" x14ac:dyDescent="0.2">
      <c r="B955"/>
    </row>
    <row r="956" spans="2:2" x14ac:dyDescent="0.2">
      <c r="B956"/>
    </row>
    <row r="957" spans="2:2" x14ac:dyDescent="0.2">
      <c r="B957"/>
    </row>
    <row r="958" spans="2:2" x14ac:dyDescent="0.2">
      <c r="B958"/>
    </row>
    <row r="959" spans="2:2" x14ac:dyDescent="0.2">
      <c r="B959"/>
    </row>
    <row r="960" spans="2:2" x14ac:dyDescent="0.2">
      <c r="B960"/>
    </row>
    <row r="961" spans="2:2" x14ac:dyDescent="0.2">
      <c r="B961"/>
    </row>
    <row r="962" spans="2:2" x14ac:dyDescent="0.2">
      <c r="B962"/>
    </row>
    <row r="963" spans="2:2" x14ac:dyDescent="0.2">
      <c r="B963"/>
    </row>
    <row r="964" spans="2:2" x14ac:dyDescent="0.2">
      <c r="B964"/>
    </row>
    <row r="965" spans="2:2" x14ac:dyDescent="0.2">
      <c r="B965"/>
    </row>
    <row r="966" spans="2:2" x14ac:dyDescent="0.2">
      <c r="B966"/>
    </row>
    <row r="967" spans="2:2" x14ac:dyDescent="0.2">
      <c r="B967"/>
    </row>
    <row r="968" spans="2:2" x14ac:dyDescent="0.2">
      <c r="B968"/>
    </row>
    <row r="969" spans="2:2" x14ac:dyDescent="0.2">
      <c r="B969"/>
    </row>
    <row r="970" spans="2:2" x14ac:dyDescent="0.2">
      <c r="B970"/>
    </row>
    <row r="971" spans="2:2" x14ac:dyDescent="0.2">
      <c r="B971"/>
    </row>
    <row r="972" spans="2:2" x14ac:dyDescent="0.2">
      <c r="B972"/>
    </row>
    <row r="973" spans="2:2" x14ac:dyDescent="0.2">
      <c r="B973"/>
    </row>
    <row r="974" spans="2:2" x14ac:dyDescent="0.2">
      <c r="B974"/>
    </row>
    <row r="975" spans="2:2" x14ac:dyDescent="0.2">
      <c r="B975"/>
    </row>
    <row r="976" spans="2:2" x14ac:dyDescent="0.2">
      <c r="B976"/>
    </row>
    <row r="977" spans="2:2" x14ac:dyDescent="0.2">
      <c r="B977"/>
    </row>
    <row r="978" spans="2:2" x14ac:dyDescent="0.2">
      <c r="B978"/>
    </row>
    <row r="979" spans="2:2" x14ac:dyDescent="0.2">
      <c r="B979"/>
    </row>
    <row r="980" spans="2:2" x14ac:dyDescent="0.2">
      <c r="B980"/>
    </row>
    <row r="981" spans="2:2" x14ac:dyDescent="0.2">
      <c r="B981"/>
    </row>
    <row r="982" spans="2:2" x14ac:dyDescent="0.2">
      <c r="B982"/>
    </row>
    <row r="983" spans="2:2" x14ac:dyDescent="0.2">
      <c r="B983"/>
    </row>
    <row r="984" spans="2:2" x14ac:dyDescent="0.2">
      <c r="B984"/>
    </row>
    <row r="985" spans="2:2" x14ac:dyDescent="0.2">
      <c r="B985"/>
    </row>
    <row r="986" spans="2:2" x14ac:dyDescent="0.2">
      <c r="B986"/>
    </row>
    <row r="987" spans="2:2" x14ac:dyDescent="0.2">
      <c r="B987"/>
    </row>
    <row r="988" spans="2:2" x14ac:dyDescent="0.2">
      <c r="B988"/>
    </row>
    <row r="989" spans="2:2" x14ac:dyDescent="0.2">
      <c r="B989"/>
    </row>
    <row r="990" spans="2:2" x14ac:dyDescent="0.2">
      <c r="B990"/>
    </row>
    <row r="991" spans="2:2" x14ac:dyDescent="0.2">
      <c r="B991"/>
    </row>
    <row r="992" spans="2:2" x14ac:dyDescent="0.2">
      <c r="B992"/>
    </row>
    <row r="993" spans="2:2" x14ac:dyDescent="0.2">
      <c r="B993"/>
    </row>
    <row r="994" spans="2:2" x14ac:dyDescent="0.2">
      <c r="B994"/>
    </row>
    <row r="995" spans="2:2" x14ac:dyDescent="0.2">
      <c r="B995"/>
    </row>
    <row r="996" spans="2:2" x14ac:dyDescent="0.2">
      <c r="B996"/>
    </row>
    <row r="997" spans="2:2" x14ac:dyDescent="0.2">
      <c r="B997"/>
    </row>
    <row r="998" spans="2:2" x14ac:dyDescent="0.2">
      <c r="B998"/>
    </row>
    <row r="999" spans="2:2" x14ac:dyDescent="0.2">
      <c r="B999"/>
    </row>
    <row r="1000" spans="2:2" x14ac:dyDescent="0.2">
      <c r="B1000"/>
    </row>
    <row r="1001" spans="2:2" x14ac:dyDescent="0.2">
      <c r="B1001"/>
    </row>
    <row r="1002" spans="2:2" x14ac:dyDescent="0.2">
      <c r="B1002"/>
    </row>
    <row r="1003" spans="2:2" x14ac:dyDescent="0.2">
      <c r="B1003"/>
    </row>
    <row r="1004" spans="2:2" x14ac:dyDescent="0.2">
      <c r="B1004"/>
    </row>
    <row r="1005" spans="2:2" x14ac:dyDescent="0.2">
      <c r="B1005"/>
    </row>
    <row r="1006" spans="2:2" x14ac:dyDescent="0.2">
      <c r="B1006"/>
    </row>
    <row r="1007" spans="2:2" x14ac:dyDescent="0.2">
      <c r="B1007"/>
    </row>
    <row r="1008" spans="2:2" x14ac:dyDescent="0.2">
      <c r="B1008"/>
    </row>
    <row r="1009" spans="2:2" x14ac:dyDescent="0.2">
      <c r="B1009"/>
    </row>
    <row r="1010" spans="2:2" x14ac:dyDescent="0.2">
      <c r="B1010"/>
    </row>
    <row r="1011" spans="2:2" x14ac:dyDescent="0.2">
      <c r="B1011"/>
    </row>
    <row r="1012" spans="2:2" x14ac:dyDescent="0.2">
      <c r="B1012"/>
    </row>
    <row r="1013" spans="2:2" x14ac:dyDescent="0.2">
      <c r="B1013"/>
    </row>
    <row r="1014" spans="2:2" x14ac:dyDescent="0.2">
      <c r="B1014"/>
    </row>
    <row r="1015" spans="2:2" x14ac:dyDescent="0.2">
      <c r="B1015"/>
    </row>
    <row r="1016" spans="2:2" x14ac:dyDescent="0.2">
      <c r="B1016"/>
    </row>
    <row r="1017" spans="2:2" x14ac:dyDescent="0.2">
      <c r="B1017"/>
    </row>
    <row r="1018" spans="2:2" x14ac:dyDescent="0.2">
      <c r="B1018"/>
    </row>
    <row r="1019" spans="2:2" x14ac:dyDescent="0.2">
      <c r="B1019"/>
    </row>
    <row r="1020" spans="2:2" x14ac:dyDescent="0.2">
      <c r="B1020"/>
    </row>
    <row r="1021" spans="2:2" x14ac:dyDescent="0.2">
      <c r="B1021"/>
    </row>
    <row r="1022" spans="2:2" x14ac:dyDescent="0.2">
      <c r="B1022"/>
    </row>
    <row r="1023" spans="2:2" x14ac:dyDescent="0.2">
      <c r="B1023"/>
    </row>
    <row r="1024" spans="2:2" x14ac:dyDescent="0.2">
      <c r="B10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0818-4BDA-4644-8A65-8A11140A835C}">
  <sheetPr>
    <tabColor rgb="FFE36D6D"/>
  </sheetPr>
  <dimension ref="A1:B83"/>
  <sheetViews>
    <sheetView workbookViewId="0">
      <selection activeCell="B8" sqref="B8"/>
    </sheetView>
  </sheetViews>
  <sheetFormatPr defaultRowHeight="12.75" x14ac:dyDescent="0.2"/>
  <cols>
    <col min="1" max="1" width="16.140625" bestFit="1" customWidth="1"/>
    <col min="2" max="2" width="18.28515625" bestFit="1" customWidth="1"/>
  </cols>
  <sheetData>
    <row r="1" spans="1:2" x14ac:dyDescent="0.2">
      <c r="A1" s="64" t="s">
        <v>87</v>
      </c>
      <c r="B1" t="s">
        <v>1869</v>
      </c>
    </row>
    <row r="3" spans="1:2" x14ac:dyDescent="0.2">
      <c r="A3" s="64" t="s">
        <v>65</v>
      </c>
      <c r="B3" t="s">
        <v>11</v>
      </c>
    </row>
    <row r="4" spans="1:2" x14ac:dyDescent="0.2">
      <c r="A4" s="65" t="s">
        <v>7</v>
      </c>
      <c r="B4" s="331">
        <v>2072175.3108127164</v>
      </c>
    </row>
    <row r="5" spans="1:2" x14ac:dyDescent="0.2">
      <c r="A5" s="66" t="s">
        <v>13</v>
      </c>
      <c r="B5" s="331">
        <v>339241.49912557821</v>
      </c>
    </row>
    <row r="6" spans="1:2" x14ac:dyDescent="0.2">
      <c r="A6" s="85">
        <v>46188</v>
      </c>
      <c r="B6" s="331">
        <v>8916.2844042500001</v>
      </c>
    </row>
    <row r="7" spans="1:2" x14ac:dyDescent="0.2">
      <c r="A7" s="86" t="s">
        <v>3</v>
      </c>
      <c r="B7" s="331">
        <v>8916.2844042500001</v>
      </c>
    </row>
    <row r="8" spans="1:2" x14ac:dyDescent="0.2">
      <c r="A8" s="85">
        <v>46198</v>
      </c>
      <c r="B8" s="331">
        <v>2035</v>
      </c>
    </row>
    <row r="9" spans="1:2" x14ac:dyDescent="0.2">
      <c r="A9" s="86" t="s">
        <v>2</v>
      </c>
      <c r="B9" s="331">
        <v>2035</v>
      </c>
    </row>
    <row r="10" spans="1:2" x14ac:dyDescent="0.2">
      <c r="A10" s="85">
        <v>46203</v>
      </c>
      <c r="B10" s="331">
        <v>328290.21472132817</v>
      </c>
    </row>
    <row r="11" spans="1:2" x14ac:dyDescent="0.2">
      <c r="A11" s="86" t="s">
        <v>1</v>
      </c>
      <c r="B11" s="331">
        <v>242514.34417489244</v>
      </c>
    </row>
    <row r="12" spans="1:2" x14ac:dyDescent="0.2">
      <c r="A12" s="86" t="s">
        <v>3</v>
      </c>
      <c r="B12" s="331">
        <v>23650.33</v>
      </c>
    </row>
    <row r="13" spans="1:2" x14ac:dyDescent="0.2">
      <c r="A13" s="86" t="s">
        <v>2</v>
      </c>
      <c r="B13" s="331">
        <v>62125.540546435761</v>
      </c>
    </row>
    <row r="14" spans="1:2" x14ac:dyDescent="0.2">
      <c r="A14" s="66" t="s">
        <v>1615</v>
      </c>
      <c r="B14" s="331">
        <v>305694.94478224893</v>
      </c>
    </row>
    <row r="15" spans="1:2" x14ac:dyDescent="0.2">
      <c r="A15" s="85">
        <v>46218</v>
      </c>
      <c r="B15" s="331">
        <v>4164.4002896419861</v>
      </c>
    </row>
    <row r="16" spans="1:2" x14ac:dyDescent="0.2">
      <c r="A16" s="86" t="s">
        <v>3</v>
      </c>
      <c r="B16" s="331">
        <v>90.2</v>
      </c>
    </row>
    <row r="17" spans="1:2" x14ac:dyDescent="0.2">
      <c r="A17" s="86" t="s">
        <v>2</v>
      </c>
      <c r="B17" s="331">
        <v>4074.2002896419858</v>
      </c>
    </row>
    <row r="18" spans="1:2" x14ac:dyDescent="0.2">
      <c r="A18" s="85">
        <v>46228</v>
      </c>
      <c r="B18" s="331">
        <v>33724.633250130173</v>
      </c>
    </row>
    <row r="19" spans="1:2" x14ac:dyDescent="0.2">
      <c r="A19" s="86" t="s">
        <v>1</v>
      </c>
      <c r="B19" s="331">
        <v>31968.368751217611</v>
      </c>
    </row>
    <row r="20" spans="1:2" x14ac:dyDescent="0.2">
      <c r="A20" s="86" t="s">
        <v>2</v>
      </c>
      <c r="B20" s="331">
        <v>1756.2644989125622</v>
      </c>
    </row>
    <row r="21" spans="1:2" x14ac:dyDescent="0.2">
      <c r="A21" s="85">
        <v>46233</v>
      </c>
      <c r="B21" s="331">
        <v>113.55729000000001</v>
      </c>
    </row>
    <row r="22" spans="1:2" x14ac:dyDescent="0.2">
      <c r="A22" s="86" t="s">
        <v>1</v>
      </c>
      <c r="B22" s="331">
        <v>113.55729000000001</v>
      </c>
    </row>
    <row r="23" spans="1:2" x14ac:dyDescent="0.2">
      <c r="A23" s="85">
        <v>46234</v>
      </c>
      <c r="B23" s="331">
        <v>267692.35395247675</v>
      </c>
    </row>
    <row r="24" spans="1:2" x14ac:dyDescent="0.2">
      <c r="A24" s="86" t="s">
        <v>1</v>
      </c>
      <c r="B24" s="331">
        <v>195644.93</v>
      </c>
    </row>
    <row r="25" spans="1:2" x14ac:dyDescent="0.2">
      <c r="A25" s="86" t="s">
        <v>3</v>
      </c>
      <c r="B25" s="331">
        <v>4150.33</v>
      </c>
    </row>
    <row r="26" spans="1:2" x14ac:dyDescent="0.2">
      <c r="A26" s="86" t="s">
        <v>2</v>
      </c>
      <c r="B26" s="331">
        <v>67897.093952476804</v>
      </c>
    </row>
    <row r="27" spans="1:2" x14ac:dyDescent="0.2">
      <c r="A27" s="66" t="s">
        <v>1616</v>
      </c>
      <c r="B27" s="331">
        <v>301533.50126290502</v>
      </c>
    </row>
    <row r="28" spans="1:2" x14ac:dyDescent="0.2">
      <c r="A28" s="85">
        <v>46249</v>
      </c>
      <c r="B28" s="331">
        <v>4074.2002896419858</v>
      </c>
    </row>
    <row r="29" spans="1:2" x14ac:dyDescent="0.2">
      <c r="A29" s="86" t="s">
        <v>2</v>
      </c>
      <c r="B29" s="331">
        <v>4074.2002896419858</v>
      </c>
    </row>
    <row r="30" spans="1:2" x14ac:dyDescent="0.2">
      <c r="A30" s="85">
        <v>46259</v>
      </c>
      <c r="B30" s="331">
        <v>35322.090973263039</v>
      </c>
    </row>
    <row r="31" spans="1:2" x14ac:dyDescent="0.2">
      <c r="A31" s="86" t="s">
        <v>1</v>
      </c>
      <c r="B31" s="331">
        <v>31109.176474350479</v>
      </c>
    </row>
    <row r="32" spans="1:2" x14ac:dyDescent="0.2">
      <c r="A32" s="86" t="s">
        <v>2</v>
      </c>
      <c r="B32" s="331">
        <v>4212.9144989125625</v>
      </c>
    </row>
    <row r="33" spans="1:2" x14ac:dyDescent="0.2">
      <c r="A33" s="85">
        <v>46265</v>
      </c>
      <c r="B33" s="331">
        <v>262137.21</v>
      </c>
    </row>
    <row r="34" spans="1:2" x14ac:dyDescent="0.2">
      <c r="A34" s="86" t="s">
        <v>1</v>
      </c>
      <c r="B34" s="331">
        <v>182987.21</v>
      </c>
    </row>
    <row r="35" spans="1:2" x14ac:dyDescent="0.2">
      <c r="A35" s="86" t="s">
        <v>2</v>
      </c>
      <c r="B35" s="331">
        <v>79150</v>
      </c>
    </row>
    <row r="36" spans="1:2" x14ac:dyDescent="0.2">
      <c r="A36" s="66" t="s">
        <v>1617</v>
      </c>
      <c r="B36" s="331">
        <v>264694.5015092406</v>
      </c>
    </row>
    <row r="37" spans="1:2" x14ac:dyDescent="0.2">
      <c r="A37" s="85">
        <v>46280</v>
      </c>
      <c r="B37" s="331">
        <v>4074.2002896419858</v>
      </c>
    </row>
    <row r="38" spans="1:2" x14ac:dyDescent="0.2">
      <c r="A38" s="86" t="s">
        <v>2</v>
      </c>
      <c r="B38" s="331">
        <v>4074.2002896419858</v>
      </c>
    </row>
    <row r="39" spans="1:2" x14ac:dyDescent="0.2">
      <c r="A39" s="85">
        <v>46290</v>
      </c>
      <c r="B39" s="331">
        <v>35322.090973263039</v>
      </c>
    </row>
    <row r="40" spans="1:2" x14ac:dyDescent="0.2">
      <c r="A40" s="86" t="s">
        <v>1</v>
      </c>
      <c r="B40" s="331">
        <v>31109.176474350479</v>
      </c>
    </row>
    <row r="41" spans="1:2" x14ac:dyDescent="0.2">
      <c r="A41" s="86" t="s">
        <v>2</v>
      </c>
      <c r="B41" s="331">
        <v>4212.9144989125625</v>
      </c>
    </row>
    <row r="42" spans="1:2" x14ac:dyDescent="0.2">
      <c r="A42" s="85">
        <v>46295</v>
      </c>
      <c r="B42" s="331">
        <v>225298.21024633554</v>
      </c>
    </row>
    <row r="43" spans="1:2" x14ac:dyDescent="0.2">
      <c r="A43" s="86" t="s">
        <v>1</v>
      </c>
      <c r="B43" s="331">
        <v>189148.21024633554</v>
      </c>
    </row>
    <row r="44" spans="1:2" x14ac:dyDescent="0.2">
      <c r="A44" s="86" t="s">
        <v>2</v>
      </c>
      <c r="B44" s="331">
        <v>36150</v>
      </c>
    </row>
    <row r="45" spans="1:2" x14ac:dyDescent="0.2">
      <c r="A45" s="66" t="s">
        <v>1618</v>
      </c>
      <c r="B45" s="331">
        <v>275528.26983277214</v>
      </c>
    </row>
    <row r="46" spans="1:2" x14ac:dyDescent="0.2">
      <c r="A46" s="85">
        <v>46310</v>
      </c>
      <c r="B46" s="331">
        <v>4074.2002896419858</v>
      </c>
    </row>
    <row r="47" spans="1:2" x14ac:dyDescent="0.2">
      <c r="A47" s="86" t="s">
        <v>2</v>
      </c>
      <c r="B47" s="331">
        <v>4074.2002896419858</v>
      </c>
    </row>
    <row r="48" spans="1:2" x14ac:dyDescent="0.2">
      <c r="A48" s="85">
        <v>46320</v>
      </c>
      <c r="B48" s="331">
        <v>30816.85954313018</v>
      </c>
    </row>
    <row r="49" spans="1:2" x14ac:dyDescent="0.2">
      <c r="A49" s="86" t="s">
        <v>1</v>
      </c>
      <c r="B49" s="331">
        <v>26603.945044217617</v>
      </c>
    </row>
    <row r="50" spans="1:2" x14ac:dyDescent="0.2">
      <c r="A50" s="86" t="s">
        <v>2</v>
      </c>
      <c r="B50" s="331">
        <v>4212.9144989125625</v>
      </c>
    </row>
    <row r="51" spans="1:2" x14ac:dyDescent="0.2">
      <c r="A51" s="85">
        <v>46326</v>
      </c>
      <c r="B51" s="331">
        <v>240637.21</v>
      </c>
    </row>
    <row r="52" spans="1:2" x14ac:dyDescent="0.2">
      <c r="A52" s="86" t="s">
        <v>1</v>
      </c>
      <c r="B52" s="331">
        <v>182987.21</v>
      </c>
    </row>
    <row r="53" spans="1:2" x14ac:dyDescent="0.2">
      <c r="A53" s="86" t="s">
        <v>2</v>
      </c>
      <c r="B53" s="331">
        <v>57650</v>
      </c>
    </row>
    <row r="54" spans="1:2" x14ac:dyDescent="0.2">
      <c r="A54" s="66" t="s">
        <v>1619</v>
      </c>
      <c r="B54" s="331">
        <v>289794.83602819289</v>
      </c>
    </row>
    <row r="55" spans="1:2" x14ac:dyDescent="0.2">
      <c r="A55" s="85">
        <v>46341</v>
      </c>
      <c r="B55" s="331">
        <v>4536.2753081171513</v>
      </c>
    </row>
    <row r="56" spans="1:2" x14ac:dyDescent="0.2">
      <c r="A56" s="86" t="s">
        <v>1</v>
      </c>
      <c r="B56" s="331">
        <v>462.07501847516585</v>
      </c>
    </row>
    <row r="57" spans="1:2" x14ac:dyDescent="0.2">
      <c r="A57" s="86" t="s">
        <v>2</v>
      </c>
      <c r="B57" s="331">
        <v>4074.2002896419858</v>
      </c>
    </row>
    <row r="58" spans="1:2" x14ac:dyDescent="0.2">
      <c r="A58" s="85">
        <v>46351</v>
      </c>
      <c r="B58" s="331">
        <v>44621.350720075759</v>
      </c>
    </row>
    <row r="59" spans="1:2" x14ac:dyDescent="0.2">
      <c r="A59" s="86" t="s">
        <v>1</v>
      </c>
      <c r="B59" s="331">
        <v>40408.436221163196</v>
      </c>
    </row>
    <row r="60" spans="1:2" x14ac:dyDescent="0.2">
      <c r="A60" s="86" t="s">
        <v>2</v>
      </c>
      <c r="B60" s="331">
        <v>4212.9144989125625</v>
      </c>
    </row>
    <row r="61" spans="1:2" x14ac:dyDescent="0.2">
      <c r="A61" s="85">
        <v>46356</v>
      </c>
      <c r="B61" s="331">
        <v>240637.21</v>
      </c>
    </row>
    <row r="62" spans="1:2" x14ac:dyDescent="0.2">
      <c r="A62" s="86" t="s">
        <v>1</v>
      </c>
      <c r="B62" s="331">
        <v>182987.21</v>
      </c>
    </row>
    <row r="63" spans="1:2" x14ac:dyDescent="0.2">
      <c r="A63" s="86" t="s">
        <v>2</v>
      </c>
      <c r="B63" s="331">
        <v>57650</v>
      </c>
    </row>
    <row r="64" spans="1:2" x14ac:dyDescent="0.2">
      <c r="A64" s="66" t="s">
        <v>20</v>
      </c>
      <c r="B64" s="331">
        <v>295687.75827177882</v>
      </c>
    </row>
    <row r="65" spans="1:2" x14ac:dyDescent="0.2">
      <c r="A65" s="85">
        <v>46371</v>
      </c>
      <c r="B65" s="331">
        <v>4074.2002896419858</v>
      </c>
    </row>
    <row r="66" spans="1:2" x14ac:dyDescent="0.2">
      <c r="A66" s="86" t="s">
        <v>2</v>
      </c>
      <c r="B66" s="331">
        <v>4074.2002896419858</v>
      </c>
    </row>
    <row r="67" spans="1:2" x14ac:dyDescent="0.2">
      <c r="A67" s="85">
        <v>46381</v>
      </c>
      <c r="B67" s="331">
        <v>49299.860282136811</v>
      </c>
    </row>
    <row r="68" spans="1:2" x14ac:dyDescent="0.2">
      <c r="A68" s="86" t="s">
        <v>1</v>
      </c>
      <c r="B68" s="331">
        <v>45086.945783224248</v>
      </c>
    </row>
    <row r="69" spans="1:2" x14ac:dyDescent="0.2">
      <c r="A69" s="86" t="s">
        <v>2</v>
      </c>
      <c r="B69" s="331">
        <v>4212.9144989125625</v>
      </c>
    </row>
    <row r="70" spans="1:2" x14ac:dyDescent="0.2">
      <c r="A70" s="85">
        <v>46387</v>
      </c>
      <c r="B70" s="331">
        <v>242313.69769999999</v>
      </c>
    </row>
    <row r="71" spans="1:2" x14ac:dyDescent="0.2">
      <c r="A71" s="86" t="s">
        <v>1</v>
      </c>
      <c r="B71" s="331">
        <v>185163.69769999999</v>
      </c>
    </row>
    <row r="72" spans="1:2" x14ac:dyDescent="0.2">
      <c r="A72" s="86" t="s">
        <v>2</v>
      </c>
      <c r="B72" s="331">
        <v>57150</v>
      </c>
    </row>
    <row r="73" spans="1:2" x14ac:dyDescent="0.2">
      <c r="A73" s="65" t="s">
        <v>1870</v>
      </c>
      <c r="B73" s="331">
        <v>28162.109913934422</v>
      </c>
    </row>
    <row r="74" spans="1:2" x14ac:dyDescent="0.2">
      <c r="A74" s="66" t="s">
        <v>9</v>
      </c>
      <c r="B74" s="331">
        <v>9679.1091749277912</v>
      </c>
    </row>
    <row r="75" spans="1:2" x14ac:dyDescent="0.2">
      <c r="A75" s="85">
        <v>46402</v>
      </c>
      <c r="B75" s="331">
        <v>4074.2002896419858</v>
      </c>
    </row>
    <row r="76" spans="1:2" x14ac:dyDescent="0.2">
      <c r="A76" s="86" t="s">
        <v>2</v>
      </c>
      <c r="B76" s="331">
        <v>4074.2002896419858</v>
      </c>
    </row>
    <row r="77" spans="1:2" x14ac:dyDescent="0.2">
      <c r="A77" s="85">
        <v>46412</v>
      </c>
      <c r="B77" s="331">
        <v>5604.9088852858058</v>
      </c>
    </row>
    <row r="78" spans="1:2" x14ac:dyDescent="0.2">
      <c r="A78" s="86" t="s">
        <v>1</v>
      </c>
      <c r="B78" s="331">
        <v>5348.5183388500454</v>
      </c>
    </row>
    <row r="79" spans="1:2" x14ac:dyDescent="0.2">
      <c r="A79" s="86" t="s">
        <v>2</v>
      </c>
      <c r="B79" s="331">
        <v>256.39054643576014</v>
      </c>
    </row>
    <row r="80" spans="1:2" x14ac:dyDescent="0.2">
      <c r="A80" s="66" t="s">
        <v>27</v>
      </c>
      <c r="B80" s="331">
        <v>18483.000739006631</v>
      </c>
    </row>
    <row r="81" spans="1:2" x14ac:dyDescent="0.2">
      <c r="A81" s="85">
        <v>46477</v>
      </c>
      <c r="B81" s="331">
        <v>18483.000739006631</v>
      </c>
    </row>
    <row r="82" spans="1:2" x14ac:dyDescent="0.2">
      <c r="A82" s="86" t="s">
        <v>1</v>
      </c>
      <c r="B82" s="331">
        <v>18483.000739006631</v>
      </c>
    </row>
    <row r="83" spans="1:2" x14ac:dyDescent="0.2">
      <c r="A83" s="65" t="s">
        <v>19</v>
      </c>
      <c r="B83" s="331">
        <v>2100337.4207266509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8861-E403-4661-AD92-BF433BEC2A65}">
  <sheetPr>
    <tabColor rgb="FFE36D6D"/>
  </sheetPr>
  <dimension ref="A1:B35"/>
  <sheetViews>
    <sheetView workbookViewId="0">
      <selection activeCell="J32" sqref="J32"/>
    </sheetView>
  </sheetViews>
  <sheetFormatPr defaultRowHeight="12.75" x14ac:dyDescent="0.2"/>
  <cols>
    <col min="1" max="1" width="45.28515625" bestFit="1" customWidth="1"/>
    <col min="2" max="2" width="18.28515625" bestFit="1" customWidth="1"/>
  </cols>
  <sheetData>
    <row r="1" spans="1:2" x14ac:dyDescent="0.2">
      <c r="A1" s="64" t="s">
        <v>87</v>
      </c>
      <c r="B1" t="s">
        <v>15</v>
      </c>
    </row>
    <row r="2" spans="1:2" x14ac:dyDescent="0.2">
      <c r="A2" s="64" t="s">
        <v>44</v>
      </c>
      <c r="B2" t="s">
        <v>45</v>
      </c>
    </row>
    <row r="4" spans="1:2" x14ac:dyDescent="0.2">
      <c r="A4" s="64" t="s">
        <v>65</v>
      </c>
      <c r="B4" t="s">
        <v>11</v>
      </c>
    </row>
    <row r="5" spans="1:2" x14ac:dyDescent="0.2">
      <c r="A5" s="65" t="s">
        <v>7</v>
      </c>
      <c r="B5" s="331">
        <v>219507.66629749833</v>
      </c>
    </row>
    <row r="6" spans="1:2" x14ac:dyDescent="0.2">
      <c r="A6" s="66" t="s">
        <v>9</v>
      </c>
      <c r="B6" s="331">
        <v>26646.327115999997</v>
      </c>
    </row>
    <row r="7" spans="1:2" x14ac:dyDescent="0.2">
      <c r="A7" s="87" t="s">
        <v>2</v>
      </c>
      <c r="B7" s="331">
        <v>6113.5671159999993</v>
      </c>
    </row>
    <row r="8" spans="1:2" x14ac:dyDescent="0.2">
      <c r="A8" s="87" t="s">
        <v>1</v>
      </c>
      <c r="B8" s="331">
        <v>20532.759999999998</v>
      </c>
    </row>
    <row r="9" spans="1:2" x14ac:dyDescent="0.2">
      <c r="A9" s="86" t="s">
        <v>47</v>
      </c>
      <c r="B9" s="331">
        <v>20532.759999999998</v>
      </c>
    </row>
    <row r="10" spans="1:2" x14ac:dyDescent="0.2">
      <c r="A10" s="66" t="s">
        <v>26</v>
      </c>
      <c r="B10" s="331">
        <v>11781.977261119999</v>
      </c>
    </row>
    <row r="11" spans="1:2" x14ac:dyDescent="0.2">
      <c r="A11" s="87" t="s">
        <v>2</v>
      </c>
      <c r="B11" s="331">
        <v>5984.9372611199997</v>
      </c>
    </row>
    <row r="12" spans="1:2" x14ac:dyDescent="0.2">
      <c r="A12" s="87" t="s">
        <v>1</v>
      </c>
      <c r="B12" s="331">
        <v>5797.04</v>
      </c>
    </row>
    <row r="13" spans="1:2" x14ac:dyDescent="0.2">
      <c r="A13" s="86" t="s">
        <v>47</v>
      </c>
      <c r="B13" s="331">
        <v>5797.04</v>
      </c>
    </row>
    <row r="14" spans="1:2" x14ac:dyDescent="0.2">
      <c r="A14" s="66" t="s">
        <v>27</v>
      </c>
      <c r="B14" s="331">
        <v>132634.77235930221</v>
      </c>
    </row>
    <row r="15" spans="1:2" x14ac:dyDescent="0.2">
      <c r="A15" s="87" t="s">
        <v>2</v>
      </c>
      <c r="B15" s="331">
        <v>53974.03005413487</v>
      </c>
    </row>
    <row r="16" spans="1:2" x14ac:dyDescent="0.2">
      <c r="A16" s="87" t="s">
        <v>1</v>
      </c>
      <c r="B16" s="331">
        <v>78660.74230516734</v>
      </c>
    </row>
    <row r="17" spans="1:2" x14ac:dyDescent="0.2">
      <c r="A17" s="86" t="s">
        <v>47</v>
      </c>
      <c r="B17" s="331">
        <v>37639.17</v>
      </c>
    </row>
    <row r="18" spans="1:2" x14ac:dyDescent="0.2">
      <c r="A18" s="86" t="s">
        <v>48</v>
      </c>
      <c r="B18" s="331">
        <v>41021.572305167334</v>
      </c>
    </row>
    <row r="19" spans="1:2" x14ac:dyDescent="0.2">
      <c r="A19" s="98" t="s">
        <v>356</v>
      </c>
      <c r="B19" s="331">
        <v>41021.572305167334</v>
      </c>
    </row>
    <row r="20" spans="1:2" x14ac:dyDescent="0.2">
      <c r="A20" s="66" t="s">
        <v>36</v>
      </c>
      <c r="B20" s="331">
        <v>28722.288568656146</v>
      </c>
    </row>
    <row r="21" spans="1:2" x14ac:dyDescent="0.2">
      <c r="A21" s="87" t="s">
        <v>2</v>
      </c>
      <c r="B21" s="331">
        <v>6458.7885686561467</v>
      </c>
    </row>
    <row r="22" spans="1:2" x14ac:dyDescent="0.2">
      <c r="A22" s="87" t="s">
        <v>1</v>
      </c>
      <c r="B22" s="331">
        <v>22263.5</v>
      </c>
    </row>
    <row r="23" spans="1:2" x14ac:dyDescent="0.2">
      <c r="A23" s="86" t="s">
        <v>47</v>
      </c>
      <c r="B23" s="331">
        <v>22263.5</v>
      </c>
    </row>
    <row r="24" spans="1:2" x14ac:dyDescent="0.2">
      <c r="A24" s="66" t="s">
        <v>12</v>
      </c>
      <c r="B24" s="331">
        <v>13277.29059242</v>
      </c>
    </row>
    <row r="25" spans="1:2" x14ac:dyDescent="0.2">
      <c r="A25" s="87" t="s">
        <v>2</v>
      </c>
      <c r="B25" s="331">
        <v>7465.4970465999995</v>
      </c>
    </row>
    <row r="26" spans="1:2" x14ac:dyDescent="0.2">
      <c r="A26" s="87" t="s">
        <v>1</v>
      </c>
      <c r="B26" s="331">
        <v>5811.7935458200009</v>
      </c>
    </row>
    <row r="27" spans="1:2" x14ac:dyDescent="0.2">
      <c r="A27" s="86" t="s">
        <v>46</v>
      </c>
      <c r="B27" s="331">
        <v>49.353545820000001</v>
      </c>
    </row>
    <row r="28" spans="1:2" x14ac:dyDescent="0.2">
      <c r="A28" s="98" t="s">
        <v>393</v>
      </c>
      <c r="B28" s="331">
        <v>49.353545820000001</v>
      </c>
    </row>
    <row r="29" spans="1:2" x14ac:dyDescent="0.2">
      <c r="A29" s="86" t="s">
        <v>47</v>
      </c>
      <c r="B29" s="331">
        <v>5762.4400000000005</v>
      </c>
    </row>
    <row r="30" spans="1:2" x14ac:dyDescent="0.2">
      <c r="A30" s="66" t="s">
        <v>13</v>
      </c>
      <c r="B30" s="331">
        <v>6445.0103999999992</v>
      </c>
    </row>
    <row r="31" spans="1:2" x14ac:dyDescent="0.2">
      <c r="A31" s="87" t="s">
        <v>2</v>
      </c>
      <c r="B31" s="331">
        <v>3505.3274999999999</v>
      </c>
    </row>
    <row r="32" spans="1:2" x14ac:dyDescent="0.2">
      <c r="A32" s="87" t="s">
        <v>1</v>
      </c>
      <c r="B32" s="331">
        <v>2939.6828999999998</v>
      </c>
    </row>
    <row r="33" spans="1:2" x14ac:dyDescent="0.2">
      <c r="A33" s="86" t="s">
        <v>398</v>
      </c>
      <c r="B33" s="331">
        <v>2939.6828999999998</v>
      </c>
    </row>
    <row r="34" spans="1:2" x14ac:dyDescent="0.2">
      <c r="A34" s="98" t="s">
        <v>657</v>
      </c>
      <c r="B34" s="331">
        <v>2939.6828999999998</v>
      </c>
    </row>
    <row r="35" spans="1:2" x14ac:dyDescent="0.2">
      <c r="A35" s="65" t="s">
        <v>19</v>
      </c>
      <c r="B35" s="331">
        <v>219507.66629749833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A345-1A3B-48EB-BC73-873FBF172AA8}">
  <sheetPr>
    <tabColor rgb="FFE36D6D"/>
  </sheetPr>
  <dimension ref="A1:B255"/>
  <sheetViews>
    <sheetView workbookViewId="0">
      <selection activeCell="G32" sqref="G32"/>
    </sheetView>
  </sheetViews>
  <sheetFormatPr defaultRowHeight="12.75" x14ac:dyDescent="0.2"/>
  <cols>
    <col min="1" max="1" width="57" bestFit="1" customWidth="1"/>
    <col min="2" max="2" width="18.28515625" bestFit="1" customWidth="1"/>
  </cols>
  <sheetData>
    <row r="1" spans="1:2" x14ac:dyDescent="0.2">
      <c r="A1" s="64" t="s">
        <v>87</v>
      </c>
      <c r="B1" t="s">
        <v>1868</v>
      </c>
    </row>
    <row r="3" spans="1:2" x14ac:dyDescent="0.2">
      <c r="A3" s="64" t="s">
        <v>65</v>
      </c>
      <c r="B3" t="s">
        <v>11</v>
      </c>
    </row>
    <row r="4" spans="1:2" x14ac:dyDescent="0.2">
      <c r="A4" s="65" t="s">
        <v>7</v>
      </c>
      <c r="B4" s="331"/>
    </row>
    <row r="5" spans="1:2" x14ac:dyDescent="0.2">
      <c r="A5" s="66" t="s">
        <v>9</v>
      </c>
      <c r="B5" s="331"/>
    </row>
    <row r="6" spans="1:2" x14ac:dyDescent="0.2">
      <c r="A6" s="87" t="s">
        <v>3</v>
      </c>
      <c r="B6" s="331">
        <v>-64687.107746400005</v>
      </c>
    </row>
    <row r="7" spans="1:2" x14ac:dyDescent="0.2">
      <c r="A7" s="86" t="s">
        <v>62</v>
      </c>
      <c r="B7" s="331">
        <v>2232.4799908000005</v>
      </c>
    </row>
    <row r="8" spans="1:2" x14ac:dyDescent="0.2">
      <c r="A8" s="98" t="s">
        <v>333</v>
      </c>
      <c r="B8" s="331">
        <v>344.51833950000002</v>
      </c>
    </row>
    <row r="9" spans="1:2" x14ac:dyDescent="0.2">
      <c r="A9" s="323" t="s">
        <v>332</v>
      </c>
      <c r="B9" s="331">
        <v>4.6119912999999997</v>
      </c>
    </row>
    <row r="10" spans="1:2" x14ac:dyDescent="0.2">
      <c r="A10" s="327" t="s">
        <v>332</v>
      </c>
      <c r="B10" s="331">
        <v>4.6119912999999997</v>
      </c>
    </row>
    <row r="11" spans="1:2" x14ac:dyDescent="0.2">
      <c r="A11" s="323" t="s">
        <v>47</v>
      </c>
      <c r="B11" s="331">
        <v>96.590001200000017</v>
      </c>
    </row>
    <row r="12" spans="1:2" x14ac:dyDescent="0.2">
      <c r="A12" s="327" t="s">
        <v>364</v>
      </c>
      <c r="B12" s="331">
        <v>96.590001200000017</v>
      </c>
    </row>
    <row r="13" spans="1:2" x14ac:dyDescent="0.2">
      <c r="A13" s="323" t="s">
        <v>385</v>
      </c>
      <c r="B13" s="331">
        <v>-54.941101600000003</v>
      </c>
    </row>
    <row r="14" spans="1:2" x14ac:dyDescent="0.2">
      <c r="A14" s="327" t="s">
        <v>384</v>
      </c>
      <c r="B14" s="331">
        <v>-54.941101600000003</v>
      </c>
    </row>
    <row r="15" spans="1:2" x14ac:dyDescent="0.2">
      <c r="A15" s="323" t="s">
        <v>60</v>
      </c>
      <c r="B15" s="331">
        <v>298.25744860000003</v>
      </c>
    </row>
    <row r="16" spans="1:2" x14ac:dyDescent="0.2">
      <c r="A16" s="327" t="s">
        <v>60</v>
      </c>
      <c r="B16" s="331">
        <v>298.25744860000003</v>
      </c>
    </row>
    <row r="17" spans="1:2" x14ac:dyDescent="0.2">
      <c r="A17" s="98" t="s">
        <v>340</v>
      </c>
      <c r="B17" s="331">
        <v>1735.2049039000001</v>
      </c>
    </row>
    <row r="18" spans="1:2" x14ac:dyDescent="0.2">
      <c r="A18" s="323" t="s">
        <v>344</v>
      </c>
      <c r="B18" s="331">
        <v>13.738152500000002</v>
      </c>
    </row>
    <row r="19" spans="1:2" x14ac:dyDescent="0.2">
      <c r="A19" s="327" t="s">
        <v>344</v>
      </c>
      <c r="B19" s="331">
        <v>13.738152500000002</v>
      </c>
    </row>
    <row r="20" spans="1:2" x14ac:dyDescent="0.2">
      <c r="A20" s="323" t="s">
        <v>50</v>
      </c>
      <c r="B20" s="331">
        <v>134.52600325</v>
      </c>
    </row>
    <row r="21" spans="1:2" x14ac:dyDescent="0.2">
      <c r="A21" s="327" t="s">
        <v>50</v>
      </c>
      <c r="B21" s="331">
        <v>134.52600325</v>
      </c>
    </row>
    <row r="22" spans="1:2" x14ac:dyDescent="0.2">
      <c r="A22" s="323" t="s">
        <v>48</v>
      </c>
      <c r="B22" s="331">
        <v>1551.476175</v>
      </c>
    </row>
    <row r="23" spans="1:2" x14ac:dyDescent="0.2">
      <c r="A23" s="327" t="s">
        <v>339</v>
      </c>
      <c r="B23" s="331">
        <v>1551.476175</v>
      </c>
    </row>
    <row r="24" spans="1:2" x14ac:dyDescent="0.2">
      <c r="A24" s="323" t="s">
        <v>371</v>
      </c>
      <c r="B24" s="331">
        <v>35.46457315</v>
      </c>
    </row>
    <row r="25" spans="1:2" x14ac:dyDescent="0.2">
      <c r="A25" s="327" t="s">
        <v>370</v>
      </c>
      <c r="B25" s="331">
        <v>35.46457315</v>
      </c>
    </row>
    <row r="26" spans="1:2" x14ac:dyDescent="0.2">
      <c r="A26" s="98" t="s">
        <v>350</v>
      </c>
      <c r="B26" s="331">
        <v>112.90891240000002</v>
      </c>
    </row>
    <row r="27" spans="1:2" x14ac:dyDescent="0.2">
      <c r="A27" s="323" t="s">
        <v>46</v>
      </c>
      <c r="B27" s="331">
        <v>51.500090000000007</v>
      </c>
    </row>
    <row r="28" spans="1:2" x14ac:dyDescent="0.2">
      <c r="A28" s="327" t="s">
        <v>349</v>
      </c>
      <c r="B28" s="331">
        <v>51.500090000000007</v>
      </c>
    </row>
    <row r="29" spans="1:2" x14ac:dyDescent="0.2">
      <c r="A29" s="323" t="s">
        <v>367</v>
      </c>
      <c r="B29" s="331">
        <v>61.408822400000005</v>
      </c>
    </row>
    <row r="30" spans="1:2" x14ac:dyDescent="0.2">
      <c r="A30" s="327" t="s">
        <v>367</v>
      </c>
      <c r="B30" s="331">
        <v>61.408822400000005</v>
      </c>
    </row>
    <row r="31" spans="1:2" x14ac:dyDescent="0.2">
      <c r="A31" s="98" t="s">
        <v>376</v>
      </c>
      <c r="B31" s="331">
        <v>39.847835000000003</v>
      </c>
    </row>
    <row r="32" spans="1:2" x14ac:dyDescent="0.2">
      <c r="A32" s="323" t="s">
        <v>375</v>
      </c>
      <c r="B32" s="331">
        <v>39.847835000000003</v>
      </c>
    </row>
    <row r="33" spans="1:2" x14ac:dyDescent="0.2">
      <c r="A33" s="327" t="s">
        <v>374</v>
      </c>
      <c r="B33" s="331">
        <v>39.847835000000003</v>
      </c>
    </row>
    <row r="34" spans="1:2" x14ac:dyDescent="0.2">
      <c r="A34" s="86" t="s">
        <v>55</v>
      </c>
      <c r="B34" s="331">
        <v>-69957.27132325001</v>
      </c>
    </row>
    <row r="35" spans="1:2" x14ac:dyDescent="0.2">
      <c r="A35" s="98" t="s">
        <v>347</v>
      </c>
      <c r="B35" s="331">
        <v>-69957.27132325001</v>
      </c>
    </row>
    <row r="36" spans="1:2" x14ac:dyDescent="0.2">
      <c r="A36" s="323" t="s">
        <v>346</v>
      </c>
      <c r="B36" s="331">
        <v>701.29312500000003</v>
      </c>
    </row>
    <row r="37" spans="1:2" x14ac:dyDescent="0.2">
      <c r="A37" s="327" t="s">
        <v>346</v>
      </c>
      <c r="B37" s="331">
        <v>701.29312500000003</v>
      </c>
    </row>
    <row r="38" spans="1:2" x14ac:dyDescent="0.2">
      <c r="A38" s="323" t="s">
        <v>47</v>
      </c>
      <c r="B38" s="331">
        <v>10359.73</v>
      </c>
    </row>
    <row r="39" spans="1:2" x14ac:dyDescent="0.2">
      <c r="A39" s="327" t="s">
        <v>387</v>
      </c>
      <c r="B39" s="331">
        <v>10359.73</v>
      </c>
    </row>
    <row r="40" spans="1:2" x14ac:dyDescent="0.2">
      <c r="A40" s="323" t="s">
        <v>380</v>
      </c>
      <c r="B40" s="331">
        <v>791.63406500000008</v>
      </c>
    </row>
    <row r="41" spans="1:2" x14ac:dyDescent="0.2">
      <c r="A41" s="327" t="s">
        <v>380</v>
      </c>
      <c r="B41" s="331">
        <v>791.63406500000008</v>
      </c>
    </row>
    <row r="42" spans="1:2" x14ac:dyDescent="0.2">
      <c r="A42" s="323" t="s">
        <v>10</v>
      </c>
      <c r="B42" s="331">
        <v>-81919.452517500002</v>
      </c>
    </row>
    <row r="43" spans="1:2" x14ac:dyDescent="0.2">
      <c r="A43" s="327" t="s">
        <v>382</v>
      </c>
      <c r="B43" s="331">
        <v>-81919.452517500002</v>
      </c>
    </row>
    <row r="44" spans="1:2" x14ac:dyDescent="0.2">
      <c r="A44" s="323" t="s">
        <v>48</v>
      </c>
      <c r="B44" s="331">
        <v>109.52400424999999</v>
      </c>
    </row>
    <row r="45" spans="1:2" x14ac:dyDescent="0.2">
      <c r="A45" s="327" t="s">
        <v>356</v>
      </c>
      <c r="B45" s="331">
        <v>109.52400424999999</v>
      </c>
    </row>
    <row r="46" spans="1:2" x14ac:dyDescent="0.2">
      <c r="A46" s="86" t="s">
        <v>61</v>
      </c>
      <c r="B46" s="331">
        <v>3037.68358605</v>
      </c>
    </row>
    <row r="47" spans="1:2" x14ac:dyDescent="0.2">
      <c r="A47" s="98" t="s">
        <v>354</v>
      </c>
      <c r="B47" s="331">
        <v>3037.68358605</v>
      </c>
    </row>
    <row r="48" spans="1:2" x14ac:dyDescent="0.2">
      <c r="A48" s="323" t="s">
        <v>47</v>
      </c>
      <c r="B48" s="331">
        <v>1920.72</v>
      </c>
    </row>
    <row r="49" spans="1:2" x14ac:dyDescent="0.2">
      <c r="A49" s="327" t="s">
        <v>387</v>
      </c>
      <c r="B49" s="331">
        <v>1920.72</v>
      </c>
    </row>
    <row r="50" spans="1:2" x14ac:dyDescent="0.2">
      <c r="A50" s="323" t="s">
        <v>52</v>
      </c>
      <c r="B50" s="331">
        <v>9.6224609500000007</v>
      </c>
    </row>
    <row r="51" spans="1:2" x14ac:dyDescent="0.2">
      <c r="A51" s="327" t="s">
        <v>52</v>
      </c>
      <c r="B51" s="331">
        <v>9.6224609500000007</v>
      </c>
    </row>
    <row r="52" spans="1:2" x14ac:dyDescent="0.2">
      <c r="A52" s="323" t="s">
        <v>48</v>
      </c>
      <c r="B52" s="331">
        <v>1107.3411251</v>
      </c>
    </row>
    <row r="53" spans="1:2" x14ac:dyDescent="0.2">
      <c r="A53" s="327" t="s">
        <v>353</v>
      </c>
      <c r="B53" s="331">
        <v>1101.1999551500001</v>
      </c>
    </row>
    <row r="54" spans="1:2" x14ac:dyDescent="0.2">
      <c r="A54" s="327" t="s">
        <v>356</v>
      </c>
      <c r="B54" s="331">
        <v>6.1411699500000001</v>
      </c>
    </row>
    <row r="55" spans="1:2" x14ac:dyDescent="0.2">
      <c r="A55" s="87" t="s">
        <v>2</v>
      </c>
      <c r="B55" s="331">
        <v>-45266.875663200022</v>
      </c>
    </row>
    <row r="56" spans="1:2" x14ac:dyDescent="0.2">
      <c r="A56" s="86" t="s">
        <v>45</v>
      </c>
      <c r="B56" s="331">
        <v>6113.5671160000002</v>
      </c>
    </row>
    <row r="57" spans="1:2" x14ac:dyDescent="0.2">
      <c r="A57" s="98" t="s">
        <v>45</v>
      </c>
      <c r="B57" s="331">
        <v>6113.5671160000002</v>
      </c>
    </row>
    <row r="58" spans="1:2" x14ac:dyDescent="0.2">
      <c r="A58" s="323" t="s">
        <v>47</v>
      </c>
      <c r="B58" s="331">
        <v>3576.0139999999992</v>
      </c>
    </row>
    <row r="59" spans="1:2" x14ac:dyDescent="0.2">
      <c r="A59" s="327" t="s">
        <v>387</v>
      </c>
      <c r="B59" s="331">
        <v>3576.0139999999992</v>
      </c>
    </row>
    <row r="60" spans="1:2" x14ac:dyDescent="0.2">
      <c r="A60" s="323" t="s">
        <v>50</v>
      </c>
      <c r="B60" s="331">
        <v>137.18698080000001</v>
      </c>
    </row>
    <row r="61" spans="1:2" x14ac:dyDescent="0.2">
      <c r="A61" s="327" t="s">
        <v>470</v>
      </c>
      <c r="B61" s="331">
        <v>137.18698080000001</v>
      </c>
    </row>
    <row r="62" spans="1:2" x14ac:dyDescent="0.2">
      <c r="A62" s="323" t="s">
        <v>52</v>
      </c>
      <c r="B62" s="331">
        <v>14.464776000000001</v>
      </c>
    </row>
    <row r="63" spans="1:2" x14ac:dyDescent="0.2">
      <c r="A63" s="327" t="s">
        <v>52</v>
      </c>
      <c r="B63" s="331">
        <v>14.464776000000001</v>
      </c>
    </row>
    <row r="64" spans="1:2" x14ac:dyDescent="0.2">
      <c r="A64" s="323" t="s">
        <v>48</v>
      </c>
      <c r="B64" s="331">
        <v>2385.9013592000001</v>
      </c>
    </row>
    <row r="65" spans="1:2" x14ac:dyDescent="0.2">
      <c r="A65" s="327" t="s">
        <v>475</v>
      </c>
      <c r="B65" s="331">
        <v>182.16989648000001</v>
      </c>
    </row>
    <row r="66" spans="1:2" x14ac:dyDescent="0.2">
      <c r="A66" s="327" t="s">
        <v>339</v>
      </c>
      <c r="B66" s="331">
        <v>76.130399999999995</v>
      </c>
    </row>
    <row r="67" spans="1:2" x14ac:dyDescent="0.2">
      <c r="A67" s="327" t="s">
        <v>391</v>
      </c>
      <c r="B67" s="331">
        <v>33.517677439999993</v>
      </c>
    </row>
    <row r="68" spans="1:2" x14ac:dyDescent="0.2">
      <c r="A68" s="327" t="s">
        <v>353</v>
      </c>
      <c r="B68" s="331">
        <v>966.22673536000002</v>
      </c>
    </row>
    <row r="69" spans="1:2" x14ac:dyDescent="0.2">
      <c r="A69" s="327" t="s">
        <v>356</v>
      </c>
      <c r="B69" s="331">
        <v>1127.8566499200001</v>
      </c>
    </row>
    <row r="70" spans="1:2" x14ac:dyDescent="0.2">
      <c r="A70" s="86" t="s">
        <v>62</v>
      </c>
      <c r="B70" s="331">
        <v>-16967.91538384002</v>
      </c>
    </row>
    <row r="71" spans="1:2" x14ac:dyDescent="0.2">
      <c r="A71" s="98" t="s">
        <v>333</v>
      </c>
      <c r="B71" s="331">
        <v>97065.697266159987</v>
      </c>
    </row>
    <row r="72" spans="1:2" x14ac:dyDescent="0.2">
      <c r="A72" s="323" t="s">
        <v>464</v>
      </c>
      <c r="B72" s="331">
        <v>25636.404663999998</v>
      </c>
    </row>
    <row r="73" spans="1:2" x14ac:dyDescent="0.2">
      <c r="A73" s="327" t="s">
        <v>464</v>
      </c>
      <c r="B73" s="331">
        <v>25636.404663999998</v>
      </c>
    </row>
    <row r="74" spans="1:2" x14ac:dyDescent="0.2">
      <c r="A74" s="323" t="s">
        <v>1148</v>
      </c>
      <c r="B74" s="331">
        <v>132688.62</v>
      </c>
    </row>
    <row r="75" spans="1:2" x14ac:dyDescent="0.2">
      <c r="A75" s="327" t="s">
        <v>1049</v>
      </c>
      <c r="B75" s="331">
        <v>132688.62</v>
      </c>
    </row>
    <row r="76" spans="1:2" x14ac:dyDescent="0.2">
      <c r="A76" s="323" t="s">
        <v>332</v>
      </c>
      <c r="B76" s="331">
        <v>5.41996536</v>
      </c>
    </row>
    <row r="77" spans="1:2" x14ac:dyDescent="0.2">
      <c r="A77" s="327" t="s">
        <v>332</v>
      </c>
      <c r="B77" s="331">
        <v>5.41996536</v>
      </c>
    </row>
    <row r="78" spans="1:2" x14ac:dyDescent="0.2">
      <c r="A78" s="323" t="s">
        <v>47</v>
      </c>
      <c r="B78" s="331">
        <v>3634.49</v>
      </c>
    </row>
    <row r="79" spans="1:2" x14ac:dyDescent="0.2">
      <c r="A79" s="327" t="s">
        <v>387</v>
      </c>
      <c r="B79" s="331">
        <v>3634.49</v>
      </c>
    </row>
    <row r="80" spans="1:2" x14ac:dyDescent="0.2">
      <c r="A80" s="323" t="s">
        <v>418</v>
      </c>
      <c r="B80" s="331">
        <v>-70739.961651199992</v>
      </c>
    </row>
    <row r="81" spans="1:2" x14ac:dyDescent="0.2">
      <c r="A81" s="327" t="s">
        <v>418</v>
      </c>
      <c r="B81" s="331">
        <v>-70739.961651199992</v>
      </c>
    </row>
    <row r="82" spans="1:2" x14ac:dyDescent="0.2">
      <c r="A82" s="323" t="s">
        <v>499</v>
      </c>
      <c r="B82" s="331">
        <v>5840.7242879999994</v>
      </c>
    </row>
    <row r="83" spans="1:2" x14ac:dyDescent="0.2">
      <c r="A83" s="327" t="s">
        <v>499</v>
      </c>
      <c r="B83" s="331">
        <v>5840.7242879999994</v>
      </c>
    </row>
    <row r="84" spans="1:2" x14ac:dyDescent="0.2">
      <c r="A84" s="98" t="s">
        <v>340</v>
      </c>
      <c r="B84" s="331">
        <v>-119220.66990600001</v>
      </c>
    </row>
    <row r="85" spans="1:2" x14ac:dyDescent="0.2">
      <c r="A85" s="323" t="s">
        <v>332</v>
      </c>
      <c r="B85" s="331">
        <v>2.5099999999999998</v>
      </c>
    </row>
    <row r="86" spans="1:2" x14ac:dyDescent="0.2">
      <c r="A86" s="327" t="s">
        <v>332</v>
      </c>
      <c r="B86" s="331">
        <v>2.5099999999999998</v>
      </c>
    </row>
    <row r="87" spans="1:2" x14ac:dyDescent="0.2">
      <c r="A87" s="323" t="s">
        <v>1166</v>
      </c>
      <c r="B87" s="331">
        <v>-121000</v>
      </c>
    </row>
    <row r="88" spans="1:2" x14ac:dyDescent="0.2">
      <c r="A88" s="327" t="s">
        <v>1047</v>
      </c>
      <c r="B88" s="331">
        <v>-121000</v>
      </c>
    </row>
    <row r="89" spans="1:2" x14ac:dyDescent="0.2">
      <c r="A89" s="323" t="s">
        <v>58</v>
      </c>
      <c r="B89" s="331">
        <v>101.951294</v>
      </c>
    </row>
    <row r="90" spans="1:2" x14ac:dyDescent="0.2">
      <c r="A90" s="327" t="s">
        <v>58</v>
      </c>
      <c r="B90" s="331">
        <v>101.951294</v>
      </c>
    </row>
    <row r="91" spans="1:2" x14ac:dyDescent="0.2">
      <c r="A91" s="323" t="s">
        <v>410</v>
      </c>
      <c r="B91" s="331">
        <v>1674.8688</v>
      </c>
    </row>
    <row r="92" spans="1:2" x14ac:dyDescent="0.2">
      <c r="A92" s="327" t="s">
        <v>409</v>
      </c>
      <c r="B92" s="331">
        <v>1674.8688</v>
      </c>
    </row>
    <row r="93" spans="1:2" x14ac:dyDescent="0.2">
      <c r="A93" s="98" t="s">
        <v>350</v>
      </c>
      <c r="B93" s="331">
        <v>2355.7676799999999</v>
      </c>
    </row>
    <row r="94" spans="1:2" x14ac:dyDescent="0.2">
      <c r="A94" s="323" t="s">
        <v>473</v>
      </c>
      <c r="B94" s="331">
        <v>2.5376799999999999</v>
      </c>
    </row>
    <row r="95" spans="1:2" x14ac:dyDescent="0.2">
      <c r="A95" s="327" t="s">
        <v>472</v>
      </c>
      <c r="B95" s="331">
        <v>2.5376799999999999</v>
      </c>
    </row>
    <row r="96" spans="1:2" x14ac:dyDescent="0.2">
      <c r="A96" s="323" t="s">
        <v>47</v>
      </c>
      <c r="B96" s="331">
        <v>2353.23</v>
      </c>
    </row>
    <row r="97" spans="1:2" x14ac:dyDescent="0.2">
      <c r="A97" s="327" t="s">
        <v>387</v>
      </c>
      <c r="B97" s="331">
        <v>2353.23</v>
      </c>
    </row>
    <row r="98" spans="1:2" x14ac:dyDescent="0.2">
      <c r="A98" s="98" t="s">
        <v>376</v>
      </c>
      <c r="B98" s="331">
        <v>2831.2895760000001</v>
      </c>
    </row>
    <row r="99" spans="1:2" x14ac:dyDescent="0.2">
      <c r="A99" s="323" t="s">
        <v>375</v>
      </c>
      <c r="B99" s="331">
        <v>2831.2895760000001</v>
      </c>
    </row>
    <row r="100" spans="1:2" x14ac:dyDescent="0.2">
      <c r="A100" s="327" t="s">
        <v>374</v>
      </c>
      <c r="B100" s="331">
        <v>2831.2895760000001</v>
      </c>
    </row>
    <row r="101" spans="1:2" x14ac:dyDescent="0.2">
      <c r="A101" s="86" t="s">
        <v>66</v>
      </c>
      <c r="B101" s="331">
        <v>-61717.491641519999</v>
      </c>
    </row>
    <row r="102" spans="1:2" x14ac:dyDescent="0.2">
      <c r="A102" s="98" t="s">
        <v>66</v>
      </c>
      <c r="B102" s="331">
        <v>-61717.491641519999</v>
      </c>
    </row>
    <row r="103" spans="1:2" x14ac:dyDescent="0.2">
      <c r="A103" s="323" t="s">
        <v>418</v>
      </c>
      <c r="B103" s="331">
        <v>-61717.491641519999</v>
      </c>
    </row>
    <row r="104" spans="1:2" x14ac:dyDescent="0.2">
      <c r="A104" s="327" t="s">
        <v>418</v>
      </c>
      <c r="B104" s="331">
        <v>-61717.491641519999</v>
      </c>
    </row>
    <row r="105" spans="1:2" x14ac:dyDescent="0.2">
      <c r="A105" s="86" t="s">
        <v>55</v>
      </c>
      <c r="B105" s="331">
        <v>14304.056</v>
      </c>
    </row>
    <row r="106" spans="1:2" x14ac:dyDescent="0.2">
      <c r="A106" s="98" t="s">
        <v>63</v>
      </c>
      <c r="B106" s="331">
        <v>14304.056</v>
      </c>
    </row>
    <row r="107" spans="1:2" x14ac:dyDescent="0.2">
      <c r="A107" s="323" t="s">
        <v>47</v>
      </c>
      <c r="B107" s="331">
        <v>14304.056</v>
      </c>
    </row>
    <row r="108" spans="1:2" x14ac:dyDescent="0.2">
      <c r="A108" s="327" t="s">
        <v>387</v>
      </c>
      <c r="B108" s="331">
        <v>14304.056</v>
      </c>
    </row>
    <row r="109" spans="1:2" x14ac:dyDescent="0.2">
      <c r="A109" s="86" t="s">
        <v>61</v>
      </c>
      <c r="B109" s="331">
        <v>13000.908246159999</v>
      </c>
    </row>
    <row r="110" spans="1:2" x14ac:dyDescent="0.2">
      <c r="A110" s="98" t="s">
        <v>354</v>
      </c>
      <c r="B110" s="331">
        <v>4879.2057549599995</v>
      </c>
    </row>
    <row r="111" spans="1:2" x14ac:dyDescent="0.2">
      <c r="A111" s="323" t="s">
        <v>46</v>
      </c>
      <c r="B111" s="331">
        <v>81.205759999999998</v>
      </c>
    </row>
    <row r="112" spans="1:2" x14ac:dyDescent="0.2">
      <c r="A112" s="327" t="s">
        <v>390</v>
      </c>
      <c r="B112" s="331">
        <v>81.205759999999998</v>
      </c>
    </row>
    <row r="113" spans="1:2" x14ac:dyDescent="0.2">
      <c r="A113" s="323" t="s">
        <v>47</v>
      </c>
      <c r="B113" s="331">
        <v>4003.46</v>
      </c>
    </row>
    <row r="114" spans="1:2" x14ac:dyDescent="0.2">
      <c r="A114" s="327" t="s">
        <v>387</v>
      </c>
      <c r="B114" s="331">
        <v>4003.46</v>
      </c>
    </row>
    <row r="115" spans="1:2" x14ac:dyDescent="0.2">
      <c r="A115" s="323" t="s">
        <v>50</v>
      </c>
      <c r="B115" s="331">
        <v>8.8920307199999993</v>
      </c>
    </row>
    <row r="116" spans="1:2" x14ac:dyDescent="0.2">
      <c r="A116" s="327" t="s">
        <v>50</v>
      </c>
      <c r="B116" s="331">
        <v>8.8920307199999993</v>
      </c>
    </row>
    <row r="117" spans="1:2" x14ac:dyDescent="0.2">
      <c r="A117" s="323" t="s">
        <v>48</v>
      </c>
      <c r="B117" s="331">
        <v>785.64796423999996</v>
      </c>
    </row>
    <row r="118" spans="1:2" x14ac:dyDescent="0.2">
      <c r="A118" s="327" t="s">
        <v>475</v>
      </c>
      <c r="B118" s="331">
        <v>335.36456271999998</v>
      </c>
    </row>
    <row r="119" spans="1:2" x14ac:dyDescent="0.2">
      <c r="A119" s="327" t="s">
        <v>353</v>
      </c>
      <c r="B119" s="331">
        <v>441.90905752000003</v>
      </c>
    </row>
    <row r="120" spans="1:2" x14ac:dyDescent="0.2">
      <c r="A120" s="327" t="s">
        <v>356</v>
      </c>
      <c r="B120" s="331">
        <v>8.3743440000000007</v>
      </c>
    </row>
    <row r="121" spans="1:2" x14ac:dyDescent="0.2">
      <c r="A121" s="98" t="s">
        <v>438</v>
      </c>
      <c r="B121" s="331">
        <v>8121.7024911999997</v>
      </c>
    </row>
    <row r="122" spans="1:2" x14ac:dyDescent="0.2">
      <c r="A122" s="323" t="s">
        <v>47</v>
      </c>
      <c r="B122" s="331">
        <v>7737.65</v>
      </c>
    </row>
    <row r="123" spans="1:2" x14ac:dyDescent="0.2">
      <c r="A123" s="327" t="s">
        <v>387</v>
      </c>
      <c r="B123" s="331">
        <v>7737.65</v>
      </c>
    </row>
    <row r="124" spans="1:2" x14ac:dyDescent="0.2">
      <c r="A124" s="323" t="s">
        <v>48</v>
      </c>
      <c r="B124" s="331">
        <v>384.05249119999996</v>
      </c>
    </row>
    <row r="125" spans="1:2" x14ac:dyDescent="0.2">
      <c r="A125" s="327" t="s">
        <v>353</v>
      </c>
      <c r="B125" s="331">
        <v>346.90085599999998</v>
      </c>
    </row>
    <row r="126" spans="1:2" x14ac:dyDescent="0.2">
      <c r="A126" s="327" t="s">
        <v>356</v>
      </c>
      <c r="B126" s="331">
        <v>37.151635200000001</v>
      </c>
    </row>
    <row r="127" spans="1:2" x14ac:dyDescent="0.2">
      <c r="A127" s="87" t="s">
        <v>1</v>
      </c>
      <c r="B127" s="331">
        <v>396925.5868154348</v>
      </c>
    </row>
    <row r="128" spans="1:2" x14ac:dyDescent="0.2">
      <c r="A128" s="86" t="s">
        <v>45</v>
      </c>
      <c r="B128" s="331">
        <v>20532.759999999998</v>
      </c>
    </row>
    <row r="129" spans="1:2" x14ac:dyDescent="0.2">
      <c r="A129" s="98" t="s">
        <v>45</v>
      </c>
      <c r="B129" s="331">
        <v>20532.759999999998</v>
      </c>
    </row>
    <row r="130" spans="1:2" x14ac:dyDescent="0.2">
      <c r="A130" s="323" t="s">
        <v>47</v>
      </c>
      <c r="B130" s="331">
        <v>20532.759999999998</v>
      </c>
    </row>
    <row r="131" spans="1:2" x14ac:dyDescent="0.2">
      <c r="A131" s="327" t="s">
        <v>387</v>
      </c>
      <c r="B131" s="331">
        <v>20532.759999999998</v>
      </c>
    </row>
    <row r="132" spans="1:2" x14ac:dyDescent="0.2">
      <c r="A132" s="86" t="s">
        <v>62</v>
      </c>
      <c r="B132" s="331">
        <v>29366.799691144781</v>
      </c>
    </row>
    <row r="133" spans="1:2" x14ac:dyDescent="0.2">
      <c r="A133" s="98" t="s">
        <v>333</v>
      </c>
      <c r="B133" s="331">
        <v>-114860.67181776521</v>
      </c>
    </row>
    <row r="134" spans="1:2" x14ac:dyDescent="0.2">
      <c r="A134" s="323" t="s">
        <v>332</v>
      </c>
      <c r="B134" s="331">
        <v>107.70662594480483</v>
      </c>
    </row>
    <row r="135" spans="1:2" x14ac:dyDescent="0.2">
      <c r="A135" s="327" t="s">
        <v>332</v>
      </c>
      <c r="B135" s="331">
        <v>107.70662594480483</v>
      </c>
    </row>
    <row r="136" spans="1:2" x14ac:dyDescent="0.2">
      <c r="A136" s="323" t="s">
        <v>398</v>
      </c>
      <c r="B136" s="331">
        <v>121064.59181484001</v>
      </c>
    </row>
    <row r="137" spans="1:2" x14ac:dyDescent="0.2">
      <c r="A137" s="327" t="s">
        <v>657</v>
      </c>
      <c r="B137" s="331">
        <v>121064.59181484001</v>
      </c>
    </row>
    <row r="138" spans="1:2" x14ac:dyDescent="0.2">
      <c r="A138" s="323" t="s">
        <v>418</v>
      </c>
      <c r="B138" s="331">
        <v>-236196.30000000002</v>
      </c>
    </row>
    <row r="139" spans="1:2" x14ac:dyDescent="0.2">
      <c r="A139" s="327" t="s">
        <v>418</v>
      </c>
      <c r="B139" s="331">
        <v>-236196.30000000002</v>
      </c>
    </row>
    <row r="140" spans="1:2" x14ac:dyDescent="0.2">
      <c r="A140" s="323" t="s">
        <v>60</v>
      </c>
      <c r="B140" s="331">
        <v>163.32974145</v>
      </c>
    </row>
    <row r="141" spans="1:2" x14ac:dyDescent="0.2">
      <c r="A141" s="327" t="s">
        <v>60</v>
      </c>
      <c r="B141" s="331">
        <v>163.32974145</v>
      </c>
    </row>
    <row r="142" spans="1:2" x14ac:dyDescent="0.2">
      <c r="A142" s="98" t="s">
        <v>340</v>
      </c>
      <c r="B142" s="331">
        <v>51151.51316147</v>
      </c>
    </row>
    <row r="143" spans="1:2" x14ac:dyDescent="0.2">
      <c r="A143" s="323" t="s">
        <v>464</v>
      </c>
      <c r="B143" s="331">
        <v>393.66050000000001</v>
      </c>
    </row>
    <row r="144" spans="1:2" x14ac:dyDescent="0.2">
      <c r="A144" s="327" t="s">
        <v>464</v>
      </c>
      <c r="B144" s="331">
        <v>393.66050000000001</v>
      </c>
    </row>
    <row r="145" spans="1:2" x14ac:dyDescent="0.2">
      <c r="A145" s="323" t="s">
        <v>344</v>
      </c>
      <c r="B145" s="331">
        <v>98.87177118000001</v>
      </c>
    </row>
    <row r="146" spans="1:2" x14ac:dyDescent="0.2">
      <c r="A146" s="327" t="s">
        <v>344</v>
      </c>
      <c r="B146" s="331">
        <v>98.87177118000001</v>
      </c>
    </row>
    <row r="147" spans="1:2" x14ac:dyDescent="0.2">
      <c r="A147" s="323" t="s">
        <v>46</v>
      </c>
      <c r="B147" s="331">
        <v>81.534962760000013</v>
      </c>
    </row>
    <row r="148" spans="1:2" x14ac:dyDescent="0.2">
      <c r="A148" s="327" t="s">
        <v>390</v>
      </c>
      <c r="B148" s="331">
        <v>81.534962760000013</v>
      </c>
    </row>
    <row r="149" spans="1:2" x14ac:dyDescent="0.2">
      <c r="A149" s="323" t="s">
        <v>50</v>
      </c>
      <c r="B149" s="331">
        <v>332.91868485000003</v>
      </c>
    </row>
    <row r="150" spans="1:2" x14ac:dyDescent="0.2">
      <c r="A150" s="327" t="s">
        <v>686</v>
      </c>
      <c r="B150" s="331">
        <v>62.670751600000003</v>
      </c>
    </row>
    <row r="151" spans="1:2" x14ac:dyDescent="0.2">
      <c r="A151" s="327" t="s">
        <v>50</v>
      </c>
      <c r="B151" s="331">
        <v>270.24793325000002</v>
      </c>
    </row>
    <row r="152" spans="1:2" x14ac:dyDescent="0.2">
      <c r="A152" s="323" t="s">
        <v>367</v>
      </c>
      <c r="B152" s="331">
        <v>27999.14242855</v>
      </c>
    </row>
    <row r="153" spans="1:2" x14ac:dyDescent="0.2">
      <c r="A153" s="327" t="s">
        <v>367</v>
      </c>
      <c r="B153" s="331">
        <v>27999.14242855</v>
      </c>
    </row>
    <row r="154" spans="1:2" x14ac:dyDescent="0.2">
      <c r="A154" s="323" t="s">
        <v>410</v>
      </c>
      <c r="B154" s="331">
        <v>20503.633931880002</v>
      </c>
    </row>
    <row r="155" spans="1:2" x14ac:dyDescent="0.2">
      <c r="A155" s="327" t="s">
        <v>409</v>
      </c>
      <c r="B155" s="331">
        <v>20503.633931880002</v>
      </c>
    </row>
    <row r="156" spans="1:2" x14ac:dyDescent="0.2">
      <c r="A156" s="323" t="s">
        <v>691</v>
      </c>
      <c r="B156" s="331">
        <v>1225.8587970000003</v>
      </c>
    </row>
    <row r="157" spans="1:2" x14ac:dyDescent="0.2">
      <c r="A157" s="327" t="s">
        <v>691</v>
      </c>
      <c r="B157" s="331">
        <v>1225.8587970000003</v>
      </c>
    </row>
    <row r="158" spans="1:2" x14ac:dyDescent="0.2">
      <c r="A158" s="323" t="s">
        <v>618</v>
      </c>
      <c r="B158" s="331">
        <v>377.91408000000001</v>
      </c>
    </row>
    <row r="159" spans="1:2" x14ac:dyDescent="0.2">
      <c r="A159" s="327" t="s">
        <v>617</v>
      </c>
      <c r="B159" s="331">
        <v>377.91408000000001</v>
      </c>
    </row>
    <row r="160" spans="1:2" x14ac:dyDescent="0.2">
      <c r="A160" s="323" t="s">
        <v>371</v>
      </c>
      <c r="B160" s="331">
        <v>137.97800525</v>
      </c>
    </row>
    <row r="161" spans="1:2" x14ac:dyDescent="0.2">
      <c r="A161" s="327" t="s">
        <v>370</v>
      </c>
      <c r="B161" s="331">
        <v>137.97800525</v>
      </c>
    </row>
    <row r="162" spans="1:2" x14ac:dyDescent="0.2">
      <c r="A162" s="98" t="s">
        <v>350</v>
      </c>
      <c r="B162" s="331">
        <v>61511.857473730008</v>
      </c>
    </row>
    <row r="163" spans="1:2" x14ac:dyDescent="0.2">
      <c r="A163" s="323" t="s">
        <v>464</v>
      </c>
      <c r="B163" s="331">
        <v>40176.99063</v>
      </c>
    </row>
    <row r="164" spans="1:2" x14ac:dyDescent="0.2">
      <c r="A164" s="327" t="s">
        <v>464</v>
      </c>
      <c r="B164" s="331">
        <v>40176.99063</v>
      </c>
    </row>
    <row r="165" spans="1:2" x14ac:dyDescent="0.2">
      <c r="A165" s="323" t="s">
        <v>344</v>
      </c>
      <c r="B165" s="331">
        <v>3.09</v>
      </c>
    </row>
    <row r="166" spans="1:2" x14ac:dyDescent="0.2">
      <c r="A166" s="327" t="s">
        <v>344</v>
      </c>
      <c r="B166" s="331">
        <v>3.09</v>
      </c>
    </row>
    <row r="167" spans="1:2" x14ac:dyDescent="0.2">
      <c r="A167" s="323" t="s">
        <v>46</v>
      </c>
      <c r="B167" s="331">
        <v>5256.6746278600003</v>
      </c>
    </row>
    <row r="168" spans="1:2" x14ac:dyDescent="0.2">
      <c r="A168" s="327" t="s">
        <v>349</v>
      </c>
      <c r="B168" s="331">
        <v>1106.05216043</v>
      </c>
    </row>
    <row r="169" spans="1:2" x14ac:dyDescent="0.2">
      <c r="A169" s="327" t="s">
        <v>540</v>
      </c>
      <c r="B169" s="331">
        <v>4150.6224674300001</v>
      </c>
    </row>
    <row r="170" spans="1:2" x14ac:dyDescent="0.2">
      <c r="A170" s="323" t="s">
        <v>47</v>
      </c>
      <c r="B170" s="331">
        <v>13868.477649169999</v>
      </c>
    </row>
    <row r="171" spans="1:2" x14ac:dyDescent="0.2">
      <c r="A171" s="327" t="s">
        <v>387</v>
      </c>
      <c r="B171" s="331">
        <v>13868.477649169999</v>
      </c>
    </row>
    <row r="172" spans="1:2" x14ac:dyDescent="0.2">
      <c r="A172" s="323" t="s">
        <v>51</v>
      </c>
      <c r="B172" s="331">
        <v>270.57860806999997</v>
      </c>
    </row>
    <row r="173" spans="1:2" x14ac:dyDescent="0.2">
      <c r="A173" s="327" t="s">
        <v>684</v>
      </c>
      <c r="B173" s="331">
        <v>244.88045062999998</v>
      </c>
    </row>
    <row r="174" spans="1:2" x14ac:dyDescent="0.2">
      <c r="A174" s="327" t="s">
        <v>527</v>
      </c>
      <c r="B174" s="331">
        <v>25.698157440000003</v>
      </c>
    </row>
    <row r="175" spans="1:2" x14ac:dyDescent="0.2">
      <c r="A175" s="323" t="s">
        <v>48</v>
      </c>
      <c r="B175" s="331">
        <v>1936.0459586300001</v>
      </c>
    </row>
    <row r="176" spans="1:2" x14ac:dyDescent="0.2">
      <c r="A176" s="327" t="s">
        <v>475</v>
      </c>
      <c r="B176" s="331">
        <v>840.15023910000002</v>
      </c>
    </row>
    <row r="177" spans="1:2" x14ac:dyDescent="0.2">
      <c r="A177" s="327" t="s">
        <v>391</v>
      </c>
      <c r="B177" s="331">
        <v>31.878627290000008</v>
      </c>
    </row>
    <row r="178" spans="1:2" x14ac:dyDescent="0.2">
      <c r="A178" s="327" t="s">
        <v>402</v>
      </c>
      <c r="B178" s="331">
        <v>7.8732100000000003</v>
      </c>
    </row>
    <row r="179" spans="1:2" x14ac:dyDescent="0.2">
      <c r="A179" s="327" t="s">
        <v>353</v>
      </c>
      <c r="B179" s="331">
        <v>1001.2676085400001</v>
      </c>
    </row>
    <row r="180" spans="1:2" x14ac:dyDescent="0.2">
      <c r="A180" s="327" t="s">
        <v>356</v>
      </c>
      <c r="B180" s="331">
        <v>54.876273700000006</v>
      </c>
    </row>
    <row r="181" spans="1:2" x14ac:dyDescent="0.2">
      <c r="A181" s="98" t="s">
        <v>376</v>
      </c>
      <c r="B181" s="331">
        <v>2414.1781287200001</v>
      </c>
    </row>
    <row r="182" spans="1:2" x14ac:dyDescent="0.2">
      <c r="A182" s="323" t="s">
        <v>58</v>
      </c>
      <c r="B182" s="331">
        <v>797.04441435000001</v>
      </c>
    </row>
    <row r="183" spans="1:2" x14ac:dyDescent="0.2">
      <c r="A183" s="327" t="s">
        <v>58</v>
      </c>
      <c r="B183" s="331">
        <v>797.04441435000001</v>
      </c>
    </row>
    <row r="184" spans="1:2" x14ac:dyDescent="0.2">
      <c r="A184" s="323" t="s">
        <v>375</v>
      </c>
      <c r="B184" s="331">
        <v>561.33625337000012</v>
      </c>
    </row>
    <row r="185" spans="1:2" x14ac:dyDescent="0.2">
      <c r="A185" s="327" t="s">
        <v>374</v>
      </c>
      <c r="B185" s="331">
        <v>561.33625337000012</v>
      </c>
    </row>
    <row r="186" spans="1:2" x14ac:dyDescent="0.2">
      <c r="A186" s="323" t="s">
        <v>691</v>
      </c>
      <c r="B186" s="331">
        <v>1055.7974610000001</v>
      </c>
    </row>
    <row r="187" spans="1:2" x14ac:dyDescent="0.2">
      <c r="A187" s="327" t="s">
        <v>691</v>
      </c>
      <c r="B187" s="331">
        <v>1055.7974610000001</v>
      </c>
    </row>
    <row r="188" spans="1:2" x14ac:dyDescent="0.2">
      <c r="A188" s="98" t="s">
        <v>523</v>
      </c>
      <c r="B188" s="331">
        <v>29149.922744990003</v>
      </c>
    </row>
    <row r="189" spans="1:2" x14ac:dyDescent="0.2">
      <c r="A189" s="323" t="s">
        <v>46</v>
      </c>
      <c r="B189" s="331">
        <v>1382.48843674</v>
      </c>
    </row>
    <row r="190" spans="1:2" x14ac:dyDescent="0.2">
      <c r="A190" s="327" t="s">
        <v>390</v>
      </c>
      <c r="B190" s="331">
        <v>1382.48843674</v>
      </c>
    </row>
    <row r="191" spans="1:2" x14ac:dyDescent="0.2">
      <c r="A191" s="323" t="s">
        <v>47</v>
      </c>
      <c r="B191" s="331">
        <v>18541.41</v>
      </c>
    </row>
    <row r="192" spans="1:2" x14ac:dyDescent="0.2">
      <c r="A192" s="327" t="s">
        <v>387</v>
      </c>
      <c r="B192" s="331">
        <v>18541.41</v>
      </c>
    </row>
    <row r="193" spans="1:2" x14ac:dyDescent="0.2">
      <c r="A193" s="323" t="s">
        <v>51</v>
      </c>
      <c r="B193" s="331">
        <v>1969.7039313800001</v>
      </c>
    </row>
    <row r="194" spans="1:2" x14ac:dyDescent="0.2">
      <c r="A194" s="327" t="s">
        <v>684</v>
      </c>
      <c r="B194" s="331">
        <v>540.60609144</v>
      </c>
    </row>
    <row r="195" spans="1:2" x14ac:dyDescent="0.2">
      <c r="A195" s="327" t="s">
        <v>527</v>
      </c>
      <c r="B195" s="331">
        <v>1279.9477497</v>
      </c>
    </row>
    <row r="196" spans="1:2" x14ac:dyDescent="0.2">
      <c r="A196" s="327" t="s">
        <v>688</v>
      </c>
      <c r="B196" s="331">
        <v>149.15009024</v>
      </c>
    </row>
    <row r="197" spans="1:2" x14ac:dyDescent="0.2">
      <c r="A197" s="323" t="s">
        <v>48</v>
      </c>
      <c r="B197" s="331">
        <v>7256.3203768700005</v>
      </c>
    </row>
    <row r="198" spans="1:2" x14ac:dyDescent="0.2">
      <c r="A198" s="327" t="s">
        <v>475</v>
      </c>
      <c r="B198" s="331">
        <v>1280.2548048900003</v>
      </c>
    </row>
    <row r="199" spans="1:2" x14ac:dyDescent="0.2">
      <c r="A199" s="327" t="s">
        <v>391</v>
      </c>
      <c r="B199" s="331">
        <v>45.00326836</v>
      </c>
    </row>
    <row r="200" spans="1:2" x14ac:dyDescent="0.2">
      <c r="A200" s="327" t="s">
        <v>353</v>
      </c>
      <c r="B200" s="331">
        <v>5931.0623036200004</v>
      </c>
    </row>
    <row r="201" spans="1:2" x14ac:dyDescent="0.2">
      <c r="A201" s="86" t="s">
        <v>66</v>
      </c>
      <c r="B201" s="331">
        <v>241815.173878</v>
      </c>
    </row>
    <row r="202" spans="1:2" x14ac:dyDescent="0.2">
      <c r="A202" s="98" t="s">
        <v>66</v>
      </c>
      <c r="B202" s="331">
        <v>241815.173878</v>
      </c>
    </row>
    <row r="203" spans="1:2" x14ac:dyDescent="0.2">
      <c r="A203" s="323" t="s">
        <v>418</v>
      </c>
      <c r="B203" s="331">
        <v>235890.58335299999</v>
      </c>
    </row>
    <row r="204" spans="1:2" x14ac:dyDescent="0.2">
      <c r="A204" s="327" t="s">
        <v>418</v>
      </c>
      <c r="B204" s="331">
        <v>235890.58335299999</v>
      </c>
    </row>
    <row r="205" spans="1:2" x14ac:dyDescent="0.2">
      <c r="A205" s="323" t="s">
        <v>1168</v>
      </c>
      <c r="B205" s="331">
        <v>5924.5905250000005</v>
      </c>
    </row>
    <row r="206" spans="1:2" x14ac:dyDescent="0.2">
      <c r="A206" s="327" t="s">
        <v>700</v>
      </c>
      <c r="B206" s="331">
        <v>5924.5905250000005</v>
      </c>
    </row>
    <row r="207" spans="1:2" x14ac:dyDescent="0.2">
      <c r="A207" s="86" t="s">
        <v>55</v>
      </c>
      <c r="B207" s="331">
        <v>61707.676586879992</v>
      </c>
    </row>
    <row r="208" spans="1:2" x14ac:dyDescent="0.2">
      <c r="A208" s="98" t="s">
        <v>56</v>
      </c>
      <c r="B208" s="331">
        <v>24272.709450000002</v>
      </c>
    </row>
    <row r="209" spans="1:2" x14ac:dyDescent="0.2">
      <c r="A209" s="323" t="s">
        <v>47</v>
      </c>
      <c r="B209" s="331">
        <v>19981.810000000001</v>
      </c>
    </row>
    <row r="210" spans="1:2" x14ac:dyDescent="0.2">
      <c r="A210" s="327" t="s">
        <v>387</v>
      </c>
      <c r="B210" s="331">
        <v>19981.810000000001</v>
      </c>
    </row>
    <row r="211" spans="1:2" x14ac:dyDescent="0.2">
      <c r="A211" s="323" t="s">
        <v>60</v>
      </c>
      <c r="B211" s="331">
        <v>4290.8994499999999</v>
      </c>
    </row>
    <row r="212" spans="1:2" x14ac:dyDescent="0.2">
      <c r="A212" s="327" t="s">
        <v>60</v>
      </c>
      <c r="B212" s="331">
        <v>4290.8994499999999</v>
      </c>
    </row>
    <row r="213" spans="1:2" x14ac:dyDescent="0.2">
      <c r="A213" s="98" t="s">
        <v>57</v>
      </c>
      <c r="B213" s="331">
        <v>13097.08</v>
      </c>
    </row>
    <row r="214" spans="1:2" x14ac:dyDescent="0.2">
      <c r="A214" s="323" t="s">
        <v>47</v>
      </c>
      <c r="B214" s="331">
        <v>13097.08</v>
      </c>
    </row>
    <row r="215" spans="1:2" x14ac:dyDescent="0.2">
      <c r="A215" s="327" t="s">
        <v>387</v>
      </c>
      <c r="B215" s="331">
        <v>13097.08</v>
      </c>
    </row>
    <row r="216" spans="1:2" x14ac:dyDescent="0.2">
      <c r="A216" s="98" t="s">
        <v>59</v>
      </c>
      <c r="B216" s="331">
        <v>24337.887136879999</v>
      </c>
    </row>
    <row r="217" spans="1:2" x14ac:dyDescent="0.2">
      <c r="A217" s="323" t="s">
        <v>47</v>
      </c>
      <c r="B217" s="331">
        <v>23828.27</v>
      </c>
    </row>
    <row r="218" spans="1:2" x14ac:dyDescent="0.2">
      <c r="A218" s="327" t="s">
        <v>387</v>
      </c>
      <c r="B218" s="331">
        <v>23828.27</v>
      </c>
    </row>
    <row r="219" spans="1:2" x14ac:dyDescent="0.2">
      <c r="A219" s="323" t="s">
        <v>398</v>
      </c>
      <c r="B219" s="331">
        <v>14.42372072</v>
      </c>
    </row>
    <row r="220" spans="1:2" x14ac:dyDescent="0.2">
      <c r="A220" s="327" t="s">
        <v>663</v>
      </c>
      <c r="B220" s="331">
        <v>14.42372072</v>
      </c>
    </row>
    <row r="221" spans="1:2" x14ac:dyDescent="0.2">
      <c r="A221" s="323" t="s">
        <v>50</v>
      </c>
      <c r="B221" s="331">
        <v>40.940692000000006</v>
      </c>
    </row>
    <row r="222" spans="1:2" x14ac:dyDescent="0.2">
      <c r="A222" s="327" t="s">
        <v>686</v>
      </c>
      <c r="B222" s="331">
        <v>40.940692000000006</v>
      </c>
    </row>
    <row r="223" spans="1:2" x14ac:dyDescent="0.2">
      <c r="A223" s="323" t="s">
        <v>60</v>
      </c>
      <c r="B223" s="331">
        <v>44.507256130000002</v>
      </c>
    </row>
    <row r="224" spans="1:2" x14ac:dyDescent="0.2">
      <c r="A224" s="327" t="s">
        <v>60</v>
      </c>
      <c r="B224" s="331">
        <v>44.507256130000002</v>
      </c>
    </row>
    <row r="225" spans="1:2" x14ac:dyDescent="0.2">
      <c r="A225" s="323" t="s">
        <v>48</v>
      </c>
      <c r="B225" s="331">
        <v>409.74546803000004</v>
      </c>
    </row>
    <row r="226" spans="1:2" x14ac:dyDescent="0.2">
      <c r="A226" s="327" t="s">
        <v>353</v>
      </c>
      <c r="B226" s="331">
        <v>368.41111553000002</v>
      </c>
    </row>
    <row r="227" spans="1:2" x14ac:dyDescent="0.2">
      <c r="A227" s="327" t="s">
        <v>356</v>
      </c>
      <c r="B227" s="331">
        <v>41.334352500000001</v>
      </c>
    </row>
    <row r="228" spans="1:2" x14ac:dyDescent="0.2">
      <c r="A228" s="86" t="s">
        <v>61</v>
      </c>
      <c r="B228" s="331">
        <v>43503.176659410005</v>
      </c>
    </row>
    <row r="229" spans="1:2" x14ac:dyDescent="0.2">
      <c r="A229" s="98" t="s">
        <v>354</v>
      </c>
      <c r="B229" s="331">
        <v>4840.6166594100005</v>
      </c>
    </row>
    <row r="230" spans="1:2" x14ac:dyDescent="0.2">
      <c r="A230" s="323" t="s">
        <v>47</v>
      </c>
      <c r="B230" s="331">
        <v>3988.57</v>
      </c>
    </row>
    <row r="231" spans="1:2" x14ac:dyDescent="0.2">
      <c r="A231" s="327" t="s">
        <v>387</v>
      </c>
      <c r="B231" s="331">
        <v>3988.57</v>
      </c>
    </row>
    <row r="232" spans="1:2" x14ac:dyDescent="0.2">
      <c r="A232" s="323" t="s">
        <v>51</v>
      </c>
      <c r="B232" s="331">
        <v>852.04665941000007</v>
      </c>
    </row>
    <row r="233" spans="1:2" x14ac:dyDescent="0.2">
      <c r="A233" s="327" t="s">
        <v>527</v>
      </c>
      <c r="B233" s="331">
        <v>802.87058975000002</v>
      </c>
    </row>
    <row r="234" spans="1:2" x14ac:dyDescent="0.2">
      <c r="A234" s="327" t="s">
        <v>688</v>
      </c>
      <c r="B234" s="331">
        <v>49.176069660000003</v>
      </c>
    </row>
    <row r="235" spans="1:2" x14ac:dyDescent="0.2">
      <c r="A235" s="98" t="s">
        <v>658</v>
      </c>
      <c r="B235" s="331">
        <v>30848.81</v>
      </c>
    </row>
    <row r="236" spans="1:2" x14ac:dyDescent="0.2">
      <c r="A236" s="323" t="s">
        <v>47</v>
      </c>
      <c r="B236" s="331">
        <v>30848.81</v>
      </c>
    </row>
    <row r="237" spans="1:2" x14ac:dyDescent="0.2">
      <c r="A237" s="327" t="s">
        <v>387</v>
      </c>
      <c r="B237" s="331">
        <v>30848.81</v>
      </c>
    </row>
    <row r="238" spans="1:2" x14ac:dyDescent="0.2">
      <c r="A238" s="98" t="s">
        <v>438</v>
      </c>
      <c r="B238" s="331">
        <v>7813.75</v>
      </c>
    </row>
    <row r="239" spans="1:2" x14ac:dyDescent="0.2">
      <c r="A239" s="323" t="s">
        <v>47</v>
      </c>
      <c r="B239" s="331">
        <v>17599.77</v>
      </c>
    </row>
    <row r="240" spans="1:2" x14ac:dyDescent="0.2">
      <c r="A240" s="327" t="s">
        <v>387</v>
      </c>
      <c r="B240" s="331">
        <v>17599.77</v>
      </c>
    </row>
    <row r="241" spans="1:2" x14ac:dyDescent="0.2">
      <c r="A241" s="323" t="s">
        <v>10</v>
      </c>
      <c r="B241" s="331">
        <v>-9786.02</v>
      </c>
    </row>
    <row r="242" spans="1:2" x14ac:dyDescent="0.2">
      <c r="A242" s="327" t="s">
        <v>382</v>
      </c>
      <c r="B242" s="331">
        <v>-9786.02</v>
      </c>
    </row>
    <row r="243" spans="1:2" x14ac:dyDescent="0.2">
      <c r="A243" s="66" t="s">
        <v>26</v>
      </c>
      <c r="B243" s="331">
        <v>-150039.51420825513</v>
      </c>
    </row>
    <row r="244" spans="1:2" x14ac:dyDescent="0.2">
      <c r="A244" s="66" t="s">
        <v>27</v>
      </c>
      <c r="B244" s="331">
        <v>-26383.342882868033</v>
      </c>
    </row>
    <row r="245" spans="1:2" x14ac:dyDescent="0.2">
      <c r="A245" s="66" t="s">
        <v>36</v>
      </c>
      <c r="B245" s="331">
        <v>213545.04453518172</v>
      </c>
    </row>
    <row r="246" spans="1:2" x14ac:dyDescent="0.2">
      <c r="A246" s="66" t="s">
        <v>12</v>
      </c>
      <c r="B246" s="331">
        <v>-9298.7680822659131</v>
      </c>
    </row>
    <row r="247" spans="1:2" x14ac:dyDescent="0.2">
      <c r="A247" s="66" t="s">
        <v>13</v>
      </c>
      <c r="B247" s="331">
        <v>781015906.28178835</v>
      </c>
    </row>
    <row r="248" spans="1:2" x14ac:dyDescent="0.2">
      <c r="A248" s="66" t="s">
        <v>1615</v>
      </c>
      <c r="B248" s="331">
        <v>305694.94478224899</v>
      </c>
    </row>
    <row r="249" spans="1:2" x14ac:dyDescent="0.2">
      <c r="A249" s="66" t="s">
        <v>1616</v>
      </c>
      <c r="B249" s="331">
        <v>301533.50126290502</v>
      </c>
    </row>
    <row r="250" spans="1:2" x14ac:dyDescent="0.2">
      <c r="A250" s="66" t="s">
        <v>1617</v>
      </c>
      <c r="B250" s="331">
        <v>264694.50150924054</v>
      </c>
    </row>
    <row r="251" spans="1:2" x14ac:dyDescent="0.2">
      <c r="A251" s="66" t="s">
        <v>1618</v>
      </c>
      <c r="B251" s="331">
        <v>275528.26983277214</v>
      </c>
    </row>
    <row r="252" spans="1:2" x14ac:dyDescent="0.2">
      <c r="A252" s="66" t="s">
        <v>1619</v>
      </c>
      <c r="B252" s="331">
        <v>289794.83602819295</v>
      </c>
    </row>
    <row r="253" spans="1:2" x14ac:dyDescent="0.2">
      <c r="A253" s="66" t="s">
        <v>20</v>
      </c>
      <c r="B253" s="331">
        <v>295687.75827177882</v>
      </c>
    </row>
    <row r="254" spans="1:2" x14ac:dyDescent="0.2">
      <c r="A254" s="65" t="s">
        <v>1870</v>
      </c>
      <c r="B254" s="331">
        <v>28162.109913934422</v>
      </c>
    </row>
    <row r="255" spans="1:2" x14ac:dyDescent="0.2">
      <c r="A255" s="65" t="s">
        <v>19</v>
      </c>
      <c r="B255" s="331">
        <v>783091797.22615707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0144-4AFB-49D5-AC94-F647479295C0}">
  <dimension ref="A1:V4"/>
  <sheetViews>
    <sheetView workbookViewId="0">
      <selection activeCell="G11" sqref="G11"/>
    </sheetView>
  </sheetViews>
  <sheetFormatPr defaultRowHeight="12.75" x14ac:dyDescent="0.2"/>
  <cols>
    <col min="1" max="2" width="9.28515625" bestFit="1" customWidth="1"/>
    <col min="3" max="3" width="12" bestFit="1" customWidth="1"/>
    <col min="4" max="4" width="10.5703125" bestFit="1" customWidth="1"/>
    <col min="5" max="5" width="27" bestFit="1" customWidth="1"/>
    <col min="6" max="6" width="10.28515625" bestFit="1" customWidth="1"/>
    <col min="7" max="7" width="10.42578125" bestFit="1" customWidth="1"/>
    <col min="8" max="8" width="9.28515625" bestFit="1" customWidth="1"/>
    <col min="9" max="9" width="14" bestFit="1" customWidth="1"/>
    <col min="10" max="10" width="14.42578125" bestFit="1" customWidth="1"/>
    <col min="11" max="11" width="30.85546875" bestFit="1" customWidth="1"/>
    <col min="12" max="12" width="15.85546875" bestFit="1" customWidth="1"/>
    <col min="13" max="13" width="108.5703125" bestFit="1" customWidth="1"/>
    <col min="14" max="14" width="28.85546875" bestFit="1" customWidth="1"/>
    <col min="15" max="15" width="17.140625" bestFit="1" customWidth="1"/>
    <col min="16" max="16" width="13.42578125" bestFit="1" customWidth="1"/>
    <col min="17" max="17" width="21.140625" bestFit="1" customWidth="1"/>
    <col min="18" max="18" width="11.7109375" bestFit="1" customWidth="1"/>
    <col min="19" max="19" width="10.28515625" bestFit="1" customWidth="1"/>
    <col min="20" max="20" width="14" bestFit="1" customWidth="1"/>
    <col min="21" max="21" width="10" bestFit="1" customWidth="1"/>
    <col min="22" max="22" width="14.140625" bestFit="1" customWidth="1"/>
  </cols>
  <sheetData>
    <row r="1" spans="1:22" x14ac:dyDescent="0.2">
      <c r="A1" s="69" t="s">
        <v>1881</v>
      </c>
    </row>
    <row r="3" spans="1:22" x14ac:dyDescent="0.2">
      <c r="A3" t="s">
        <v>87</v>
      </c>
      <c r="B3" t="s">
        <v>43</v>
      </c>
      <c r="C3" t="s">
        <v>54</v>
      </c>
      <c r="D3" t="s">
        <v>88</v>
      </c>
      <c r="E3" t="s">
        <v>1866</v>
      </c>
      <c r="F3" t="s">
        <v>70</v>
      </c>
      <c r="G3" t="s">
        <v>90</v>
      </c>
      <c r="H3" t="s">
        <v>91</v>
      </c>
      <c r="I3" t="s">
        <v>92</v>
      </c>
      <c r="J3" t="s">
        <v>72</v>
      </c>
      <c r="K3" t="s">
        <v>325</v>
      </c>
      <c r="L3" t="s">
        <v>94</v>
      </c>
      <c r="M3" t="s">
        <v>95</v>
      </c>
      <c r="N3" t="s">
        <v>53</v>
      </c>
      <c r="O3" t="s">
        <v>64</v>
      </c>
      <c r="P3" t="s">
        <v>67</v>
      </c>
      <c r="Q3" t="s">
        <v>44</v>
      </c>
      <c r="R3" t="s">
        <v>326</v>
      </c>
      <c r="S3" t="s">
        <v>327</v>
      </c>
      <c r="T3" t="s">
        <v>328</v>
      </c>
      <c r="U3" t="s">
        <v>98</v>
      </c>
      <c r="V3" t="s">
        <v>329</v>
      </c>
    </row>
    <row r="4" spans="1:22" x14ac:dyDescent="0.2">
      <c r="A4" t="s">
        <v>15</v>
      </c>
      <c r="B4" t="s">
        <v>1</v>
      </c>
      <c r="C4" s="38">
        <v>46140</v>
      </c>
      <c r="D4" s="38">
        <v>46185</v>
      </c>
      <c r="E4" s="38">
        <v>46185</v>
      </c>
      <c r="F4" t="s">
        <v>77</v>
      </c>
      <c r="G4">
        <v>245688</v>
      </c>
      <c r="H4">
        <v>22111.919999999998</v>
      </c>
      <c r="I4">
        <v>267799.92</v>
      </c>
      <c r="J4">
        <v>267799.92</v>
      </c>
      <c r="K4" t="s">
        <v>972</v>
      </c>
      <c r="L4">
        <v>1200312539</v>
      </c>
      <c r="M4" s="104" t="s">
        <v>973</v>
      </c>
      <c r="N4" t="s">
        <v>560</v>
      </c>
      <c r="O4" t="s">
        <v>49</v>
      </c>
      <c r="P4" t="s">
        <v>333</v>
      </c>
      <c r="Q4" t="s">
        <v>62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99CE-53A9-4DBB-80E5-F17A3C299B75}">
  <dimension ref="A1:V5"/>
  <sheetViews>
    <sheetView topLeftCell="F1" workbookViewId="0">
      <selection activeCell="A3" sqref="A3:V5"/>
    </sheetView>
  </sheetViews>
  <sheetFormatPr defaultRowHeight="12.75" x14ac:dyDescent="0.2"/>
  <cols>
    <col min="1" max="2" width="9.28515625" bestFit="1" customWidth="1"/>
    <col min="3" max="3" width="12" bestFit="1" customWidth="1"/>
    <col min="4" max="4" width="10.5703125" bestFit="1" customWidth="1"/>
    <col min="5" max="5" width="27" bestFit="1" customWidth="1"/>
    <col min="6" max="6" width="10.28515625" bestFit="1" customWidth="1"/>
    <col min="7" max="7" width="10.42578125" bestFit="1" customWidth="1"/>
    <col min="8" max="8" width="9.28515625" bestFit="1" customWidth="1"/>
    <col min="9" max="9" width="14" bestFit="1" customWidth="1"/>
    <col min="10" max="10" width="14.42578125" bestFit="1" customWidth="1"/>
    <col min="11" max="11" width="13.7109375" bestFit="1" customWidth="1"/>
    <col min="12" max="12" width="32.85546875" bestFit="1" customWidth="1"/>
    <col min="13" max="13" width="30.5703125" bestFit="1" customWidth="1"/>
    <col min="14" max="14" width="14.42578125" bestFit="1" customWidth="1"/>
    <col min="15" max="15" width="17.140625" bestFit="1" customWidth="1"/>
    <col min="16" max="16" width="13.42578125" bestFit="1" customWidth="1"/>
    <col min="17" max="17" width="21.140625" bestFit="1" customWidth="1"/>
    <col min="18" max="18" width="11.7109375" bestFit="1" customWidth="1"/>
    <col min="19" max="19" width="10.28515625" bestFit="1" customWidth="1"/>
    <col min="20" max="20" width="14" bestFit="1" customWidth="1"/>
    <col min="21" max="21" width="10" bestFit="1" customWidth="1"/>
    <col min="22" max="22" width="14.140625" bestFit="1" customWidth="1"/>
  </cols>
  <sheetData>
    <row r="1" spans="1:22" x14ac:dyDescent="0.2">
      <c r="A1" s="69" t="s">
        <v>1882</v>
      </c>
    </row>
    <row r="3" spans="1:22" x14ac:dyDescent="0.2">
      <c r="A3" t="s">
        <v>87</v>
      </c>
      <c r="B3" t="s">
        <v>43</v>
      </c>
      <c r="C3" t="s">
        <v>54</v>
      </c>
      <c r="D3" t="s">
        <v>88</v>
      </c>
      <c r="E3" t="s">
        <v>1866</v>
      </c>
      <c r="F3" t="s">
        <v>70</v>
      </c>
      <c r="G3" t="s">
        <v>90</v>
      </c>
      <c r="H3" t="s">
        <v>91</v>
      </c>
      <c r="I3" t="s">
        <v>92</v>
      </c>
      <c r="J3" t="s">
        <v>72</v>
      </c>
      <c r="K3" t="s">
        <v>325</v>
      </c>
      <c r="L3" t="s">
        <v>94</v>
      </c>
      <c r="M3" t="s">
        <v>95</v>
      </c>
      <c r="N3" t="s">
        <v>53</v>
      </c>
      <c r="O3" t="s">
        <v>64</v>
      </c>
      <c r="P3" t="s">
        <v>67</v>
      </c>
      <c r="Q3" t="s">
        <v>44</v>
      </c>
      <c r="R3" t="s">
        <v>326</v>
      </c>
      <c r="S3" t="s">
        <v>327</v>
      </c>
      <c r="T3" t="s">
        <v>328</v>
      </c>
      <c r="U3" t="s">
        <v>98</v>
      </c>
      <c r="V3" t="s">
        <v>329</v>
      </c>
    </row>
    <row r="4" spans="1:22" x14ac:dyDescent="0.2">
      <c r="A4" t="s">
        <v>15</v>
      </c>
      <c r="B4" t="s">
        <v>1</v>
      </c>
      <c r="C4" s="38">
        <v>46161</v>
      </c>
      <c r="D4" s="38">
        <v>46171</v>
      </c>
      <c r="E4" s="38">
        <v>46170</v>
      </c>
      <c r="F4" t="s">
        <v>77</v>
      </c>
      <c r="G4">
        <v>16377.27</v>
      </c>
      <c r="H4">
        <v>0</v>
      </c>
      <c r="I4">
        <v>16377.27</v>
      </c>
      <c r="J4">
        <v>12612.55</v>
      </c>
      <c r="K4" t="s">
        <v>931</v>
      </c>
      <c r="L4" t="s">
        <v>947</v>
      </c>
      <c r="M4" t="s">
        <v>948</v>
      </c>
      <c r="N4" t="s">
        <v>447</v>
      </c>
      <c r="O4" t="s">
        <v>447</v>
      </c>
      <c r="P4" t="s">
        <v>350</v>
      </c>
      <c r="Q4" t="s">
        <v>62</v>
      </c>
      <c r="R4" t="s">
        <v>670</v>
      </c>
    </row>
    <row r="5" spans="1:22" x14ac:dyDescent="0.2">
      <c r="A5" t="s">
        <v>15</v>
      </c>
      <c r="B5" t="s">
        <v>1</v>
      </c>
      <c r="C5" s="38">
        <v>46148</v>
      </c>
      <c r="D5" s="38">
        <v>46160</v>
      </c>
      <c r="E5" s="38">
        <v>46160</v>
      </c>
      <c r="F5" t="s">
        <v>77</v>
      </c>
      <c r="G5">
        <v>9164.7999999999993</v>
      </c>
      <c r="H5">
        <v>0</v>
      </c>
      <c r="I5">
        <v>9164.7999999999993</v>
      </c>
      <c r="J5">
        <v>7104.0580607999991</v>
      </c>
      <c r="K5" t="s">
        <v>931</v>
      </c>
      <c r="L5" t="s">
        <v>932</v>
      </c>
      <c r="M5" t="s">
        <v>933</v>
      </c>
      <c r="N5" t="s">
        <v>447</v>
      </c>
      <c r="O5" t="s">
        <v>447</v>
      </c>
      <c r="P5" t="s">
        <v>350</v>
      </c>
      <c r="Q5" t="s">
        <v>62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6BC0-855E-447D-92E6-93A92E21BE24}">
  <dimension ref="A1:V4"/>
  <sheetViews>
    <sheetView workbookViewId="0">
      <selection activeCell="A3" sqref="A3:V4"/>
    </sheetView>
  </sheetViews>
  <sheetFormatPr defaultRowHeight="12.75" x14ac:dyDescent="0.2"/>
  <cols>
    <col min="1" max="2" width="9.28515625" bestFit="1" customWidth="1"/>
    <col min="3" max="3" width="12" bestFit="1" customWidth="1"/>
    <col min="4" max="4" width="10.5703125" bestFit="1" customWidth="1"/>
    <col min="5" max="5" width="27" bestFit="1" customWidth="1"/>
    <col min="6" max="6" width="10.28515625" bestFit="1" customWidth="1"/>
    <col min="7" max="7" width="10.42578125" bestFit="1" customWidth="1"/>
    <col min="8" max="8" width="9.28515625" bestFit="1" customWidth="1"/>
    <col min="9" max="9" width="14" bestFit="1" customWidth="1"/>
    <col min="10" max="10" width="14.42578125" bestFit="1" customWidth="1"/>
    <col min="11" max="11" width="24.85546875" bestFit="1" customWidth="1"/>
    <col min="12" max="12" width="15.85546875" bestFit="1" customWidth="1"/>
    <col min="13" max="13" width="32.28515625" bestFit="1" customWidth="1"/>
    <col min="14" max="15" width="22.42578125" bestFit="1" customWidth="1"/>
    <col min="16" max="16" width="13.42578125" bestFit="1" customWidth="1"/>
    <col min="17" max="17" width="21.140625" bestFit="1" customWidth="1"/>
    <col min="18" max="18" width="11.7109375" bestFit="1" customWidth="1"/>
    <col min="19" max="19" width="10.28515625" bestFit="1" customWidth="1"/>
    <col min="20" max="20" width="14" bestFit="1" customWidth="1"/>
    <col min="21" max="21" width="10" bestFit="1" customWidth="1"/>
    <col min="22" max="22" width="14.140625" bestFit="1" customWidth="1"/>
  </cols>
  <sheetData>
    <row r="1" spans="1:22" x14ac:dyDescent="0.2">
      <c r="A1" s="69" t="s">
        <v>1883</v>
      </c>
    </row>
    <row r="3" spans="1:22" x14ac:dyDescent="0.2">
      <c r="A3" t="s">
        <v>87</v>
      </c>
      <c r="B3" t="s">
        <v>43</v>
      </c>
      <c r="C3" t="s">
        <v>54</v>
      </c>
      <c r="D3" t="s">
        <v>88</v>
      </c>
      <c r="E3" t="s">
        <v>1866</v>
      </c>
      <c r="F3" t="s">
        <v>70</v>
      </c>
      <c r="G3" t="s">
        <v>90</v>
      </c>
      <c r="H3" t="s">
        <v>91</v>
      </c>
      <c r="I3" t="s">
        <v>92</v>
      </c>
      <c r="J3" t="s">
        <v>72</v>
      </c>
      <c r="K3" t="s">
        <v>325</v>
      </c>
      <c r="L3" t="s">
        <v>94</v>
      </c>
      <c r="M3" t="s">
        <v>95</v>
      </c>
      <c r="N3" t="s">
        <v>53</v>
      </c>
      <c r="O3" t="s">
        <v>64</v>
      </c>
      <c r="P3" t="s">
        <v>67</v>
      </c>
      <c r="Q3" t="s">
        <v>44</v>
      </c>
      <c r="R3" t="s">
        <v>326</v>
      </c>
      <c r="S3" t="s">
        <v>327</v>
      </c>
      <c r="T3" t="s">
        <v>328</v>
      </c>
      <c r="U3" t="s">
        <v>98</v>
      </c>
      <c r="V3" t="s">
        <v>329</v>
      </c>
    </row>
    <row r="4" spans="1:22" x14ac:dyDescent="0.2">
      <c r="A4" t="s">
        <v>15</v>
      </c>
      <c r="B4" t="s">
        <v>1</v>
      </c>
      <c r="C4" s="38">
        <v>46182</v>
      </c>
      <c r="D4" s="38">
        <v>46195</v>
      </c>
      <c r="E4" s="38">
        <v>46185</v>
      </c>
      <c r="F4" t="s">
        <v>77</v>
      </c>
      <c r="G4">
        <v>31</v>
      </c>
      <c r="H4">
        <v>0</v>
      </c>
      <c r="I4">
        <v>31</v>
      </c>
      <c r="J4">
        <v>120800.18000000001</v>
      </c>
      <c r="K4" t="s">
        <v>975</v>
      </c>
      <c r="M4" t="s">
        <v>976</v>
      </c>
      <c r="N4" t="s">
        <v>464</v>
      </c>
      <c r="O4" t="s">
        <v>464</v>
      </c>
      <c r="P4" t="s">
        <v>350</v>
      </c>
      <c r="Q4" t="s">
        <v>62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5506-FFF1-4BDC-B6D1-5F91D2833FCA}">
  <dimension ref="A1:P326"/>
  <sheetViews>
    <sheetView topLeftCell="A94" workbookViewId="0">
      <selection activeCell="G121" sqref="G121"/>
    </sheetView>
  </sheetViews>
  <sheetFormatPr defaultRowHeight="12.75" x14ac:dyDescent="0.2"/>
  <cols>
    <col min="1" max="1" width="51.28515625" bestFit="1" customWidth="1"/>
    <col min="2" max="2" width="16" bestFit="1" customWidth="1"/>
    <col min="3" max="7" width="12.5703125" bestFit="1" customWidth="1"/>
    <col min="8" max="15" width="12" bestFit="1" customWidth="1"/>
    <col min="16" max="16" width="12.5703125" bestFit="1" customWidth="1"/>
    <col min="17" max="133" width="14.5703125" bestFit="1" customWidth="1"/>
    <col min="134" max="134" width="10" bestFit="1" customWidth="1"/>
    <col min="135" max="135" width="12.5703125" bestFit="1" customWidth="1"/>
  </cols>
  <sheetData>
    <row r="1" spans="1:16" x14ac:dyDescent="0.2">
      <c r="A1" s="64" t="s">
        <v>67</v>
      </c>
      <c r="B1" t="s">
        <v>1869</v>
      </c>
    </row>
    <row r="3" spans="1:16" x14ac:dyDescent="0.2">
      <c r="A3" s="64" t="s">
        <v>11</v>
      </c>
      <c r="B3" s="64" t="s">
        <v>40</v>
      </c>
    </row>
    <row r="4" spans="1:16" x14ac:dyDescent="0.2">
      <c r="B4" t="s">
        <v>7</v>
      </c>
      <c r="N4" t="s">
        <v>1870</v>
      </c>
      <c r="P4" t="s">
        <v>19</v>
      </c>
    </row>
    <row r="5" spans="1:16" x14ac:dyDescent="0.2">
      <c r="A5" s="64" t="s">
        <v>65</v>
      </c>
      <c r="B5" t="s">
        <v>9</v>
      </c>
      <c r="C5" t="s">
        <v>26</v>
      </c>
      <c r="D5" t="s">
        <v>27</v>
      </c>
      <c r="E5" t="s">
        <v>36</v>
      </c>
      <c r="F5" t="s">
        <v>12</v>
      </c>
      <c r="G5" t="s">
        <v>13</v>
      </c>
      <c r="H5" t="s">
        <v>1615</v>
      </c>
      <c r="I5" t="s">
        <v>1616</v>
      </c>
      <c r="J5" t="s">
        <v>1617</v>
      </c>
      <c r="K5" t="s">
        <v>1618</v>
      </c>
      <c r="L5" t="s">
        <v>1619</v>
      </c>
      <c r="M5" t="s">
        <v>20</v>
      </c>
      <c r="N5" t="s">
        <v>9</v>
      </c>
      <c r="O5" t="s">
        <v>27</v>
      </c>
    </row>
    <row r="6" spans="1:16" x14ac:dyDescent="0.2">
      <c r="A6" s="65" t="s">
        <v>55</v>
      </c>
      <c r="B6" s="331">
        <v>6054.4612636299971</v>
      </c>
      <c r="C6" s="331">
        <v>20774.9412740226</v>
      </c>
      <c r="D6" s="331">
        <v>217454.24806124717</v>
      </c>
      <c r="E6" s="331">
        <v>67557.145011454719</v>
      </c>
      <c r="F6" s="331">
        <v>54299.693984760001</v>
      </c>
      <c r="G6" s="331">
        <v>-264938337.67821202</v>
      </c>
      <c r="H6" s="331">
        <v>77244.645532155002</v>
      </c>
      <c r="I6" s="331">
        <v>92784.334765287873</v>
      </c>
      <c r="J6" s="331">
        <v>60784.33476528788</v>
      </c>
      <c r="K6" s="331">
        <v>72279.103335155014</v>
      </c>
      <c r="L6" s="331">
        <v>86545.66953057576</v>
      </c>
      <c r="M6" s="331">
        <v>72279.103335155014</v>
      </c>
      <c r="N6" s="331">
        <v>5256.1033351550122</v>
      </c>
      <c r="O6" s="331"/>
      <c r="P6" s="331">
        <v>-264105023.89401814</v>
      </c>
    </row>
    <row r="7" spans="1:16" x14ac:dyDescent="0.2">
      <c r="A7" s="66" t="s">
        <v>1</v>
      </c>
      <c r="B7" s="331">
        <v>61707.676586879999</v>
      </c>
      <c r="C7" s="331">
        <v>-19687.566725977402</v>
      </c>
      <c r="D7" s="331">
        <v>161699.22806124715</v>
      </c>
      <c r="E7" s="331">
        <v>29546.165011454719</v>
      </c>
      <c r="F7" s="331">
        <v>3964.14398476</v>
      </c>
      <c r="G7" s="331">
        <v>-264990931.76821202</v>
      </c>
      <c r="H7" s="331">
        <v>52744.645532155009</v>
      </c>
      <c r="I7" s="331">
        <v>52284.33476528788</v>
      </c>
      <c r="J7" s="331">
        <v>52284.33476528788</v>
      </c>
      <c r="K7" s="331">
        <v>47779.103335155014</v>
      </c>
      <c r="L7" s="331">
        <v>62045.66953057576</v>
      </c>
      <c r="M7" s="331">
        <v>47779.103335155014</v>
      </c>
      <c r="N7" s="331">
        <v>5256.1033351550122</v>
      </c>
      <c r="O7" s="331"/>
      <c r="P7" s="331">
        <v>-264433528.82669488</v>
      </c>
    </row>
    <row r="8" spans="1:16" x14ac:dyDescent="0.2">
      <c r="A8" s="87" t="s">
        <v>464</v>
      </c>
      <c r="B8" s="331"/>
      <c r="C8" s="331">
        <v>118.32200973087411</v>
      </c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>
        <v>118.32200973087411</v>
      </c>
    </row>
    <row r="9" spans="1:16" x14ac:dyDescent="0.2">
      <c r="A9" s="86" t="s">
        <v>464</v>
      </c>
      <c r="B9" s="331"/>
      <c r="C9" s="331">
        <v>118.32200973087411</v>
      </c>
      <c r="D9" s="331"/>
      <c r="E9" s="331"/>
      <c r="F9" s="331"/>
      <c r="G9" s="331"/>
      <c r="H9" s="331"/>
      <c r="I9" s="331"/>
      <c r="J9" s="331"/>
      <c r="K9" s="331"/>
      <c r="L9" s="331"/>
      <c r="M9" s="331"/>
      <c r="N9" s="331"/>
      <c r="O9" s="331"/>
      <c r="P9" s="331">
        <v>118.32200973087411</v>
      </c>
    </row>
    <row r="10" spans="1:16" x14ac:dyDescent="0.2">
      <c r="A10" s="87" t="s">
        <v>332</v>
      </c>
      <c r="B10" s="331"/>
      <c r="C10" s="331"/>
      <c r="D10" s="331"/>
      <c r="E10" s="331"/>
      <c r="F10" s="331"/>
      <c r="G10" s="331">
        <v>7.7000000000000002E-3</v>
      </c>
      <c r="H10" s="331"/>
      <c r="I10" s="331"/>
      <c r="J10" s="331"/>
      <c r="K10" s="331"/>
      <c r="L10" s="331"/>
      <c r="M10" s="331"/>
      <c r="N10" s="331"/>
      <c r="O10" s="331"/>
      <c r="P10" s="331">
        <v>7.7000000000000002E-3</v>
      </c>
    </row>
    <row r="11" spans="1:16" x14ac:dyDescent="0.2">
      <c r="A11" s="86" t="s">
        <v>332</v>
      </c>
      <c r="B11" s="331"/>
      <c r="C11" s="331"/>
      <c r="D11" s="331"/>
      <c r="E11" s="331"/>
      <c r="F11" s="331"/>
      <c r="G11" s="331">
        <v>7.7000000000000002E-3</v>
      </c>
      <c r="H11" s="331"/>
      <c r="I11" s="331"/>
      <c r="J11" s="331"/>
      <c r="K11" s="331"/>
      <c r="L11" s="331"/>
      <c r="M11" s="331"/>
      <c r="N11" s="331"/>
      <c r="O11" s="331"/>
      <c r="P11" s="331">
        <v>7.7000000000000002E-3</v>
      </c>
    </row>
    <row r="12" spans="1:16" x14ac:dyDescent="0.2">
      <c r="A12" s="87" t="s">
        <v>46</v>
      </c>
      <c r="B12" s="331"/>
      <c r="C12" s="331">
        <v>21.563500862174404</v>
      </c>
      <c r="D12" s="331"/>
      <c r="E12" s="331"/>
      <c r="F12" s="331"/>
      <c r="G12" s="331">
        <v>149.2645</v>
      </c>
      <c r="H12" s="331"/>
      <c r="I12" s="331"/>
      <c r="J12" s="331"/>
      <c r="K12" s="331"/>
      <c r="L12" s="331"/>
      <c r="M12" s="331"/>
      <c r="N12" s="331"/>
      <c r="O12" s="331"/>
      <c r="P12" s="331">
        <v>170.82800086217441</v>
      </c>
    </row>
    <row r="13" spans="1:16" x14ac:dyDescent="0.2">
      <c r="A13" s="86" t="s">
        <v>349</v>
      </c>
      <c r="B13" s="331"/>
      <c r="C13" s="331">
        <v>21.563500862174404</v>
      </c>
      <c r="D13" s="331"/>
      <c r="E13" s="331"/>
      <c r="F13" s="331"/>
      <c r="G13" s="331"/>
      <c r="H13" s="331"/>
      <c r="I13" s="331"/>
      <c r="J13" s="331"/>
      <c r="K13" s="331"/>
      <c r="L13" s="331"/>
      <c r="M13" s="331"/>
      <c r="N13" s="331"/>
      <c r="O13" s="331"/>
      <c r="P13" s="331">
        <v>21.563500862174404</v>
      </c>
    </row>
    <row r="14" spans="1:16" x14ac:dyDescent="0.2">
      <c r="A14" s="86" t="s">
        <v>540</v>
      </c>
      <c r="B14" s="331"/>
      <c r="C14" s="331"/>
      <c r="D14" s="331"/>
      <c r="E14" s="331"/>
      <c r="F14" s="331"/>
      <c r="G14" s="331">
        <v>149.2645</v>
      </c>
      <c r="H14" s="331"/>
      <c r="I14" s="331"/>
      <c r="J14" s="331"/>
      <c r="K14" s="331"/>
      <c r="L14" s="331"/>
      <c r="M14" s="331"/>
      <c r="N14" s="331"/>
      <c r="O14" s="331"/>
      <c r="P14" s="331">
        <v>149.2645</v>
      </c>
    </row>
    <row r="15" spans="1:16" x14ac:dyDescent="0.2">
      <c r="A15" s="87" t="s">
        <v>47</v>
      </c>
      <c r="B15" s="331">
        <v>56907.16</v>
      </c>
      <c r="C15" s="331">
        <v>5535.0599999999995</v>
      </c>
      <c r="D15" s="331">
        <v>132626.34999999998</v>
      </c>
      <c r="E15" s="331">
        <v>49403.700307919426</v>
      </c>
      <c r="F15" s="331">
        <v>2331.64</v>
      </c>
      <c r="G15" s="331">
        <v>44448</v>
      </c>
      <c r="H15" s="331">
        <v>42523</v>
      </c>
      <c r="I15" s="331">
        <v>42523</v>
      </c>
      <c r="J15" s="331">
        <v>42523</v>
      </c>
      <c r="K15" s="331">
        <v>42523</v>
      </c>
      <c r="L15" s="331">
        <v>42523</v>
      </c>
      <c r="M15" s="331">
        <v>42523</v>
      </c>
      <c r="N15" s="331"/>
      <c r="O15" s="331"/>
      <c r="P15" s="331">
        <v>546389.91030791949</v>
      </c>
    </row>
    <row r="16" spans="1:16" x14ac:dyDescent="0.2">
      <c r="A16" s="86" t="s">
        <v>387</v>
      </c>
      <c r="B16" s="331">
        <v>56907.16</v>
      </c>
      <c r="C16" s="331">
        <v>2960.72</v>
      </c>
      <c r="D16" s="331">
        <v>132325.51999999999</v>
      </c>
      <c r="E16" s="331">
        <v>36691.53</v>
      </c>
      <c r="F16" s="331">
        <v>2.33</v>
      </c>
      <c r="G16" s="331">
        <v>40003</v>
      </c>
      <c r="H16" s="331">
        <v>40003</v>
      </c>
      <c r="I16" s="331">
        <v>40003</v>
      </c>
      <c r="J16" s="331">
        <v>40003</v>
      </c>
      <c r="K16" s="331">
        <v>40003</v>
      </c>
      <c r="L16" s="331">
        <v>40003</v>
      </c>
      <c r="M16" s="331">
        <v>40003</v>
      </c>
      <c r="N16" s="331"/>
      <c r="O16" s="331"/>
      <c r="P16" s="331">
        <v>508908.26</v>
      </c>
    </row>
    <row r="17" spans="1:16" x14ac:dyDescent="0.2">
      <c r="A17" s="86" t="s">
        <v>875</v>
      </c>
      <c r="B17" s="331"/>
      <c r="C17" s="331"/>
      <c r="D17" s="331"/>
      <c r="E17" s="331">
        <v>7701.2503079194303</v>
      </c>
      <c r="F17" s="331"/>
      <c r="G17" s="331">
        <v>1925</v>
      </c>
      <c r="H17" s="331"/>
      <c r="I17" s="331"/>
      <c r="J17" s="331"/>
      <c r="K17" s="331"/>
      <c r="L17" s="331"/>
      <c r="M17" s="331"/>
      <c r="N17" s="331"/>
      <c r="O17" s="331"/>
      <c r="P17" s="331">
        <v>9626.2503079194303</v>
      </c>
    </row>
    <row r="18" spans="1:16" x14ac:dyDescent="0.2">
      <c r="A18" s="86" t="s">
        <v>364</v>
      </c>
      <c r="B18" s="331"/>
      <c r="C18" s="331">
        <v>2574.34</v>
      </c>
      <c r="D18" s="331">
        <v>300.83</v>
      </c>
      <c r="E18" s="331">
        <v>5010.92</v>
      </c>
      <c r="F18" s="331">
        <v>2329.31</v>
      </c>
      <c r="G18" s="331">
        <v>2520</v>
      </c>
      <c r="H18" s="331">
        <v>2520</v>
      </c>
      <c r="I18" s="331">
        <v>2520</v>
      </c>
      <c r="J18" s="331">
        <v>2520</v>
      </c>
      <c r="K18" s="331">
        <v>2520</v>
      </c>
      <c r="L18" s="331">
        <v>2520</v>
      </c>
      <c r="M18" s="331">
        <v>2520</v>
      </c>
      <c r="N18" s="331"/>
      <c r="O18" s="331"/>
      <c r="P18" s="331">
        <v>27855.4</v>
      </c>
    </row>
    <row r="19" spans="1:16" x14ac:dyDescent="0.2">
      <c r="A19" s="87" t="s">
        <v>398</v>
      </c>
      <c r="B19" s="331">
        <v>14.42372072</v>
      </c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>
        <v>14.42372072</v>
      </c>
    </row>
    <row r="20" spans="1:16" x14ac:dyDescent="0.2">
      <c r="A20" s="86" t="s">
        <v>663</v>
      </c>
      <c r="B20" s="331">
        <v>14.42372072</v>
      </c>
      <c r="C20" s="331"/>
      <c r="D20" s="331"/>
      <c r="E20" s="331"/>
      <c r="F20" s="331"/>
      <c r="G20" s="331"/>
      <c r="H20" s="331"/>
      <c r="I20" s="331"/>
      <c r="J20" s="331"/>
      <c r="K20" s="331"/>
      <c r="L20" s="331"/>
      <c r="M20" s="331"/>
      <c r="N20" s="331"/>
      <c r="O20" s="331"/>
      <c r="P20" s="331">
        <v>14.42372072</v>
      </c>
    </row>
    <row r="21" spans="1:16" x14ac:dyDescent="0.2">
      <c r="A21" s="87" t="s">
        <v>58</v>
      </c>
      <c r="B21" s="331"/>
      <c r="C21" s="331"/>
      <c r="D21" s="331">
        <v>25829.334767810429</v>
      </c>
      <c r="E21" s="331">
        <v>4696.5458902822011</v>
      </c>
      <c r="F21" s="331"/>
      <c r="G21" s="331">
        <v>5314.5818880000006</v>
      </c>
      <c r="H21" s="331">
        <v>10221.645532155011</v>
      </c>
      <c r="I21" s="331">
        <v>9761.3347652878801</v>
      </c>
      <c r="J21" s="331">
        <v>9761.3347652878801</v>
      </c>
      <c r="K21" s="331">
        <v>5256.1033351550122</v>
      </c>
      <c r="L21" s="331">
        <v>19522.66953057576</v>
      </c>
      <c r="M21" s="331">
        <v>5256.1033351550122</v>
      </c>
      <c r="N21" s="331">
        <v>5256.1033351550122</v>
      </c>
      <c r="O21" s="331"/>
      <c r="P21" s="331">
        <v>100875.75714486421</v>
      </c>
    </row>
    <row r="22" spans="1:16" x14ac:dyDescent="0.2">
      <c r="A22" s="86" t="s">
        <v>58</v>
      </c>
      <c r="B22" s="331"/>
      <c r="C22" s="331"/>
      <c r="D22" s="331">
        <v>25829.334767810429</v>
      </c>
      <c r="E22" s="331">
        <v>4696.5458902822011</v>
      </c>
      <c r="F22" s="331"/>
      <c r="G22" s="331">
        <v>5314.5818880000006</v>
      </c>
      <c r="H22" s="331">
        <v>10221.645532155011</v>
      </c>
      <c r="I22" s="331">
        <v>9761.3347652878801</v>
      </c>
      <c r="J22" s="331">
        <v>9761.3347652878801</v>
      </c>
      <c r="K22" s="331">
        <v>5256.1033351550122</v>
      </c>
      <c r="L22" s="331">
        <v>19522.66953057576</v>
      </c>
      <c r="M22" s="331">
        <v>5256.1033351550122</v>
      </c>
      <c r="N22" s="331">
        <v>5256.1033351550122</v>
      </c>
      <c r="O22" s="331"/>
      <c r="P22" s="331">
        <v>100875.75714486421</v>
      </c>
    </row>
    <row r="23" spans="1:16" x14ac:dyDescent="0.2">
      <c r="A23" s="87" t="s">
        <v>50</v>
      </c>
      <c r="B23" s="331">
        <v>40.940692000000006</v>
      </c>
      <c r="C23" s="331"/>
      <c r="D23" s="331"/>
      <c r="E23" s="331"/>
      <c r="F23" s="331">
        <v>84.614937359999999</v>
      </c>
      <c r="G23" s="331"/>
      <c r="H23" s="331"/>
      <c r="I23" s="331"/>
      <c r="J23" s="331"/>
      <c r="K23" s="331"/>
      <c r="L23" s="331"/>
      <c r="M23" s="331"/>
      <c r="N23" s="331"/>
      <c r="O23" s="331"/>
      <c r="P23" s="331">
        <v>125.55562936000001</v>
      </c>
    </row>
    <row r="24" spans="1:16" x14ac:dyDescent="0.2">
      <c r="A24" s="86" t="s">
        <v>686</v>
      </c>
      <c r="B24" s="331">
        <v>40.940692000000006</v>
      </c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  <c r="O24" s="331"/>
      <c r="P24" s="331">
        <v>40.940692000000006</v>
      </c>
    </row>
    <row r="25" spans="1:16" x14ac:dyDescent="0.2">
      <c r="A25" s="86" t="s">
        <v>50</v>
      </c>
      <c r="B25" s="331"/>
      <c r="C25" s="331"/>
      <c r="D25" s="331"/>
      <c r="E25" s="331"/>
      <c r="F25" s="331">
        <v>84.614937359999999</v>
      </c>
      <c r="G25" s="331"/>
      <c r="H25" s="331"/>
      <c r="I25" s="331"/>
      <c r="J25" s="331"/>
      <c r="K25" s="331"/>
      <c r="L25" s="331"/>
      <c r="M25" s="331"/>
      <c r="N25" s="331"/>
      <c r="O25" s="331"/>
      <c r="P25" s="331">
        <v>84.614937359999999</v>
      </c>
    </row>
    <row r="26" spans="1:16" x14ac:dyDescent="0.2">
      <c r="A26" s="87" t="s">
        <v>10</v>
      </c>
      <c r="B26" s="331"/>
      <c r="C26" s="331">
        <v>-26431.461181810279</v>
      </c>
      <c r="D26" s="331"/>
      <c r="E26" s="331">
        <v>-26406.924998329247</v>
      </c>
      <c r="F26" s="331"/>
      <c r="G26" s="331">
        <v>-265043388.48000002</v>
      </c>
      <c r="H26" s="331"/>
      <c r="I26" s="331"/>
      <c r="J26" s="331"/>
      <c r="K26" s="331"/>
      <c r="L26" s="331"/>
      <c r="M26" s="331"/>
      <c r="N26" s="331"/>
      <c r="O26" s="331"/>
      <c r="P26" s="331">
        <v>-265096226.86618018</v>
      </c>
    </row>
    <row r="27" spans="1:16" x14ac:dyDescent="0.2">
      <c r="A27" s="86" t="s">
        <v>382</v>
      </c>
      <c r="B27" s="331"/>
      <c r="C27" s="331"/>
      <c r="D27" s="331"/>
      <c r="E27" s="331">
        <v>-26406.924998329247</v>
      </c>
      <c r="F27" s="331"/>
      <c r="G27" s="331">
        <v>-265043388.48000002</v>
      </c>
      <c r="H27" s="331"/>
      <c r="I27" s="331"/>
      <c r="J27" s="331"/>
      <c r="K27" s="331"/>
      <c r="L27" s="331"/>
      <c r="M27" s="331"/>
      <c r="N27" s="331"/>
      <c r="O27" s="331"/>
      <c r="P27" s="331">
        <v>-265069795.40499836</v>
      </c>
    </row>
    <row r="28" spans="1:16" x14ac:dyDescent="0.2">
      <c r="A28" s="86" t="s">
        <v>773</v>
      </c>
      <c r="B28" s="331"/>
      <c r="C28" s="331">
        <v>-26431.461181810279</v>
      </c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  <c r="O28" s="331"/>
      <c r="P28" s="331">
        <v>-26431.461181810279</v>
      </c>
    </row>
    <row r="29" spans="1:16" x14ac:dyDescent="0.2">
      <c r="A29" s="87" t="s">
        <v>51</v>
      </c>
      <c r="B29" s="331"/>
      <c r="C29" s="331"/>
      <c r="D29" s="331"/>
      <c r="E29" s="331">
        <v>28.363704884067261</v>
      </c>
      <c r="F29" s="331">
        <v>15.40990248</v>
      </c>
      <c r="G29" s="331">
        <v>1242.934</v>
      </c>
      <c r="H29" s="331"/>
      <c r="I29" s="331"/>
      <c r="J29" s="331"/>
      <c r="K29" s="331"/>
      <c r="L29" s="331"/>
      <c r="M29" s="331"/>
      <c r="N29" s="331"/>
      <c r="O29" s="331"/>
      <c r="P29" s="331">
        <v>1286.7076073640671</v>
      </c>
    </row>
    <row r="30" spans="1:16" x14ac:dyDescent="0.2">
      <c r="A30" s="86" t="s">
        <v>684</v>
      </c>
      <c r="B30" s="331"/>
      <c r="C30" s="331"/>
      <c r="D30" s="331"/>
      <c r="E30" s="331">
        <v>28.363704884067261</v>
      </c>
      <c r="F30" s="331">
        <v>15.40990248</v>
      </c>
      <c r="G30" s="331"/>
      <c r="H30" s="331"/>
      <c r="I30" s="331"/>
      <c r="J30" s="331"/>
      <c r="K30" s="331"/>
      <c r="L30" s="331"/>
      <c r="M30" s="331"/>
      <c r="N30" s="331"/>
      <c r="O30" s="331"/>
      <c r="P30" s="331">
        <v>43.77360736406726</v>
      </c>
    </row>
    <row r="31" spans="1:16" x14ac:dyDescent="0.2">
      <c r="A31" s="86" t="s">
        <v>527</v>
      </c>
      <c r="B31" s="331"/>
      <c r="C31" s="331"/>
      <c r="D31" s="331"/>
      <c r="E31" s="331"/>
      <c r="F31" s="331"/>
      <c r="G31" s="331">
        <v>1242.934</v>
      </c>
      <c r="H31" s="331"/>
      <c r="I31" s="331"/>
      <c r="J31" s="331"/>
      <c r="K31" s="331"/>
      <c r="L31" s="331"/>
      <c r="M31" s="331"/>
      <c r="N31" s="331"/>
      <c r="O31" s="331"/>
      <c r="P31" s="331">
        <v>1242.934</v>
      </c>
    </row>
    <row r="32" spans="1:16" x14ac:dyDescent="0.2">
      <c r="A32" s="87" t="s">
        <v>60</v>
      </c>
      <c r="B32" s="331">
        <v>4335.4067061300002</v>
      </c>
      <c r="C32" s="331">
        <v>0</v>
      </c>
      <c r="D32" s="331">
        <v>125.03749999937989</v>
      </c>
      <c r="E32" s="331">
        <v>275.29659475719592</v>
      </c>
      <c r="F32" s="331">
        <v>173.0513445</v>
      </c>
      <c r="G32" s="331">
        <v>95.464600000000004</v>
      </c>
      <c r="H32" s="331"/>
      <c r="I32" s="331"/>
      <c r="J32" s="331"/>
      <c r="K32" s="331"/>
      <c r="L32" s="331"/>
      <c r="M32" s="331"/>
      <c r="N32" s="331"/>
      <c r="O32" s="331"/>
      <c r="P32" s="331">
        <v>5004.2567453865759</v>
      </c>
    </row>
    <row r="33" spans="1:16" x14ac:dyDescent="0.2">
      <c r="A33" s="86" t="s">
        <v>60</v>
      </c>
      <c r="B33" s="331">
        <v>4335.4067061300002</v>
      </c>
      <c r="C33" s="331">
        <v>0</v>
      </c>
      <c r="D33" s="331">
        <v>125.03749999937989</v>
      </c>
      <c r="E33" s="331">
        <v>275.29659475719592</v>
      </c>
      <c r="F33" s="331">
        <v>173.0513445</v>
      </c>
      <c r="G33" s="331">
        <v>95.464600000000004</v>
      </c>
      <c r="H33" s="331"/>
      <c r="I33" s="331"/>
      <c r="J33" s="331"/>
      <c r="K33" s="331"/>
      <c r="L33" s="331"/>
      <c r="M33" s="331"/>
      <c r="N33" s="331"/>
      <c r="O33" s="331"/>
      <c r="P33" s="331">
        <v>5004.2567453865759</v>
      </c>
    </row>
    <row r="34" spans="1:16" x14ac:dyDescent="0.2">
      <c r="A34" s="87" t="s">
        <v>48</v>
      </c>
      <c r="B34" s="331">
        <v>409.74546803000004</v>
      </c>
      <c r="C34" s="331">
        <v>1068.9489452398327</v>
      </c>
      <c r="D34" s="331">
        <v>3118.5057934373544</v>
      </c>
      <c r="E34" s="331">
        <v>1549.1835119410725</v>
      </c>
      <c r="F34" s="331">
        <v>1359.42780042</v>
      </c>
      <c r="G34" s="331">
        <v>1206.4590999999998</v>
      </c>
      <c r="H34" s="331"/>
      <c r="I34" s="331"/>
      <c r="J34" s="331"/>
      <c r="K34" s="331"/>
      <c r="L34" s="331"/>
      <c r="M34" s="331"/>
      <c r="N34" s="331"/>
      <c r="O34" s="331"/>
      <c r="P34" s="331">
        <v>8712.2706190682602</v>
      </c>
    </row>
    <row r="35" spans="1:16" x14ac:dyDescent="0.2">
      <c r="A35" s="86" t="s">
        <v>475</v>
      </c>
      <c r="B35" s="331"/>
      <c r="C35" s="331"/>
      <c r="D35" s="331">
        <v>430.03011594391307</v>
      </c>
      <c r="E35" s="331">
        <v>236.15884069234932</v>
      </c>
      <c r="F35" s="331">
        <v>730.97818092</v>
      </c>
      <c r="G35" s="331"/>
      <c r="H35" s="331"/>
      <c r="I35" s="331"/>
      <c r="J35" s="331"/>
      <c r="K35" s="331"/>
      <c r="L35" s="331"/>
      <c r="M35" s="331"/>
      <c r="N35" s="331"/>
      <c r="O35" s="331"/>
      <c r="P35" s="331">
        <v>1397.1671375562623</v>
      </c>
    </row>
    <row r="36" spans="1:16" x14ac:dyDescent="0.2">
      <c r="A36" s="86" t="s">
        <v>391</v>
      </c>
      <c r="B36" s="331"/>
      <c r="C36" s="331">
        <v>223.80603519844658</v>
      </c>
      <c r="D36" s="331">
        <v>164.0520340592997</v>
      </c>
      <c r="E36" s="331"/>
      <c r="F36" s="331">
        <v>154.03701312000001</v>
      </c>
      <c r="G36" s="331">
        <v>179.78730000000002</v>
      </c>
      <c r="H36" s="331"/>
      <c r="I36" s="331"/>
      <c r="J36" s="331"/>
      <c r="K36" s="331"/>
      <c r="L36" s="331"/>
      <c r="M36" s="331"/>
      <c r="N36" s="331"/>
      <c r="O36" s="331"/>
      <c r="P36" s="331">
        <v>721.68238237774631</v>
      </c>
    </row>
    <row r="37" spans="1:16" x14ac:dyDescent="0.2">
      <c r="A37" s="86" t="s">
        <v>353</v>
      </c>
      <c r="B37" s="331">
        <v>368.41111553000002</v>
      </c>
      <c r="C37" s="331">
        <v>719.95908628615587</v>
      </c>
      <c r="D37" s="331">
        <v>2335.3271433734881</v>
      </c>
      <c r="E37" s="331">
        <v>1206.185225726957</v>
      </c>
      <c r="F37" s="331">
        <v>388.01483322000001</v>
      </c>
      <c r="G37" s="331">
        <v>988.67229999999984</v>
      </c>
      <c r="H37" s="331"/>
      <c r="I37" s="331"/>
      <c r="J37" s="331"/>
      <c r="K37" s="331"/>
      <c r="L37" s="331"/>
      <c r="M37" s="331"/>
      <c r="N37" s="331"/>
      <c r="O37" s="331"/>
      <c r="P37" s="331">
        <v>6006.5697041366011</v>
      </c>
    </row>
    <row r="38" spans="1:16" x14ac:dyDescent="0.2">
      <c r="A38" s="86" t="s">
        <v>356</v>
      </c>
      <c r="B38" s="331">
        <v>41.334352500000001</v>
      </c>
      <c r="C38" s="331">
        <v>125.18382375523035</v>
      </c>
      <c r="D38" s="331">
        <v>189.09650006065368</v>
      </c>
      <c r="E38" s="331">
        <v>106.83944552176627</v>
      </c>
      <c r="F38" s="331">
        <v>86.39777316</v>
      </c>
      <c r="G38" s="331">
        <v>37.999500000000005</v>
      </c>
      <c r="H38" s="331"/>
      <c r="I38" s="331"/>
      <c r="J38" s="331"/>
      <c r="K38" s="331"/>
      <c r="L38" s="331"/>
      <c r="M38" s="331"/>
      <c r="N38" s="331"/>
      <c r="O38" s="331"/>
      <c r="P38" s="331">
        <v>586.85139499765035</v>
      </c>
    </row>
    <row r="39" spans="1:16" x14ac:dyDescent="0.2">
      <c r="A39" s="66" t="s">
        <v>3</v>
      </c>
      <c r="B39" s="331">
        <v>-69957.27132325001</v>
      </c>
      <c r="C39" s="331">
        <v>18164.18</v>
      </c>
      <c r="D39" s="331">
        <v>28817.26</v>
      </c>
      <c r="E39" s="331">
        <v>13019.82</v>
      </c>
      <c r="F39" s="331">
        <v>26600.6</v>
      </c>
      <c r="G39" s="331">
        <v>19500</v>
      </c>
      <c r="H39" s="331"/>
      <c r="I39" s="331"/>
      <c r="J39" s="331"/>
      <c r="K39" s="331"/>
      <c r="L39" s="331"/>
      <c r="M39" s="331"/>
      <c r="N39" s="331"/>
      <c r="O39" s="331"/>
      <c r="P39" s="331">
        <v>36144.588676749991</v>
      </c>
    </row>
    <row r="40" spans="1:16" x14ac:dyDescent="0.2">
      <c r="A40" s="87" t="s">
        <v>46</v>
      </c>
      <c r="B40" s="331"/>
      <c r="C40" s="331"/>
      <c r="D40" s="331"/>
      <c r="E40" s="331">
        <v>1006</v>
      </c>
      <c r="F40" s="331"/>
      <c r="G40" s="331"/>
      <c r="H40" s="331"/>
      <c r="I40" s="331"/>
      <c r="J40" s="331"/>
      <c r="K40" s="331"/>
      <c r="L40" s="331"/>
      <c r="M40" s="331"/>
      <c r="N40" s="331"/>
      <c r="O40" s="331"/>
      <c r="P40" s="331">
        <v>1006</v>
      </c>
    </row>
    <row r="41" spans="1:16" x14ac:dyDescent="0.2">
      <c r="A41" s="86" t="s">
        <v>390</v>
      </c>
      <c r="B41" s="331"/>
      <c r="C41" s="331"/>
      <c r="D41" s="331"/>
      <c r="E41" s="331">
        <v>1006</v>
      </c>
      <c r="F41" s="331"/>
      <c r="G41" s="331"/>
      <c r="H41" s="331"/>
      <c r="I41" s="331"/>
      <c r="J41" s="331"/>
      <c r="K41" s="331"/>
      <c r="L41" s="331"/>
      <c r="M41" s="331"/>
      <c r="N41" s="331"/>
      <c r="O41" s="331"/>
      <c r="P41" s="331">
        <v>1006</v>
      </c>
    </row>
    <row r="42" spans="1:16" x14ac:dyDescent="0.2">
      <c r="A42" s="87" t="s">
        <v>346</v>
      </c>
      <c r="B42" s="331">
        <v>701.29312500000003</v>
      </c>
      <c r="C42" s="331"/>
      <c r="D42" s="331"/>
      <c r="E42" s="331"/>
      <c r="F42" s="331"/>
      <c r="G42" s="331"/>
      <c r="H42" s="331"/>
      <c r="I42" s="331"/>
      <c r="J42" s="331"/>
      <c r="K42" s="331"/>
      <c r="L42" s="331"/>
      <c r="M42" s="331"/>
      <c r="N42" s="331"/>
      <c r="O42" s="331"/>
      <c r="P42" s="331">
        <v>701.29312500000003</v>
      </c>
    </row>
    <row r="43" spans="1:16" x14ac:dyDescent="0.2">
      <c r="A43" s="86" t="s">
        <v>346</v>
      </c>
      <c r="B43" s="331">
        <v>701.29312500000003</v>
      </c>
      <c r="C43" s="331"/>
      <c r="D43" s="331"/>
      <c r="E43" s="331"/>
      <c r="F43" s="331"/>
      <c r="G43" s="331"/>
      <c r="H43" s="331"/>
      <c r="I43" s="331"/>
      <c r="J43" s="331"/>
      <c r="K43" s="331"/>
      <c r="L43" s="331"/>
      <c r="M43" s="331"/>
      <c r="N43" s="331"/>
      <c r="O43" s="331"/>
      <c r="P43" s="331">
        <v>701.29312500000003</v>
      </c>
    </row>
    <row r="44" spans="1:16" x14ac:dyDescent="0.2">
      <c r="A44" s="87" t="s">
        <v>47</v>
      </c>
      <c r="B44" s="331">
        <v>10359.73</v>
      </c>
      <c r="C44" s="331">
        <v>18164.18</v>
      </c>
      <c r="D44" s="331">
        <v>28758.94</v>
      </c>
      <c r="E44" s="331">
        <v>11683.35</v>
      </c>
      <c r="F44" s="331">
        <v>26600.6</v>
      </c>
      <c r="G44" s="331">
        <v>19500</v>
      </c>
      <c r="H44" s="331"/>
      <c r="I44" s="331"/>
      <c r="J44" s="331"/>
      <c r="K44" s="331"/>
      <c r="L44" s="331"/>
      <c r="M44" s="331"/>
      <c r="N44" s="331"/>
      <c r="O44" s="331"/>
      <c r="P44" s="331">
        <v>115066.79999999999</v>
      </c>
    </row>
    <row r="45" spans="1:16" x14ac:dyDescent="0.2">
      <c r="A45" s="86" t="s">
        <v>387</v>
      </c>
      <c r="B45" s="331">
        <v>10359.73</v>
      </c>
      <c r="C45" s="331">
        <v>18164.18</v>
      </c>
      <c r="D45" s="331">
        <v>28758.94</v>
      </c>
      <c r="E45" s="331">
        <v>11683.35</v>
      </c>
      <c r="F45" s="331">
        <v>26600.6</v>
      </c>
      <c r="G45" s="331">
        <v>19500</v>
      </c>
      <c r="H45" s="331"/>
      <c r="I45" s="331"/>
      <c r="J45" s="331"/>
      <c r="K45" s="331"/>
      <c r="L45" s="331"/>
      <c r="M45" s="331"/>
      <c r="N45" s="331"/>
      <c r="O45" s="331"/>
      <c r="P45" s="331">
        <v>115066.79999999999</v>
      </c>
    </row>
    <row r="46" spans="1:16" x14ac:dyDescent="0.2">
      <c r="A46" s="87" t="s">
        <v>380</v>
      </c>
      <c r="B46" s="331">
        <v>791.63406500000008</v>
      </c>
      <c r="C46" s="331"/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>
        <v>791.63406500000008</v>
      </c>
    </row>
    <row r="47" spans="1:16" x14ac:dyDescent="0.2">
      <c r="A47" s="86" t="s">
        <v>380</v>
      </c>
      <c r="B47" s="331">
        <v>791.63406500000008</v>
      </c>
      <c r="C47" s="331"/>
      <c r="D47" s="331"/>
      <c r="E47" s="331"/>
      <c r="F47" s="331"/>
      <c r="G47" s="331"/>
      <c r="H47" s="331"/>
      <c r="I47" s="331"/>
      <c r="J47" s="331"/>
      <c r="K47" s="331"/>
      <c r="L47" s="331"/>
      <c r="M47" s="331"/>
      <c r="N47" s="331"/>
      <c r="O47" s="331"/>
      <c r="P47" s="331">
        <v>791.63406500000008</v>
      </c>
    </row>
    <row r="48" spans="1:16" x14ac:dyDescent="0.2">
      <c r="A48" s="87" t="s">
        <v>10</v>
      </c>
      <c r="B48" s="331">
        <v>-81919.452517500002</v>
      </c>
      <c r="C48" s="331"/>
      <c r="D48" s="331"/>
      <c r="E48" s="331"/>
      <c r="F48" s="331"/>
      <c r="G48" s="331"/>
      <c r="H48" s="331"/>
      <c r="I48" s="331"/>
      <c r="J48" s="331"/>
      <c r="K48" s="331"/>
      <c r="L48" s="331"/>
      <c r="M48" s="331"/>
      <c r="N48" s="331"/>
      <c r="O48" s="331"/>
      <c r="P48" s="331">
        <v>-81919.452517500002</v>
      </c>
    </row>
    <row r="49" spans="1:16" x14ac:dyDescent="0.2">
      <c r="A49" s="86" t="s">
        <v>382</v>
      </c>
      <c r="B49" s="331">
        <v>-81919.452517500002</v>
      </c>
      <c r="C49" s="331"/>
      <c r="D49" s="331"/>
      <c r="E49" s="331"/>
      <c r="F49" s="331"/>
      <c r="G49" s="331"/>
      <c r="H49" s="331"/>
      <c r="I49" s="331"/>
      <c r="J49" s="331"/>
      <c r="K49" s="331"/>
      <c r="L49" s="331"/>
      <c r="M49" s="331"/>
      <c r="N49" s="331"/>
      <c r="O49" s="331"/>
      <c r="P49" s="331">
        <v>-81919.452517500002</v>
      </c>
    </row>
    <row r="50" spans="1:16" x14ac:dyDescent="0.2">
      <c r="A50" s="87" t="s">
        <v>48</v>
      </c>
      <c r="B50" s="331">
        <v>109.52400424999999</v>
      </c>
      <c r="C50" s="331"/>
      <c r="D50" s="331">
        <v>58.32</v>
      </c>
      <c r="E50" s="331">
        <v>330.46999999999997</v>
      </c>
      <c r="F50" s="331"/>
      <c r="G50" s="331"/>
      <c r="H50" s="331"/>
      <c r="I50" s="331"/>
      <c r="J50" s="331"/>
      <c r="K50" s="331"/>
      <c r="L50" s="331"/>
      <c r="M50" s="331"/>
      <c r="N50" s="331"/>
      <c r="O50" s="331"/>
      <c r="P50" s="331">
        <v>498.31400424999998</v>
      </c>
    </row>
    <row r="51" spans="1:16" x14ac:dyDescent="0.2">
      <c r="A51" s="86" t="s">
        <v>402</v>
      </c>
      <c r="B51" s="331"/>
      <c r="C51" s="331"/>
      <c r="D51" s="331">
        <v>58.32</v>
      </c>
      <c r="E51" s="331"/>
      <c r="F51" s="331"/>
      <c r="G51" s="331"/>
      <c r="H51" s="331"/>
      <c r="I51" s="331"/>
      <c r="J51" s="331"/>
      <c r="K51" s="331"/>
      <c r="L51" s="331"/>
      <c r="M51" s="331"/>
      <c r="N51" s="331"/>
      <c r="O51" s="331"/>
      <c r="P51" s="331">
        <v>58.32</v>
      </c>
    </row>
    <row r="52" spans="1:16" x14ac:dyDescent="0.2">
      <c r="A52" s="86" t="s">
        <v>356</v>
      </c>
      <c r="B52" s="331">
        <v>109.52400424999999</v>
      </c>
      <c r="C52" s="331"/>
      <c r="D52" s="331"/>
      <c r="E52" s="331">
        <v>330.46999999999997</v>
      </c>
      <c r="F52" s="331"/>
      <c r="G52" s="331"/>
      <c r="H52" s="331"/>
      <c r="I52" s="331"/>
      <c r="J52" s="331"/>
      <c r="K52" s="331"/>
      <c r="L52" s="331"/>
      <c r="M52" s="331"/>
      <c r="N52" s="331"/>
      <c r="O52" s="331"/>
      <c r="P52" s="331">
        <v>439.99400424999999</v>
      </c>
    </row>
    <row r="53" spans="1:16" x14ac:dyDescent="0.2">
      <c r="A53" s="66" t="s">
        <v>2</v>
      </c>
      <c r="B53" s="331">
        <v>14304.056</v>
      </c>
      <c r="C53" s="331">
        <v>22298.328000000001</v>
      </c>
      <c r="D53" s="331">
        <v>26937.760000000002</v>
      </c>
      <c r="E53" s="331">
        <v>24991.16</v>
      </c>
      <c r="F53" s="331">
        <v>23734.95</v>
      </c>
      <c r="G53" s="331">
        <v>33094.090000000004</v>
      </c>
      <c r="H53" s="331">
        <v>24500</v>
      </c>
      <c r="I53" s="331">
        <v>40500</v>
      </c>
      <c r="J53" s="331">
        <v>8500</v>
      </c>
      <c r="K53" s="331">
        <v>24500</v>
      </c>
      <c r="L53" s="331">
        <v>24500</v>
      </c>
      <c r="M53" s="331">
        <v>24500</v>
      </c>
      <c r="N53" s="331"/>
      <c r="O53" s="331"/>
      <c r="P53" s="331">
        <v>292360.34400000004</v>
      </c>
    </row>
    <row r="54" spans="1:16" x14ac:dyDescent="0.2">
      <c r="A54" s="87" t="s">
        <v>47</v>
      </c>
      <c r="B54" s="331">
        <v>14304.056</v>
      </c>
      <c r="C54" s="331">
        <v>22298.328000000001</v>
      </c>
      <c r="D54" s="331">
        <v>26937.760000000002</v>
      </c>
      <c r="E54" s="331">
        <v>24991.16</v>
      </c>
      <c r="F54" s="331">
        <v>23734.95</v>
      </c>
      <c r="G54" s="331">
        <v>33094.090000000004</v>
      </c>
      <c r="H54" s="331">
        <v>24500</v>
      </c>
      <c r="I54" s="331">
        <v>40500</v>
      </c>
      <c r="J54" s="331">
        <v>8500</v>
      </c>
      <c r="K54" s="331">
        <v>24500</v>
      </c>
      <c r="L54" s="331">
        <v>24500</v>
      </c>
      <c r="M54" s="331">
        <v>24500</v>
      </c>
      <c r="N54" s="331"/>
      <c r="O54" s="331"/>
      <c r="P54" s="331">
        <v>292360.34400000004</v>
      </c>
    </row>
    <row r="55" spans="1:16" x14ac:dyDescent="0.2">
      <c r="A55" s="86" t="s">
        <v>387</v>
      </c>
      <c r="B55" s="331">
        <v>14304.056</v>
      </c>
      <c r="C55" s="331">
        <v>19443.288</v>
      </c>
      <c r="D55" s="331">
        <v>19218.912</v>
      </c>
      <c r="E55" s="331">
        <v>24991.16</v>
      </c>
      <c r="F55" s="331">
        <v>20989.038</v>
      </c>
      <c r="G55" s="331">
        <v>26954.54</v>
      </c>
      <c r="H55" s="331">
        <v>21500</v>
      </c>
      <c r="I55" s="331">
        <v>37500</v>
      </c>
      <c r="J55" s="331">
        <v>5500</v>
      </c>
      <c r="K55" s="331">
        <v>21500</v>
      </c>
      <c r="L55" s="331">
        <v>21500</v>
      </c>
      <c r="M55" s="331">
        <v>21500</v>
      </c>
      <c r="N55" s="331"/>
      <c r="O55" s="331"/>
      <c r="P55" s="331">
        <v>254900.99400000001</v>
      </c>
    </row>
    <row r="56" spans="1:16" x14ac:dyDescent="0.2">
      <c r="A56" s="86" t="s">
        <v>364</v>
      </c>
      <c r="B56" s="331"/>
      <c r="C56" s="331">
        <v>2855.0400000000004</v>
      </c>
      <c r="D56" s="331">
        <v>7718.848</v>
      </c>
      <c r="E56" s="331"/>
      <c r="F56" s="331">
        <v>2745.9120000000003</v>
      </c>
      <c r="G56" s="331">
        <v>6139.55</v>
      </c>
      <c r="H56" s="331">
        <v>3000</v>
      </c>
      <c r="I56" s="331">
        <v>3000</v>
      </c>
      <c r="J56" s="331">
        <v>3000</v>
      </c>
      <c r="K56" s="331">
        <v>3000</v>
      </c>
      <c r="L56" s="331">
        <v>3000</v>
      </c>
      <c r="M56" s="331">
        <v>3000</v>
      </c>
      <c r="N56" s="331"/>
      <c r="O56" s="331"/>
      <c r="P56" s="331">
        <v>37459.350000000006</v>
      </c>
    </row>
    <row r="57" spans="1:16" x14ac:dyDescent="0.2">
      <c r="A57" s="65" t="s">
        <v>61</v>
      </c>
      <c r="B57" s="331">
        <v>59541.768491620009</v>
      </c>
      <c r="C57" s="331">
        <v>-451490.61388259783</v>
      </c>
      <c r="D57" s="331">
        <v>61878.29957869809</v>
      </c>
      <c r="E57" s="331">
        <v>5407.3526758467124</v>
      </c>
      <c r="F57" s="331">
        <v>-156141.61153563735</v>
      </c>
      <c r="G57" s="331">
        <v>-186091.618793</v>
      </c>
      <c r="H57" s="331">
        <v>77160</v>
      </c>
      <c r="I57" s="331">
        <v>73160</v>
      </c>
      <c r="J57" s="331">
        <v>73160</v>
      </c>
      <c r="K57" s="331">
        <v>73160</v>
      </c>
      <c r="L57" s="331">
        <v>73160</v>
      </c>
      <c r="M57" s="331">
        <v>74160</v>
      </c>
      <c r="N57" s="331"/>
      <c r="O57" s="331"/>
      <c r="P57" s="331">
        <v>-222936.42346507031</v>
      </c>
    </row>
    <row r="58" spans="1:16" x14ac:dyDescent="0.2">
      <c r="A58" s="66" t="s">
        <v>1</v>
      </c>
      <c r="B58" s="331">
        <v>43503.176659410005</v>
      </c>
      <c r="C58" s="331">
        <v>11275.762038202105</v>
      </c>
      <c r="D58" s="331">
        <v>45713.078965594126</v>
      </c>
      <c r="E58" s="331">
        <v>40511.689148686186</v>
      </c>
      <c r="F58" s="331">
        <v>-106169.32966096266</v>
      </c>
      <c r="G58" s="331">
        <v>-205448.54379299999</v>
      </c>
      <c r="H58" s="331">
        <v>59510</v>
      </c>
      <c r="I58" s="331">
        <v>59510</v>
      </c>
      <c r="J58" s="331">
        <v>59510</v>
      </c>
      <c r="K58" s="331">
        <v>59510</v>
      </c>
      <c r="L58" s="331">
        <v>59510</v>
      </c>
      <c r="M58" s="331">
        <v>59510</v>
      </c>
      <c r="N58" s="331"/>
      <c r="O58" s="331"/>
      <c r="P58" s="331">
        <v>186445.83335792983</v>
      </c>
    </row>
    <row r="59" spans="1:16" x14ac:dyDescent="0.2">
      <c r="A59" s="87" t="s">
        <v>49</v>
      </c>
      <c r="B59" s="331"/>
      <c r="C59" s="331"/>
      <c r="D59" s="331"/>
      <c r="E59" s="331"/>
      <c r="F59" s="331"/>
      <c r="G59" s="331">
        <v>168.75319999999999</v>
      </c>
      <c r="H59" s="331"/>
      <c r="I59" s="331"/>
      <c r="J59" s="331"/>
      <c r="K59" s="331"/>
      <c r="L59" s="331"/>
      <c r="M59" s="331"/>
      <c r="N59" s="331"/>
      <c r="O59" s="331"/>
      <c r="P59" s="331">
        <v>168.75319999999999</v>
      </c>
    </row>
    <row r="60" spans="1:16" x14ac:dyDescent="0.2">
      <c r="A60" s="86" t="s">
        <v>560</v>
      </c>
      <c r="B60" s="331"/>
      <c r="C60" s="331"/>
      <c r="D60" s="331"/>
      <c r="E60" s="331"/>
      <c r="F60" s="331"/>
      <c r="G60" s="331">
        <v>168.75319999999999</v>
      </c>
      <c r="H60" s="331"/>
      <c r="I60" s="331"/>
      <c r="J60" s="331"/>
      <c r="K60" s="331"/>
      <c r="L60" s="331"/>
      <c r="M60" s="331"/>
      <c r="N60" s="331"/>
      <c r="O60" s="331"/>
      <c r="P60" s="331">
        <v>168.75319999999999</v>
      </c>
    </row>
    <row r="61" spans="1:16" x14ac:dyDescent="0.2">
      <c r="A61" s="87" t="s">
        <v>46</v>
      </c>
      <c r="B61" s="331"/>
      <c r="C61" s="331">
        <v>7.7012503079194303</v>
      </c>
      <c r="D61" s="331"/>
      <c r="E61" s="331"/>
      <c r="F61" s="331"/>
      <c r="G61" s="331"/>
      <c r="H61" s="331"/>
      <c r="I61" s="331"/>
      <c r="J61" s="331"/>
      <c r="K61" s="331"/>
      <c r="L61" s="331"/>
      <c r="M61" s="331"/>
      <c r="N61" s="331"/>
      <c r="O61" s="331"/>
      <c r="P61" s="331">
        <v>7.7012503079194303</v>
      </c>
    </row>
    <row r="62" spans="1:16" x14ac:dyDescent="0.2">
      <c r="A62" s="86" t="s">
        <v>751</v>
      </c>
      <c r="B62" s="331"/>
      <c r="C62" s="331">
        <v>7.7012503079194303</v>
      </c>
      <c r="D62" s="331"/>
      <c r="E62" s="331"/>
      <c r="F62" s="331"/>
      <c r="G62" s="331"/>
      <c r="H62" s="331"/>
      <c r="I62" s="331"/>
      <c r="J62" s="331"/>
      <c r="K62" s="331"/>
      <c r="L62" s="331"/>
      <c r="M62" s="331"/>
      <c r="N62" s="331"/>
      <c r="O62" s="331"/>
      <c r="P62" s="331">
        <v>7.7012503079194303</v>
      </c>
    </row>
    <row r="63" spans="1:16" x14ac:dyDescent="0.2">
      <c r="A63" s="87" t="s">
        <v>47</v>
      </c>
      <c r="B63" s="331">
        <v>52437.150000000009</v>
      </c>
      <c r="C63" s="331">
        <v>7945.0599999999995</v>
      </c>
      <c r="D63" s="331">
        <v>71174.799999999988</v>
      </c>
      <c r="E63" s="331">
        <v>57364.799999999996</v>
      </c>
      <c r="F63" s="331">
        <v>9882.3599999999988</v>
      </c>
      <c r="G63" s="331">
        <v>59569.3</v>
      </c>
      <c r="H63" s="331">
        <v>59510</v>
      </c>
      <c r="I63" s="331">
        <v>59510</v>
      </c>
      <c r="J63" s="331">
        <v>59510</v>
      </c>
      <c r="K63" s="331">
        <v>59510</v>
      </c>
      <c r="L63" s="331">
        <v>59510</v>
      </c>
      <c r="M63" s="331">
        <v>59510</v>
      </c>
      <c r="N63" s="331"/>
      <c r="O63" s="331"/>
      <c r="P63" s="331">
        <v>615433.47000000009</v>
      </c>
    </row>
    <row r="64" spans="1:16" x14ac:dyDescent="0.2">
      <c r="A64" s="86" t="s">
        <v>387</v>
      </c>
      <c r="B64" s="331">
        <v>52437.150000000009</v>
      </c>
      <c r="C64" s="331">
        <v>4186.9799999999996</v>
      </c>
      <c r="D64" s="331">
        <v>70750.239999999991</v>
      </c>
      <c r="E64" s="331">
        <v>47601.759999999995</v>
      </c>
      <c r="F64" s="331">
        <v>1971.07</v>
      </c>
      <c r="G64" s="331">
        <v>51010.39</v>
      </c>
      <c r="H64" s="331">
        <v>51010</v>
      </c>
      <c r="I64" s="331">
        <v>51010</v>
      </c>
      <c r="J64" s="331">
        <v>51010</v>
      </c>
      <c r="K64" s="331">
        <v>51010</v>
      </c>
      <c r="L64" s="331">
        <v>51010</v>
      </c>
      <c r="M64" s="331">
        <v>51010</v>
      </c>
      <c r="N64" s="331"/>
      <c r="O64" s="331"/>
      <c r="P64" s="331">
        <v>534017.59000000008</v>
      </c>
    </row>
    <row r="65" spans="1:16" x14ac:dyDescent="0.2">
      <c r="A65" s="86" t="s">
        <v>364</v>
      </c>
      <c r="B65" s="331"/>
      <c r="C65" s="331">
        <v>3758.08</v>
      </c>
      <c r="D65" s="331">
        <v>424.56000000000006</v>
      </c>
      <c r="E65" s="331">
        <v>9763.0400000000009</v>
      </c>
      <c r="F65" s="331">
        <v>7911.2899999999991</v>
      </c>
      <c r="G65" s="331">
        <v>8558.91</v>
      </c>
      <c r="H65" s="331">
        <v>8500</v>
      </c>
      <c r="I65" s="331">
        <v>8500</v>
      </c>
      <c r="J65" s="331">
        <v>8500</v>
      </c>
      <c r="K65" s="331">
        <v>8500</v>
      </c>
      <c r="L65" s="331">
        <v>8500</v>
      </c>
      <c r="M65" s="331">
        <v>8500</v>
      </c>
      <c r="N65" s="331"/>
      <c r="O65" s="331"/>
      <c r="P65" s="331">
        <v>81415.88</v>
      </c>
    </row>
    <row r="66" spans="1:16" x14ac:dyDescent="0.2">
      <c r="A66" s="87" t="s">
        <v>68</v>
      </c>
      <c r="B66" s="331"/>
      <c r="C66" s="331"/>
      <c r="D66" s="331">
        <v>1040.924095369314</v>
      </c>
      <c r="E66" s="331"/>
      <c r="F66" s="331">
        <v>177.43091939999999</v>
      </c>
      <c r="G66" s="331">
        <v>251.79</v>
      </c>
      <c r="H66" s="331"/>
      <c r="I66" s="331"/>
      <c r="J66" s="331"/>
      <c r="K66" s="331"/>
      <c r="L66" s="331"/>
      <c r="M66" s="331"/>
      <c r="N66" s="331"/>
      <c r="O66" s="331"/>
      <c r="P66" s="331">
        <v>1470.145014769314</v>
      </c>
    </row>
    <row r="67" spans="1:16" x14ac:dyDescent="0.2">
      <c r="A67" s="86" t="s">
        <v>68</v>
      </c>
      <c r="B67" s="331"/>
      <c r="C67" s="331"/>
      <c r="D67" s="331">
        <v>1040.924095369314</v>
      </c>
      <c r="E67" s="331"/>
      <c r="F67" s="331">
        <v>177.43091939999999</v>
      </c>
      <c r="G67" s="331">
        <v>251.79</v>
      </c>
      <c r="H67" s="331"/>
      <c r="I67" s="331"/>
      <c r="J67" s="331"/>
      <c r="K67" s="331"/>
      <c r="L67" s="331"/>
      <c r="M67" s="331"/>
      <c r="N67" s="331"/>
      <c r="O67" s="331"/>
      <c r="P67" s="331">
        <v>1470.145014769314</v>
      </c>
    </row>
    <row r="68" spans="1:16" x14ac:dyDescent="0.2">
      <c r="A68" s="87" t="s">
        <v>10</v>
      </c>
      <c r="B68" s="331">
        <v>-9786.02</v>
      </c>
      <c r="C68" s="331"/>
      <c r="D68" s="331">
        <v>-29867.021040543164</v>
      </c>
      <c r="E68" s="331">
        <v>-17229.024281343969</v>
      </c>
      <c r="F68" s="331">
        <v>-117081.54</v>
      </c>
      <c r="G68" s="331">
        <v>-265861.60979299998</v>
      </c>
      <c r="H68" s="331"/>
      <c r="I68" s="331"/>
      <c r="J68" s="331"/>
      <c r="K68" s="331"/>
      <c r="L68" s="331"/>
      <c r="M68" s="331"/>
      <c r="N68" s="331"/>
      <c r="O68" s="331"/>
      <c r="P68" s="331">
        <v>-439825.21511488711</v>
      </c>
    </row>
    <row r="69" spans="1:16" x14ac:dyDescent="0.2">
      <c r="A69" s="86" t="s">
        <v>382</v>
      </c>
      <c r="B69" s="331">
        <v>-9786.02</v>
      </c>
      <c r="C69" s="331"/>
      <c r="D69" s="331">
        <v>-29867.021040543164</v>
      </c>
      <c r="E69" s="331">
        <v>-17229.024281343969</v>
      </c>
      <c r="F69" s="331">
        <v>-117081.54</v>
      </c>
      <c r="G69" s="331">
        <v>-265861.60979299998</v>
      </c>
      <c r="H69" s="331"/>
      <c r="I69" s="331"/>
      <c r="J69" s="331"/>
      <c r="K69" s="331"/>
      <c r="L69" s="331"/>
      <c r="M69" s="331"/>
      <c r="N69" s="331"/>
      <c r="O69" s="331"/>
      <c r="P69" s="331">
        <v>-439825.21511488711</v>
      </c>
    </row>
    <row r="70" spans="1:16" x14ac:dyDescent="0.2">
      <c r="A70" s="87" t="s">
        <v>51</v>
      </c>
      <c r="B70" s="331">
        <v>852.04665941000007</v>
      </c>
      <c r="C70" s="331">
        <v>218.07999999999998</v>
      </c>
      <c r="D70" s="331">
        <v>1134.232444100066</v>
      </c>
      <c r="E70" s="331"/>
      <c r="F70" s="331">
        <v>108.55144584000001</v>
      </c>
      <c r="G70" s="331"/>
      <c r="H70" s="331"/>
      <c r="I70" s="331"/>
      <c r="J70" s="331"/>
      <c r="K70" s="331"/>
      <c r="L70" s="331"/>
      <c r="M70" s="331"/>
      <c r="N70" s="331"/>
      <c r="O70" s="331"/>
      <c r="P70" s="331">
        <v>2312.910549350066</v>
      </c>
    </row>
    <row r="71" spans="1:16" x14ac:dyDescent="0.2">
      <c r="A71" s="86" t="s">
        <v>799</v>
      </c>
      <c r="B71" s="331"/>
      <c r="C71" s="331"/>
      <c r="D71" s="331">
        <v>485.17876939892415</v>
      </c>
      <c r="E71" s="331"/>
      <c r="F71" s="331">
        <v>25.796858880000002</v>
      </c>
      <c r="G71" s="331"/>
      <c r="H71" s="331"/>
      <c r="I71" s="331"/>
      <c r="J71" s="331"/>
      <c r="K71" s="331"/>
      <c r="L71" s="331"/>
      <c r="M71" s="331"/>
      <c r="N71" s="331"/>
      <c r="O71" s="331"/>
      <c r="P71" s="331">
        <v>510.97562827892415</v>
      </c>
    </row>
    <row r="72" spans="1:16" x14ac:dyDescent="0.2">
      <c r="A72" s="86" t="s">
        <v>684</v>
      </c>
      <c r="B72" s="331"/>
      <c r="C72" s="331"/>
      <c r="D72" s="331"/>
      <c r="E72" s="331"/>
      <c r="F72" s="331">
        <v>57.577844880000001</v>
      </c>
      <c r="G72" s="331"/>
      <c r="H72" s="331"/>
      <c r="I72" s="331"/>
      <c r="J72" s="331"/>
      <c r="K72" s="331"/>
      <c r="L72" s="331"/>
      <c r="M72" s="331"/>
      <c r="N72" s="331"/>
      <c r="O72" s="331"/>
      <c r="P72" s="331">
        <v>57.577844880000001</v>
      </c>
    </row>
    <row r="73" spans="1:16" x14ac:dyDescent="0.2">
      <c r="A73" s="86" t="s">
        <v>527</v>
      </c>
      <c r="B73" s="331">
        <v>802.87058975000002</v>
      </c>
      <c r="C73" s="331">
        <v>218.07999999999998</v>
      </c>
      <c r="D73" s="331">
        <v>649.05367470114174</v>
      </c>
      <c r="E73" s="331"/>
      <c r="F73" s="331">
        <v>25.176742080000004</v>
      </c>
      <c r="G73" s="331"/>
      <c r="H73" s="331"/>
      <c r="I73" s="331"/>
      <c r="J73" s="331"/>
      <c r="K73" s="331"/>
      <c r="L73" s="331"/>
      <c r="M73" s="331"/>
      <c r="N73" s="331"/>
      <c r="O73" s="331"/>
      <c r="P73" s="331">
        <v>1695.1810065311417</v>
      </c>
    </row>
    <row r="74" spans="1:16" x14ac:dyDescent="0.2">
      <c r="A74" s="86" t="s">
        <v>688</v>
      </c>
      <c r="B74" s="331">
        <v>49.176069660000003</v>
      </c>
      <c r="C74" s="331"/>
      <c r="D74" s="331"/>
      <c r="E74" s="331"/>
      <c r="F74" s="331"/>
      <c r="G74" s="331"/>
      <c r="H74" s="331"/>
      <c r="I74" s="331"/>
      <c r="J74" s="331"/>
      <c r="K74" s="331"/>
      <c r="L74" s="331"/>
      <c r="M74" s="331"/>
      <c r="N74" s="331"/>
      <c r="O74" s="331"/>
      <c r="P74" s="331">
        <v>49.176069660000003</v>
      </c>
    </row>
    <row r="75" spans="1:16" x14ac:dyDescent="0.2">
      <c r="A75" s="87" t="s">
        <v>60</v>
      </c>
      <c r="B75" s="331"/>
      <c r="C75" s="331"/>
      <c r="D75" s="331"/>
      <c r="E75" s="331">
        <v>80.185418206057122</v>
      </c>
      <c r="F75" s="331">
        <v>208.2498392573398</v>
      </c>
      <c r="G75" s="331">
        <v>357.92680000000001</v>
      </c>
      <c r="H75" s="331"/>
      <c r="I75" s="331"/>
      <c r="J75" s="331"/>
      <c r="K75" s="331"/>
      <c r="L75" s="331"/>
      <c r="M75" s="331"/>
      <c r="N75" s="331"/>
      <c r="O75" s="331"/>
      <c r="P75" s="331">
        <v>646.36205746339692</v>
      </c>
    </row>
    <row r="76" spans="1:16" x14ac:dyDescent="0.2">
      <c r="A76" s="86" t="s">
        <v>60</v>
      </c>
      <c r="B76" s="331"/>
      <c r="C76" s="331"/>
      <c r="D76" s="331"/>
      <c r="E76" s="331">
        <v>80.185418206057122</v>
      </c>
      <c r="F76" s="331">
        <v>208.2498392573398</v>
      </c>
      <c r="G76" s="331">
        <v>357.92680000000001</v>
      </c>
      <c r="H76" s="331"/>
      <c r="I76" s="331"/>
      <c r="J76" s="331"/>
      <c r="K76" s="331"/>
      <c r="L76" s="331"/>
      <c r="M76" s="331"/>
      <c r="N76" s="331"/>
      <c r="O76" s="331"/>
      <c r="P76" s="331">
        <v>646.36205746339692</v>
      </c>
    </row>
    <row r="77" spans="1:16" x14ac:dyDescent="0.2">
      <c r="A77" s="87" t="s">
        <v>48</v>
      </c>
      <c r="B77" s="331"/>
      <c r="C77" s="331">
        <v>3104.9207878941852</v>
      </c>
      <c r="D77" s="331">
        <v>2230.1434666679243</v>
      </c>
      <c r="E77" s="331">
        <v>295.72801182410615</v>
      </c>
      <c r="F77" s="331">
        <v>535.61813454000003</v>
      </c>
      <c r="G77" s="331">
        <v>65.295999999999992</v>
      </c>
      <c r="H77" s="331"/>
      <c r="I77" s="331"/>
      <c r="J77" s="331"/>
      <c r="K77" s="331"/>
      <c r="L77" s="331"/>
      <c r="M77" s="331"/>
      <c r="N77" s="331"/>
      <c r="O77" s="331"/>
      <c r="P77" s="331">
        <v>6231.7064009262149</v>
      </c>
    </row>
    <row r="78" spans="1:16" x14ac:dyDescent="0.2">
      <c r="A78" s="86" t="s">
        <v>475</v>
      </c>
      <c r="B78" s="331"/>
      <c r="C78" s="331"/>
      <c r="D78" s="331">
        <v>85.044907150354277</v>
      </c>
      <c r="E78" s="331">
        <v>295.72801182410615</v>
      </c>
      <c r="F78" s="331">
        <v>288.02099922000002</v>
      </c>
      <c r="G78" s="331"/>
      <c r="H78" s="331"/>
      <c r="I78" s="331"/>
      <c r="J78" s="331"/>
      <c r="K78" s="331"/>
      <c r="L78" s="331"/>
      <c r="M78" s="331"/>
      <c r="N78" s="331"/>
      <c r="O78" s="331"/>
      <c r="P78" s="331">
        <v>668.7939181944605</v>
      </c>
    </row>
    <row r="79" spans="1:16" x14ac:dyDescent="0.2">
      <c r="A79" s="86" t="s">
        <v>339</v>
      </c>
      <c r="B79" s="331"/>
      <c r="C79" s="331">
        <v>2310.3750923758294</v>
      </c>
      <c r="D79" s="331">
        <v>1217.0054824095839</v>
      </c>
      <c r="E79" s="331"/>
      <c r="F79" s="331"/>
      <c r="G79" s="331"/>
      <c r="H79" s="331"/>
      <c r="I79" s="331"/>
      <c r="J79" s="331"/>
      <c r="K79" s="331"/>
      <c r="L79" s="331"/>
      <c r="M79" s="331"/>
      <c r="N79" s="331"/>
      <c r="O79" s="331"/>
      <c r="P79" s="331">
        <v>3527.380574785413</v>
      </c>
    </row>
    <row r="80" spans="1:16" x14ac:dyDescent="0.2">
      <c r="A80" s="86" t="s">
        <v>391</v>
      </c>
      <c r="B80" s="331"/>
      <c r="C80" s="331"/>
      <c r="D80" s="331"/>
      <c r="E80" s="331"/>
      <c r="F80" s="331">
        <v>7.8212231399999999</v>
      </c>
      <c r="G80" s="331"/>
      <c r="H80" s="331"/>
      <c r="I80" s="331"/>
      <c r="J80" s="331"/>
      <c r="K80" s="331"/>
      <c r="L80" s="331"/>
      <c r="M80" s="331"/>
      <c r="N80" s="331"/>
      <c r="O80" s="331"/>
      <c r="P80" s="331">
        <v>7.8212231399999999</v>
      </c>
    </row>
    <row r="81" spans="1:16" x14ac:dyDescent="0.2">
      <c r="A81" s="86" t="s">
        <v>402</v>
      </c>
      <c r="B81" s="331"/>
      <c r="C81" s="331">
        <v>191.72262641565425</v>
      </c>
      <c r="D81" s="331">
        <v>74.163040465264118</v>
      </c>
      <c r="E81" s="331"/>
      <c r="F81" s="331"/>
      <c r="G81" s="331"/>
      <c r="H81" s="331"/>
      <c r="I81" s="331"/>
      <c r="J81" s="331"/>
      <c r="K81" s="331"/>
      <c r="L81" s="331"/>
      <c r="M81" s="331"/>
      <c r="N81" s="331"/>
      <c r="O81" s="331"/>
      <c r="P81" s="331">
        <v>265.88566688091839</v>
      </c>
    </row>
    <row r="82" spans="1:16" x14ac:dyDescent="0.2">
      <c r="A82" s="86" t="s">
        <v>353</v>
      </c>
      <c r="B82" s="331"/>
      <c r="C82" s="331">
        <v>318.28497397600216</v>
      </c>
      <c r="D82" s="331">
        <v>667.06689917136521</v>
      </c>
      <c r="E82" s="331"/>
      <c r="F82" s="331">
        <v>171.8498682</v>
      </c>
      <c r="G82" s="331"/>
      <c r="H82" s="331"/>
      <c r="I82" s="331"/>
      <c r="J82" s="331"/>
      <c r="K82" s="331"/>
      <c r="L82" s="331"/>
      <c r="M82" s="331"/>
      <c r="N82" s="331"/>
      <c r="O82" s="331"/>
      <c r="P82" s="331">
        <v>1157.2017413473673</v>
      </c>
    </row>
    <row r="83" spans="1:16" x14ac:dyDescent="0.2">
      <c r="A83" s="86" t="s">
        <v>356</v>
      </c>
      <c r="B83" s="331"/>
      <c r="C83" s="331">
        <v>284.5380951266992</v>
      </c>
      <c r="D83" s="331">
        <v>186.86313747135705</v>
      </c>
      <c r="E83" s="331"/>
      <c r="F83" s="331">
        <v>67.926043980000003</v>
      </c>
      <c r="G83" s="331">
        <v>65.295999999999992</v>
      </c>
      <c r="H83" s="331"/>
      <c r="I83" s="331"/>
      <c r="J83" s="331"/>
      <c r="K83" s="331"/>
      <c r="L83" s="331"/>
      <c r="M83" s="331"/>
      <c r="N83" s="331"/>
      <c r="O83" s="331"/>
      <c r="P83" s="331">
        <v>604.62327657805622</v>
      </c>
    </row>
    <row r="84" spans="1:16" x14ac:dyDescent="0.2">
      <c r="A84" s="66" t="s">
        <v>3</v>
      </c>
      <c r="B84" s="331">
        <v>3037.68358605</v>
      </c>
      <c r="C84" s="331">
        <v>3150.1400000000003</v>
      </c>
      <c r="D84" s="331">
        <v>5502.4</v>
      </c>
      <c r="E84" s="331">
        <v>2182.16</v>
      </c>
      <c r="F84" s="331">
        <v>-58542.439999999995</v>
      </c>
      <c r="G84" s="331">
        <v>4000</v>
      </c>
      <c r="H84" s="331">
        <v>4000</v>
      </c>
      <c r="I84" s="331"/>
      <c r="J84" s="331"/>
      <c r="K84" s="331"/>
      <c r="L84" s="331"/>
      <c r="M84" s="331"/>
      <c r="N84" s="331"/>
      <c r="O84" s="331"/>
      <c r="P84" s="331">
        <v>-36670.056413949998</v>
      </c>
    </row>
    <row r="85" spans="1:16" x14ac:dyDescent="0.2">
      <c r="A85" s="87" t="s">
        <v>47</v>
      </c>
      <c r="B85" s="331">
        <v>1920.72</v>
      </c>
      <c r="C85" s="331">
        <v>3150.1400000000003</v>
      </c>
      <c r="D85" s="331">
        <v>5502.4</v>
      </c>
      <c r="E85" s="331">
        <v>2182.16</v>
      </c>
      <c r="F85" s="331">
        <v>5392.4</v>
      </c>
      <c r="G85" s="331">
        <v>4000</v>
      </c>
      <c r="H85" s="331">
        <v>4000</v>
      </c>
      <c r="I85" s="331"/>
      <c r="J85" s="331"/>
      <c r="K85" s="331"/>
      <c r="L85" s="331"/>
      <c r="M85" s="331"/>
      <c r="N85" s="331"/>
      <c r="O85" s="331"/>
      <c r="P85" s="331">
        <v>26147.82</v>
      </c>
    </row>
    <row r="86" spans="1:16" x14ac:dyDescent="0.2">
      <c r="A86" s="86" t="s">
        <v>387</v>
      </c>
      <c r="B86" s="331">
        <v>1920.72</v>
      </c>
      <c r="C86" s="331">
        <v>3150.1400000000003</v>
      </c>
      <c r="D86" s="331">
        <v>5502.4</v>
      </c>
      <c r="E86" s="331">
        <v>2182.16</v>
      </c>
      <c r="F86" s="331">
        <v>5392.4</v>
      </c>
      <c r="G86" s="331">
        <v>4000</v>
      </c>
      <c r="H86" s="331">
        <v>4000</v>
      </c>
      <c r="I86" s="331"/>
      <c r="J86" s="331"/>
      <c r="K86" s="331"/>
      <c r="L86" s="331"/>
      <c r="M86" s="331"/>
      <c r="N86" s="331"/>
      <c r="O86" s="331"/>
      <c r="P86" s="331">
        <v>26147.82</v>
      </c>
    </row>
    <row r="87" spans="1:16" x14ac:dyDescent="0.2">
      <c r="A87" s="87" t="s">
        <v>10</v>
      </c>
      <c r="B87" s="331"/>
      <c r="C87" s="331"/>
      <c r="D87" s="331"/>
      <c r="E87" s="331"/>
      <c r="F87" s="331">
        <v>-63934.84</v>
      </c>
      <c r="G87" s="331"/>
      <c r="H87" s="331"/>
      <c r="I87" s="331"/>
      <c r="J87" s="331"/>
      <c r="K87" s="331"/>
      <c r="L87" s="331"/>
      <c r="M87" s="331"/>
      <c r="N87" s="331"/>
      <c r="O87" s="331"/>
      <c r="P87" s="331">
        <v>-63934.84</v>
      </c>
    </row>
    <row r="88" spans="1:16" x14ac:dyDescent="0.2">
      <c r="A88" s="86" t="s">
        <v>382</v>
      </c>
      <c r="B88" s="331"/>
      <c r="C88" s="331"/>
      <c r="D88" s="331"/>
      <c r="E88" s="331"/>
      <c r="F88" s="331">
        <v>-63934.84</v>
      </c>
      <c r="G88" s="331"/>
      <c r="H88" s="331"/>
      <c r="I88" s="331"/>
      <c r="J88" s="331"/>
      <c r="K88" s="331"/>
      <c r="L88" s="331"/>
      <c r="M88" s="331"/>
      <c r="N88" s="331"/>
      <c r="O88" s="331"/>
      <c r="P88" s="331">
        <v>-63934.84</v>
      </c>
    </row>
    <row r="89" spans="1:16" x14ac:dyDescent="0.2">
      <c r="A89" s="87" t="s">
        <v>52</v>
      </c>
      <c r="B89" s="331">
        <v>9.6224609500000007</v>
      </c>
      <c r="C89" s="331"/>
      <c r="D89" s="331"/>
      <c r="E89" s="331"/>
      <c r="F89" s="331"/>
      <c r="G89" s="331"/>
      <c r="H89" s="331"/>
      <c r="I89" s="331"/>
      <c r="J89" s="331"/>
      <c r="K89" s="331"/>
      <c r="L89" s="331"/>
      <c r="M89" s="331"/>
      <c r="N89" s="331"/>
      <c r="O89" s="331"/>
      <c r="P89" s="331">
        <v>9.6224609500000007</v>
      </c>
    </row>
    <row r="90" spans="1:16" x14ac:dyDescent="0.2">
      <c r="A90" s="86" t="s">
        <v>52</v>
      </c>
      <c r="B90" s="331">
        <v>9.6224609500000007</v>
      </c>
      <c r="C90" s="331"/>
      <c r="D90" s="331"/>
      <c r="E90" s="331"/>
      <c r="F90" s="331"/>
      <c r="G90" s="331"/>
      <c r="H90" s="331"/>
      <c r="I90" s="331"/>
      <c r="J90" s="331"/>
      <c r="K90" s="331"/>
      <c r="L90" s="331"/>
      <c r="M90" s="331"/>
      <c r="N90" s="331"/>
      <c r="O90" s="331"/>
      <c r="P90" s="331">
        <v>9.6224609500000007</v>
      </c>
    </row>
    <row r="91" spans="1:16" x14ac:dyDescent="0.2">
      <c r="A91" s="87" t="s">
        <v>48</v>
      </c>
      <c r="B91" s="331">
        <v>1107.3411251</v>
      </c>
      <c r="C91" s="331"/>
      <c r="D91" s="331"/>
      <c r="E91" s="331"/>
      <c r="F91" s="331"/>
      <c r="G91" s="331"/>
      <c r="H91" s="331"/>
      <c r="I91" s="331"/>
      <c r="J91" s="331"/>
      <c r="K91" s="331"/>
      <c r="L91" s="331"/>
      <c r="M91" s="331"/>
      <c r="N91" s="331"/>
      <c r="O91" s="331"/>
      <c r="P91" s="331">
        <v>1107.3411251</v>
      </c>
    </row>
    <row r="92" spans="1:16" x14ac:dyDescent="0.2">
      <c r="A92" s="86" t="s">
        <v>353</v>
      </c>
      <c r="B92" s="331">
        <v>1101.1999551500001</v>
      </c>
      <c r="C92" s="331"/>
      <c r="D92" s="331"/>
      <c r="E92" s="331"/>
      <c r="F92" s="331"/>
      <c r="G92" s="331"/>
      <c r="H92" s="331"/>
      <c r="I92" s="331"/>
      <c r="J92" s="331"/>
      <c r="K92" s="331"/>
      <c r="L92" s="331"/>
      <c r="M92" s="331"/>
      <c r="N92" s="331"/>
      <c r="O92" s="331"/>
      <c r="P92" s="331">
        <v>1101.1999551500001</v>
      </c>
    </row>
    <row r="93" spans="1:16" x14ac:dyDescent="0.2">
      <c r="A93" s="86" t="s">
        <v>356</v>
      </c>
      <c r="B93" s="331">
        <v>6.1411699500000001</v>
      </c>
      <c r="C93" s="331"/>
      <c r="D93" s="331"/>
      <c r="E93" s="331"/>
      <c r="F93" s="331"/>
      <c r="G93" s="331"/>
      <c r="H93" s="331"/>
      <c r="I93" s="331"/>
      <c r="J93" s="331"/>
      <c r="K93" s="331"/>
      <c r="L93" s="331"/>
      <c r="M93" s="331"/>
      <c r="N93" s="331"/>
      <c r="O93" s="331"/>
      <c r="P93" s="331">
        <v>6.1411699500000001</v>
      </c>
    </row>
    <row r="94" spans="1:16" x14ac:dyDescent="0.2">
      <c r="A94" s="66" t="s">
        <v>2</v>
      </c>
      <c r="B94" s="331">
        <v>13000.908246160001</v>
      </c>
      <c r="C94" s="331">
        <v>-465916.51592079992</v>
      </c>
      <c r="D94" s="331">
        <v>10662.820613103961</v>
      </c>
      <c r="E94" s="331">
        <v>-37286.496472839477</v>
      </c>
      <c r="F94" s="331">
        <v>8570.1581253253025</v>
      </c>
      <c r="G94" s="331">
        <v>15356.925000000001</v>
      </c>
      <c r="H94" s="331">
        <v>13650</v>
      </c>
      <c r="I94" s="331">
        <v>13650</v>
      </c>
      <c r="J94" s="331">
        <v>13650</v>
      </c>
      <c r="K94" s="331">
        <v>13650</v>
      </c>
      <c r="L94" s="331">
        <v>13650</v>
      </c>
      <c r="M94" s="331">
        <v>14650</v>
      </c>
      <c r="N94" s="331"/>
      <c r="O94" s="331"/>
      <c r="P94" s="331">
        <v>-372712.20040905033</v>
      </c>
    </row>
    <row r="95" spans="1:16" x14ac:dyDescent="0.2">
      <c r="A95" s="87" t="s">
        <v>46</v>
      </c>
      <c r="B95" s="331">
        <v>81.205759999999998</v>
      </c>
      <c r="C95" s="331"/>
      <c r="D95" s="331"/>
      <c r="E95" s="331"/>
      <c r="F95" s="331"/>
      <c r="G95" s="331">
        <v>49.5</v>
      </c>
      <c r="H95" s="331"/>
      <c r="I95" s="331"/>
      <c r="J95" s="331"/>
      <c r="K95" s="331"/>
      <c r="L95" s="331"/>
      <c r="M95" s="331"/>
      <c r="N95" s="331"/>
      <c r="O95" s="331"/>
      <c r="P95" s="331">
        <v>130.70576</v>
      </c>
    </row>
    <row r="96" spans="1:16" x14ac:dyDescent="0.2">
      <c r="A96" s="86" t="s">
        <v>393</v>
      </c>
      <c r="B96" s="331"/>
      <c r="C96" s="331"/>
      <c r="D96" s="331"/>
      <c r="E96" s="331"/>
      <c r="F96" s="331"/>
      <c r="G96" s="331">
        <v>49.5</v>
      </c>
      <c r="H96" s="331"/>
      <c r="I96" s="331"/>
      <c r="J96" s="331"/>
      <c r="K96" s="331"/>
      <c r="L96" s="331"/>
      <c r="M96" s="331"/>
      <c r="N96" s="331"/>
      <c r="O96" s="331"/>
      <c r="P96" s="331">
        <v>49.5</v>
      </c>
    </row>
    <row r="97" spans="1:16" x14ac:dyDescent="0.2">
      <c r="A97" s="86" t="s">
        <v>390</v>
      </c>
      <c r="B97" s="331">
        <v>81.205759999999998</v>
      </c>
      <c r="C97" s="331"/>
      <c r="D97" s="331"/>
      <c r="E97" s="331"/>
      <c r="F97" s="331"/>
      <c r="G97" s="331"/>
      <c r="H97" s="331"/>
      <c r="I97" s="331"/>
      <c r="J97" s="331"/>
      <c r="K97" s="331"/>
      <c r="L97" s="331"/>
      <c r="M97" s="331"/>
      <c r="N97" s="331"/>
      <c r="O97" s="331"/>
      <c r="P97" s="331">
        <v>81.205759999999998</v>
      </c>
    </row>
    <row r="98" spans="1:16" x14ac:dyDescent="0.2">
      <c r="A98" s="87" t="s">
        <v>47</v>
      </c>
      <c r="B98" s="331">
        <v>11741.11</v>
      </c>
      <c r="C98" s="331">
        <v>17192.280000000002</v>
      </c>
      <c r="D98" s="331">
        <v>17024.849999999999</v>
      </c>
      <c r="E98" s="331">
        <v>14379.89</v>
      </c>
      <c r="F98" s="331">
        <v>9577.6899999999987</v>
      </c>
      <c r="G98" s="331">
        <v>15208.6</v>
      </c>
      <c r="H98" s="331">
        <v>13650</v>
      </c>
      <c r="I98" s="331">
        <v>13650</v>
      </c>
      <c r="J98" s="331">
        <v>13650</v>
      </c>
      <c r="K98" s="331">
        <v>13650</v>
      </c>
      <c r="L98" s="331">
        <v>13650</v>
      </c>
      <c r="M98" s="331">
        <v>14650</v>
      </c>
      <c r="N98" s="331"/>
      <c r="O98" s="331"/>
      <c r="P98" s="331">
        <v>168024.41999999998</v>
      </c>
    </row>
    <row r="99" spans="1:16" x14ac:dyDescent="0.2">
      <c r="A99" s="86" t="s">
        <v>387</v>
      </c>
      <c r="B99" s="331">
        <v>11741.11</v>
      </c>
      <c r="C99" s="331">
        <v>15523.810000000001</v>
      </c>
      <c r="D99" s="331">
        <v>11759</v>
      </c>
      <c r="E99" s="331">
        <v>13050.33</v>
      </c>
      <c r="F99" s="331">
        <v>8417.32</v>
      </c>
      <c r="G99" s="331">
        <v>13662.52</v>
      </c>
      <c r="H99" s="331">
        <v>12500</v>
      </c>
      <c r="I99" s="331">
        <v>12500</v>
      </c>
      <c r="J99" s="331">
        <v>12500</v>
      </c>
      <c r="K99" s="331">
        <v>12500</v>
      </c>
      <c r="L99" s="331">
        <v>12500</v>
      </c>
      <c r="M99" s="331">
        <v>13500</v>
      </c>
      <c r="N99" s="331"/>
      <c r="O99" s="331"/>
      <c r="P99" s="331">
        <v>150154.09</v>
      </c>
    </row>
    <row r="100" spans="1:16" x14ac:dyDescent="0.2">
      <c r="A100" s="86" t="s">
        <v>364</v>
      </c>
      <c r="B100" s="331"/>
      <c r="C100" s="331">
        <v>1668.47</v>
      </c>
      <c r="D100" s="331">
        <v>5265.85</v>
      </c>
      <c r="E100" s="331">
        <v>1329.56</v>
      </c>
      <c r="F100" s="331">
        <v>1160.3699999999999</v>
      </c>
      <c r="G100" s="331">
        <v>1546.08</v>
      </c>
      <c r="H100" s="331">
        <v>1150</v>
      </c>
      <c r="I100" s="331">
        <v>1150</v>
      </c>
      <c r="J100" s="331">
        <v>1150</v>
      </c>
      <c r="K100" s="331">
        <v>1150</v>
      </c>
      <c r="L100" s="331">
        <v>1150</v>
      </c>
      <c r="M100" s="331">
        <v>1150</v>
      </c>
      <c r="N100" s="331"/>
      <c r="O100" s="331"/>
      <c r="P100" s="331">
        <v>17870.330000000002</v>
      </c>
    </row>
    <row r="101" spans="1:16" x14ac:dyDescent="0.2">
      <c r="A101" s="87" t="s">
        <v>50</v>
      </c>
      <c r="B101" s="331">
        <v>8.8920307199999993</v>
      </c>
      <c r="C101" s="331"/>
      <c r="D101" s="331"/>
      <c r="E101" s="331"/>
      <c r="F101" s="331"/>
      <c r="G101" s="331"/>
      <c r="H101" s="331"/>
      <c r="I101" s="331"/>
      <c r="J101" s="331"/>
      <c r="K101" s="331"/>
      <c r="L101" s="331"/>
      <c r="M101" s="331"/>
      <c r="N101" s="331"/>
      <c r="O101" s="331"/>
      <c r="P101" s="331">
        <v>8.8920307199999993</v>
      </c>
    </row>
    <row r="102" spans="1:16" x14ac:dyDescent="0.2">
      <c r="A102" s="86" t="s">
        <v>50</v>
      </c>
      <c r="B102" s="331">
        <v>8.8920307199999993</v>
      </c>
      <c r="C102" s="331"/>
      <c r="D102" s="331"/>
      <c r="E102" s="331"/>
      <c r="F102" s="331"/>
      <c r="G102" s="331"/>
      <c r="H102" s="331"/>
      <c r="I102" s="331"/>
      <c r="J102" s="331"/>
      <c r="K102" s="331"/>
      <c r="L102" s="331"/>
      <c r="M102" s="331"/>
      <c r="N102" s="331"/>
      <c r="O102" s="331"/>
      <c r="P102" s="331">
        <v>8.8920307199999993</v>
      </c>
    </row>
    <row r="103" spans="1:16" x14ac:dyDescent="0.2">
      <c r="A103" s="87" t="s">
        <v>10</v>
      </c>
      <c r="B103" s="331"/>
      <c r="C103" s="331">
        <v>-483821.81663999998</v>
      </c>
      <c r="D103" s="331">
        <v>-7743.3277465429437</v>
      </c>
      <c r="E103" s="331">
        <v>-51666.386472839476</v>
      </c>
      <c r="F103" s="331">
        <v>-1007.5318746746959</v>
      </c>
      <c r="G103" s="331"/>
      <c r="H103" s="331"/>
      <c r="I103" s="331"/>
      <c r="J103" s="331"/>
      <c r="K103" s="331"/>
      <c r="L103" s="331"/>
      <c r="M103" s="331"/>
      <c r="N103" s="331"/>
      <c r="O103" s="331"/>
      <c r="P103" s="331">
        <v>-544239.06273405708</v>
      </c>
    </row>
    <row r="104" spans="1:16" x14ac:dyDescent="0.2">
      <c r="A104" s="86" t="s">
        <v>382</v>
      </c>
      <c r="B104" s="331"/>
      <c r="C104" s="331">
        <v>-483821.81663999998</v>
      </c>
      <c r="D104" s="331">
        <v>-7743.3277465429437</v>
      </c>
      <c r="E104" s="331">
        <v>-51666.386472839476</v>
      </c>
      <c r="F104" s="331">
        <v>-1007.5318746746959</v>
      </c>
      <c r="G104" s="331"/>
      <c r="H104" s="331"/>
      <c r="I104" s="331"/>
      <c r="J104" s="331"/>
      <c r="K104" s="331"/>
      <c r="L104" s="331"/>
      <c r="M104" s="331"/>
      <c r="N104" s="331"/>
      <c r="O104" s="331"/>
      <c r="P104" s="331">
        <v>-544239.06273405708</v>
      </c>
    </row>
    <row r="105" spans="1:16" x14ac:dyDescent="0.2">
      <c r="A105" s="87" t="s">
        <v>51</v>
      </c>
      <c r="B105" s="331"/>
      <c r="C105" s="331">
        <v>376.44030799999996</v>
      </c>
      <c r="D105" s="331">
        <v>13.562922506054123</v>
      </c>
      <c r="E105" s="331"/>
      <c r="F105" s="331"/>
      <c r="G105" s="331"/>
      <c r="H105" s="331"/>
      <c r="I105" s="331"/>
      <c r="J105" s="331"/>
      <c r="K105" s="331"/>
      <c r="L105" s="331"/>
      <c r="M105" s="331"/>
      <c r="N105" s="331"/>
      <c r="O105" s="331"/>
      <c r="P105" s="331">
        <v>390.00323050605408</v>
      </c>
    </row>
    <row r="106" spans="1:16" x14ac:dyDescent="0.2">
      <c r="A106" s="86" t="s">
        <v>527</v>
      </c>
      <c r="B106" s="331"/>
      <c r="C106" s="331">
        <v>376.44030799999996</v>
      </c>
      <c r="D106" s="331">
        <v>13.562922506054123</v>
      </c>
      <c r="E106" s="331"/>
      <c r="F106" s="331"/>
      <c r="G106" s="331"/>
      <c r="H106" s="331"/>
      <c r="I106" s="331"/>
      <c r="J106" s="331"/>
      <c r="K106" s="331"/>
      <c r="L106" s="331"/>
      <c r="M106" s="331"/>
      <c r="N106" s="331"/>
      <c r="O106" s="331"/>
      <c r="P106" s="331">
        <v>390.00323050605408</v>
      </c>
    </row>
    <row r="107" spans="1:16" x14ac:dyDescent="0.2">
      <c r="A107" s="87" t="s">
        <v>52</v>
      </c>
      <c r="B107" s="331"/>
      <c r="C107" s="331"/>
      <c r="D107" s="331">
        <v>16.212592469324289</v>
      </c>
      <c r="E107" s="331"/>
      <c r="F107" s="331"/>
      <c r="G107" s="331"/>
      <c r="H107" s="331"/>
      <c r="I107" s="331"/>
      <c r="J107" s="331"/>
      <c r="K107" s="331"/>
      <c r="L107" s="331"/>
      <c r="M107" s="331"/>
      <c r="N107" s="331"/>
      <c r="O107" s="331"/>
      <c r="P107" s="331">
        <v>16.212592469324289</v>
      </c>
    </row>
    <row r="108" spans="1:16" x14ac:dyDescent="0.2">
      <c r="A108" s="86" t="s">
        <v>52</v>
      </c>
      <c r="B108" s="331"/>
      <c r="C108" s="331"/>
      <c r="D108" s="331">
        <v>16.212592469324289</v>
      </c>
      <c r="E108" s="331"/>
      <c r="F108" s="331"/>
      <c r="G108" s="331"/>
      <c r="H108" s="331"/>
      <c r="I108" s="331"/>
      <c r="J108" s="331"/>
      <c r="K108" s="331"/>
      <c r="L108" s="331"/>
      <c r="M108" s="331"/>
      <c r="N108" s="331"/>
      <c r="O108" s="331"/>
      <c r="P108" s="331">
        <v>16.212592469324289</v>
      </c>
    </row>
    <row r="109" spans="1:16" x14ac:dyDescent="0.2">
      <c r="A109" s="87" t="s">
        <v>48</v>
      </c>
      <c r="B109" s="331">
        <v>1169.7004554399998</v>
      </c>
      <c r="C109" s="331">
        <v>336.58041119999996</v>
      </c>
      <c r="D109" s="331">
        <v>1351.5228446715264</v>
      </c>
      <c r="E109" s="331"/>
      <c r="F109" s="331"/>
      <c r="G109" s="331">
        <v>98.825000000000003</v>
      </c>
      <c r="H109" s="331"/>
      <c r="I109" s="331"/>
      <c r="J109" s="331"/>
      <c r="K109" s="331"/>
      <c r="L109" s="331"/>
      <c r="M109" s="331"/>
      <c r="N109" s="331"/>
      <c r="O109" s="331"/>
      <c r="P109" s="331">
        <v>2956.6287113115263</v>
      </c>
    </row>
    <row r="110" spans="1:16" x14ac:dyDescent="0.2">
      <c r="A110" s="86" t="s">
        <v>475</v>
      </c>
      <c r="B110" s="331">
        <v>335.36456271999998</v>
      </c>
      <c r="C110" s="331"/>
      <c r="D110" s="331">
        <v>483.99186121782515</v>
      </c>
      <c r="E110" s="331"/>
      <c r="F110" s="331"/>
      <c r="G110" s="331"/>
      <c r="H110" s="331"/>
      <c r="I110" s="331"/>
      <c r="J110" s="331"/>
      <c r="K110" s="331"/>
      <c r="L110" s="331"/>
      <c r="M110" s="331"/>
      <c r="N110" s="331"/>
      <c r="O110" s="331"/>
      <c r="P110" s="331">
        <v>819.35642393782518</v>
      </c>
    </row>
    <row r="111" spans="1:16" x14ac:dyDescent="0.2">
      <c r="A111" s="86" t="s">
        <v>339</v>
      </c>
      <c r="B111" s="331"/>
      <c r="C111" s="331">
        <v>177.26927999999998</v>
      </c>
      <c r="D111" s="331">
        <v>67.754117782250759</v>
      </c>
      <c r="E111" s="331"/>
      <c r="F111" s="331"/>
      <c r="G111" s="331"/>
      <c r="H111" s="331"/>
      <c r="I111" s="331"/>
      <c r="J111" s="331"/>
      <c r="K111" s="331"/>
      <c r="L111" s="331"/>
      <c r="M111" s="331"/>
      <c r="N111" s="331"/>
      <c r="O111" s="331"/>
      <c r="P111" s="331">
        <v>245.02339778225075</v>
      </c>
    </row>
    <row r="112" spans="1:16" x14ac:dyDescent="0.2">
      <c r="A112" s="86" t="s">
        <v>391</v>
      </c>
      <c r="B112" s="331"/>
      <c r="C112" s="331"/>
      <c r="D112" s="331">
        <v>17.1151741097807</v>
      </c>
      <c r="E112" s="331"/>
      <c r="F112" s="331"/>
      <c r="G112" s="331"/>
      <c r="H112" s="331"/>
      <c r="I112" s="331"/>
      <c r="J112" s="331"/>
      <c r="K112" s="331"/>
      <c r="L112" s="331"/>
      <c r="M112" s="331"/>
      <c r="N112" s="331"/>
      <c r="O112" s="331"/>
      <c r="P112" s="331">
        <v>17.1151741097807</v>
      </c>
    </row>
    <row r="113" spans="1:16" x14ac:dyDescent="0.2">
      <c r="A113" s="86" t="s">
        <v>402</v>
      </c>
      <c r="B113" s="331"/>
      <c r="C113" s="331">
        <v>34.683119999999995</v>
      </c>
      <c r="D113" s="331">
        <v>5.7953968603032342</v>
      </c>
      <c r="E113" s="331"/>
      <c r="F113" s="331"/>
      <c r="G113" s="331"/>
      <c r="H113" s="331"/>
      <c r="I113" s="331"/>
      <c r="J113" s="331"/>
      <c r="K113" s="331"/>
      <c r="L113" s="331"/>
      <c r="M113" s="331"/>
      <c r="N113" s="331"/>
      <c r="O113" s="331"/>
      <c r="P113" s="331">
        <v>40.47851686030323</v>
      </c>
    </row>
    <row r="114" spans="1:16" x14ac:dyDescent="0.2">
      <c r="A114" s="86" t="s">
        <v>353</v>
      </c>
      <c r="B114" s="331">
        <v>788.80991352000001</v>
      </c>
      <c r="C114" s="331"/>
      <c r="D114" s="331">
        <v>633.58569391127253</v>
      </c>
      <c r="E114" s="331"/>
      <c r="F114" s="331"/>
      <c r="G114" s="331"/>
      <c r="H114" s="331"/>
      <c r="I114" s="331"/>
      <c r="J114" s="331"/>
      <c r="K114" s="331"/>
      <c r="L114" s="331"/>
      <c r="M114" s="331"/>
      <c r="N114" s="331"/>
      <c r="O114" s="331"/>
      <c r="P114" s="331">
        <v>1422.3956074312725</v>
      </c>
    </row>
    <row r="115" spans="1:16" x14ac:dyDescent="0.2">
      <c r="A115" s="86" t="s">
        <v>356</v>
      </c>
      <c r="B115" s="331">
        <v>45.525979200000002</v>
      </c>
      <c r="C115" s="331">
        <v>124.62801119999999</v>
      </c>
      <c r="D115" s="331">
        <v>143.28060079009401</v>
      </c>
      <c r="E115" s="331"/>
      <c r="F115" s="331"/>
      <c r="G115" s="331">
        <v>98.825000000000003</v>
      </c>
      <c r="H115" s="331"/>
      <c r="I115" s="331"/>
      <c r="J115" s="331"/>
      <c r="K115" s="331"/>
      <c r="L115" s="331"/>
      <c r="M115" s="331"/>
      <c r="N115" s="331"/>
      <c r="O115" s="331"/>
      <c r="P115" s="331">
        <v>412.259591190094</v>
      </c>
    </row>
    <row r="116" spans="1:16" x14ac:dyDescent="0.2">
      <c r="A116" s="65" t="s">
        <v>62</v>
      </c>
      <c r="B116" s="331">
        <v>14631.3642981048</v>
      </c>
      <c r="C116" s="331">
        <v>268871.45113920001</v>
      </c>
      <c r="D116" s="331">
        <v>134736.93200893528</v>
      </c>
      <c r="E116" s="331">
        <v>120712.33597720996</v>
      </c>
      <c r="F116" s="331">
        <v>79265.858876191458</v>
      </c>
      <c r="G116" s="331">
        <v>1046101217.8783941</v>
      </c>
      <c r="H116" s="331">
        <v>121784.29925009397</v>
      </c>
      <c r="I116" s="331">
        <v>105083.16649761716</v>
      </c>
      <c r="J116" s="331">
        <v>102244.16674395269</v>
      </c>
      <c r="K116" s="331">
        <v>100583.16649761716</v>
      </c>
      <c r="L116" s="331">
        <v>100583.16649761716</v>
      </c>
      <c r="M116" s="331">
        <v>117695.53493662379</v>
      </c>
      <c r="N116" s="331">
        <v>4423.0058397727789</v>
      </c>
      <c r="O116" s="331">
        <v>18483.000739006631</v>
      </c>
      <c r="P116" s="331">
        <v>1047390315.327696</v>
      </c>
    </row>
    <row r="117" spans="1:16" x14ac:dyDescent="0.2">
      <c r="A117" s="66" t="s">
        <v>1</v>
      </c>
      <c r="B117" s="331">
        <v>29366.799691144803</v>
      </c>
      <c r="C117" s="331">
        <v>44655.757685600096</v>
      </c>
      <c r="D117" s="331">
        <v>101322.23607135084</v>
      </c>
      <c r="E117" s="331">
        <v>104987.62601194237</v>
      </c>
      <c r="F117" s="331">
        <v>64619.60160448229</v>
      </c>
      <c r="G117" s="331">
        <v>1045916683.8149579</v>
      </c>
      <c r="H117" s="331">
        <v>92466.210509062614</v>
      </c>
      <c r="I117" s="331">
        <v>79296.051709062609</v>
      </c>
      <c r="J117" s="331">
        <v>85457.051955398143</v>
      </c>
      <c r="K117" s="331">
        <v>79296.051709062609</v>
      </c>
      <c r="L117" s="331">
        <v>79296.051709062609</v>
      </c>
      <c r="M117" s="331">
        <v>97908.420148069243</v>
      </c>
      <c r="N117" s="331">
        <v>92.415003695033164</v>
      </c>
      <c r="O117" s="331">
        <v>18483.000739006631</v>
      </c>
      <c r="P117" s="331">
        <v>1046793931.089505</v>
      </c>
    </row>
    <row r="118" spans="1:16" x14ac:dyDescent="0.2">
      <c r="A118" s="87" t="s">
        <v>447</v>
      </c>
      <c r="B118" s="331"/>
      <c r="C118" s="331"/>
      <c r="D118" s="331"/>
      <c r="E118" s="331"/>
      <c r="F118" s="331">
        <v>19716.608060799997</v>
      </c>
      <c r="G118" s="331"/>
      <c r="H118" s="331"/>
      <c r="I118" s="331"/>
      <c r="J118" s="331"/>
      <c r="K118" s="331"/>
      <c r="L118" s="331"/>
      <c r="M118" s="331"/>
      <c r="N118" s="331"/>
      <c r="O118" s="331"/>
      <c r="P118" s="331">
        <v>19716.608060799997</v>
      </c>
    </row>
    <row r="119" spans="1:16" x14ac:dyDescent="0.2">
      <c r="A119" s="86" t="s">
        <v>447</v>
      </c>
      <c r="B119" s="331"/>
      <c r="C119" s="331"/>
      <c r="D119" s="331"/>
      <c r="E119" s="331"/>
      <c r="F119" s="331">
        <v>19716.608060799997</v>
      </c>
      <c r="G119" s="331"/>
      <c r="H119" s="331"/>
      <c r="I119" s="331"/>
      <c r="J119" s="331"/>
      <c r="K119" s="331"/>
      <c r="L119" s="331"/>
      <c r="M119" s="331"/>
      <c r="N119" s="331"/>
      <c r="O119" s="331"/>
      <c r="P119" s="331">
        <v>19716.608060799997</v>
      </c>
    </row>
    <row r="120" spans="1:16" x14ac:dyDescent="0.2">
      <c r="A120" s="87" t="s">
        <v>464</v>
      </c>
      <c r="B120" s="331">
        <v>40570.651129999998</v>
      </c>
      <c r="C120" s="331"/>
      <c r="D120" s="331"/>
      <c r="E120" s="331"/>
      <c r="F120" s="331"/>
      <c r="G120" s="331">
        <v>120800.18000000001</v>
      </c>
      <c r="H120" s="331"/>
      <c r="I120" s="331"/>
      <c r="J120" s="331"/>
      <c r="K120" s="331"/>
      <c r="L120" s="331"/>
      <c r="M120" s="331"/>
      <c r="N120" s="331"/>
      <c r="O120" s="331"/>
      <c r="P120" s="331">
        <v>161370.83113000001</v>
      </c>
    </row>
    <row r="121" spans="1:16" x14ac:dyDescent="0.2">
      <c r="A121" s="86" t="s">
        <v>464</v>
      </c>
      <c r="B121" s="331">
        <v>40570.651129999998</v>
      </c>
      <c r="C121" s="331"/>
      <c r="D121" s="331"/>
      <c r="E121" s="331"/>
      <c r="F121" s="331"/>
      <c r="G121" s="331">
        <v>120800.18000000001</v>
      </c>
      <c r="H121" s="331"/>
      <c r="I121" s="331"/>
      <c r="J121" s="331"/>
      <c r="K121" s="331"/>
      <c r="L121" s="331"/>
      <c r="M121" s="331"/>
      <c r="N121" s="331"/>
      <c r="O121" s="331"/>
      <c r="P121" s="331">
        <v>161370.83113000001</v>
      </c>
    </row>
    <row r="122" spans="1:16" x14ac:dyDescent="0.2">
      <c r="A122" s="87" t="s">
        <v>1148</v>
      </c>
      <c r="B122" s="331"/>
      <c r="C122" s="331"/>
      <c r="D122" s="331"/>
      <c r="E122" s="331"/>
      <c r="F122" s="331">
        <v>2477.1900000000023</v>
      </c>
      <c r="G122" s="331">
        <v>544.29799999999523</v>
      </c>
      <c r="H122" s="331"/>
      <c r="I122" s="331"/>
      <c r="J122" s="331"/>
      <c r="K122" s="331"/>
      <c r="L122" s="331"/>
      <c r="M122" s="331"/>
      <c r="N122" s="331"/>
      <c r="O122" s="331"/>
      <c r="P122" s="331">
        <v>3021.487999999983</v>
      </c>
    </row>
    <row r="123" spans="1:16" x14ac:dyDescent="0.2">
      <c r="A123" s="86" t="s">
        <v>1041</v>
      </c>
      <c r="B123" s="331"/>
      <c r="C123" s="331"/>
      <c r="D123" s="331"/>
      <c r="E123" s="331"/>
      <c r="F123" s="331">
        <v>180760.77</v>
      </c>
      <c r="G123" s="331">
        <v>62000</v>
      </c>
      <c r="H123" s="331"/>
      <c r="I123" s="331"/>
      <c r="J123" s="331"/>
      <c r="K123" s="331"/>
      <c r="L123" s="331"/>
      <c r="M123" s="331"/>
      <c r="N123" s="331"/>
      <c r="O123" s="331"/>
      <c r="P123" s="331">
        <v>242760.77</v>
      </c>
    </row>
    <row r="124" spans="1:16" x14ac:dyDescent="0.2">
      <c r="A124" s="86" t="s">
        <v>930</v>
      </c>
      <c r="B124" s="331"/>
      <c r="C124" s="331"/>
      <c r="D124" s="331"/>
      <c r="E124" s="331"/>
      <c r="F124" s="331">
        <v>-178283.58</v>
      </c>
      <c r="G124" s="331">
        <v>-61455.702000000005</v>
      </c>
      <c r="H124" s="331"/>
      <c r="I124" s="331"/>
      <c r="J124" s="331"/>
      <c r="K124" s="331"/>
      <c r="L124" s="331"/>
      <c r="M124" s="331"/>
      <c r="N124" s="331"/>
      <c r="O124" s="331"/>
      <c r="P124" s="331">
        <v>-239739.28200000001</v>
      </c>
    </row>
    <row r="125" spans="1:16" x14ac:dyDescent="0.2">
      <c r="A125" s="87" t="s">
        <v>332</v>
      </c>
      <c r="B125" s="331">
        <v>107.70662594480481</v>
      </c>
      <c r="C125" s="331">
        <v>-7.1916930736979792</v>
      </c>
      <c r="D125" s="331">
        <v>97.272259562402425</v>
      </c>
      <c r="E125" s="331">
        <v>-12.477740437597596</v>
      </c>
      <c r="F125" s="331">
        <v>37.232259562402412</v>
      </c>
      <c r="G125" s="331">
        <v>23.272259562402407</v>
      </c>
      <c r="H125" s="331"/>
      <c r="I125" s="331"/>
      <c r="J125" s="331"/>
      <c r="K125" s="331"/>
      <c r="L125" s="331"/>
      <c r="M125" s="331"/>
      <c r="N125" s="331"/>
      <c r="O125" s="331"/>
      <c r="P125" s="331">
        <v>245.8139711207165</v>
      </c>
    </row>
    <row r="126" spans="1:16" x14ac:dyDescent="0.2">
      <c r="A126" s="86" t="s">
        <v>332</v>
      </c>
      <c r="B126" s="331">
        <v>107.70662594480481</v>
      </c>
      <c r="C126" s="331">
        <v>-7.1916930736979792</v>
      </c>
      <c r="D126" s="331">
        <v>97.272259562402425</v>
      </c>
      <c r="E126" s="331">
        <v>-12.477740437597596</v>
      </c>
      <c r="F126" s="331">
        <v>37.232259562402412</v>
      </c>
      <c r="G126" s="331">
        <v>23.272259562402407</v>
      </c>
      <c r="H126" s="331"/>
      <c r="I126" s="331"/>
      <c r="J126" s="331"/>
      <c r="K126" s="331"/>
      <c r="L126" s="331"/>
      <c r="M126" s="331"/>
      <c r="N126" s="331"/>
      <c r="O126" s="331"/>
      <c r="P126" s="331">
        <v>245.8139711207165</v>
      </c>
    </row>
    <row r="127" spans="1:16" x14ac:dyDescent="0.2">
      <c r="A127" s="87" t="s">
        <v>510</v>
      </c>
      <c r="B127" s="331"/>
      <c r="C127" s="331"/>
      <c r="D127" s="331">
        <v>8853.7900000000009</v>
      </c>
      <c r="E127" s="331"/>
      <c r="F127" s="331"/>
      <c r="G127" s="331"/>
      <c r="H127" s="331"/>
      <c r="I127" s="331"/>
      <c r="J127" s="331"/>
      <c r="K127" s="331"/>
      <c r="L127" s="331"/>
      <c r="M127" s="331"/>
      <c r="N127" s="331"/>
      <c r="O127" s="331"/>
      <c r="P127" s="331">
        <v>8853.7900000000009</v>
      </c>
    </row>
    <row r="128" spans="1:16" x14ac:dyDescent="0.2">
      <c r="A128" s="86" t="s">
        <v>509</v>
      </c>
      <c r="B128" s="331"/>
      <c r="C128" s="331"/>
      <c r="D128" s="331">
        <v>8853.7900000000009</v>
      </c>
      <c r="E128" s="331"/>
      <c r="F128" s="331"/>
      <c r="G128" s="331"/>
      <c r="H128" s="331"/>
      <c r="I128" s="331"/>
      <c r="J128" s="331"/>
      <c r="K128" s="331"/>
      <c r="L128" s="331"/>
      <c r="M128" s="331"/>
      <c r="N128" s="331"/>
      <c r="O128" s="331"/>
      <c r="P128" s="331">
        <v>8853.7900000000009</v>
      </c>
    </row>
    <row r="129" spans="1:16" x14ac:dyDescent="0.2">
      <c r="A129" s="87" t="s">
        <v>344</v>
      </c>
      <c r="B129" s="331">
        <v>101.96177118</v>
      </c>
      <c r="C129" s="331"/>
      <c r="D129" s="331">
        <v>65.337407612388446</v>
      </c>
      <c r="E129" s="331"/>
      <c r="F129" s="331">
        <v>55.174892279999995</v>
      </c>
      <c r="G129" s="331"/>
      <c r="H129" s="331"/>
      <c r="I129" s="331"/>
      <c r="J129" s="331"/>
      <c r="K129" s="331"/>
      <c r="L129" s="331"/>
      <c r="M129" s="331"/>
      <c r="N129" s="331"/>
      <c r="O129" s="331"/>
      <c r="P129" s="331">
        <v>222.47407107238843</v>
      </c>
    </row>
    <row r="130" spans="1:16" x14ac:dyDescent="0.2">
      <c r="A130" s="86" t="s">
        <v>344</v>
      </c>
      <c r="B130" s="331">
        <v>101.96177118</v>
      </c>
      <c r="C130" s="331"/>
      <c r="D130" s="331">
        <v>65.337407612388446</v>
      </c>
      <c r="E130" s="331"/>
      <c r="F130" s="331">
        <v>55.174892279999995</v>
      </c>
      <c r="G130" s="331"/>
      <c r="H130" s="331"/>
      <c r="I130" s="331"/>
      <c r="J130" s="331"/>
      <c r="K130" s="331"/>
      <c r="L130" s="331"/>
      <c r="M130" s="331"/>
      <c r="N130" s="331"/>
      <c r="O130" s="331"/>
      <c r="P130" s="331">
        <v>222.47407107238843</v>
      </c>
    </row>
    <row r="131" spans="1:16" x14ac:dyDescent="0.2">
      <c r="A131" s="87" t="s">
        <v>572</v>
      </c>
      <c r="B131" s="331"/>
      <c r="C131" s="331">
        <v>-8998.1254572724465</v>
      </c>
      <c r="D131" s="331">
        <v>-3711.9179346637784</v>
      </c>
      <c r="E131" s="331">
        <v>-1039.6687915691232</v>
      </c>
      <c r="F131" s="331"/>
      <c r="G131" s="331"/>
      <c r="H131" s="331"/>
      <c r="I131" s="331"/>
      <c r="J131" s="331"/>
      <c r="K131" s="331"/>
      <c r="L131" s="331"/>
      <c r="M131" s="331">
        <v>20055.811686892401</v>
      </c>
      <c r="N131" s="331"/>
      <c r="O131" s="331"/>
      <c r="P131" s="331">
        <v>6306.0995033870549</v>
      </c>
    </row>
    <row r="132" spans="1:16" x14ac:dyDescent="0.2">
      <c r="A132" s="86" t="s">
        <v>786</v>
      </c>
      <c r="B132" s="331"/>
      <c r="C132" s="331"/>
      <c r="D132" s="331">
        <v>138.70721929593688</v>
      </c>
      <c r="E132" s="331"/>
      <c r="F132" s="331"/>
      <c r="G132" s="331"/>
      <c r="H132" s="331"/>
      <c r="I132" s="331"/>
      <c r="J132" s="331"/>
      <c r="K132" s="331"/>
      <c r="L132" s="331"/>
      <c r="M132" s="331">
        <v>20055.811686892401</v>
      </c>
      <c r="N132" s="331"/>
      <c r="O132" s="331"/>
      <c r="P132" s="331">
        <v>20194.518906188339</v>
      </c>
    </row>
    <row r="133" spans="1:16" x14ac:dyDescent="0.2">
      <c r="A133" s="86" t="s">
        <v>571</v>
      </c>
      <c r="B133" s="331"/>
      <c r="C133" s="331">
        <v>-8998.1254572724465</v>
      </c>
      <c r="D133" s="331">
        <v>-3850.6251539597151</v>
      </c>
      <c r="E133" s="331">
        <v>-1039.6687915691232</v>
      </c>
      <c r="F133" s="331"/>
      <c r="G133" s="331"/>
      <c r="H133" s="331"/>
      <c r="I133" s="331"/>
      <c r="J133" s="331"/>
      <c r="K133" s="331"/>
      <c r="L133" s="331"/>
      <c r="M133" s="331"/>
      <c r="N133" s="331"/>
      <c r="O133" s="331"/>
      <c r="P133" s="331">
        <v>-13888.419402801284</v>
      </c>
    </row>
    <row r="134" spans="1:16" x14ac:dyDescent="0.2">
      <c r="A134" s="87" t="s">
        <v>1166</v>
      </c>
      <c r="B134" s="331"/>
      <c r="C134" s="331"/>
      <c r="D134" s="331"/>
      <c r="E134" s="331"/>
      <c r="F134" s="331"/>
      <c r="G134" s="331">
        <v>-50000</v>
      </c>
      <c r="H134" s="331"/>
      <c r="I134" s="331"/>
      <c r="J134" s="331"/>
      <c r="K134" s="331"/>
      <c r="L134" s="331"/>
      <c r="M134" s="331"/>
      <c r="N134" s="331"/>
      <c r="O134" s="331"/>
      <c r="P134" s="331">
        <v>-50000</v>
      </c>
    </row>
    <row r="135" spans="1:16" x14ac:dyDescent="0.2">
      <c r="A135" s="86" t="s">
        <v>1047</v>
      </c>
      <c r="B135" s="331"/>
      <c r="C135" s="331"/>
      <c r="D135" s="331"/>
      <c r="E135" s="331"/>
      <c r="F135" s="331"/>
      <c r="G135" s="331">
        <v>-50000</v>
      </c>
      <c r="H135" s="331"/>
      <c r="I135" s="331"/>
      <c r="J135" s="331"/>
      <c r="K135" s="331"/>
      <c r="L135" s="331"/>
      <c r="M135" s="331"/>
      <c r="N135" s="331"/>
      <c r="O135" s="331"/>
      <c r="P135" s="331">
        <v>-50000</v>
      </c>
    </row>
    <row r="136" spans="1:16" x14ac:dyDescent="0.2">
      <c r="A136" s="87" t="s">
        <v>49</v>
      </c>
      <c r="B136" s="331"/>
      <c r="C136" s="331"/>
      <c r="D136" s="331"/>
      <c r="E136" s="331"/>
      <c r="F136" s="331"/>
      <c r="G136" s="331">
        <v>1043557372.2575999</v>
      </c>
      <c r="H136" s="331"/>
      <c r="I136" s="331"/>
      <c r="J136" s="331"/>
      <c r="K136" s="331"/>
      <c r="L136" s="331"/>
      <c r="M136" s="331"/>
      <c r="N136" s="331"/>
      <c r="O136" s="331"/>
      <c r="P136" s="331">
        <v>1043557372.2575999</v>
      </c>
    </row>
    <row r="137" spans="1:16" x14ac:dyDescent="0.2">
      <c r="A137" s="86" t="s">
        <v>560</v>
      </c>
      <c r="B137" s="331"/>
      <c r="C137" s="331"/>
      <c r="D137" s="331"/>
      <c r="E137" s="331"/>
      <c r="F137" s="331"/>
      <c r="G137" s="331">
        <v>1043557372.2575999</v>
      </c>
      <c r="H137" s="331"/>
      <c r="I137" s="331"/>
      <c r="J137" s="331"/>
      <c r="K137" s="331"/>
      <c r="L137" s="331"/>
      <c r="M137" s="331"/>
      <c r="N137" s="331"/>
      <c r="O137" s="331"/>
      <c r="P137" s="331">
        <v>1043557372.2575999</v>
      </c>
    </row>
    <row r="138" spans="1:16" x14ac:dyDescent="0.2">
      <c r="A138" s="87" t="s">
        <v>46</v>
      </c>
      <c r="B138" s="331">
        <v>6720.6980273600002</v>
      </c>
      <c r="C138" s="331">
        <v>11950.492177817056</v>
      </c>
      <c r="D138" s="331">
        <v>25811.693975805098</v>
      </c>
      <c r="E138" s="331">
        <v>4185.3137910915857</v>
      </c>
      <c r="F138" s="331">
        <v>3620.4232261999996</v>
      </c>
      <c r="G138" s="331">
        <v>684626.63329999999</v>
      </c>
      <c r="H138" s="331"/>
      <c r="I138" s="331"/>
      <c r="J138" s="331"/>
      <c r="K138" s="331"/>
      <c r="L138" s="331"/>
      <c r="M138" s="331"/>
      <c r="N138" s="331"/>
      <c r="O138" s="331"/>
      <c r="P138" s="331">
        <v>736915.25449827372</v>
      </c>
    </row>
    <row r="139" spans="1:16" x14ac:dyDescent="0.2">
      <c r="A139" s="86" t="s">
        <v>349</v>
      </c>
      <c r="B139" s="331">
        <v>1106.05216043</v>
      </c>
      <c r="C139" s="331">
        <v>8254.1769762771219</v>
      </c>
      <c r="D139" s="331">
        <v>24285.977559777311</v>
      </c>
      <c r="E139" s="331">
        <v>2403.7604536096601</v>
      </c>
      <c r="F139" s="331">
        <v>1114.49716734</v>
      </c>
      <c r="G139" s="331"/>
      <c r="H139" s="331"/>
      <c r="I139" s="331"/>
      <c r="J139" s="331"/>
      <c r="K139" s="331"/>
      <c r="L139" s="331"/>
      <c r="M139" s="331"/>
      <c r="N139" s="331"/>
      <c r="O139" s="331"/>
      <c r="P139" s="331">
        <v>37164.464317434096</v>
      </c>
    </row>
    <row r="140" spans="1:16" x14ac:dyDescent="0.2">
      <c r="A140" s="86" t="s">
        <v>393</v>
      </c>
      <c r="B140" s="331"/>
      <c r="C140" s="331">
        <v>200.2325080059052</v>
      </c>
      <c r="D140" s="331">
        <v>61.532989960276254</v>
      </c>
      <c r="E140" s="331">
        <v>133.18542282515864</v>
      </c>
      <c r="F140" s="331">
        <v>49.08999618</v>
      </c>
      <c r="G140" s="331"/>
      <c r="H140" s="331"/>
      <c r="I140" s="331"/>
      <c r="J140" s="331"/>
      <c r="K140" s="331"/>
      <c r="L140" s="331"/>
      <c r="M140" s="331"/>
      <c r="N140" s="331"/>
      <c r="O140" s="331"/>
      <c r="P140" s="331">
        <v>444.0409169713401</v>
      </c>
    </row>
    <row r="141" spans="1:16" x14ac:dyDescent="0.2">
      <c r="A141" s="86" t="s">
        <v>390</v>
      </c>
      <c r="B141" s="331">
        <v>1464.0233995000001</v>
      </c>
      <c r="C141" s="331">
        <v>3218.8838899507764</v>
      </c>
      <c r="D141" s="331">
        <v>1346.6623463686599</v>
      </c>
      <c r="E141" s="331">
        <v>1648.3679146567672</v>
      </c>
      <c r="F141" s="331">
        <v>1442.0586336799997</v>
      </c>
      <c r="G141" s="331">
        <v>684626.63329999999</v>
      </c>
      <c r="H141" s="331"/>
      <c r="I141" s="331"/>
      <c r="J141" s="331"/>
      <c r="K141" s="331"/>
      <c r="L141" s="331"/>
      <c r="M141" s="331"/>
      <c r="N141" s="331"/>
      <c r="O141" s="331"/>
      <c r="P141" s="331">
        <v>693746.62948415615</v>
      </c>
    </row>
    <row r="142" spans="1:16" x14ac:dyDescent="0.2">
      <c r="A142" s="86" t="s">
        <v>540</v>
      </c>
      <c r="B142" s="331">
        <v>4150.6224674300001</v>
      </c>
      <c r="C142" s="331"/>
      <c r="D142" s="331">
        <v>117.5210796988505</v>
      </c>
      <c r="E142" s="331"/>
      <c r="F142" s="331"/>
      <c r="G142" s="331"/>
      <c r="H142" s="331"/>
      <c r="I142" s="331"/>
      <c r="J142" s="331"/>
      <c r="K142" s="331"/>
      <c r="L142" s="331"/>
      <c r="M142" s="331"/>
      <c r="N142" s="331"/>
      <c r="O142" s="331"/>
      <c r="P142" s="331">
        <v>4268.1435471288505</v>
      </c>
    </row>
    <row r="143" spans="1:16" x14ac:dyDescent="0.2">
      <c r="A143" s="86" t="s">
        <v>751</v>
      </c>
      <c r="B143" s="331"/>
      <c r="C143" s="331">
        <v>277.19880358325196</v>
      </c>
      <c r="D143" s="331"/>
      <c r="E143" s="331"/>
      <c r="F143" s="331">
        <v>1014.777429</v>
      </c>
      <c r="G143" s="331"/>
      <c r="H143" s="331"/>
      <c r="I143" s="331"/>
      <c r="J143" s="331"/>
      <c r="K143" s="331"/>
      <c r="L143" s="331"/>
      <c r="M143" s="331"/>
      <c r="N143" s="331"/>
      <c r="O143" s="331"/>
      <c r="P143" s="331">
        <v>1291.9762325832519</v>
      </c>
    </row>
    <row r="144" spans="1:16" x14ac:dyDescent="0.2">
      <c r="A144" s="87" t="s">
        <v>1844</v>
      </c>
      <c r="B144" s="331"/>
      <c r="C144" s="331"/>
      <c r="D144" s="331"/>
      <c r="E144" s="331"/>
      <c r="F144" s="331"/>
      <c r="G144" s="331">
        <v>158.7201</v>
      </c>
      <c r="H144" s="331"/>
      <c r="I144" s="331"/>
      <c r="J144" s="331"/>
      <c r="K144" s="331"/>
      <c r="L144" s="331"/>
      <c r="M144" s="331"/>
      <c r="N144" s="331"/>
      <c r="O144" s="331"/>
      <c r="P144" s="331">
        <v>158.7201</v>
      </c>
    </row>
    <row r="145" spans="1:16" x14ac:dyDescent="0.2">
      <c r="A145" s="86" t="s">
        <v>1879</v>
      </c>
      <c r="B145" s="331"/>
      <c r="C145" s="331"/>
      <c r="D145" s="331"/>
      <c r="E145" s="331"/>
      <c r="F145" s="331"/>
      <c r="G145" s="331">
        <v>158.7201</v>
      </c>
      <c r="H145" s="331"/>
      <c r="I145" s="331"/>
      <c r="J145" s="331"/>
      <c r="K145" s="331"/>
      <c r="L145" s="331"/>
      <c r="M145" s="331"/>
      <c r="N145" s="331"/>
      <c r="O145" s="331"/>
      <c r="P145" s="331">
        <v>158.7201</v>
      </c>
    </row>
    <row r="146" spans="1:16" x14ac:dyDescent="0.2">
      <c r="A146" s="87" t="s">
        <v>346</v>
      </c>
      <c r="B146" s="331"/>
      <c r="C146" s="331"/>
      <c r="D146" s="331"/>
      <c r="E146" s="331">
        <v>4.2356876693556869</v>
      </c>
      <c r="F146" s="331">
        <v>43.020603000000001</v>
      </c>
      <c r="G146" s="331"/>
      <c r="H146" s="331"/>
      <c r="I146" s="331"/>
      <c r="J146" s="331"/>
      <c r="K146" s="331"/>
      <c r="L146" s="331"/>
      <c r="M146" s="331"/>
      <c r="N146" s="331"/>
      <c r="O146" s="331"/>
      <c r="P146" s="331">
        <v>47.256290669355685</v>
      </c>
    </row>
    <row r="147" spans="1:16" x14ac:dyDescent="0.2">
      <c r="A147" s="86" t="s">
        <v>346</v>
      </c>
      <c r="B147" s="331"/>
      <c r="C147" s="331"/>
      <c r="D147" s="331"/>
      <c r="E147" s="331">
        <v>4.2356876693556869</v>
      </c>
      <c r="F147" s="331">
        <v>43.020603000000001</v>
      </c>
      <c r="G147" s="331"/>
      <c r="H147" s="331"/>
      <c r="I147" s="331"/>
      <c r="J147" s="331"/>
      <c r="K147" s="331"/>
      <c r="L147" s="331"/>
      <c r="M147" s="331"/>
      <c r="N147" s="331"/>
      <c r="O147" s="331"/>
      <c r="P147" s="331">
        <v>47.256290669355685</v>
      </c>
    </row>
    <row r="148" spans="1:16" x14ac:dyDescent="0.2">
      <c r="A148" s="87" t="s">
        <v>47</v>
      </c>
      <c r="B148" s="331">
        <v>32409.887649169999</v>
      </c>
      <c r="C148" s="331">
        <v>27762.191242493656</v>
      </c>
      <c r="D148" s="331">
        <v>115344.42027197876</v>
      </c>
      <c r="E148" s="331">
        <v>78190.210654590206</v>
      </c>
      <c r="F148" s="331">
        <v>32580.940000000002</v>
      </c>
      <c r="G148" s="331">
        <v>82306.549337072895</v>
      </c>
      <c r="H148" s="331">
        <v>57716</v>
      </c>
      <c r="I148" s="331">
        <v>57716</v>
      </c>
      <c r="J148" s="331">
        <v>57716</v>
      </c>
      <c r="K148" s="331">
        <v>57716</v>
      </c>
      <c r="L148" s="331">
        <v>57716</v>
      </c>
      <c r="M148" s="331">
        <v>57716</v>
      </c>
      <c r="N148" s="331"/>
      <c r="O148" s="331"/>
      <c r="P148" s="331">
        <v>714890.19915530551</v>
      </c>
    </row>
    <row r="149" spans="1:16" x14ac:dyDescent="0.2">
      <c r="A149" s="86" t="s">
        <v>387</v>
      </c>
      <c r="B149" s="331">
        <v>32409.887649169999</v>
      </c>
      <c r="C149" s="331">
        <v>25680.711242493657</v>
      </c>
      <c r="D149" s="331">
        <v>115129.20077271714</v>
      </c>
      <c r="E149" s="331">
        <v>72719.240654590205</v>
      </c>
      <c r="F149" s="331">
        <v>25157.86</v>
      </c>
      <c r="G149" s="331">
        <v>74596.549337072895</v>
      </c>
      <c r="H149" s="331">
        <v>50006</v>
      </c>
      <c r="I149" s="331">
        <v>50006</v>
      </c>
      <c r="J149" s="331">
        <v>50006</v>
      </c>
      <c r="K149" s="331">
        <v>50006</v>
      </c>
      <c r="L149" s="331">
        <v>50006</v>
      </c>
      <c r="M149" s="331">
        <v>50006</v>
      </c>
      <c r="N149" s="331"/>
      <c r="O149" s="331"/>
      <c r="P149" s="331">
        <v>645729.4496560439</v>
      </c>
    </row>
    <row r="150" spans="1:16" x14ac:dyDescent="0.2">
      <c r="A150" s="86" t="s">
        <v>364</v>
      </c>
      <c r="B150" s="331"/>
      <c r="C150" s="331">
        <v>2081.48</v>
      </c>
      <c r="D150" s="331">
        <v>215.21949926161349</v>
      </c>
      <c r="E150" s="331">
        <v>5470.9699999999993</v>
      </c>
      <c r="F150" s="331">
        <v>7423.08</v>
      </c>
      <c r="G150" s="331">
        <v>7710</v>
      </c>
      <c r="H150" s="331">
        <v>7710</v>
      </c>
      <c r="I150" s="331">
        <v>7710</v>
      </c>
      <c r="J150" s="331">
        <v>7710</v>
      </c>
      <c r="K150" s="331">
        <v>7710</v>
      </c>
      <c r="L150" s="331">
        <v>7710</v>
      </c>
      <c r="M150" s="331">
        <v>7710</v>
      </c>
      <c r="N150" s="331"/>
      <c r="O150" s="331"/>
      <c r="P150" s="331">
        <v>69160.749499261612</v>
      </c>
    </row>
    <row r="151" spans="1:16" x14ac:dyDescent="0.2">
      <c r="A151" s="87" t="s">
        <v>398</v>
      </c>
      <c r="B151" s="331">
        <v>121064.59181483999</v>
      </c>
      <c r="C151" s="331">
        <v>138.50698678793094</v>
      </c>
      <c r="D151" s="331">
        <v>115.27231460893805</v>
      </c>
      <c r="E151" s="331">
        <v>4685.764316949746</v>
      </c>
      <c r="F151" s="331"/>
      <c r="G151" s="331">
        <v>125.47999999999999</v>
      </c>
      <c r="H151" s="331">
        <v>391.22</v>
      </c>
      <c r="I151" s="331">
        <v>55.5</v>
      </c>
      <c r="J151" s="331">
        <v>55.5</v>
      </c>
      <c r="K151" s="331">
        <v>55.5</v>
      </c>
      <c r="L151" s="331">
        <v>55.5</v>
      </c>
      <c r="M151" s="331">
        <v>55.5</v>
      </c>
      <c r="N151" s="331"/>
      <c r="O151" s="331"/>
      <c r="P151" s="331">
        <v>126798.33543318661</v>
      </c>
    </row>
    <row r="152" spans="1:16" x14ac:dyDescent="0.2">
      <c r="A152" s="86" t="s">
        <v>663</v>
      </c>
      <c r="B152" s="331"/>
      <c r="C152" s="331"/>
      <c r="D152" s="331"/>
      <c r="E152" s="331"/>
      <c r="F152" s="331"/>
      <c r="G152" s="331"/>
      <c r="H152" s="331">
        <v>335.72</v>
      </c>
      <c r="I152" s="331"/>
      <c r="J152" s="331"/>
      <c r="K152" s="331"/>
      <c r="L152" s="331"/>
      <c r="M152" s="331"/>
      <c r="N152" s="331"/>
      <c r="O152" s="331"/>
      <c r="P152" s="331">
        <v>335.72</v>
      </c>
    </row>
    <row r="153" spans="1:16" x14ac:dyDescent="0.2">
      <c r="A153" s="86" t="s">
        <v>1034</v>
      </c>
      <c r="B153" s="331"/>
      <c r="C153" s="331"/>
      <c r="D153" s="331"/>
      <c r="E153" s="331">
        <v>4637</v>
      </c>
      <c r="F153" s="331"/>
      <c r="G153" s="331"/>
      <c r="H153" s="331"/>
      <c r="I153" s="331"/>
      <c r="J153" s="331"/>
      <c r="K153" s="331"/>
      <c r="L153" s="331"/>
      <c r="M153" s="331"/>
      <c r="N153" s="331"/>
      <c r="O153" s="331"/>
      <c r="P153" s="331">
        <v>4637</v>
      </c>
    </row>
    <row r="154" spans="1:16" x14ac:dyDescent="0.2">
      <c r="A154" s="86" t="s">
        <v>657</v>
      </c>
      <c r="B154" s="331">
        <v>121064.59181483999</v>
      </c>
      <c r="C154" s="331"/>
      <c r="D154" s="331">
        <v>115.27231460893805</v>
      </c>
      <c r="E154" s="331">
        <v>48.764316949745833</v>
      </c>
      <c r="F154" s="331"/>
      <c r="G154" s="331">
        <v>125.47999999999999</v>
      </c>
      <c r="H154" s="331">
        <v>55.5</v>
      </c>
      <c r="I154" s="331">
        <v>55.5</v>
      </c>
      <c r="J154" s="331">
        <v>55.5</v>
      </c>
      <c r="K154" s="331">
        <v>55.5</v>
      </c>
      <c r="L154" s="331">
        <v>55.5</v>
      </c>
      <c r="M154" s="331">
        <v>55.5</v>
      </c>
      <c r="N154" s="331"/>
      <c r="O154" s="331"/>
      <c r="P154" s="331">
        <v>121687.10844639868</v>
      </c>
    </row>
    <row r="155" spans="1:16" x14ac:dyDescent="0.2">
      <c r="A155" s="86" t="s">
        <v>747</v>
      </c>
      <c r="B155" s="331"/>
      <c r="C155" s="331">
        <v>138.50698678793094</v>
      </c>
      <c r="D155" s="331"/>
      <c r="E155" s="331"/>
      <c r="F155" s="331"/>
      <c r="G155" s="331"/>
      <c r="H155" s="331"/>
      <c r="I155" s="331"/>
      <c r="J155" s="331"/>
      <c r="K155" s="331"/>
      <c r="L155" s="331"/>
      <c r="M155" s="331"/>
      <c r="N155" s="331"/>
      <c r="O155" s="331"/>
      <c r="P155" s="331">
        <v>138.50698678793094</v>
      </c>
    </row>
    <row r="156" spans="1:16" x14ac:dyDescent="0.2">
      <c r="A156" s="87" t="s">
        <v>418</v>
      </c>
      <c r="B156" s="331">
        <v>-236196.30000000002</v>
      </c>
      <c r="C156" s="331"/>
      <c r="D156" s="331">
        <v>-97775.073909345097</v>
      </c>
      <c r="E156" s="331"/>
      <c r="F156" s="331"/>
      <c r="G156" s="331"/>
      <c r="H156" s="331"/>
      <c r="I156" s="331"/>
      <c r="J156" s="331"/>
      <c r="K156" s="331"/>
      <c r="L156" s="331"/>
      <c r="M156" s="331"/>
      <c r="N156" s="331"/>
      <c r="O156" s="331"/>
      <c r="P156" s="331">
        <v>-333971.37390934513</v>
      </c>
    </row>
    <row r="157" spans="1:16" x14ac:dyDescent="0.2">
      <c r="A157" s="86" t="s">
        <v>418</v>
      </c>
      <c r="B157" s="331">
        <v>-236196.30000000002</v>
      </c>
      <c r="C157" s="331"/>
      <c r="D157" s="331">
        <v>-97775.073909345097</v>
      </c>
      <c r="E157" s="331"/>
      <c r="F157" s="331"/>
      <c r="G157" s="331"/>
      <c r="H157" s="331"/>
      <c r="I157" s="331"/>
      <c r="J157" s="331"/>
      <c r="K157" s="331"/>
      <c r="L157" s="331"/>
      <c r="M157" s="331"/>
      <c r="N157" s="331"/>
      <c r="O157" s="331"/>
      <c r="P157" s="331">
        <v>-333971.37390934513</v>
      </c>
    </row>
    <row r="158" spans="1:16" x14ac:dyDescent="0.2">
      <c r="A158" s="87" t="s">
        <v>924</v>
      </c>
      <c r="B158" s="331"/>
      <c r="C158" s="331"/>
      <c r="D158" s="331"/>
      <c r="E158" s="331"/>
      <c r="F158" s="331">
        <v>309.283254</v>
      </c>
      <c r="G158" s="331"/>
      <c r="H158" s="331"/>
      <c r="I158" s="331"/>
      <c r="J158" s="331"/>
      <c r="K158" s="331"/>
      <c r="L158" s="331"/>
      <c r="M158" s="331"/>
      <c r="N158" s="331"/>
      <c r="O158" s="331"/>
      <c r="P158" s="331">
        <v>309.283254</v>
      </c>
    </row>
    <row r="159" spans="1:16" x14ac:dyDescent="0.2">
      <c r="A159" s="86" t="s">
        <v>924</v>
      </c>
      <c r="B159" s="331"/>
      <c r="C159" s="331"/>
      <c r="D159" s="331"/>
      <c r="E159" s="331"/>
      <c r="F159" s="331">
        <v>309.283254</v>
      </c>
      <c r="G159" s="331"/>
      <c r="H159" s="331"/>
      <c r="I159" s="331"/>
      <c r="J159" s="331"/>
      <c r="K159" s="331"/>
      <c r="L159" s="331"/>
      <c r="M159" s="331"/>
      <c r="N159" s="331"/>
      <c r="O159" s="331"/>
      <c r="P159" s="331">
        <v>309.283254</v>
      </c>
    </row>
    <row r="160" spans="1:16" x14ac:dyDescent="0.2">
      <c r="A160" s="87" t="s">
        <v>58</v>
      </c>
      <c r="B160" s="331">
        <v>797.04441435000001</v>
      </c>
      <c r="C160" s="331"/>
      <c r="D160" s="331">
        <v>216.59258208503076</v>
      </c>
      <c r="E160" s="331">
        <v>108.08704807164921</v>
      </c>
      <c r="F160" s="331"/>
      <c r="G160" s="331">
        <v>216.97059999999999</v>
      </c>
      <c r="H160" s="331"/>
      <c r="I160" s="331"/>
      <c r="J160" s="331"/>
      <c r="K160" s="331"/>
      <c r="L160" s="331"/>
      <c r="M160" s="331"/>
      <c r="N160" s="331"/>
      <c r="O160" s="331"/>
      <c r="P160" s="331">
        <v>1338.6946445066801</v>
      </c>
    </row>
    <row r="161" spans="1:16" x14ac:dyDescent="0.2">
      <c r="A161" s="86" t="s">
        <v>58</v>
      </c>
      <c r="B161" s="331">
        <v>797.04441435000001</v>
      </c>
      <c r="C161" s="331"/>
      <c r="D161" s="331">
        <v>216.59258208503076</v>
      </c>
      <c r="E161" s="331">
        <v>108.08704807164921</v>
      </c>
      <c r="F161" s="331"/>
      <c r="G161" s="331">
        <v>216.97059999999999</v>
      </c>
      <c r="H161" s="331"/>
      <c r="I161" s="331"/>
      <c r="J161" s="331"/>
      <c r="K161" s="331"/>
      <c r="L161" s="331"/>
      <c r="M161" s="331"/>
      <c r="N161" s="331"/>
      <c r="O161" s="331"/>
      <c r="P161" s="331">
        <v>1338.6946445066801</v>
      </c>
    </row>
    <row r="162" spans="1:16" x14ac:dyDescent="0.2">
      <c r="A162" s="87" t="s">
        <v>375</v>
      </c>
      <c r="B162" s="331">
        <v>561.33625337000012</v>
      </c>
      <c r="C162" s="331">
        <v>549.07604320373161</v>
      </c>
      <c r="D162" s="331">
        <v>549.07527307870089</v>
      </c>
      <c r="E162" s="331"/>
      <c r="F162" s="331"/>
      <c r="G162" s="331">
        <v>1853.7399999999998</v>
      </c>
      <c r="H162" s="331">
        <v>1138.3188</v>
      </c>
      <c r="I162" s="331">
        <v>681.71</v>
      </c>
      <c r="J162" s="331">
        <v>681.71</v>
      </c>
      <c r="K162" s="331">
        <v>681.71</v>
      </c>
      <c r="L162" s="331">
        <v>681.71</v>
      </c>
      <c r="M162" s="331">
        <v>681.71</v>
      </c>
      <c r="N162" s="331"/>
      <c r="O162" s="331"/>
      <c r="P162" s="331">
        <v>8060.0963696524332</v>
      </c>
    </row>
    <row r="163" spans="1:16" x14ac:dyDescent="0.2">
      <c r="A163" s="86" t="s">
        <v>374</v>
      </c>
      <c r="B163" s="331">
        <v>561.33625337000012</v>
      </c>
      <c r="C163" s="331">
        <v>549.07604320373161</v>
      </c>
      <c r="D163" s="331">
        <v>549.07527307870089</v>
      </c>
      <c r="E163" s="331"/>
      <c r="F163" s="331"/>
      <c r="G163" s="331">
        <v>1853.7399999999998</v>
      </c>
      <c r="H163" s="331">
        <v>1138.3188</v>
      </c>
      <c r="I163" s="331">
        <v>681.71</v>
      </c>
      <c r="J163" s="331">
        <v>681.71</v>
      </c>
      <c r="K163" s="331">
        <v>681.71</v>
      </c>
      <c r="L163" s="331">
        <v>681.71</v>
      </c>
      <c r="M163" s="331">
        <v>681.71</v>
      </c>
      <c r="N163" s="331"/>
      <c r="O163" s="331"/>
      <c r="P163" s="331">
        <v>8060.0963696524332</v>
      </c>
    </row>
    <row r="164" spans="1:16" x14ac:dyDescent="0.2">
      <c r="A164" s="87" t="s">
        <v>50</v>
      </c>
      <c r="B164" s="331">
        <v>332.91868485000003</v>
      </c>
      <c r="C164" s="331">
        <v>132.8542690619181</v>
      </c>
      <c r="D164" s="331">
        <v>95.695736326206841</v>
      </c>
      <c r="E164" s="331">
        <v>9.6034591339755302</v>
      </c>
      <c r="F164" s="331">
        <v>239.03177202000001</v>
      </c>
      <c r="G164" s="331">
        <v>118.123</v>
      </c>
      <c r="H164" s="331">
        <v>111.66</v>
      </c>
      <c r="I164" s="331">
        <v>55.83</v>
      </c>
      <c r="J164" s="331">
        <v>55.83</v>
      </c>
      <c r="K164" s="331">
        <v>55.83</v>
      </c>
      <c r="L164" s="331">
        <v>55.83</v>
      </c>
      <c r="M164" s="331">
        <v>55.83</v>
      </c>
      <c r="N164" s="331"/>
      <c r="O164" s="331"/>
      <c r="P164" s="331">
        <v>1319.0369213921003</v>
      </c>
    </row>
    <row r="165" spans="1:16" x14ac:dyDescent="0.2">
      <c r="A165" s="86" t="s">
        <v>686</v>
      </c>
      <c r="B165" s="331">
        <v>62.670751600000003</v>
      </c>
      <c r="C165" s="331"/>
      <c r="D165" s="331"/>
      <c r="E165" s="331"/>
      <c r="F165" s="331"/>
      <c r="G165" s="331"/>
      <c r="H165" s="331"/>
      <c r="I165" s="331"/>
      <c r="J165" s="331"/>
      <c r="K165" s="331"/>
      <c r="L165" s="331"/>
      <c r="M165" s="331"/>
      <c r="N165" s="331"/>
      <c r="O165" s="331"/>
      <c r="P165" s="331">
        <v>62.670751600000003</v>
      </c>
    </row>
    <row r="166" spans="1:16" x14ac:dyDescent="0.2">
      <c r="A166" s="86" t="s">
        <v>50</v>
      </c>
      <c r="B166" s="331">
        <v>270.24793325000002</v>
      </c>
      <c r="C166" s="331">
        <v>132.8542690619181</v>
      </c>
      <c r="D166" s="331">
        <v>95.695736326206841</v>
      </c>
      <c r="E166" s="331">
        <v>7.6242378048402362</v>
      </c>
      <c r="F166" s="331">
        <v>147.52578672000001</v>
      </c>
      <c r="G166" s="331">
        <v>118.123</v>
      </c>
      <c r="H166" s="331">
        <v>111.66</v>
      </c>
      <c r="I166" s="331">
        <v>55.83</v>
      </c>
      <c r="J166" s="331">
        <v>55.83</v>
      </c>
      <c r="K166" s="331">
        <v>55.83</v>
      </c>
      <c r="L166" s="331">
        <v>55.83</v>
      </c>
      <c r="M166" s="331">
        <v>55.83</v>
      </c>
      <c r="N166" s="331"/>
      <c r="O166" s="331"/>
      <c r="P166" s="331">
        <v>1162.8809631629651</v>
      </c>
    </row>
    <row r="167" spans="1:16" x14ac:dyDescent="0.2">
      <c r="A167" s="86" t="s">
        <v>470</v>
      </c>
      <c r="B167" s="331"/>
      <c r="C167" s="331"/>
      <c r="D167" s="331"/>
      <c r="E167" s="331">
        <v>1.9792213291352936</v>
      </c>
      <c r="F167" s="331">
        <v>91.505985299999992</v>
      </c>
      <c r="G167" s="331"/>
      <c r="H167" s="331"/>
      <c r="I167" s="331"/>
      <c r="J167" s="331"/>
      <c r="K167" s="331"/>
      <c r="L167" s="331"/>
      <c r="M167" s="331"/>
      <c r="N167" s="331"/>
      <c r="O167" s="331"/>
      <c r="P167" s="331">
        <v>93.485206629135291</v>
      </c>
    </row>
    <row r="168" spans="1:16" x14ac:dyDescent="0.2">
      <c r="A168" s="87" t="s">
        <v>385</v>
      </c>
      <c r="B168" s="331"/>
      <c r="C168" s="331"/>
      <c r="D168" s="331">
        <v>-3160.1233501013512</v>
      </c>
      <c r="E168" s="331">
        <v>-3587.8353897025804</v>
      </c>
      <c r="F168" s="331">
        <v>-42.320499840569745</v>
      </c>
      <c r="G168" s="331">
        <v>-654.9357</v>
      </c>
      <c r="H168" s="331"/>
      <c r="I168" s="331"/>
      <c r="J168" s="331"/>
      <c r="K168" s="331"/>
      <c r="L168" s="331"/>
      <c r="M168" s="331"/>
      <c r="N168" s="331"/>
      <c r="O168" s="331"/>
      <c r="P168" s="331">
        <v>-7445.2149396445011</v>
      </c>
    </row>
    <row r="169" spans="1:16" x14ac:dyDescent="0.2">
      <c r="A169" s="86" t="s">
        <v>795</v>
      </c>
      <c r="B169" s="331"/>
      <c r="C169" s="331"/>
      <c r="D169" s="331">
        <v>-3157.5126262469666</v>
      </c>
      <c r="E169" s="331">
        <v>-3581.0813931825351</v>
      </c>
      <c r="F169" s="331"/>
      <c r="G169" s="331"/>
      <c r="H169" s="331"/>
      <c r="I169" s="331"/>
      <c r="J169" s="331"/>
      <c r="K169" s="331"/>
      <c r="L169" s="331"/>
      <c r="M169" s="331"/>
      <c r="N169" s="331"/>
      <c r="O169" s="331"/>
      <c r="P169" s="331">
        <v>-6738.5940194295017</v>
      </c>
    </row>
    <row r="170" spans="1:16" x14ac:dyDescent="0.2">
      <c r="A170" s="86" t="s">
        <v>384</v>
      </c>
      <c r="B170" s="331"/>
      <c r="C170" s="331"/>
      <c r="D170" s="331">
        <v>-2.6107238543846871</v>
      </c>
      <c r="E170" s="331">
        <v>-6.75399652004534</v>
      </c>
      <c r="F170" s="331">
        <v>-42.320499840569745</v>
      </c>
      <c r="G170" s="331">
        <v>-654.9357</v>
      </c>
      <c r="H170" s="331"/>
      <c r="I170" s="331"/>
      <c r="J170" s="331"/>
      <c r="K170" s="331"/>
      <c r="L170" s="331"/>
      <c r="M170" s="331"/>
      <c r="N170" s="331"/>
      <c r="O170" s="331"/>
      <c r="P170" s="331">
        <v>-706.62092021499973</v>
      </c>
    </row>
    <row r="171" spans="1:16" x14ac:dyDescent="0.2">
      <c r="A171" s="87" t="s">
        <v>849</v>
      </c>
      <c r="B171" s="331"/>
      <c r="C171" s="331"/>
      <c r="D171" s="331">
        <v>231.03750923758292</v>
      </c>
      <c r="E171" s="331"/>
      <c r="F171" s="331"/>
      <c r="G171" s="331"/>
      <c r="H171" s="331"/>
      <c r="I171" s="331"/>
      <c r="J171" s="331"/>
      <c r="K171" s="331"/>
      <c r="L171" s="331"/>
      <c r="M171" s="331"/>
      <c r="N171" s="331"/>
      <c r="O171" s="331"/>
      <c r="P171" s="331">
        <v>231.03750923758292</v>
      </c>
    </row>
    <row r="172" spans="1:16" x14ac:dyDescent="0.2">
      <c r="A172" s="86" t="s">
        <v>849</v>
      </c>
      <c r="B172" s="331"/>
      <c r="C172" s="331"/>
      <c r="D172" s="331">
        <v>231.03750923758292</v>
      </c>
      <c r="E172" s="331"/>
      <c r="F172" s="331"/>
      <c r="G172" s="331"/>
      <c r="H172" s="331"/>
      <c r="I172" s="331"/>
      <c r="J172" s="331"/>
      <c r="K172" s="331"/>
      <c r="L172" s="331"/>
      <c r="M172" s="331"/>
      <c r="N172" s="331"/>
      <c r="O172" s="331"/>
      <c r="P172" s="331">
        <v>231.03750923758292</v>
      </c>
    </row>
    <row r="173" spans="1:16" x14ac:dyDescent="0.2">
      <c r="A173" s="87" t="s">
        <v>367</v>
      </c>
      <c r="B173" s="331">
        <v>27999.14242855</v>
      </c>
      <c r="C173" s="331">
        <v>69.31125277127488</v>
      </c>
      <c r="D173" s="331">
        <v>1068.933542739217</v>
      </c>
      <c r="E173" s="331"/>
      <c r="F173" s="331"/>
      <c r="G173" s="331">
        <v>30800</v>
      </c>
      <c r="H173" s="331">
        <v>12322</v>
      </c>
      <c r="I173" s="331"/>
      <c r="J173" s="331">
        <v>6161.000246335544</v>
      </c>
      <c r="K173" s="331"/>
      <c r="L173" s="331"/>
      <c r="M173" s="331">
        <v>18483.000739006631</v>
      </c>
      <c r="N173" s="331"/>
      <c r="O173" s="331">
        <v>18483.000739006631</v>
      </c>
      <c r="P173" s="331">
        <v>115386.38894840931</v>
      </c>
    </row>
    <row r="174" spans="1:16" x14ac:dyDescent="0.2">
      <c r="A174" s="86" t="s">
        <v>367</v>
      </c>
      <c r="B174" s="331">
        <v>27999.14242855</v>
      </c>
      <c r="C174" s="331">
        <v>69.31125277127488</v>
      </c>
      <c r="D174" s="331">
        <v>1068.933542739217</v>
      </c>
      <c r="E174" s="331"/>
      <c r="F174" s="331"/>
      <c r="G174" s="331">
        <v>30800</v>
      </c>
      <c r="H174" s="331">
        <v>12322</v>
      </c>
      <c r="I174" s="331"/>
      <c r="J174" s="331">
        <v>6161.000246335544</v>
      </c>
      <c r="K174" s="331"/>
      <c r="L174" s="331"/>
      <c r="M174" s="331">
        <v>18483.000739006631</v>
      </c>
      <c r="N174" s="331"/>
      <c r="O174" s="331">
        <v>18483.000739006631</v>
      </c>
      <c r="P174" s="331">
        <v>115386.38894840931</v>
      </c>
    </row>
    <row r="175" spans="1:16" x14ac:dyDescent="0.2">
      <c r="A175" s="87" t="s">
        <v>801</v>
      </c>
      <c r="B175" s="331"/>
      <c r="C175" s="331"/>
      <c r="D175" s="331">
        <v>2643.0691056779483</v>
      </c>
      <c r="E175" s="331">
        <v>48.51787693989241</v>
      </c>
      <c r="F175" s="331">
        <v>197.66222999999999</v>
      </c>
      <c r="G175" s="331"/>
      <c r="H175" s="331"/>
      <c r="I175" s="331"/>
      <c r="J175" s="331"/>
      <c r="K175" s="331"/>
      <c r="L175" s="331"/>
      <c r="M175" s="331"/>
      <c r="N175" s="331"/>
      <c r="O175" s="331"/>
      <c r="P175" s="331">
        <v>2889.2492126178408</v>
      </c>
    </row>
    <row r="176" spans="1:16" x14ac:dyDescent="0.2">
      <c r="A176" s="86" t="s">
        <v>801</v>
      </c>
      <c r="B176" s="331"/>
      <c r="C176" s="331"/>
      <c r="D176" s="331">
        <v>2643.0691056779483</v>
      </c>
      <c r="E176" s="331">
        <v>48.51787693989241</v>
      </c>
      <c r="F176" s="331">
        <v>197.66222999999999</v>
      </c>
      <c r="G176" s="331"/>
      <c r="H176" s="331"/>
      <c r="I176" s="331"/>
      <c r="J176" s="331"/>
      <c r="K176" s="331"/>
      <c r="L176" s="331"/>
      <c r="M176" s="331"/>
      <c r="N176" s="331"/>
      <c r="O176" s="331"/>
      <c r="P176" s="331">
        <v>2889.2492126178408</v>
      </c>
    </row>
    <row r="177" spans="1:16" x14ac:dyDescent="0.2">
      <c r="A177" s="87" t="s">
        <v>410</v>
      </c>
      <c r="B177" s="331">
        <v>20503.633931880002</v>
      </c>
      <c r="C177" s="331"/>
      <c r="D177" s="331">
        <v>40111.623373784802</v>
      </c>
      <c r="E177" s="331">
        <v>20055.811686892401</v>
      </c>
      <c r="F177" s="331"/>
      <c r="G177" s="331">
        <v>40111.621686892402</v>
      </c>
      <c r="H177" s="331">
        <v>20055.811686892401</v>
      </c>
      <c r="I177" s="331">
        <v>20055.811686892401</v>
      </c>
      <c r="J177" s="331">
        <v>20055.811686892401</v>
      </c>
      <c r="K177" s="331">
        <v>20055.811686892401</v>
      </c>
      <c r="L177" s="331">
        <v>20055.811686892401</v>
      </c>
      <c r="M177" s="331"/>
      <c r="N177" s="331"/>
      <c r="O177" s="331"/>
      <c r="P177" s="331">
        <v>221061.74911391168</v>
      </c>
    </row>
    <row r="178" spans="1:16" x14ac:dyDescent="0.2">
      <c r="A178" s="86" t="s">
        <v>409</v>
      </c>
      <c r="B178" s="331">
        <v>20503.633931880002</v>
      </c>
      <c r="C178" s="331"/>
      <c r="D178" s="331">
        <v>40111.623373784802</v>
      </c>
      <c r="E178" s="331">
        <v>20055.811686892401</v>
      </c>
      <c r="F178" s="331"/>
      <c r="G178" s="331">
        <v>40111.621686892402</v>
      </c>
      <c r="H178" s="331">
        <v>20055.811686892401</v>
      </c>
      <c r="I178" s="331">
        <v>20055.811686892401</v>
      </c>
      <c r="J178" s="331">
        <v>20055.811686892401</v>
      </c>
      <c r="K178" s="331">
        <v>20055.811686892401</v>
      </c>
      <c r="L178" s="331">
        <v>20055.811686892401</v>
      </c>
      <c r="M178" s="331"/>
      <c r="N178" s="331"/>
      <c r="O178" s="331"/>
      <c r="P178" s="331">
        <v>221061.74911391168</v>
      </c>
    </row>
    <row r="179" spans="1:16" x14ac:dyDescent="0.2">
      <c r="A179" s="87" t="s">
        <v>749</v>
      </c>
      <c r="B179" s="331"/>
      <c r="C179" s="331">
        <v>316.59840015856781</v>
      </c>
      <c r="D179" s="331"/>
      <c r="E179" s="331"/>
      <c r="F179" s="331"/>
      <c r="G179" s="331"/>
      <c r="H179" s="331"/>
      <c r="I179" s="331"/>
      <c r="J179" s="331"/>
      <c r="K179" s="331"/>
      <c r="L179" s="331"/>
      <c r="M179" s="331"/>
      <c r="N179" s="331"/>
      <c r="O179" s="331"/>
      <c r="P179" s="331">
        <v>316.59840015856781</v>
      </c>
    </row>
    <row r="180" spans="1:16" x14ac:dyDescent="0.2">
      <c r="A180" s="86" t="s">
        <v>749</v>
      </c>
      <c r="B180" s="331"/>
      <c r="C180" s="331">
        <v>316.59840015856781</v>
      </c>
      <c r="D180" s="331"/>
      <c r="E180" s="331"/>
      <c r="F180" s="331"/>
      <c r="G180" s="331"/>
      <c r="H180" s="331"/>
      <c r="I180" s="331"/>
      <c r="J180" s="331"/>
      <c r="K180" s="331"/>
      <c r="L180" s="331"/>
      <c r="M180" s="331"/>
      <c r="N180" s="331"/>
      <c r="O180" s="331"/>
      <c r="P180" s="331">
        <v>316.59840015856781</v>
      </c>
    </row>
    <row r="181" spans="1:16" x14ac:dyDescent="0.2">
      <c r="A181" s="87" t="s">
        <v>51</v>
      </c>
      <c r="B181" s="331">
        <v>2240.2825394500001</v>
      </c>
      <c r="C181" s="331">
        <v>5124.7531865896226</v>
      </c>
      <c r="D181" s="331">
        <v>1639.532193165988</v>
      </c>
      <c r="E181" s="331">
        <v>3259.7467240845972</v>
      </c>
      <c r="F181" s="331">
        <v>2523.2701614600001</v>
      </c>
      <c r="G181" s="331">
        <v>1443313.1335560004</v>
      </c>
      <c r="H181" s="331"/>
      <c r="I181" s="331"/>
      <c r="J181" s="331"/>
      <c r="K181" s="331"/>
      <c r="L181" s="331"/>
      <c r="M181" s="331"/>
      <c r="N181" s="331"/>
      <c r="O181" s="331"/>
      <c r="P181" s="331">
        <v>1458100.7183607507</v>
      </c>
    </row>
    <row r="182" spans="1:16" x14ac:dyDescent="0.2">
      <c r="A182" s="86" t="s">
        <v>684</v>
      </c>
      <c r="B182" s="331">
        <v>785.48654207000004</v>
      </c>
      <c r="C182" s="331">
        <v>369.32886101689212</v>
      </c>
      <c r="D182" s="331">
        <v>769.93249953424504</v>
      </c>
      <c r="E182" s="331">
        <v>361.88945321944198</v>
      </c>
      <c r="F182" s="331">
        <v>143.41751292000001</v>
      </c>
      <c r="G182" s="331"/>
      <c r="H182" s="331"/>
      <c r="I182" s="331"/>
      <c r="J182" s="331"/>
      <c r="K182" s="331"/>
      <c r="L182" s="331"/>
      <c r="M182" s="331"/>
      <c r="N182" s="331"/>
      <c r="O182" s="331"/>
      <c r="P182" s="331">
        <v>2430.0548687605792</v>
      </c>
    </row>
    <row r="183" spans="1:16" x14ac:dyDescent="0.2">
      <c r="A183" s="86" t="s">
        <v>527</v>
      </c>
      <c r="B183" s="331">
        <v>1305.64590714</v>
      </c>
      <c r="C183" s="331">
        <v>4741.1000000000004</v>
      </c>
      <c r="D183" s="331">
        <v>689.61377268535784</v>
      </c>
      <c r="E183" s="331">
        <v>2897.857270865155</v>
      </c>
      <c r="F183" s="331">
        <v>2379.8526485400002</v>
      </c>
      <c r="G183" s="331">
        <v>1443313.1335560004</v>
      </c>
      <c r="H183" s="331"/>
      <c r="I183" s="331"/>
      <c r="J183" s="331"/>
      <c r="K183" s="331"/>
      <c r="L183" s="331"/>
      <c r="M183" s="331"/>
      <c r="N183" s="331"/>
      <c r="O183" s="331"/>
      <c r="P183" s="331">
        <v>1455327.203155231</v>
      </c>
    </row>
    <row r="184" spans="1:16" x14ac:dyDescent="0.2">
      <c r="A184" s="86" t="s">
        <v>688</v>
      </c>
      <c r="B184" s="331">
        <v>149.15009024</v>
      </c>
      <c r="C184" s="331">
        <v>14.324325572730139</v>
      </c>
      <c r="D184" s="331">
        <v>179.98592094638502</v>
      </c>
      <c r="E184" s="331"/>
      <c r="F184" s="331"/>
      <c r="G184" s="331"/>
      <c r="H184" s="331"/>
      <c r="I184" s="331"/>
      <c r="J184" s="331"/>
      <c r="K184" s="331"/>
      <c r="L184" s="331"/>
      <c r="M184" s="331"/>
      <c r="N184" s="331"/>
      <c r="O184" s="331"/>
      <c r="P184" s="331">
        <v>343.46033675911519</v>
      </c>
    </row>
    <row r="185" spans="1:16" x14ac:dyDescent="0.2">
      <c r="A185" s="87" t="s">
        <v>691</v>
      </c>
      <c r="B185" s="331">
        <v>2281.6562580000004</v>
      </c>
      <c r="C185" s="331"/>
      <c r="D185" s="331">
        <v>839.4362835632179</v>
      </c>
      <c r="E185" s="331"/>
      <c r="F185" s="331"/>
      <c r="G185" s="331"/>
      <c r="H185" s="331"/>
      <c r="I185" s="331"/>
      <c r="J185" s="331"/>
      <c r="K185" s="331"/>
      <c r="L185" s="331"/>
      <c r="M185" s="331"/>
      <c r="N185" s="331"/>
      <c r="O185" s="331"/>
      <c r="P185" s="331">
        <v>3121.0925415632182</v>
      </c>
    </row>
    <row r="186" spans="1:16" x14ac:dyDescent="0.2">
      <c r="A186" s="86" t="s">
        <v>691</v>
      </c>
      <c r="B186" s="331">
        <v>2281.6562580000004</v>
      </c>
      <c r="C186" s="331"/>
      <c r="D186" s="331">
        <v>839.4362835632179</v>
      </c>
      <c r="E186" s="331"/>
      <c r="F186" s="331"/>
      <c r="G186" s="331"/>
      <c r="H186" s="331"/>
      <c r="I186" s="331"/>
      <c r="J186" s="331"/>
      <c r="K186" s="331"/>
      <c r="L186" s="331"/>
      <c r="M186" s="331"/>
      <c r="N186" s="331"/>
      <c r="O186" s="331"/>
      <c r="P186" s="331">
        <v>3121.0925415632182</v>
      </c>
    </row>
    <row r="187" spans="1:16" x14ac:dyDescent="0.2">
      <c r="A187" s="87" t="s">
        <v>60</v>
      </c>
      <c r="B187" s="331">
        <v>163.32974145</v>
      </c>
      <c r="C187" s="331"/>
      <c r="D187" s="331">
        <v>339.5481260761677</v>
      </c>
      <c r="E187" s="331">
        <v>124.92968249506897</v>
      </c>
      <c r="F187" s="331">
        <v>172.27715170935767</v>
      </c>
      <c r="G187" s="331">
        <v>280.99110000000002</v>
      </c>
      <c r="H187" s="331">
        <v>176.71</v>
      </c>
      <c r="I187" s="331">
        <v>176.71</v>
      </c>
      <c r="J187" s="331">
        <v>176.71</v>
      </c>
      <c r="K187" s="331">
        <v>176.71</v>
      </c>
      <c r="L187" s="331">
        <v>176.71</v>
      </c>
      <c r="M187" s="331">
        <v>176.71</v>
      </c>
      <c r="N187" s="331"/>
      <c r="O187" s="331"/>
      <c r="P187" s="331">
        <v>2141.3358017305945</v>
      </c>
    </row>
    <row r="188" spans="1:16" x14ac:dyDescent="0.2">
      <c r="A188" s="86" t="s">
        <v>60</v>
      </c>
      <c r="B188" s="331">
        <v>163.32974145</v>
      </c>
      <c r="C188" s="331"/>
      <c r="D188" s="331">
        <v>339.5481260761677</v>
      </c>
      <c r="E188" s="331">
        <v>124.92968249506897</v>
      </c>
      <c r="F188" s="331">
        <v>172.27715170935767</v>
      </c>
      <c r="G188" s="331">
        <v>280.99110000000002</v>
      </c>
      <c r="H188" s="331">
        <v>176.71</v>
      </c>
      <c r="I188" s="331">
        <v>176.71</v>
      </c>
      <c r="J188" s="331">
        <v>176.71</v>
      </c>
      <c r="K188" s="331">
        <v>176.71</v>
      </c>
      <c r="L188" s="331">
        <v>176.71</v>
      </c>
      <c r="M188" s="331">
        <v>176.71</v>
      </c>
      <c r="N188" s="331"/>
      <c r="O188" s="331"/>
      <c r="P188" s="331">
        <v>2141.3358017305945</v>
      </c>
    </row>
    <row r="189" spans="1:16" x14ac:dyDescent="0.2">
      <c r="A189" s="87" t="s">
        <v>499</v>
      </c>
      <c r="B189" s="331"/>
      <c r="C189" s="331">
        <v>6292.6916266009666</v>
      </c>
      <c r="D189" s="331"/>
      <c r="E189" s="331">
        <v>-7728.7283690180875</v>
      </c>
      <c r="F189" s="331"/>
      <c r="G189" s="331"/>
      <c r="H189" s="331"/>
      <c r="I189" s="331"/>
      <c r="J189" s="331"/>
      <c r="K189" s="331"/>
      <c r="L189" s="331"/>
      <c r="M189" s="331"/>
      <c r="N189" s="331"/>
      <c r="O189" s="331"/>
      <c r="P189" s="331">
        <v>-1436.0367424171209</v>
      </c>
    </row>
    <row r="190" spans="1:16" x14ac:dyDescent="0.2">
      <c r="A190" s="86" t="s">
        <v>499</v>
      </c>
      <c r="B190" s="331"/>
      <c r="C190" s="331">
        <v>6292.6916266009666</v>
      </c>
      <c r="D190" s="331"/>
      <c r="E190" s="331">
        <v>-7728.7283690180875</v>
      </c>
      <c r="F190" s="331"/>
      <c r="G190" s="331"/>
      <c r="H190" s="331"/>
      <c r="I190" s="331"/>
      <c r="J190" s="331"/>
      <c r="K190" s="331"/>
      <c r="L190" s="331"/>
      <c r="M190" s="331"/>
      <c r="N190" s="331"/>
      <c r="O190" s="331"/>
      <c r="P190" s="331">
        <v>-1436.0367424171209</v>
      </c>
    </row>
    <row r="191" spans="1:16" x14ac:dyDescent="0.2">
      <c r="A191" s="87" t="s">
        <v>48</v>
      </c>
      <c r="B191" s="331">
        <v>9192.3663355000008</v>
      </c>
      <c r="C191" s="331">
        <v>831.71963075468261</v>
      </c>
      <c r="D191" s="331">
        <v>7252.391636135193</v>
      </c>
      <c r="E191" s="331">
        <v>5635.3899128200437</v>
      </c>
      <c r="F191" s="331">
        <v>2570.5701710399999</v>
      </c>
      <c r="G191" s="331">
        <v>3762.7051000000001</v>
      </c>
      <c r="H191" s="331"/>
      <c r="I191" s="331"/>
      <c r="J191" s="331"/>
      <c r="K191" s="331"/>
      <c r="L191" s="331"/>
      <c r="M191" s="331"/>
      <c r="N191" s="331"/>
      <c r="O191" s="331"/>
      <c r="P191" s="331">
        <v>29245.142786249922</v>
      </c>
    </row>
    <row r="192" spans="1:16" x14ac:dyDescent="0.2">
      <c r="A192" s="86" t="s">
        <v>475</v>
      </c>
      <c r="B192" s="331">
        <v>2120.4050439900002</v>
      </c>
      <c r="C192" s="331">
        <v>9.7035753879784838</v>
      </c>
      <c r="D192" s="331"/>
      <c r="E192" s="331"/>
      <c r="F192" s="331">
        <v>820.43778078000003</v>
      </c>
      <c r="G192" s="331">
        <v>129.42930000000001</v>
      </c>
      <c r="H192" s="331"/>
      <c r="I192" s="331"/>
      <c r="J192" s="331"/>
      <c r="K192" s="331"/>
      <c r="L192" s="331"/>
      <c r="M192" s="331"/>
      <c r="N192" s="331"/>
      <c r="O192" s="331"/>
      <c r="P192" s="331">
        <v>3079.9757001579792</v>
      </c>
    </row>
    <row r="193" spans="1:16" x14ac:dyDescent="0.2">
      <c r="A193" s="86" t="s">
        <v>391</v>
      </c>
      <c r="B193" s="331">
        <v>76.881895650000004</v>
      </c>
      <c r="C193" s="331">
        <v>18.359780734079923</v>
      </c>
      <c r="D193" s="331">
        <v>52.715058357708507</v>
      </c>
      <c r="E193" s="331">
        <v>28.155771125753439</v>
      </c>
      <c r="F193" s="331">
        <v>5.2399869599999995</v>
      </c>
      <c r="G193" s="331">
        <v>26.133799999999997</v>
      </c>
      <c r="H193" s="331"/>
      <c r="I193" s="331"/>
      <c r="J193" s="331"/>
      <c r="K193" s="331"/>
      <c r="L193" s="331"/>
      <c r="M193" s="331"/>
      <c r="N193" s="331"/>
      <c r="O193" s="331"/>
      <c r="P193" s="331">
        <v>207.48629282754189</v>
      </c>
    </row>
    <row r="194" spans="1:16" x14ac:dyDescent="0.2">
      <c r="A194" s="86" t="s">
        <v>402</v>
      </c>
      <c r="B194" s="331">
        <v>7.8732100000000003</v>
      </c>
      <c r="C194" s="331">
        <v>159.8548526414836</v>
      </c>
      <c r="D194" s="331">
        <v>20.532534483453233</v>
      </c>
      <c r="E194" s="331">
        <v>35.726100178438237</v>
      </c>
      <c r="F194" s="331">
        <v>14.223929100000001</v>
      </c>
      <c r="G194" s="331"/>
      <c r="H194" s="331"/>
      <c r="I194" s="331"/>
      <c r="J194" s="331"/>
      <c r="K194" s="331"/>
      <c r="L194" s="331"/>
      <c r="M194" s="331"/>
      <c r="N194" s="331"/>
      <c r="O194" s="331"/>
      <c r="P194" s="331">
        <v>238.21062640337507</v>
      </c>
    </row>
    <row r="195" spans="1:16" x14ac:dyDescent="0.2">
      <c r="A195" s="86" t="s">
        <v>353</v>
      </c>
      <c r="B195" s="331">
        <v>6932.3299121600003</v>
      </c>
      <c r="C195" s="331">
        <v>541.37479289581222</v>
      </c>
      <c r="D195" s="331">
        <v>7170.4031241945431</v>
      </c>
      <c r="E195" s="331">
        <v>3938.9276899903198</v>
      </c>
      <c r="F195" s="331">
        <v>1674.9819855600001</v>
      </c>
      <c r="G195" s="331">
        <v>2389.5410000000002</v>
      </c>
      <c r="H195" s="331"/>
      <c r="I195" s="331"/>
      <c r="J195" s="331"/>
      <c r="K195" s="331"/>
      <c r="L195" s="331"/>
      <c r="M195" s="331"/>
      <c r="N195" s="331"/>
      <c r="O195" s="331"/>
      <c r="P195" s="331">
        <v>22647.558504800676</v>
      </c>
    </row>
    <row r="196" spans="1:16" x14ac:dyDescent="0.2">
      <c r="A196" s="86" t="s">
        <v>356</v>
      </c>
      <c r="B196" s="331">
        <v>54.876273700000006</v>
      </c>
      <c r="C196" s="331">
        <v>102.42662909532844</v>
      </c>
      <c r="D196" s="331">
        <v>8.7409190994885542</v>
      </c>
      <c r="E196" s="331">
        <v>1632.5803515255325</v>
      </c>
      <c r="F196" s="331">
        <v>55.68648864</v>
      </c>
      <c r="G196" s="331">
        <v>1217.6009999999999</v>
      </c>
      <c r="H196" s="331"/>
      <c r="I196" s="331"/>
      <c r="J196" s="331"/>
      <c r="K196" s="331"/>
      <c r="L196" s="331"/>
      <c r="M196" s="331"/>
      <c r="N196" s="331"/>
      <c r="O196" s="331"/>
      <c r="P196" s="331">
        <v>3071.9116620603495</v>
      </c>
    </row>
    <row r="197" spans="1:16" x14ac:dyDescent="0.2">
      <c r="A197" s="87" t="s">
        <v>618</v>
      </c>
      <c r="B197" s="331">
        <v>377.91408000000001</v>
      </c>
      <c r="C197" s="331">
        <v>492.88001970684354</v>
      </c>
      <c r="D197" s="331">
        <v>462.07501847516585</v>
      </c>
      <c r="E197" s="331">
        <v>924.1500369503317</v>
      </c>
      <c r="F197" s="331"/>
      <c r="G197" s="331">
        <v>924.07501847516585</v>
      </c>
      <c r="H197" s="331">
        <v>462.07501847516585</v>
      </c>
      <c r="I197" s="331">
        <v>462.07501847516585</v>
      </c>
      <c r="J197" s="331">
        <v>462.07501847516585</v>
      </c>
      <c r="K197" s="331">
        <v>462.07501847516585</v>
      </c>
      <c r="L197" s="331">
        <v>462.07501847516585</v>
      </c>
      <c r="M197" s="331">
        <v>462.07501847516585</v>
      </c>
      <c r="N197" s="331"/>
      <c r="O197" s="331"/>
      <c r="P197" s="331">
        <v>5953.5442844585023</v>
      </c>
    </row>
    <row r="198" spans="1:16" x14ac:dyDescent="0.2">
      <c r="A198" s="86" t="s">
        <v>621</v>
      </c>
      <c r="B198" s="331"/>
      <c r="C198" s="331">
        <v>462.07501847516585</v>
      </c>
      <c r="D198" s="331">
        <v>462.07501847516585</v>
      </c>
      <c r="E198" s="331">
        <v>924.1500369503317</v>
      </c>
      <c r="F198" s="331"/>
      <c r="G198" s="331">
        <v>924.07501847516585</v>
      </c>
      <c r="H198" s="331">
        <v>462.07501847516585</v>
      </c>
      <c r="I198" s="331">
        <v>462.07501847516585</v>
      </c>
      <c r="J198" s="331">
        <v>462.07501847516585</v>
      </c>
      <c r="K198" s="331">
        <v>462.07501847516585</v>
      </c>
      <c r="L198" s="331">
        <v>462.07501847516585</v>
      </c>
      <c r="M198" s="331">
        <v>462.07501847516585</v>
      </c>
      <c r="N198" s="331"/>
      <c r="O198" s="331"/>
      <c r="P198" s="331">
        <v>5544.8252032268247</v>
      </c>
    </row>
    <row r="199" spans="1:16" x14ac:dyDescent="0.2">
      <c r="A199" s="86" t="s">
        <v>617</v>
      </c>
      <c r="B199" s="331">
        <v>377.91408000000001</v>
      </c>
      <c r="C199" s="331">
        <v>30.805001231677721</v>
      </c>
      <c r="D199" s="331"/>
      <c r="E199" s="331"/>
      <c r="F199" s="331"/>
      <c r="G199" s="331"/>
      <c r="H199" s="331"/>
      <c r="I199" s="331"/>
      <c r="J199" s="331"/>
      <c r="K199" s="331"/>
      <c r="L199" s="331"/>
      <c r="M199" s="331"/>
      <c r="N199" s="331"/>
      <c r="O199" s="331"/>
      <c r="P199" s="331">
        <v>408.71908123167771</v>
      </c>
    </row>
    <row r="200" spans="1:16" x14ac:dyDescent="0.2">
      <c r="A200" s="87" t="s">
        <v>371</v>
      </c>
      <c r="B200" s="331">
        <v>137.97800525</v>
      </c>
      <c r="C200" s="331"/>
      <c r="D200" s="331">
        <v>232.55465554824303</v>
      </c>
      <c r="E200" s="331">
        <v>124.5754249809047</v>
      </c>
      <c r="F200" s="331">
        <v>119.2383222511008</v>
      </c>
      <c r="G200" s="331"/>
      <c r="H200" s="331">
        <v>92.415003695033164</v>
      </c>
      <c r="I200" s="331">
        <v>92.415003695033164</v>
      </c>
      <c r="J200" s="331">
        <v>92.415003695033164</v>
      </c>
      <c r="K200" s="331">
        <v>92.415003695033164</v>
      </c>
      <c r="L200" s="331">
        <v>92.415003695033164</v>
      </c>
      <c r="M200" s="331">
        <v>221.78270369503315</v>
      </c>
      <c r="N200" s="331">
        <v>92.415003695033164</v>
      </c>
      <c r="O200" s="331"/>
      <c r="P200" s="331">
        <v>1390.6191338954809</v>
      </c>
    </row>
    <row r="201" spans="1:16" x14ac:dyDescent="0.2">
      <c r="A201" s="86" t="s">
        <v>370</v>
      </c>
      <c r="B201" s="331">
        <v>137.97800525</v>
      </c>
      <c r="C201" s="331"/>
      <c r="D201" s="331">
        <v>232.55465554824303</v>
      </c>
      <c r="E201" s="331">
        <v>124.5754249809047</v>
      </c>
      <c r="F201" s="331">
        <v>119.2383222511008</v>
      </c>
      <c r="G201" s="331"/>
      <c r="H201" s="331">
        <v>92.415003695033164</v>
      </c>
      <c r="I201" s="331">
        <v>92.415003695033164</v>
      </c>
      <c r="J201" s="331">
        <v>92.415003695033164</v>
      </c>
      <c r="K201" s="331">
        <v>92.415003695033164</v>
      </c>
      <c r="L201" s="331">
        <v>92.415003695033164</v>
      </c>
      <c r="M201" s="331">
        <v>221.78270369503315</v>
      </c>
      <c r="N201" s="331">
        <v>92.415003695033164</v>
      </c>
      <c r="O201" s="331"/>
      <c r="P201" s="331">
        <v>1390.6191338954809</v>
      </c>
    </row>
    <row r="202" spans="1:16" x14ac:dyDescent="0.2">
      <c r="A202" s="66" t="s">
        <v>3</v>
      </c>
      <c r="B202" s="331">
        <v>2232.4799908</v>
      </c>
      <c r="C202" s="331">
        <v>1324.12</v>
      </c>
      <c r="D202" s="331">
        <v>7912.42</v>
      </c>
      <c r="E202" s="331">
        <v>1044.5900000000001</v>
      </c>
      <c r="F202" s="331">
        <v>-6491.17</v>
      </c>
      <c r="G202" s="331">
        <v>9066.61440425</v>
      </c>
      <c r="H202" s="331">
        <v>240.53000000000003</v>
      </c>
      <c r="I202" s="331"/>
      <c r="J202" s="331"/>
      <c r="K202" s="331"/>
      <c r="L202" s="331"/>
      <c r="M202" s="331"/>
      <c r="N202" s="331"/>
      <c r="O202" s="331"/>
      <c r="P202" s="331">
        <v>15329.58439505</v>
      </c>
    </row>
    <row r="203" spans="1:16" x14ac:dyDescent="0.2">
      <c r="A203" s="87" t="s">
        <v>332</v>
      </c>
      <c r="B203" s="331">
        <v>4.6119912999999997</v>
      </c>
      <c r="C203" s="331">
        <v>6.52</v>
      </c>
      <c r="D203" s="331">
        <v>5.3100000000000005</v>
      </c>
      <c r="E203" s="331">
        <v>4.67</v>
      </c>
      <c r="F203" s="331">
        <v>14.64</v>
      </c>
      <c r="G203" s="331"/>
      <c r="H203" s="331"/>
      <c r="I203" s="331"/>
      <c r="J203" s="331"/>
      <c r="K203" s="331"/>
      <c r="L203" s="331"/>
      <c r="M203" s="331"/>
      <c r="N203" s="331"/>
      <c r="O203" s="331"/>
      <c r="P203" s="331">
        <v>35.7519913</v>
      </c>
    </row>
    <row r="204" spans="1:16" x14ac:dyDescent="0.2">
      <c r="A204" s="86" t="s">
        <v>332</v>
      </c>
      <c r="B204" s="331">
        <v>4.6119912999999997</v>
      </c>
      <c r="C204" s="331">
        <v>6.52</v>
      </c>
      <c r="D204" s="331">
        <v>5.3100000000000005</v>
      </c>
      <c r="E204" s="331">
        <v>4.67</v>
      </c>
      <c r="F204" s="331">
        <v>14.64</v>
      </c>
      <c r="G204" s="331"/>
      <c r="H204" s="331"/>
      <c r="I204" s="331"/>
      <c r="J204" s="331"/>
      <c r="K204" s="331"/>
      <c r="L204" s="331"/>
      <c r="M204" s="331"/>
      <c r="N204" s="331"/>
      <c r="O204" s="331"/>
      <c r="P204" s="331">
        <v>35.7519913</v>
      </c>
    </row>
    <row r="205" spans="1:16" x14ac:dyDescent="0.2">
      <c r="A205" s="87" t="s">
        <v>344</v>
      </c>
      <c r="B205" s="331">
        <v>13.738152500000002</v>
      </c>
      <c r="C205" s="331">
        <v>1.73</v>
      </c>
      <c r="D205" s="331"/>
      <c r="E205" s="331">
        <v>8.0299999999999994</v>
      </c>
      <c r="F205" s="331"/>
      <c r="G205" s="331"/>
      <c r="H205" s="331"/>
      <c r="I205" s="331"/>
      <c r="J205" s="331"/>
      <c r="K205" s="331"/>
      <c r="L205" s="331"/>
      <c r="M205" s="331"/>
      <c r="N205" s="331"/>
      <c r="O205" s="331"/>
      <c r="P205" s="331">
        <v>23.498152500000003</v>
      </c>
    </row>
    <row r="206" spans="1:16" x14ac:dyDescent="0.2">
      <c r="A206" s="86" t="s">
        <v>344</v>
      </c>
      <c r="B206" s="331">
        <v>13.738152500000002</v>
      </c>
      <c r="C206" s="331">
        <v>1.73</v>
      </c>
      <c r="D206" s="331"/>
      <c r="E206" s="331">
        <v>8.0299999999999994</v>
      </c>
      <c r="F206" s="331"/>
      <c r="G206" s="331"/>
      <c r="H206" s="331"/>
      <c r="I206" s="331"/>
      <c r="J206" s="331"/>
      <c r="K206" s="331"/>
      <c r="L206" s="331"/>
      <c r="M206" s="331"/>
      <c r="N206" s="331"/>
      <c r="O206" s="331"/>
      <c r="P206" s="331">
        <v>23.498152500000003</v>
      </c>
    </row>
    <row r="207" spans="1:16" x14ac:dyDescent="0.2">
      <c r="A207" s="87" t="s">
        <v>46</v>
      </c>
      <c r="B207" s="331">
        <v>51.500090000000007</v>
      </c>
      <c r="C207" s="331">
        <v>572.48</v>
      </c>
      <c r="D207" s="331"/>
      <c r="E207" s="331"/>
      <c r="F207" s="331"/>
      <c r="G207" s="331"/>
      <c r="H207" s="331"/>
      <c r="I207" s="331"/>
      <c r="J207" s="331"/>
      <c r="K207" s="331"/>
      <c r="L207" s="331"/>
      <c r="M207" s="331"/>
      <c r="N207" s="331"/>
      <c r="O207" s="331"/>
      <c r="P207" s="331">
        <v>623.98009000000002</v>
      </c>
    </row>
    <row r="208" spans="1:16" x14ac:dyDescent="0.2">
      <c r="A208" s="86" t="s">
        <v>349</v>
      </c>
      <c r="B208" s="331">
        <v>51.500090000000007</v>
      </c>
      <c r="C208" s="331"/>
      <c r="D208" s="331"/>
      <c r="E208" s="331"/>
      <c r="F208" s="331"/>
      <c r="G208" s="331"/>
      <c r="H208" s="331"/>
      <c r="I208" s="331"/>
      <c r="J208" s="331"/>
      <c r="K208" s="331"/>
      <c r="L208" s="331"/>
      <c r="M208" s="331"/>
      <c r="N208" s="331"/>
      <c r="O208" s="331"/>
      <c r="P208" s="331">
        <v>51.500090000000007</v>
      </c>
    </row>
    <row r="209" spans="1:16" x14ac:dyDescent="0.2">
      <c r="A209" s="86" t="s">
        <v>393</v>
      </c>
      <c r="B209" s="331"/>
      <c r="C209" s="331">
        <v>136.69</v>
      </c>
      <c r="D209" s="331"/>
      <c r="E209" s="331"/>
      <c r="F209" s="331"/>
      <c r="G209" s="331"/>
      <c r="H209" s="331"/>
      <c r="I209" s="331"/>
      <c r="J209" s="331"/>
      <c r="K209" s="331"/>
      <c r="L209" s="331"/>
      <c r="M209" s="331"/>
      <c r="N209" s="331"/>
      <c r="O209" s="331"/>
      <c r="P209" s="331">
        <v>136.69</v>
      </c>
    </row>
    <row r="210" spans="1:16" x14ac:dyDescent="0.2">
      <c r="A210" s="86" t="s">
        <v>390</v>
      </c>
      <c r="B210" s="331"/>
      <c r="C210" s="331">
        <v>435.79</v>
      </c>
      <c r="D210" s="331"/>
      <c r="E210" s="331"/>
      <c r="F210" s="331"/>
      <c r="G210" s="331"/>
      <c r="H210" s="331"/>
      <c r="I210" s="331"/>
      <c r="J210" s="331"/>
      <c r="K210" s="331"/>
      <c r="L210" s="331"/>
      <c r="M210" s="331"/>
      <c r="N210" s="331"/>
      <c r="O210" s="331"/>
      <c r="P210" s="331">
        <v>435.79</v>
      </c>
    </row>
    <row r="211" spans="1:16" x14ac:dyDescent="0.2">
      <c r="A211" s="87" t="s">
        <v>47</v>
      </c>
      <c r="B211" s="331">
        <v>96.590001200000017</v>
      </c>
      <c r="C211" s="331"/>
      <c r="D211" s="331"/>
      <c r="E211" s="331"/>
      <c r="F211" s="331">
        <v>4.82</v>
      </c>
      <c r="G211" s="331">
        <v>1716.53</v>
      </c>
      <c r="H211" s="331">
        <v>150.33000000000001</v>
      </c>
      <c r="I211" s="331"/>
      <c r="J211" s="331"/>
      <c r="K211" s="331"/>
      <c r="L211" s="331"/>
      <c r="M211" s="331"/>
      <c r="N211" s="331"/>
      <c r="O211" s="331"/>
      <c r="P211" s="331">
        <v>1968.2700012</v>
      </c>
    </row>
    <row r="212" spans="1:16" x14ac:dyDescent="0.2">
      <c r="A212" s="86" t="s">
        <v>332</v>
      </c>
      <c r="B212" s="331"/>
      <c r="C212" s="331"/>
      <c r="D212" s="331"/>
      <c r="E212" s="331"/>
      <c r="F212" s="331">
        <v>4.82</v>
      </c>
      <c r="G212" s="331"/>
      <c r="H212" s="331"/>
      <c r="I212" s="331"/>
      <c r="J212" s="331"/>
      <c r="K212" s="331"/>
      <c r="L212" s="331"/>
      <c r="M212" s="331"/>
      <c r="N212" s="331"/>
      <c r="O212" s="331"/>
      <c r="P212" s="331">
        <v>4.82</v>
      </c>
    </row>
    <row r="213" spans="1:16" x14ac:dyDescent="0.2">
      <c r="A213" s="86" t="s">
        <v>387</v>
      </c>
      <c r="B213" s="331"/>
      <c r="C213" s="331"/>
      <c r="D213" s="331"/>
      <c r="E213" s="331"/>
      <c r="F213" s="331"/>
      <c r="G213" s="331">
        <v>1566.2</v>
      </c>
      <c r="H213" s="331"/>
      <c r="I213" s="331"/>
      <c r="J213" s="331"/>
      <c r="K213" s="331"/>
      <c r="L213" s="331"/>
      <c r="M213" s="331"/>
      <c r="N213" s="331"/>
      <c r="O213" s="331"/>
      <c r="P213" s="331">
        <v>1566.2</v>
      </c>
    </row>
    <row r="214" spans="1:16" x14ac:dyDescent="0.2">
      <c r="A214" s="86" t="s">
        <v>364</v>
      </c>
      <c r="B214" s="331">
        <v>96.590001200000017</v>
      </c>
      <c r="C214" s="331"/>
      <c r="D214" s="331"/>
      <c r="E214" s="331"/>
      <c r="F214" s="331"/>
      <c r="G214" s="331">
        <v>150.33000000000001</v>
      </c>
      <c r="H214" s="331">
        <v>150.33000000000001</v>
      </c>
      <c r="I214" s="331"/>
      <c r="J214" s="331"/>
      <c r="K214" s="331"/>
      <c r="L214" s="331"/>
      <c r="M214" s="331"/>
      <c r="N214" s="331"/>
      <c r="O214" s="331"/>
      <c r="P214" s="331">
        <v>397.25000120000004</v>
      </c>
    </row>
    <row r="215" spans="1:16" x14ac:dyDescent="0.2">
      <c r="A215" s="87" t="s">
        <v>418</v>
      </c>
      <c r="B215" s="331"/>
      <c r="C215" s="331"/>
      <c r="D215" s="331"/>
      <c r="E215" s="331"/>
      <c r="F215" s="331">
        <v>-6865.47</v>
      </c>
      <c r="G215" s="331"/>
      <c r="H215" s="331"/>
      <c r="I215" s="331"/>
      <c r="J215" s="331"/>
      <c r="K215" s="331"/>
      <c r="L215" s="331"/>
      <c r="M215" s="331"/>
      <c r="N215" s="331"/>
      <c r="O215" s="331"/>
      <c r="P215" s="331">
        <v>-6865.47</v>
      </c>
    </row>
    <row r="216" spans="1:16" x14ac:dyDescent="0.2">
      <c r="A216" s="86" t="s">
        <v>418</v>
      </c>
      <c r="B216" s="331"/>
      <c r="C216" s="331"/>
      <c r="D216" s="331"/>
      <c r="E216" s="331"/>
      <c r="F216" s="331">
        <v>-6865.47</v>
      </c>
      <c r="G216" s="331"/>
      <c r="H216" s="331"/>
      <c r="I216" s="331"/>
      <c r="J216" s="331"/>
      <c r="K216" s="331"/>
      <c r="L216" s="331"/>
      <c r="M216" s="331"/>
      <c r="N216" s="331"/>
      <c r="O216" s="331"/>
      <c r="P216" s="331">
        <v>-6865.47</v>
      </c>
    </row>
    <row r="217" spans="1:16" x14ac:dyDescent="0.2">
      <c r="A217" s="87" t="s">
        <v>375</v>
      </c>
      <c r="B217" s="331">
        <v>39.847835000000003</v>
      </c>
      <c r="C217" s="331">
        <v>39.85</v>
      </c>
      <c r="D217" s="331">
        <v>40.39</v>
      </c>
      <c r="E217" s="331">
        <v>40.39</v>
      </c>
      <c r="F217" s="331">
        <v>40.56</v>
      </c>
      <c r="G217" s="331">
        <v>40.153643000000002</v>
      </c>
      <c r="H217" s="331"/>
      <c r="I217" s="331"/>
      <c r="J217" s="331"/>
      <c r="K217" s="331"/>
      <c r="L217" s="331"/>
      <c r="M217" s="331"/>
      <c r="N217" s="331"/>
      <c r="O217" s="331"/>
      <c r="P217" s="331">
        <v>241.19147800000002</v>
      </c>
    </row>
    <row r="218" spans="1:16" x14ac:dyDescent="0.2">
      <c r="A218" s="86" t="s">
        <v>374</v>
      </c>
      <c r="B218" s="331">
        <v>39.847835000000003</v>
      </c>
      <c r="C218" s="331">
        <v>39.85</v>
      </c>
      <c r="D218" s="331">
        <v>40.39</v>
      </c>
      <c r="E218" s="331">
        <v>40.39</v>
      </c>
      <c r="F218" s="331">
        <v>40.56</v>
      </c>
      <c r="G218" s="331">
        <v>40.153643000000002</v>
      </c>
      <c r="H218" s="331"/>
      <c r="I218" s="331"/>
      <c r="J218" s="331"/>
      <c r="K218" s="331"/>
      <c r="L218" s="331"/>
      <c r="M218" s="331"/>
      <c r="N218" s="331"/>
      <c r="O218" s="331"/>
      <c r="P218" s="331">
        <v>241.19147800000002</v>
      </c>
    </row>
    <row r="219" spans="1:16" x14ac:dyDescent="0.2">
      <c r="A219" s="87" t="s">
        <v>50</v>
      </c>
      <c r="B219" s="331">
        <v>134.52600325</v>
      </c>
      <c r="C219" s="331">
        <v>57.18</v>
      </c>
      <c r="D219" s="331"/>
      <c r="E219" s="331">
        <v>42.86</v>
      </c>
      <c r="F219" s="331"/>
      <c r="G219" s="331"/>
      <c r="H219" s="331"/>
      <c r="I219" s="331"/>
      <c r="J219" s="331"/>
      <c r="K219" s="331"/>
      <c r="L219" s="331"/>
      <c r="M219" s="331"/>
      <c r="N219" s="331"/>
      <c r="O219" s="331"/>
      <c r="P219" s="331">
        <v>234.56600324999999</v>
      </c>
    </row>
    <row r="220" spans="1:16" x14ac:dyDescent="0.2">
      <c r="A220" s="86" t="s">
        <v>50</v>
      </c>
      <c r="B220" s="331">
        <v>134.52600325</v>
      </c>
      <c r="C220" s="331">
        <v>57.18</v>
      </c>
      <c r="D220" s="331"/>
      <c r="E220" s="331">
        <v>42.86</v>
      </c>
      <c r="F220" s="331"/>
      <c r="G220" s="331"/>
      <c r="H220" s="331"/>
      <c r="I220" s="331"/>
      <c r="J220" s="331"/>
      <c r="K220" s="331"/>
      <c r="L220" s="331"/>
      <c r="M220" s="331"/>
      <c r="N220" s="331"/>
      <c r="O220" s="331"/>
      <c r="P220" s="331">
        <v>234.56600324999999</v>
      </c>
    </row>
    <row r="221" spans="1:16" x14ac:dyDescent="0.2">
      <c r="A221" s="87" t="s">
        <v>385</v>
      </c>
      <c r="B221" s="331">
        <v>-54.941101600000003</v>
      </c>
      <c r="C221" s="331"/>
      <c r="D221" s="331">
        <v>-7.38</v>
      </c>
      <c r="E221" s="331"/>
      <c r="F221" s="331"/>
      <c r="G221" s="331"/>
      <c r="H221" s="331"/>
      <c r="I221" s="331"/>
      <c r="J221" s="331"/>
      <c r="K221" s="331"/>
      <c r="L221" s="331"/>
      <c r="M221" s="331"/>
      <c r="N221" s="331"/>
      <c r="O221" s="331"/>
      <c r="P221" s="331">
        <v>-62.321101600000006</v>
      </c>
    </row>
    <row r="222" spans="1:16" x14ac:dyDescent="0.2">
      <c r="A222" s="86" t="s">
        <v>384</v>
      </c>
      <c r="B222" s="331">
        <v>-54.941101600000003</v>
      </c>
      <c r="C222" s="331"/>
      <c r="D222" s="331">
        <v>-7.38</v>
      </c>
      <c r="E222" s="331"/>
      <c r="F222" s="331"/>
      <c r="G222" s="331"/>
      <c r="H222" s="331"/>
      <c r="I222" s="331"/>
      <c r="J222" s="331"/>
      <c r="K222" s="331"/>
      <c r="L222" s="331"/>
      <c r="M222" s="331"/>
      <c r="N222" s="331"/>
      <c r="O222" s="331"/>
      <c r="P222" s="331">
        <v>-62.321101600000006</v>
      </c>
    </row>
    <row r="223" spans="1:16" x14ac:dyDescent="0.2">
      <c r="A223" s="87" t="s">
        <v>367</v>
      </c>
      <c r="B223" s="331">
        <v>61.408822400000005</v>
      </c>
      <c r="C223" s="331">
        <v>206.88</v>
      </c>
      <c r="D223" s="331">
        <v>238.41000000000003</v>
      </c>
      <c r="E223" s="331">
        <v>802.8900000000001</v>
      </c>
      <c r="F223" s="331">
        <v>250.03000000000003</v>
      </c>
      <c r="G223" s="331">
        <v>90.2</v>
      </c>
      <c r="H223" s="331">
        <v>90.2</v>
      </c>
      <c r="I223" s="331"/>
      <c r="J223" s="331"/>
      <c r="K223" s="331"/>
      <c r="L223" s="331"/>
      <c r="M223" s="331"/>
      <c r="N223" s="331"/>
      <c r="O223" s="331"/>
      <c r="P223" s="331">
        <v>1740.0188224000003</v>
      </c>
    </row>
    <row r="224" spans="1:16" x14ac:dyDescent="0.2">
      <c r="A224" s="86" t="s">
        <v>367</v>
      </c>
      <c r="B224" s="331">
        <v>61.408822400000005</v>
      </c>
      <c r="C224" s="331">
        <v>206.88</v>
      </c>
      <c r="D224" s="331">
        <v>238.41000000000003</v>
      </c>
      <c r="E224" s="331">
        <v>219.70000000000002</v>
      </c>
      <c r="F224" s="331">
        <v>250.03000000000003</v>
      </c>
      <c r="G224" s="331">
        <v>90.2</v>
      </c>
      <c r="H224" s="331">
        <v>90.2</v>
      </c>
      <c r="I224" s="331"/>
      <c r="J224" s="331"/>
      <c r="K224" s="331"/>
      <c r="L224" s="331"/>
      <c r="M224" s="331"/>
      <c r="N224" s="331"/>
      <c r="O224" s="331"/>
      <c r="P224" s="331">
        <v>1156.8288224000003</v>
      </c>
    </row>
    <row r="225" spans="1:16" x14ac:dyDescent="0.2">
      <c r="A225" s="86" t="s">
        <v>1861</v>
      </c>
      <c r="B225" s="331"/>
      <c r="C225" s="331"/>
      <c r="D225" s="331"/>
      <c r="E225" s="331">
        <v>583.19000000000005</v>
      </c>
      <c r="F225" s="331"/>
      <c r="G225" s="331"/>
      <c r="H225" s="331"/>
      <c r="I225" s="331"/>
      <c r="J225" s="331"/>
      <c r="K225" s="331"/>
      <c r="L225" s="331"/>
      <c r="M225" s="331"/>
      <c r="N225" s="331"/>
      <c r="O225" s="331"/>
      <c r="P225" s="331">
        <v>583.19000000000005</v>
      </c>
    </row>
    <row r="226" spans="1:16" x14ac:dyDescent="0.2">
      <c r="A226" s="87" t="s">
        <v>410</v>
      </c>
      <c r="B226" s="331"/>
      <c r="C226" s="331"/>
      <c r="D226" s="331">
        <v>7406.63</v>
      </c>
      <c r="E226" s="331"/>
      <c r="F226" s="331"/>
      <c r="G226" s="331">
        <v>7156.13</v>
      </c>
      <c r="H226" s="331"/>
      <c r="I226" s="331"/>
      <c r="J226" s="331"/>
      <c r="K226" s="331"/>
      <c r="L226" s="331"/>
      <c r="M226" s="331"/>
      <c r="N226" s="331"/>
      <c r="O226" s="331"/>
      <c r="P226" s="331">
        <v>14562.76</v>
      </c>
    </row>
    <row r="227" spans="1:16" x14ac:dyDescent="0.2">
      <c r="A227" s="86" t="s">
        <v>409</v>
      </c>
      <c r="B227" s="331"/>
      <c r="C227" s="331"/>
      <c r="D227" s="331">
        <v>7406.63</v>
      </c>
      <c r="E227" s="331"/>
      <c r="F227" s="331"/>
      <c r="G227" s="331">
        <v>7156.13</v>
      </c>
      <c r="H227" s="331"/>
      <c r="I227" s="331"/>
      <c r="J227" s="331"/>
      <c r="K227" s="331"/>
      <c r="L227" s="331"/>
      <c r="M227" s="331"/>
      <c r="N227" s="331"/>
      <c r="O227" s="331"/>
      <c r="P227" s="331">
        <v>14562.76</v>
      </c>
    </row>
    <row r="228" spans="1:16" x14ac:dyDescent="0.2">
      <c r="A228" s="87" t="s">
        <v>60</v>
      </c>
      <c r="B228" s="331">
        <v>298.25744860000003</v>
      </c>
      <c r="C228" s="331">
        <v>94.48</v>
      </c>
      <c r="D228" s="331">
        <v>90.98</v>
      </c>
      <c r="E228" s="331">
        <v>95.81</v>
      </c>
      <c r="F228" s="331"/>
      <c r="G228" s="331"/>
      <c r="H228" s="331"/>
      <c r="I228" s="331"/>
      <c r="J228" s="331"/>
      <c r="K228" s="331"/>
      <c r="L228" s="331"/>
      <c r="M228" s="331"/>
      <c r="N228" s="331"/>
      <c r="O228" s="331"/>
      <c r="P228" s="331">
        <v>579.52744860000007</v>
      </c>
    </row>
    <row r="229" spans="1:16" x14ac:dyDescent="0.2">
      <c r="A229" s="86" t="s">
        <v>60</v>
      </c>
      <c r="B229" s="331">
        <v>298.25744860000003</v>
      </c>
      <c r="C229" s="331">
        <v>94.48</v>
      </c>
      <c r="D229" s="331">
        <v>90.98</v>
      </c>
      <c r="E229" s="331">
        <v>95.81</v>
      </c>
      <c r="F229" s="331"/>
      <c r="G229" s="331"/>
      <c r="H229" s="331"/>
      <c r="I229" s="331"/>
      <c r="J229" s="331"/>
      <c r="K229" s="331"/>
      <c r="L229" s="331"/>
      <c r="M229" s="331"/>
      <c r="N229" s="331"/>
      <c r="O229" s="331"/>
      <c r="P229" s="331">
        <v>579.52744860000007</v>
      </c>
    </row>
    <row r="230" spans="1:16" x14ac:dyDescent="0.2">
      <c r="A230" s="87" t="s">
        <v>48</v>
      </c>
      <c r="B230" s="331">
        <v>1551.476175</v>
      </c>
      <c r="C230" s="331">
        <v>268.95</v>
      </c>
      <c r="D230" s="331"/>
      <c r="E230" s="331"/>
      <c r="F230" s="331"/>
      <c r="G230" s="331"/>
      <c r="H230" s="331"/>
      <c r="I230" s="331"/>
      <c r="J230" s="331"/>
      <c r="K230" s="331"/>
      <c r="L230" s="331"/>
      <c r="M230" s="331"/>
      <c r="N230" s="331"/>
      <c r="O230" s="331"/>
      <c r="P230" s="331">
        <v>1820.4261750000001</v>
      </c>
    </row>
    <row r="231" spans="1:16" x14ac:dyDescent="0.2">
      <c r="A231" s="86" t="s">
        <v>339</v>
      </c>
      <c r="B231" s="331">
        <v>1551.476175</v>
      </c>
      <c r="C231" s="331"/>
      <c r="D231" s="331"/>
      <c r="E231" s="331"/>
      <c r="F231" s="331"/>
      <c r="G231" s="331"/>
      <c r="H231" s="331"/>
      <c r="I231" s="331"/>
      <c r="J231" s="331"/>
      <c r="K231" s="331"/>
      <c r="L231" s="331"/>
      <c r="M231" s="331"/>
      <c r="N231" s="331"/>
      <c r="O231" s="331"/>
      <c r="P231" s="331">
        <v>1551.476175</v>
      </c>
    </row>
    <row r="232" spans="1:16" x14ac:dyDescent="0.2">
      <c r="A232" s="86" t="s">
        <v>391</v>
      </c>
      <c r="B232" s="331"/>
      <c r="C232" s="331">
        <v>24.81</v>
      </c>
      <c r="D232" s="331"/>
      <c r="E232" s="331"/>
      <c r="F232" s="331"/>
      <c r="G232" s="331"/>
      <c r="H232" s="331"/>
      <c r="I232" s="331"/>
      <c r="J232" s="331"/>
      <c r="K232" s="331"/>
      <c r="L232" s="331"/>
      <c r="M232" s="331"/>
      <c r="N232" s="331"/>
      <c r="O232" s="331"/>
      <c r="P232" s="331">
        <v>24.81</v>
      </c>
    </row>
    <row r="233" spans="1:16" x14ac:dyDescent="0.2">
      <c r="A233" s="86" t="s">
        <v>356</v>
      </c>
      <c r="B233" s="331"/>
      <c r="C233" s="331">
        <v>244.14</v>
      </c>
      <c r="D233" s="331"/>
      <c r="E233" s="331"/>
      <c r="F233" s="331"/>
      <c r="G233" s="331"/>
      <c r="H233" s="331"/>
      <c r="I233" s="331"/>
      <c r="J233" s="331"/>
      <c r="K233" s="331"/>
      <c r="L233" s="331"/>
      <c r="M233" s="331"/>
      <c r="N233" s="331"/>
      <c r="O233" s="331"/>
      <c r="P233" s="331">
        <v>244.14</v>
      </c>
    </row>
    <row r="234" spans="1:16" x14ac:dyDescent="0.2">
      <c r="A234" s="87" t="s">
        <v>371</v>
      </c>
      <c r="B234" s="331">
        <v>35.46457315</v>
      </c>
      <c r="C234" s="331">
        <v>76.05</v>
      </c>
      <c r="D234" s="331">
        <v>75.84</v>
      </c>
      <c r="E234" s="331">
        <v>49.94</v>
      </c>
      <c r="F234" s="331">
        <v>64.25</v>
      </c>
      <c r="G234" s="331">
        <v>63.600761250000005</v>
      </c>
      <c r="H234" s="331"/>
      <c r="I234" s="331"/>
      <c r="J234" s="331"/>
      <c r="K234" s="331"/>
      <c r="L234" s="331"/>
      <c r="M234" s="331"/>
      <c r="N234" s="331"/>
      <c r="O234" s="331"/>
      <c r="P234" s="331">
        <v>365.14533440000002</v>
      </c>
    </row>
    <row r="235" spans="1:16" x14ac:dyDescent="0.2">
      <c r="A235" s="86" t="s">
        <v>370</v>
      </c>
      <c r="B235" s="331">
        <v>35.46457315</v>
      </c>
      <c r="C235" s="331">
        <v>76.05</v>
      </c>
      <c r="D235" s="331">
        <v>75.84</v>
      </c>
      <c r="E235" s="331">
        <v>49.94</v>
      </c>
      <c r="F235" s="331">
        <v>64.25</v>
      </c>
      <c r="G235" s="331">
        <v>63.600761250000005</v>
      </c>
      <c r="H235" s="331"/>
      <c r="I235" s="331"/>
      <c r="J235" s="331"/>
      <c r="K235" s="331"/>
      <c r="L235" s="331"/>
      <c r="M235" s="331"/>
      <c r="N235" s="331"/>
      <c r="O235" s="331"/>
      <c r="P235" s="331">
        <v>365.14533440000002</v>
      </c>
    </row>
    <row r="236" spans="1:16" x14ac:dyDescent="0.2">
      <c r="A236" s="87" t="s">
        <v>1879</v>
      </c>
      <c r="B236" s="331"/>
      <c r="C236" s="331"/>
      <c r="D236" s="331">
        <v>62.24</v>
      </c>
      <c r="E236" s="331"/>
      <c r="F236" s="331"/>
      <c r="G236" s="331"/>
      <c r="H236" s="331"/>
      <c r="I236" s="331"/>
      <c r="J236" s="331"/>
      <c r="K236" s="331"/>
      <c r="L236" s="331"/>
      <c r="M236" s="331"/>
      <c r="N236" s="331"/>
      <c r="O236" s="331"/>
      <c r="P236" s="331">
        <v>62.24</v>
      </c>
    </row>
    <row r="237" spans="1:16" x14ac:dyDescent="0.2">
      <c r="A237" s="86" t="s">
        <v>367</v>
      </c>
      <c r="B237" s="331"/>
      <c r="C237" s="331"/>
      <c r="D237" s="331">
        <v>62.24</v>
      </c>
      <c r="E237" s="331"/>
      <c r="F237" s="331"/>
      <c r="G237" s="331"/>
      <c r="H237" s="331"/>
      <c r="I237" s="331"/>
      <c r="J237" s="331"/>
      <c r="K237" s="331"/>
      <c r="L237" s="331"/>
      <c r="M237" s="331"/>
      <c r="N237" s="331"/>
      <c r="O237" s="331"/>
      <c r="P237" s="331">
        <v>62.24</v>
      </c>
    </row>
    <row r="238" spans="1:16" x14ac:dyDescent="0.2">
      <c r="A238" s="66" t="s">
        <v>2</v>
      </c>
      <c r="B238" s="331">
        <v>-16967.915383839987</v>
      </c>
      <c r="C238" s="331">
        <v>222891.57345359997</v>
      </c>
      <c r="D238" s="331">
        <v>25502.275937584458</v>
      </c>
      <c r="E238" s="331">
        <v>14680.119965267586</v>
      </c>
      <c r="F238" s="331">
        <v>21137.427271709206</v>
      </c>
      <c r="G238" s="331">
        <v>175467.44903181016</v>
      </c>
      <c r="H238" s="331">
        <v>29077.558741031349</v>
      </c>
      <c r="I238" s="331">
        <v>25787.114788554551</v>
      </c>
      <c r="J238" s="331">
        <v>16787.114788554547</v>
      </c>
      <c r="K238" s="331">
        <v>21287.114788554551</v>
      </c>
      <c r="L238" s="331">
        <v>21287.114788554551</v>
      </c>
      <c r="M238" s="331">
        <v>19787.114788554547</v>
      </c>
      <c r="N238" s="331">
        <v>4330.5908360777457</v>
      </c>
      <c r="O238" s="331"/>
      <c r="P238" s="331">
        <v>581054.65379601333</v>
      </c>
    </row>
    <row r="239" spans="1:16" x14ac:dyDescent="0.2">
      <c r="A239" s="87" t="s">
        <v>447</v>
      </c>
      <c r="B239" s="331"/>
      <c r="C239" s="331"/>
      <c r="D239" s="331"/>
      <c r="E239" s="331"/>
      <c r="F239" s="331"/>
      <c r="G239" s="331"/>
      <c r="H239" s="331">
        <v>8795.2199999999993</v>
      </c>
      <c r="I239" s="331"/>
      <c r="J239" s="331"/>
      <c r="K239" s="331"/>
      <c r="L239" s="331"/>
      <c r="M239" s="331"/>
      <c r="N239" s="331"/>
      <c r="O239" s="331"/>
      <c r="P239" s="331">
        <v>8795.2199999999993</v>
      </c>
    </row>
    <row r="240" spans="1:16" x14ac:dyDescent="0.2">
      <c r="A240" s="86" t="s">
        <v>447</v>
      </c>
      <c r="B240" s="331"/>
      <c r="C240" s="331"/>
      <c r="D240" s="331"/>
      <c r="E240" s="331"/>
      <c r="F240" s="331"/>
      <c r="G240" s="331"/>
      <c r="H240" s="331">
        <v>8795.2199999999993</v>
      </c>
      <c r="I240" s="331"/>
      <c r="J240" s="331"/>
      <c r="K240" s="331"/>
      <c r="L240" s="331"/>
      <c r="M240" s="331"/>
      <c r="N240" s="331"/>
      <c r="O240" s="331"/>
      <c r="P240" s="331">
        <v>8795.2199999999993</v>
      </c>
    </row>
    <row r="241" spans="1:16" x14ac:dyDescent="0.2">
      <c r="A241" s="87" t="s">
        <v>464</v>
      </c>
      <c r="B241" s="331">
        <v>25636.404663999998</v>
      </c>
      <c r="C241" s="331">
        <v>2997.1482375999994</v>
      </c>
      <c r="D241" s="331"/>
      <c r="E241" s="331">
        <v>336.06526377980532</v>
      </c>
      <c r="F241" s="331"/>
      <c r="G241" s="331"/>
      <c r="H241" s="331"/>
      <c r="I241" s="331"/>
      <c r="J241" s="331"/>
      <c r="K241" s="331"/>
      <c r="L241" s="331"/>
      <c r="M241" s="331"/>
      <c r="N241" s="331"/>
      <c r="O241" s="331"/>
      <c r="P241" s="331">
        <v>28969.618165379801</v>
      </c>
    </row>
    <row r="242" spans="1:16" x14ac:dyDescent="0.2">
      <c r="A242" s="86" t="s">
        <v>464</v>
      </c>
      <c r="B242" s="331">
        <v>25636.404663999998</v>
      </c>
      <c r="C242" s="331">
        <v>2997.1482375999994</v>
      </c>
      <c r="D242" s="331"/>
      <c r="E242" s="331">
        <v>336.06526377980532</v>
      </c>
      <c r="F242" s="331"/>
      <c r="G242" s="331"/>
      <c r="H242" s="331"/>
      <c r="I242" s="331"/>
      <c r="J242" s="331"/>
      <c r="K242" s="331"/>
      <c r="L242" s="331"/>
      <c r="M242" s="331"/>
      <c r="N242" s="331"/>
      <c r="O242" s="331"/>
      <c r="P242" s="331">
        <v>28969.618165379801</v>
      </c>
    </row>
    <row r="243" spans="1:16" x14ac:dyDescent="0.2">
      <c r="A243" s="87" t="s">
        <v>1148</v>
      </c>
      <c r="B243" s="331">
        <v>132688.62</v>
      </c>
      <c r="C243" s="331">
        <v>-190100</v>
      </c>
      <c r="D243" s="331"/>
      <c r="E243" s="331"/>
      <c r="F243" s="331"/>
      <c r="G243" s="331"/>
      <c r="H243" s="331"/>
      <c r="I243" s="331"/>
      <c r="J243" s="331"/>
      <c r="K243" s="331"/>
      <c r="L243" s="331"/>
      <c r="M243" s="331"/>
      <c r="N243" s="331"/>
      <c r="O243" s="331"/>
      <c r="P243" s="331">
        <v>-57411.380000000005</v>
      </c>
    </row>
    <row r="244" spans="1:16" x14ac:dyDescent="0.2">
      <c r="A244" s="86" t="s">
        <v>1049</v>
      </c>
      <c r="B244" s="331">
        <v>132688.62</v>
      </c>
      <c r="C244" s="331">
        <v>-190100</v>
      </c>
      <c r="D244" s="331"/>
      <c r="E244" s="331"/>
      <c r="F244" s="331"/>
      <c r="G244" s="331"/>
      <c r="H244" s="331"/>
      <c r="I244" s="331"/>
      <c r="J244" s="331"/>
      <c r="K244" s="331"/>
      <c r="L244" s="331"/>
      <c r="M244" s="331"/>
      <c r="N244" s="331"/>
      <c r="O244" s="331"/>
      <c r="P244" s="331">
        <v>-57411.380000000005</v>
      </c>
    </row>
    <row r="245" spans="1:16" x14ac:dyDescent="0.2">
      <c r="A245" s="87" t="s">
        <v>332</v>
      </c>
      <c r="B245" s="331">
        <v>7.9299653599999997</v>
      </c>
      <c r="C245" s="331">
        <v>21.280249599999998</v>
      </c>
      <c r="D245" s="331">
        <v>3.3151121914886978</v>
      </c>
      <c r="E245" s="331">
        <v>2.9521437033694973</v>
      </c>
      <c r="F245" s="331">
        <v>11.446712421671684</v>
      </c>
      <c r="G245" s="331">
        <v>1.8135573744144524</v>
      </c>
      <c r="H245" s="331"/>
      <c r="I245" s="331"/>
      <c r="J245" s="331"/>
      <c r="K245" s="331"/>
      <c r="L245" s="331"/>
      <c r="M245" s="331"/>
      <c r="N245" s="331"/>
      <c r="O245" s="331"/>
      <c r="P245" s="331">
        <v>48.737740650944332</v>
      </c>
    </row>
    <row r="246" spans="1:16" x14ac:dyDescent="0.2">
      <c r="A246" s="86" t="s">
        <v>332</v>
      </c>
      <c r="B246" s="331">
        <v>7.9299653599999997</v>
      </c>
      <c r="C246" s="331">
        <v>21.280249599999998</v>
      </c>
      <c r="D246" s="331">
        <v>3.3151121914886978</v>
      </c>
      <c r="E246" s="331">
        <v>2.9521437033694973</v>
      </c>
      <c r="F246" s="331">
        <v>11.446712421671684</v>
      </c>
      <c r="G246" s="331">
        <v>1.8135573744144524</v>
      </c>
      <c r="H246" s="331"/>
      <c r="I246" s="331"/>
      <c r="J246" s="331"/>
      <c r="K246" s="331"/>
      <c r="L246" s="331"/>
      <c r="M246" s="331"/>
      <c r="N246" s="331"/>
      <c r="O246" s="331"/>
      <c r="P246" s="331">
        <v>48.737740650944332</v>
      </c>
    </row>
    <row r="247" spans="1:16" x14ac:dyDescent="0.2">
      <c r="A247" s="87" t="s">
        <v>473</v>
      </c>
      <c r="B247" s="331">
        <v>2.5376799999999999</v>
      </c>
      <c r="C247" s="331">
        <v>2.5691199999999998</v>
      </c>
      <c r="D247" s="331">
        <v>125.58709688924337</v>
      </c>
      <c r="E247" s="331"/>
      <c r="F247" s="331"/>
      <c r="G247" s="331"/>
      <c r="H247" s="331"/>
      <c r="I247" s="331"/>
      <c r="J247" s="331"/>
      <c r="K247" s="331"/>
      <c r="L247" s="331"/>
      <c r="M247" s="331"/>
      <c r="N247" s="331"/>
      <c r="O247" s="331"/>
      <c r="P247" s="331">
        <v>130.69389688924338</v>
      </c>
    </row>
    <row r="248" spans="1:16" x14ac:dyDescent="0.2">
      <c r="A248" s="86" t="s">
        <v>472</v>
      </c>
      <c r="B248" s="331">
        <v>2.5376799999999999</v>
      </c>
      <c r="C248" s="331">
        <v>2.5691199999999998</v>
      </c>
      <c r="D248" s="331">
        <v>125.58709688924337</v>
      </c>
      <c r="E248" s="331"/>
      <c r="F248" s="331"/>
      <c r="G248" s="331"/>
      <c r="H248" s="331"/>
      <c r="I248" s="331"/>
      <c r="J248" s="331"/>
      <c r="K248" s="331"/>
      <c r="L248" s="331"/>
      <c r="M248" s="331"/>
      <c r="N248" s="331"/>
      <c r="O248" s="331"/>
      <c r="P248" s="331">
        <v>130.69389688924338</v>
      </c>
    </row>
    <row r="249" spans="1:16" x14ac:dyDescent="0.2">
      <c r="A249" s="87" t="s">
        <v>510</v>
      </c>
      <c r="B249" s="331"/>
      <c r="C249" s="331">
        <v>4272.6899999999996</v>
      </c>
      <c r="D249" s="331">
        <v>4074.2002896419858</v>
      </c>
      <c r="E249" s="331">
        <v>4074.2002896419858</v>
      </c>
      <c r="F249" s="331">
        <v>4158.8231850000002</v>
      </c>
      <c r="G249" s="331">
        <v>140998.82992800002</v>
      </c>
      <c r="H249" s="331">
        <v>4074.2002896419858</v>
      </c>
      <c r="I249" s="331">
        <v>4074.2002896419858</v>
      </c>
      <c r="J249" s="331">
        <v>4074.2002896419858</v>
      </c>
      <c r="K249" s="331">
        <v>4074.2002896419858</v>
      </c>
      <c r="L249" s="331">
        <v>4074.2002896419858</v>
      </c>
      <c r="M249" s="331">
        <v>4074.2002896419858</v>
      </c>
      <c r="N249" s="331">
        <v>4074.2002896419858</v>
      </c>
      <c r="O249" s="331"/>
      <c r="P249" s="331">
        <v>186098.14571977779</v>
      </c>
    </row>
    <row r="250" spans="1:16" x14ac:dyDescent="0.2">
      <c r="A250" s="86" t="s">
        <v>509</v>
      </c>
      <c r="B250" s="331"/>
      <c r="C250" s="331">
        <v>4272.6899999999996</v>
      </c>
      <c r="D250" s="331">
        <v>4074.2002896419858</v>
      </c>
      <c r="E250" s="331">
        <v>4074.2002896419858</v>
      </c>
      <c r="F250" s="331">
        <v>4158.8231850000002</v>
      </c>
      <c r="G250" s="331">
        <v>140998.82992800002</v>
      </c>
      <c r="H250" s="331">
        <v>4074.2002896419858</v>
      </c>
      <c r="I250" s="331">
        <v>4074.2002896419858</v>
      </c>
      <c r="J250" s="331">
        <v>4074.2002896419858</v>
      </c>
      <c r="K250" s="331">
        <v>4074.2002896419858</v>
      </c>
      <c r="L250" s="331">
        <v>4074.2002896419858</v>
      </c>
      <c r="M250" s="331">
        <v>4074.2002896419858</v>
      </c>
      <c r="N250" s="331">
        <v>4074.2002896419858</v>
      </c>
      <c r="O250" s="331"/>
      <c r="P250" s="331">
        <v>186098.14571977779</v>
      </c>
    </row>
    <row r="251" spans="1:16" x14ac:dyDescent="0.2">
      <c r="A251" s="87" t="s">
        <v>572</v>
      </c>
      <c r="B251" s="331"/>
      <c r="C251" s="331"/>
      <c r="D251" s="331">
        <v>8413.8224961160959</v>
      </c>
      <c r="E251" s="331">
        <v>-2831.1542073297637</v>
      </c>
      <c r="F251" s="331"/>
      <c r="G251" s="331"/>
      <c r="H251" s="331"/>
      <c r="I251" s="331"/>
      <c r="J251" s="331"/>
      <c r="K251" s="331"/>
      <c r="L251" s="331"/>
      <c r="M251" s="331"/>
      <c r="N251" s="331"/>
      <c r="O251" s="331"/>
      <c r="P251" s="331">
        <v>5582.6682887863317</v>
      </c>
    </row>
    <row r="252" spans="1:16" x14ac:dyDescent="0.2">
      <c r="A252" s="86" t="s">
        <v>571</v>
      </c>
      <c r="B252" s="331"/>
      <c r="C252" s="331"/>
      <c r="D252" s="331">
        <v>8413.8224961160959</v>
      </c>
      <c r="E252" s="331">
        <v>-2831.1542073297637</v>
      </c>
      <c r="F252" s="331"/>
      <c r="G252" s="331"/>
      <c r="H252" s="331"/>
      <c r="I252" s="331"/>
      <c r="J252" s="331"/>
      <c r="K252" s="331"/>
      <c r="L252" s="331"/>
      <c r="M252" s="331"/>
      <c r="N252" s="331"/>
      <c r="O252" s="331"/>
      <c r="P252" s="331">
        <v>5582.6682887863317</v>
      </c>
    </row>
    <row r="253" spans="1:16" x14ac:dyDescent="0.2">
      <c r="A253" s="87" t="s">
        <v>1166</v>
      </c>
      <c r="B253" s="331">
        <v>-121000</v>
      </c>
      <c r="C253" s="331">
        <v>190000</v>
      </c>
      <c r="D253" s="331"/>
      <c r="E253" s="331"/>
      <c r="F253" s="331"/>
      <c r="G253" s="331"/>
      <c r="H253" s="331"/>
      <c r="I253" s="331"/>
      <c r="J253" s="331"/>
      <c r="K253" s="331"/>
      <c r="L253" s="331"/>
      <c r="M253" s="331"/>
      <c r="N253" s="331"/>
      <c r="O253" s="331"/>
      <c r="P253" s="331">
        <v>69000</v>
      </c>
    </row>
    <row r="254" spans="1:16" x14ac:dyDescent="0.2">
      <c r="A254" s="86" t="s">
        <v>1047</v>
      </c>
      <c r="B254" s="331">
        <v>-121000</v>
      </c>
      <c r="C254" s="331">
        <v>190000</v>
      </c>
      <c r="D254" s="331"/>
      <c r="E254" s="331"/>
      <c r="F254" s="331"/>
      <c r="G254" s="331"/>
      <c r="H254" s="331"/>
      <c r="I254" s="331"/>
      <c r="J254" s="331"/>
      <c r="K254" s="331"/>
      <c r="L254" s="331"/>
      <c r="M254" s="331"/>
      <c r="N254" s="331"/>
      <c r="O254" s="331"/>
      <c r="P254" s="331">
        <v>69000</v>
      </c>
    </row>
    <row r="255" spans="1:16" x14ac:dyDescent="0.2">
      <c r="A255" s="87" t="s">
        <v>46</v>
      </c>
      <c r="B255" s="331"/>
      <c r="C255" s="331">
        <v>8610.0742635200004</v>
      </c>
      <c r="D255" s="331">
        <v>126.11945067181819</v>
      </c>
      <c r="E255" s="331">
        <v>143.7355212952034</v>
      </c>
      <c r="F255" s="331">
        <v>236.84</v>
      </c>
      <c r="G255" s="331">
        <v>1812.8625</v>
      </c>
      <c r="H255" s="331"/>
      <c r="I255" s="331"/>
      <c r="J255" s="331"/>
      <c r="K255" s="331"/>
      <c r="L255" s="331"/>
      <c r="M255" s="331"/>
      <c r="N255" s="331"/>
      <c r="O255" s="331"/>
      <c r="P255" s="331">
        <v>10929.631735487023</v>
      </c>
    </row>
    <row r="256" spans="1:16" x14ac:dyDescent="0.2">
      <c r="A256" s="86" t="s">
        <v>349</v>
      </c>
      <c r="B256" s="331"/>
      <c r="C256" s="331">
        <v>8229.0557836799999</v>
      </c>
      <c r="D256" s="331">
        <v>32.110612248945266</v>
      </c>
      <c r="E256" s="331"/>
      <c r="F256" s="331">
        <v>236.84</v>
      </c>
      <c r="G256" s="331"/>
      <c r="H256" s="331"/>
      <c r="I256" s="331"/>
      <c r="J256" s="331"/>
      <c r="K256" s="331"/>
      <c r="L256" s="331"/>
      <c r="M256" s="331"/>
      <c r="N256" s="331"/>
      <c r="O256" s="331"/>
      <c r="P256" s="331">
        <v>8498.0063959289455</v>
      </c>
    </row>
    <row r="257" spans="1:16" x14ac:dyDescent="0.2">
      <c r="A257" s="86" t="s">
        <v>393</v>
      </c>
      <c r="B257" s="331"/>
      <c r="C257" s="331">
        <v>179.83839999999998</v>
      </c>
      <c r="D257" s="331">
        <v>94.008838422872927</v>
      </c>
      <c r="E257" s="331">
        <v>47.427882447575527</v>
      </c>
      <c r="F257" s="331"/>
      <c r="G257" s="331"/>
      <c r="H257" s="331"/>
      <c r="I257" s="331"/>
      <c r="J257" s="331"/>
      <c r="K257" s="331"/>
      <c r="L257" s="331"/>
      <c r="M257" s="331"/>
      <c r="N257" s="331"/>
      <c r="O257" s="331"/>
      <c r="P257" s="331">
        <v>321.27512087044846</v>
      </c>
    </row>
    <row r="258" spans="1:16" x14ac:dyDescent="0.2">
      <c r="A258" s="86" t="s">
        <v>390</v>
      </c>
      <c r="B258" s="331"/>
      <c r="C258" s="331"/>
      <c r="D258" s="331"/>
      <c r="E258" s="331">
        <v>96.307638847627857</v>
      </c>
      <c r="F258" s="331"/>
      <c r="G258" s="331">
        <v>91.112499999999997</v>
      </c>
      <c r="H258" s="331"/>
      <c r="I258" s="331"/>
      <c r="J258" s="331"/>
      <c r="K258" s="331"/>
      <c r="L258" s="331"/>
      <c r="M258" s="331"/>
      <c r="N258" s="331"/>
      <c r="O258" s="331"/>
      <c r="P258" s="331">
        <v>187.42013884762787</v>
      </c>
    </row>
    <row r="259" spans="1:16" x14ac:dyDescent="0.2">
      <c r="A259" s="86" t="s">
        <v>540</v>
      </c>
      <c r="B259" s="331"/>
      <c r="C259" s="331">
        <v>201.18007983999999</v>
      </c>
      <c r="D259" s="331"/>
      <c r="E259" s="331"/>
      <c r="F259" s="331"/>
      <c r="G259" s="331"/>
      <c r="H259" s="331"/>
      <c r="I259" s="331"/>
      <c r="J259" s="331"/>
      <c r="K259" s="331"/>
      <c r="L259" s="331"/>
      <c r="M259" s="331"/>
      <c r="N259" s="331"/>
      <c r="O259" s="331"/>
      <c r="P259" s="331">
        <v>201.18007983999999</v>
      </c>
    </row>
    <row r="260" spans="1:16" x14ac:dyDescent="0.2">
      <c r="A260" s="86" t="s">
        <v>654</v>
      </c>
      <c r="B260" s="331"/>
      <c r="C260" s="331"/>
      <c r="D260" s="331"/>
      <c r="E260" s="331"/>
      <c r="F260" s="331"/>
      <c r="G260" s="331">
        <v>1721.75</v>
      </c>
      <c r="H260" s="331"/>
      <c r="I260" s="331"/>
      <c r="J260" s="331"/>
      <c r="K260" s="331"/>
      <c r="L260" s="331"/>
      <c r="M260" s="331"/>
      <c r="N260" s="331"/>
      <c r="O260" s="331"/>
      <c r="P260" s="331">
        <v>1721.75</v>
      </c>
    </row>
    <row r="261" spans="1:16" x14ac:dyDescent="0.2">
      <c r="A261" s="87" t="s">
        <v>1844</v>
      </c>
      <c r="B261" s="331"/>
      <c r="C261" s="331"/>
      <c r="D261" s="331">
        <v>1394.7669103460478</v>
      </c>
      <c r="E261" s="331">
        <v>1394.7669103460478</v>
      </c>
      <c r="F261" s="331"/>
      <c r="G261" s="331"/>
      <c r="H261" s="331"/>
      <c r="I261" s="331"/>
      <c r="J261" s="331"/>
      <c r="K261" s="331"/>
      <c r="L261" s="331"/>
      <c r="M261" s="331"/>
      <c r="N261" s="331"/>
      <c r="O261" s="331"/>
      <c r="P261" s="331">
        <v>2789.5338206920956</v>
      </c>
    </row>
    <row r="262" spans="1:16" x14ac:dyDescent="0.2">
      <c r="A262" s="86" t="s">
        <v>535</v>
      </c>
      <c r="B262" s="331"/>
      <c r="C262" s="331"/>
      <c r="D262" s="331">
        <v>1394.7669103460478</v>
      </c>
      <c r="E262" s="331">
        <v>1394.7669103460478</v>
      </c>
      <c r="F262" s="331"/>
      <c r="G262" s="331"/>
      <c r="H262" s="331"/>
      <c r="I262" s="331"/>
      <c r="J262" s="331"/>
      <c r="K262" s="331"/>
      <c r="L262" s="331"/>
      <c r="M262" s="331"/>
      <c r="N262" s="331"/>
      <c r="O262" s="331"/>
      <c r="P262" s="331">
        <v>2789.5338206920956</v>
      </c>
    </row>
    <row r="263" spans="1:16" x14ac:dyDescent="0.2">
      <c r="A263" s="87" t="s">
        <v>346</v>
      </c>
      <c r="B263" s="331"/>
      <c r="C263" s="331"/>
      <c r="D263" s="331"/>
      <c r="E263" s="331">
        <v>24.197899207946698</v>
      </c>
      <c r="F263" s="331"/>
      <c r="G263" s="331">
        <v>241.95500000000001</v>
      </c>
      <c r="H263" s="331"/>
      <c r="I263" s="331"/>
      <c r="J263" s="331"/>
      <c r="K263" s="331"/>
      <c r="L263" s="331"/>
      <c r="M263" s="331"/>
      <c r="N263" s="331"/>
      <c r="O263" s="331"/>
      <c r="P263" s="331">
        <v>266.15289920794669</v>
      </c>
    </row>
    <row r="264" spans="1:16" x14ac:dyDescent="0.2">
      <c r="A264" s="86" t="s">
        <v>346</v>
      </c>
      <c r="B264" s="331"/>
      <c r="C264" s="331"/>
      <c r="D264" s="331"/>
      <c r="E264" s="331">
        <v>24.197899207946698</v>
      </c>
      <c r="F264" s="331"/>
      <c r="G264" s="331">
        <v>241.95500000000001</v>
      </c>
      <c r="H264" s="331"/>
      <c r="I264" s="331"/>
      <c r="J264" s="331"/>
      <c r="K264" s="331"/>
      <c r="L264" s="331"/>
      <c r="M264" s="331"/>
      <c r="N264" s="331"/>
      <c r="O264" s="331"/>
      <c r="P264" s="331">
        <v>266.15289920794669</v>
      </c>
    </row>
    <row r="265" spans="1:16" x14ac:dyDescent="0.2">
      <c r="A265" s="87" t="s">
        <v>47</v>
      </c>
      <c r="B265" s="331">
        <v>5987.7199999999993</v>
      </c>
      <c r="C265" s="331">
        <v>8987.2099999999991</v>
      </c>
      <c r="D265" s="331">
        <v>10182.689999999999</v>
      </c>
      <c r="E265" s="331">
        <v>8628.84</v>
      </c>
      <c r="F265" s="331">
        <v>4832.1499999999996</v>
      </c>
      <c r="G265" s="331">
        <v>15999.39</v>
      </c>
      <c r="H265" s="331">
        <v>13000</v>
      </c>
      <c r="I265" s="331">
        <v>17500</v>
      </c>
      <c r="J265" s="331">
        <v>8500</v>
      </c>
      <c r="K265" s="331">
        <v>13000</v>
      </c>
      <c r="L265" s="331">
        <v>13000</v>
      </c>
      <c r="M265" s="331">
        <v>11500</v>
      </c>
      <c r="N265" s="331"/>
      <c r="O265" s="331"/>
      <c r="P265" s="331">
        <v>131118</v>
      </c>
    </row>
    <row r="266" spans="1:16" x14ac:dyDescent="0.2">
      <c r="A266" s="86" t="s">
        <v>387</v>
      </c>
      <c r="B266" s="331">
        <v>5987.7199999999993</v>
      </c>
      <c r="C266" s="331">
        <v>7825.8399999999992</v>
      </c>
      <c r="D266" s="331">
        <v>7346.8899999999994</v>
      </c>
      <c r="E266" s="331">
        <v>7191.68</v>
      </c>
      <c r="F266" s="331">
        <v>3967.6099999999997</v>
      </c>
      <c r="G266" s="331">
        <v>12774.6</v>
      </c>
      <c r="H266" s="331">
        <v>10500</v>
      </c>
      <c r="I266" s="331">
        <v>15000</v>
      </c>
      <c r="J266" s="331">
        <v>6000</v>
      </c>
      <c r="K266" s="331">
        <v>10500</v>
      </c>
      <c r="L266" s="331">
        <v>10500</v>
      </c>
      <c r="M266" s="331">
        <v>10500</v>
      </c>
      <c r="N266" s="331"/>
      <c r="O266" s="331"/>
      <c r="P266" s="331">
        <v>108094.34</v>
      </c>
    </row>
    <row r="267" spans="1:16" x14ac:dyDescent="0.2">
      <c r="A267" s="86" t="s">
        <v>364</v>
      </c>
      <c r="B267" s="331"/>
      <c r="C267" s="331">
        <v>1161.3699999999999</v>
      </c>
      <c r="D267" s="331">
        <v>2835.8</v>
      </c>
      <c r="E267" s="331">
        <v>1437.16</v>
      </c>
      <c r="F267" s="331">
        <v>864.54</v>
      </c>
      <c r="G267" s="331">
        <v>3224.79</v>
      </c>
      <c r="H267" s="331">
        <v>2500</v>
      </c>
      <c r="I267" s="331">
        <v>2500</v>
      </c>
      <c r="J267" s="331">
        <v>2500</v>
      </c>
      <c r="K267" s="331">
        <v>2500</v>
      </c>
      <c r="L267" s="331">
        <v>2500</v>
      </c>
      <c r="M267" s="331">
        <v>1000</v>
      </c>
      <c r="N267" s="331"/>
      <c r="O267" s="331"/>
      <c r="P267" s="331">
        <v>23023.66</v>
      </c>
    </row>
    <row r="268" spans="1:16" x14ac:dyDescent="0.2">
      <c r="A268" s="87" t="s">
        <v>398</v>
      </c>
      <c r="B268" s="331"/>
      <c r="C268" s="331"/>
      <c r="D268" s="331">
        <v>18.148424405960025</v>
      </c>
      <c r="E268" s="331"/>
      <c r="F268" s="331"/>
      <c r="G268" s="331"/>
      <c r="H268" s="331"/>
      <c r="I268" s="331"/>
      <c r="J268" s="331"/>
      <c r="K268" s="331"/>
      <c r="L268" s="331"/>
      <c r="M268" s="331"/>
      <c r="N268" s="331"/>
      <c r="O268" s="331"/>
      <c r="P268" s="331">
        <v>18.148424405960025</v>
      </c>
    </row>
    <row r="269" spans="1:16" x14ac:dyDescent="0.2">
      <c r="A269" s="86" t="s">
        <v>397</v>
      </c>
      <c r="B269" s="331"/>
      <c r="C269" s="331"/>
      <c r="D269" s="331">
        <v>18.148424405960025</v>
      </c>
      <c r="E269" s="331"/>
      <c r="F269" s="331"/>
      <c r="G269" s="331"/>
      <c r="H269" s="331"/>
      <c r="I269" s="331"/>
      <c r="J269" s="331"/>
      <c r="K269" s="331"/>
      <c r="L269" s="331"/>
      <c r="M269" s="331"/>
      <c r="N269" s="331"/>
      <c r="O269" s="331"/>
      <c r="P269" s="331">
        <v>18.148424405960025</v>
      </c>
    </row>
    <row r="270" spans="1:16" x14ac:dyDescent="0.2">
      <c r="A270" s="87" t="s">
        <v>547</v>
      </c>
      <c r="B270" s="331"/>
      <c r="C270" s="331"/>
      <c r="D270" s="331">
        <v>-149.09535596976357</v>
      </c>
      <c r="E270" s="331"/>
      <c r="F270" s="331"/>
      <c r="G270" s="331"/>
      <c r="H270" s="331"/>
      <c r="I270" s="331"/>
      <c r="J270" s="331"/>
      <c r="K270" s="331"/>
      <c r="L270" s="331"/>
      <c r="M270" s="331"/>
      <c r="N270" s="331"/>
      <c r="O270" s="331"/>
      <c r="P270" s="331">
        <v>-149.09535596976357</v>
      </c>
    </row>
    <row r="271" spans="1:16" x14ac:dyDescent="0.2">
      <c r="A271" s="86" t="s">
        <v>547</v>
      </c>
      <c r="B271" s="331"/>
      <c r="C271" s="331"/>
      <c r="D271" s="331">
        <v>-149.09535596976357</v>
      </c>
      <c r="E271" s="331"/>
      <c r="F271" s="331"/>
      <c r="G271" s="331"/>
      <c r="H271" s="331"/>
      <c r="I271" s="331"/>
      <c r="J271" s="331"/>
      <c r="K271" s="331"/>
      <c r="L271" s="331"/>
      <c r="M271" s="331"/>
      <c r="N271" s="331"/>
      <c r="O271" s="331"/>
      <c r="P271" s="331">
        <v>-149.09535596976357</v>
      </c>
    </row>
    <row r="272" spans="1:16" x14ac:dyDescent="0.2">
      <c r="A272" s="87" t="s">
        <v>418</v>
      </c>
      <c r="B272" s="331">
        <v>-70739.961651199992</v>
      </c>
      <c r="C272" s="331">
        <v>192523.22447039996</v>
      </c>
      <c r="D272" s="331"/>
      <c r="E272" s="331"/>
      <c r="F272" s="331"/>
      <c r="G272" s="331"/>
      <c r="H272" s="331"/>
      <c r="I272" s="331"/>
      <c r="J272" s="331"/>
      <c r="K272" s="331"/>
      <c r="L272" s="331"/>
      <c r="M272" s="331"/>
      <c r="N272" s="331"/>
      <c r="O272" s="331"/>
      <c r="P272" s="331">
        <v>121783.26281919997</v>
      </c>
    </row>
    <row r="273" spans="1:16" x14ac:dyDescent="0.2">
      <c r="A273" s="86" t="s">
        <v>418</v>
      </c>
      <c r="B273" s="331">
        <v>-70739.961651199992</v>
      </c>
      <c r="C273" s="331">
        <v>192523.22447039996</v>
      </c>
      <c r="D273" s="331"/>
      <c r="E273" s="331"/>
      <c r="F273" s="331"/>
      <c r="G273" s="331"/>
      <c r="H273" s="331"/>
      <c r="I273" s="331"/>
      <c r="J273" s="331"/>
      <c r="K273" s="331"/>
      <c r="L273" s="331"/>
      <c r="M273" s="331"/>
      <c r="N273" s="331"/>
      <c r="O273" s="331"/>
      <c r="P273" s="331">
        <v>121783.26281919997</v>
      </c>
    </row>
    <row r="274" spans="1:16" x14ac:dyDescent="0.2">
      <c r="A274" s="87" t="s">
        <v>535</v>
      </c>
      <c r="B274" s="331"/>
      <c r="C274" s="331">
        <v>1480.8407679999998</v>
      </c>
      <c r="D274" s="331"/>
      <c r="E274" s="331"/>
      <c r="F274" s="331"/>
      <c r="G274" s="331"/>
      <c r="H274" s="331"/>
      <c r="I274" s="331"/>
      <c r="J274" s="331"/>
      <c r="K274" s="331"/>
      <c r="L274" s="331"/>
      <c r="M274" s="331"/>
      <c r="N274" s="331"/>
      <c r="O274" s="331"/>
      <c r="P274" s="331">
        <v>1480.8407679999998</v>
      </c>
    </row>
    <row r="275" spans="1:16" x14ac:dyDescent="0.2">
      <c r="A275" s="86" t="s">
        <v>374</v>
      </c>
      <c r="B275" s="331"/>
      <c r="C275" s="331">
        <v>1480.8407679999998</v>
      </c>
      <c r="D275" s="331"/>
      <c r="E275" s="331"/>
      <c r="F275" s="331"/>
      <c r="G275" s="331"/>
      <c r="H275" s="331"/>
      <c r="I275" s="331"/>
      <c r="J275" s="331"/>
      <c r="K275" s="331"/>
      <c r="L275" s="331"/>
      <c r="M275" s="331"/>
      <c r="N275" s="331"/>
      <c r="O275" s="331"/>
      <c r="P275" s="331">
        <v>1480.8407679999998</v>
      </c>
    </row>
    <row r="276" spans="1:16" x14ac:dyDescent="0.2">
      <c r="A276" s="87" t="s">
        <v>58</v>
      </c>
      <c r="B276" s="331">
        <v>101.951294</v>
      </c>
      <c r="C276" s="331"/>
      <c r="D276" s="331"/>
      <c r="E276" s="331">
        <v>294.21015751981997</v>
      </c>
      <c r="F276" s="331">
        <v>97.22</v>
      </c>
      <c r="G276" s="331">
        <v>108.89054643576014</v>
      </c>
      <c r="H276" s="331">
        <v>108.89054643576014</v>
      </c>
      <c r="I276" s="331">
        <v>108.89054643576014</v>
      </c>
      <c r="J276" s="331">
        <v>108.89054643576014</v>
      </c>
      <c r="K276" s="331">
        <v>108.89054643576014</v>
      </c>
      <c r="L276" s="331">
        <v>108.89054643576014</v>
      </c>
      <c r="M276" s="331">
        <v>108.89054643576014</v>
      </c>
      <c r="N276" s="331">
        <v>108.89054643576014</v>
      </c>
      <c r="O276" s="331"/>
      <c r="P276" s="331">
        <v>1364.505823005901</v>
      </c>
    </row>
    <row r="277" spans="1:16" x14ac:dyDescent="0.2">
      <c r="A277" s="86" t="s">
        <v>58</v>
      </c>
      <c r="B277" s="331">
        <v>101.951294</v>
      </c>
      <c r="C277" s="331"/>
      <c r="D277" s="331"/>
      <c r="E277" s="331">
        <v>294.21015751981997</v>
      </c>
      <c r="F277" s="331">
        <v>97.22</v>
      </c>
      <c r="G277" s="331">
        <v>108.89054643576014</v>
      </c>
      <c r="H277" s="331">
        <v>108.89054643576014</v>
      </c>
      <c r="I277" s="331">
        <v>108.89054643576014</v>
      </c>
      <c r="J277" s="331">
        <v>108.89054643576014</v>
      </c>
      <c r="K277" s="331">
        <v>108.89054643576014</v>
      </c>
      <c r="L277" s="331">
        <v>108.89054643576014</v>
      </c>
      <c r="M277" s="331">
        <v>108.89054643576014</v>
      </c>
      <c r="N277" s="331">
        <v>108.89054643576014</v>
      </c>
      <c r="O277" s="331"/>
      <c r="P277" s="331">
        <v>1364.505823005901</v>
      </c>
    </row>
    <row r="278" spans="1:16" x14ac:dyDescent="0.2">
      <c r="A278" s="87" t="s">
        <v>375</v>
      </c>
      <c r="B278" s="331">
        <v>2831.2895760000001</v>
      </c>
      <c r="C278" s="331"/>
      <c r="D278" s="331"/>
      <c r="E278" s="331"/>
      <c r="F278" s="331"/>
      <c r="G278" s="331">
        <v>5764</v>
      </c>
      <c r="H278" s="331">
        <v>2903.7479049536041</v>
      </c>
      <c r="I278" s="331">
        <v>1451.8739524768021</v>
      </c>
      <c r="J278" s="331">
        <v>1451.8739524768021</v>
      </c>
      <c r="K278" s="331">
        <v>1451.8739524768021</v>
      </c>
      <c r="L278" s="331">
        <v>1451.8739524768021</v>
      </c>
      <c r="M278" s="331">
        <v>1451.8739524768021</v>
      </c>
      <c r="N278" s="331"/>
      <c r="O278" s="331"/>
      <c r="P278" s="331">
        <v>18758.407243337617</v>
      </c>
    </row>
    <row r="279" spans="1:16" x14ac:dyDescent="0.2">
      <c r="A279" s="86" t="s">
        <v>374</v>
      </c>
      <c r="B279" s="331">
        <v>2831.2895760000001</v>
      </c>
      <c r="C279" s="331"/>
      <c r="D279" s="331"/>
      <c r="E279" s="331"/>
      <c r="F279" s="331"/>
      <c r="G279" s="331">
        <v>5764</v>
      </c>
      <c r="H279" s="331">
        <v>2903.7479049536041</v>
      </c>
      <c r="I279" s="331">
        <v>1451.8739524768021</v>
      </c>
      <c r="J279" s="331">
        <v>1451.8739524768021</v>
      </c>
      <c r="K279" s="331">
        <v>1451.8739524768021</v>
      </c>
      <c r="L279" s="331">
        <v>1451.8739524768021</v>
      </c>
      <c r="M279" s="331">
        <v>1451.8739524768021</v>
      </c>
      <c r="N279" s="331"/>
      <c r="O279" s="331"/>
      <c r="P279" s="331">
        <v>18758.407243337617</v>
      </c>
    </row>
    <row r="280" spans="1:16" x14ac:dyDescent="0.2">
      <c r="A280" s="87" t="s">
        <v>50</v>
      </c>
      <c r="B280" s="331"/>
      <c r="C280" s="331"/>
      <c r="D280" s="331"/>
      <c r="E280" s="331">
        <v>113.42039316748777</v>
      </c>
      <c r="F280" s="331">
        <v>25.935525000000002</v>
      </c>
      <c r="G280" s="331">
        <v>2905.0275000000001</v>
      </c>
      <c r="H280" s="331">
        <v>78</v>
      </c>
      <c r="I280" s="331">
        <v>30</v>
      </c>
      <c r="J280" s="331">
        <v>30</v>
      </c>
      <c r="K280" s="331">
        <v>30</v>
      </c>
      <c r="L280" s="331">
        <v>30</v>
      </c>
      <c r="M280" s="331">
        <v>30</v>
      </c>
      <c r="N280" s="331">
        <v>30</v>
      </c>
      <c r="O280" s="331"/>
      <c r="P280" s="331">
        <v>3302.3834181674879</v>
      </c>
    </row>
    <row r="281" spans="1:16" x14ac:dyDescent="0.2">
      <c r="A281" s="86" t="s">
        <v>50</v>
      </c>
      <c r="B281" s="331"/>
      <c r="C281" s="331"/>
      <c r="D281" s="331"/>
      <c r="E281" s="331">
        <v>91.939918040593483</v>
      </c>
      <c r="F281" s="331">
        <v>25.935525000000002</v>
      </c>
      <c r="G281" s="331">
        <v>2837.5275000000001</v>
      </c>
      <c r="H281" s="331">
        <v>78</v>
      </c>
      <c r="I281" s="331">
        <v>30</v>
      </c>
      <c r="J281" s="331">
        <v>30</v>
      </c>
      <c r="K281" s="331">
        <v>30</v>
      </c>
      <c r="L281" s="331">
        <v>30</v>
      </c>
      <c r="M281" s="331">
        <v>30</v>
      </c>
      <c r="N281" s="331">
        <v>30</v>
      </c>
      <c r="O281" s="331"/>
      <c r="P281" s="331">
        <v>3213.4029430405935</v>
      </c>
    </row>
    <row r="282" spans="1:16" x14ac:dyDescent="0.2">
      <c r="A282" s="86" t="s">
        <v>470</v>
      </c>
      <c r="B282" s="331"/>
      <c r="C282" s="331"/>
      <c r="D282" s="331"/>
      <c r="E282" s="331">
        <v>21.480475126894287</v>
      </c>
      <c r="F282" s="331"/>
      <c r="G282" s="331">
        <v>67.5</v>
      </c>
      <c r="H282" s="331"/>
      <c r="I282" s="331"/>
      <c r="J282" s="331"/>
      <c r="K282" s="331"/>
      <c r="L282" s="331"/>
      <c r="M282" s="331"/>
      <c r="N282" s="331"/>
      <c r="O282" s="331"/>
      <c r="P282" s="331">
        <v>88.980475126894291</v>
      </c>
    </row>
    <row r="283" spans="1:16" x14ac:dyDescent="0.2">
      <c r="A283" s="87" t="s">
        <v>385</v>
      </c>
      <c r="B283" s="331"/>
      <c r="C283" s="331">
        <v>-118.08703167999998</v>
      </c>
      <c r="D283" s="331">
        <v>-108.35577286326453</v>
      </c>
      <c r="E283" s="331">
        <v>-54.159738007226302</v>
      </c>
      <c r="F283" s="331">
        <v>-33.986568962464183</v>
      </c>
      <c r="G283" s="331"/>
      <c r="H283" s="331"/>
      <c r="I283" s="331"/>
      <c r="J283" s="331"/>
      <c r="K283" s="331"/>
      <c r="L283" s="331"/>
      <c r="M283" s="331"/>
      <c r="N283" s="331"/>
      <c r="O283" s="331"/>
      <c r="P283" s="331">
        <v>-314.58911151295496</v>
      </c>
    </row>
    <row r="284" spans="1:16" x14ac:dyDescent="0.2">
      <c r="A284" s="86" t="s">
        <v>384</v>
      </c>
      <c r="B284" s="331"/>
      <c r="C284" s="331">
        <v>-118.08703167999998</v>
      </c>
      <c r="D284" s="331">
        <v>-108.35577286326453</v>
      </c>
      <c r="E284" s="331">
        <v>-54.159738007226302</v>
      </c>
      <c r="F284" s="331">
        <v>-33.986568962464183</v>
      </c>
      <c r="G284" s="331"/>
      <c r="H284" s="331"/>
      <c r="I284" s="331"/>
      <c r="J284" s="331"/>
      <c r="K284" s="331"/>
      <c r="L284" s="331"/>
      <c r="M284" s="331"/>
      <c r="N284" s="331"/>
      <c r="O284" s="331"/>
      <c r="P284" s="331">
        <v>-314.58911151295496</v>
      </c>
    </row>
    <row r="285" spans="1:16" x14ac:dyDescent="0.2">
      <c r="A285" s="87" t="s">
        <v>367</v>
      </c>
      <c r="B285" s="331"/>
      <c r="C285" s="331">
        <v>256.91199999999998</v>
      </c>
      <c r="D285" s="331">
        <v>595.26832051548877</v>
      </c>
      <c r="E285" s="331">
        <v>48.395798415893395</v>
      </c>
      <c r="F285" s="331"/>
      <c r="G285" s="331">
        <v>1647</v>
      </c>
      <c r="H285" s="331"/>
      <c r="I285" s="331"/>
      <c r="J285" s="331"/>
      <c r="K285" s="331"/>
      <c r="L285" s="331"/>
      <c r="M285" s="331"/>
      <c r="N285" s="331"/>
      <c r="O285" s="331"/>
      <c r="P285" s="331">
        <v>2547.5761189313821</v>
      </c>
    </row>
    <row r="286" spans="1:16" x14ac:dyDescent="0.2">
      <c r="A286" s="86" t="s">
        <v>367</v>
      </c>
      <c r="B286" s="331"/>
      <c r="C286" s="331">
        <v>256.91199999999998</v>
      </c>
      <c r="D286" s="331">
        <v>595.26832051548877</v>
      </c>
      <c r="E286" s="331">
        <v>48.395798415893395</v>
      </c>
      <c r="F286" s="331"/>
      <c r="G286" s="331">
        <v>1647</v>
      </c>
      <c r="H286" s="331"/>
      <c r="I286" s="331"/>
      <c r="J286" s="331"/>
      <c r="K286" s="331"/>
      <c r="L286" s="331"/>
      <c r="M286" s="331"/>
      <c r="N286" s="331"/>
      <c r="O286" s="331"/>
      <c r="P286" s="331">
        <v>2547.5761189313821</v>
      </c>
    </row>
    <row r="287" spans="1:16" x14ac:dyDescent="0.2">
      <c r="A287" s="87" t="s">
        <v>410</v>
      </c>
      <c r="B287" s="331">
        <v>1674.8688</v>
      </c>
      <c r="C287" s="331">
        <v>3391.2383999999997</v>
      </c>
      <c r="D287" s="331">
        <v>186.15927818657556</v>
      </c>
      <c r="E287" s="331">
        <v>2504.6495335270183</v>
      </c>
      <c r="F287" s="331"/>
      <c r="G287" s="331">
        <v>5009.3</v>
      </c>
      <c r="H287" s="331"/>
      <c r="I287" s="331">
        <v>2504.65</v>
      </c>
      <c r="J287" s="331">
        <v>2504.65</v>
      </c>
      <c r="K287" s="331">
        <v>2504.65</v>
      </c>
      <c r="L287" s="331">
        <v>2504.65</v>
      </c>
      <c r="M287" s="331">
        <v>2504.65</v>
      </c>
      <c r="N287" s="331"/>
      <c r="O287" s="331"/>
      <c r="P287" s="331">
        <v>25289.466011713597</v>
      </c>
    </row>
    <row r="288" spans="1:16" x14ac:dyDescent="0.2">
      <c r="A288" s="86" t="s">
        <v>409</v>
      </c>
      <c r="B288" s="331">
        <v>1674.8688</v>
      </c>
      <c r="C288" s="331">
        <v>3391.2383999999997</v>
      </c>
      <c r="D288" s="331">
        <v>186.15927818657556</v>
      </c>
      <c r="E288" s="331">
        <v>2504.6495335270183</v>
      </c>
      <c r="F288" s="331"/>
      <c r="G288" s="331">
        <v>5009.3</v>
      </c>
      <c r="H288" s="331"/>
      <c r="I288" s="331">
        <v>2504.65</v>
      </c>
      <c r="J288" s="331">
        <v>2504.65</v>
      </c>
      <c r="K288" s="331">
        <v>2504.65</v>
      </c>
      <c r="L288" s="331">
        <v>2504.65</v>
      </c>
      <c r="M288" s="331">
        <v>2504.65</v>
      </c>
      <c r="N288" s="331"/>
      <c r="O288" s="331"/>
      <c r="P288" s="331">
        <v>25289.466011713597</v>
      </c>
    </row>
    <row r="289" spans="1:16" x14ac:dyDescent="0.2">
      <c r="A289" s="87" t="s">
        <v>60</v>
      </c>
      <c r="B289" s="331"/>
      <c r="C289" s="331"/>
      <c r="D289" s="331"/>
      <c r="E289" s="331"/>
      <c r="F289" s="331">
        <v>10481.68</v>
      </c>
      <c r="G289" s="331">
        <v>860.88</v>
      </c>
      <c r="H289" s="331"/>
      <c r="I289" s="331"/>
      <c r="J289" s="331"/>
      <c r="K289" s="331"/>
      <c r="L289" s="331"/>
      <c r="M289" s="331"/>
      <c r="N289" s="331"/>
      <c r="O289" s="331"/>
      <c r="P289" s="331">
        <v>11342.56</v>
      </c>
    </row>
    <row r="290" spans="1:16" x14ac:dyDescent="0.2">
      <c r="A290" s="86" t="s">
        <v>60</v>
      </c>
      <c r="B290" s="331"/>
      <c r="C290" s="331"/>
      <c r="D290" s="331"/>
      <c r="E290" s="331"/>
      <c r="F290" s="331">
        <v>10481.68</v>
      </c>
      <c r="G290" s="331">
        <v>860.88</v>
      </c>
      <c r="H290" s="331"/>
      <c r="I290" s="331"/>
      <c r="J290" s="331"/>
      <c r="K290" s="331"/>
      <c r="L290" s="331"/>
      <c r="M290" s="331"/>
      <c r="N290" s="331"/>
      <c r="O290" s="331"/>
      <c r="P290" s="331">
        <v>11342.56</v>
      </c>
    </row>
    <row r="291" spans="1:16" x14ac:dyDescent="0.2">
      <c r="A291" s="87" t="s">
        <v>499</v>
      </c>
      <c r="B291" s="331">
        <v>5840.7242879999994</v>
      </c>
      <c r="C291" s="331"/>
      <c r="D291" s="331"/>
      <c r="E291" s="331"/>
      <c r="F291" s="331"/>
      <c r="G291" s="331"/>
      <c r="H291" s="331"/>
      <c r="I291" s="331"/>
      <c r="J291" s="331"/>
      <c r="K291" s="331"/>
      <c r="L291" s="331"/>
      <c r="M291" s="331"/>
      <c r="N291" s="331"/>
      <c r="O291" s="331"/>
      <c r="P291" s="331">
        <v>5840.7242879999994</v>
      </c>
    </row>
    <row r="292" spans="1:16" x14ac:dyDescent="0.2">
      <c r="A292" s="86" t="s">
        <v>499</v>
      </c>
      <c r="B292" s="331">
        <v>5840.7242879999994</v>
      </c>
      <c r="C292" s="331"/>
      <c r="D292" s="331"/>
      <c r="E292" s="331"/>
      <c r="F292" s="331"/>
      <c r="G292" s="331"/>
      <c r="H292" s="331"/>
      <c r="I292" s="331"/>
      <c r="J292" s="331"/>
      <c r="K292" s="331"/>
      <c r="L292" s="331"/>
      <c r="M292" s="331"/>
      <c r="N292" s="331"/>
      <c r="O292" s="331"/>
      <c r="P292" s="331">
        <v>5840.7242879999994</v>
      </c>
    </row>
    <row r="293" spans="1:16" x14ac:dyDescent="0.2">
      <c r="A293" s="87" t="s">
        <v>52</v>
      </c>
      <c r="B293" s="331"/>
      <c r="C293" s="331"/>
      <c r="D293" s="331"/>
      <c r="E293" s="331"/>
      <c r="F293" s="331">
        <v>6.9161400000000004</v>
      </c>
      <c r="G293" s="331"/>
      <c r="H293" s="331"/>
      <c r="I293" s="331"/>
      <c r="J293" s="331"/>
      <c r="K293" s="331"/>
      <c r="L293" s="331"/>
      <c r="M293" s="331"/>
      <c r="N293" s="331"/>
      <c r="O293" s="331"/>
      <c r="P293" s="331">
        <v>6.9161400000000004</v>
      </c>
    </row>
    <row r="294" spans="1:16" x14ac:dyDescent="0.2">
      <c r="A294" s="86" t="s">
        <v>52</v>
      </c>
      <c r="B294" s="331"/>
      <c r="C294" s="331"/>
      <c r="D294" s="331"/>
      <c r="E294" s="331"/>
      <c r="F294" s="331">
        <v>6.9161400000000004</v>
      </c>
      <c r="G294" s="331"/>
      <c r="H294" s="331"/>
      <c r="I294" s="331"/>
      <c r="J294" s="331"/>
      <c r="K294" s="331"/>
      <c r="L294" s="331"/>
      <c r="M294" s="331"/>
      <c r="N294" s="331"/>
      <c r="O294" s="331"/>
      <c r="P294" s="331">
        <v>6.9161400000000004</v>
      </c>
    </row>
    <row r="295" spans="1:16" x14ac:dyDescent="0.2">
      <c r="A295" s="87" t="s">
        <v>48</v>
      </c>
      <c r="B295" s="331"/>
      <c r="C295" s="331">
        <v>566.47297615999992</v>
      </c>
      <c r="D295" s="331">
        <v>639.64968745278384</v>
      </c>
      <c r="E295" s="331"/>
      <c r="F295" s="331">
        <v>957.30492824999999</v>
      </c>
      <c r="G295" s="331"/>
      <c r="H295" s="331"/>
      <c r="I295" s="331"/>
      <c r="J295" s="331"/>
      <c r="K295" s="331"/>
      <c r="L295" s="331"/>
      <c r="M295" s="331"/>
      <c r="N295" s="331"/>
      <c r="O295" s="331"/>
      <c r="P295" s="331">
        <v>2163.4275918627836</v>
      </c>
    </row>
    <row r="296" spans="1:16" x14ac:dyDescent="0.2">
      <c r="A296" s="86" t="s">
        <v>475</v>
      </c>
      <c r="B296" s="331"/>
      <c r="C296" s="331"/>
      <c r="D296" s="331">
        <v>179.48065800518228</v>
      </c>
      <c r="E296" s="331"/>
      <c r="F296" s="331"/>
      <c r="G296" s="331"/>
      <c r="H296" s="331"/>
      <c r="I296" s="331"/>
      <c r="J296" s="331"/>
      <c r="K296" s="331"/>
      <c r="L296" s="331"/>
      <c r="M296" s="331"/>
      <c r="N296" s="331"/>
      <c r="O296" s="331"/>
      <c r="P296" s="331">
        <v>179.48065800518228</v>
      </c>
    </row>
    <row r="297" spans="1:16" x14ac:dyDescent="0.2">
      <c r="A297" s="86" t="s">
        <v>339</v>
      </c>
      <c r="B297" s="331"/>
      <c r="C297" s="331"/>
      <c r="D297" s="331"/>
      <c r="E297" s="331"/>
      <c r="F297" s="331">
        <v>86.451750000000004</v>
      </c>
      <c r="G297" s="331"/>
      <c r="H297" s="331"/>
      <c r="I297" s="331"/>
      <c r="J297" s="331"/>
      <c r="K297" s="331"/>
      <c r="L297" s="331"/>
      <c r="M297" s="331"/>
      <c r="N297" s="331"/>
      <c r="O297" s="331"/>
      <c r="P297" s="331">
        <v>86.451750000000004</v>
      </c>
    </row>
    <row r="298" spans="1:16" x14ac:dyDescent="0.2">
      <c r="A298" s="86" t="s">
        <v>391</v>
      </c>
      <c r="B298" s="331"/>
      <c r="C298" s="331"/>
      <c r="D298" s="331"/>
      <c r="E298" s="331"/>
      <c r="F298" s="331">
        <v>23.20117965</v>
      </c>
      <c r="G298" s="331"/>
      <c r="H298" s="331"/>
      <c r="I298" s="331"/>
      <c r="J298" s="331"/>
      <c r="K298" s="331"/>
      <c r="L298" s="331"/>
      <c r="M298" s="331"/>
      <c r="N298" s="331"/>
      <c r="O298" s="331"/>
      <c r="P298" s="331">
        <v>23.20117965</v>
      </c>
    </row>
    <row r="299" spans="1:16" x14ac:dyDescent="0.2">
      <c r="A299" s="86" t="s">
        <v>353</v>
      </c>
      <c r="B299" s="331"/>
      <c r="C299" s="331">
        <v>485.90023471999996</v>
      </c>
      <c r="D299" s="331">
        <v>452.18372270897919</v>
      </c>
      <c r="E299" s="331"/>
      <c r="F299" s="331">
        <v>222.1217163</v>
      </c>
      <c r="G299" s="331"/>
      <c r="H299" s="331"/>
      <c r="I299" s="331"/>
      <c r="J299" s="331"/>
      <c r="K299" s="331"/>
      <c r="L299" s="331"/>
      <c r="M299" s="331"/>
      <c r="N299" s="331"/>
      <c r="O299" s="331"/>
      <c r="P299" s="331">
        <v>1160.205673728979</v>
      </c>
    </row>
    <row r="300" spans="1:16" x14ac:dyDescent="0.2">
      <c r="A300" s="86" t="s">
        <v>356</v>
      </c>
      <c r="B300" s="331"/>
      <c r="C300" s="331">
        <v>80.572741439999987</v>
      </c>
      <c r="D300" s="331">
        <v>7.9853067386224108</v>
      </c>
      <c r="E300" s="331"/>
      <c r="F300" s="331">
        <v>625.53028229999995</v>
      </c>
      <c r="G300" s="331"/>
      <c r="H300" s="331"/>
      <c r="I300" s="331"/>
      <c r="J300" s="331"/>
      <c r="K300" s="331"/>
      <c r="L300" s="331"/>
      <c r="M300" s="331"/>
      <c r="N300" s="331"/>
      <c r="O300" s="331"/>
      <c r="P300" s="331">
        <v>714.08833047862231</v>
      </c>
    </row>
    <row r="301" spans="1:16" x14ac:dyDescent="0.2">
      <c r="A301" s="87" t="s">
        <v>618</v>
      </c>
      <c r="B301" s="331"/>
      <c r="C301" s="331"/>
      <c r="D301" s="331"/>
      <c r="E301" s="331"/>
      <c r="F301" s="331">
        <v>363.09735000000001</v>
      </c>
      <c r="G301" s="331">
        <v>117.5</v>
      </c>
      <c r="H301" s="331">
        <v>117.5</v>
      </c>
      <c r="I301" s="331">
        <v>117.5</v>
      </c>
      <c r="J301" s="331">
        <v>117.5</v>
      </c>
      <c r="K301" s="331">
        <v>117.5</v>
      </c>
      <c r="L301" s="331">
        <v>117.5</v>
      </c>
      <c r="M301" s="331">
        <v>117.5</v>
      </c>
      <c r="N301" s="331">
        <v>117.5</v>
      </c>
      <c r="O301" s="331"/>
      <c r="P301" s="331">
        <v>1303.09735</v>
      </c>
    </row>
    <row r="302" spans="1:16" x14ac:dyDescent="0.2">
      <c r="A302" s="86" t="s">
        <v>621</v>
      </c>
      <c r="B302" s="331"/>
      <c r="C302" s="331"/>
      <c r="D302" s="331"/>
      <c r="E302" s="331"/>
      <c r="F302" s="331">
        <v>271.70549999999997</v>
      </c>
      <c r="G302" s="331">
        <v>117.5</v>
      </c>
      <c r="H302" s="331">
        <v>117.5</v>
      </c>
      <c r="I302" s="331">
        <v>117.5</v>
      </c>
      <c r="J302" s="331">
        <v>117.5</v>
      </c>
      <c r="K302" s="331">
        <v>117.5</v>
      </c>
      <c r="L302" s="331">
        <v>117.5</v>
      </c>
      <c r="M302" s="331">
        <v>117.5</v>
      </c>
      <c r="N302" s="331">
        <v>117.5</v>
      </c>
      <c r="O302" s="331"/>
      <c r="P302" s="331">
        <v>1211.7055</v>
      </c>
    </row>
    <row r="303" spans="1:16" x14ac:dyDescent="0.2">
      <c r="A303" s="86" t="s">
        <v>617</v>
      </c>
      <c r="B303" s="331"/>
      <c r="C303" s="331"/>
      <c r="D303" s="331"/>
      <c r="E303" s="331"/>
      <c r="F303" s="331">
        <v>91.391850000000005</v>
      </c>
      <c r="G303" s="331"/>
      <c r="H303" s="331"/>
      <c r="I303" s="331"/>
      <c r="J303" s="331"/>
      <c r="K303" s="331"/>
      <c r="L303" s="331"/>
      <c r="M303" s="331"/>
      <c r="N303" s="331"/>
      <c r="O303" s="331"/>
      <c r="P303" s="331">
        <v>91.391850000000005</v>
      </c>
    </row>
    <row r="304" spans="1:16" x14ac:dyDescent="0.2">
      <c r="A304" s="65" t="s">
        <v>66</v>
      </c>
      <c r="B304" s="331">
        <v>180097.68223648006</v>
      </c>
      <c r="C304" s="331">
        <v>22.73</v>
      </c>
      <c r="D304" s="331">
        <v>-573087.5948910506</v>
      </c>
      <c r="E304" s="331">
        <v>-8854.0776979857656</v>
      </c>
      <c r="F304" s="331"/>
      <c r="G304" s="331">
        <v>30</v>
      </c>
      <c r="H304" s="331"/>
      <c r="I304" s="331"/>
      <c r="J304" s="331"/>
      <c r="K304" s="331"/>
      <c r="L304" s="331"/>
      <c r="M304" s="331"/>
      <c r="N304" s="331"/>
      <c r="O304" s="331"/>
      <c r="P304" s="331">
        <v>-401791.26035255636</v>
      </c>
    </row>
    <row r="305" spans="1:16" x14ac:dyDescent="0.2">
      <c r="A305" s="66" t="s">
        <v>1</v>
      </c>
      <c r="B305" s="331">
        <v>241815.17387800006</v>
      </c>
      <c r="C305" s="331"/>
      <c r="D305" s="331">
        <v>-573087.5948910506</v>
      </c>
      <c r="E305" s="331">
        <v>4685.6223020142352</v>
      </c>
      <c r="F305" s="331"/>
      <c r="G305" s="331">
        <v>30</v>
      </c>
      <c r="H305" s="331"/>
      <c r="I305" s="331"/>
      <c r="J305" s="331"/>
      <c r="K305" s="331"/>
      <c r="L305" s="331"/>
      <c r="M305" s="331"/>
      <c r="N305" s="331"/>
      <c r="O305" s="331"/>
      <c r="P305" s="331">
        <v>-326556.79871103633</v>
      </c>
    </row>
    <row r="306" spans="1:16" x14ac:dyDescent="0.2">
      <c r="A306" s="87" t="s">
        <v>332</v>
      </c>
      <c r="B306" s="331"/>
      <c r="C306" s="331"/>
      <c r="D306" s="331"/>
      <c r="E306" s="331">
        <v>26</v>
      </c>
      <c r="F306" s="331"/>
      <c r="G306" s="331"/>
      <c r="H306" s="331"/>
      <c r="I306" s="331"/>
      <c r="J306" s="331"/>
      <c r="K306" s="331"/>
      <c r="L306" s="331"/>
      <c r="M306" s="331"/>
      <c r="N306" s="331"/>
      <c r="O306" s="331"/>
      <c r="P306" s="331">
        <v>26</v>
      </c>
    </row>
    <row r="307" spans="1:16" x14ac:dyDescent="0.2">
      <c r="A307" s="86" t="s">
        <v>332</v>
      </c>
      <c r="B307" s="331"/>
      <c r="C307" s="331"/>
      <c r="D307" s="331"/>
      <c r="E307" s="331">
        <v>26</v>
      </c>
      <c r="F307" s="331"/>
      <c r="G307" s="331"/>
      <c r="H307" s="331"/>
      <c r="I307" s="331"/>
      <c r="J307" s="331"/>
      <c r="K307" s="331"/>
      <c r="L307" s="331"/>
      <c r="M307" s="331"/>
      <c r="N307" s="331"/>
      <c r="O307" s="331"/>
      <c r="P307" s="331">
        <v>26</v>
      </c>
    </row>
    <row r="308" spans="1:16" x14ac:dyDescent="0.2">
      <c r="A308" s="87" t="s">
        <v>398</v>
      </c>
      <c r="B308" s="331"/>
      <c r="C308" s="331"/>
      <c r="D308" s="331">
        <v>-680358.56919916149</v>
      </c>
      <c r="E308" s="331"/>
      <c r="F308" s="331"/>
      <c r="G308" s="331"/>
      <c r="H308" s="331"/>
      <c r="I308" s="331"/>
      <c r="J308" s="331"/>
      <c r="K308" s="331"/>
      <c r="L308" s="331"/>
      <c r="M308" s="331"/>
      <c r="N308" s="331"/>
      <c r="O308" s="331"/>
      <c r="P308" s="331">
        <v>-680358.56919916149</v>
      </c>
    </row>
    <row r="309" spans="1:16" x14ac:dyDescent="0.2">
      <c r="A309" s="86" t="s">
        <v>1027</v>
      </c>
      <c r="B309" s="331"/>
      <c r="C309" s="331"/>
      <c r="D309" s="331">
        <v>-500000</v>
      </c>
      <c r="E309" s="331"/>
      <c r="F309" s="331"/>
      <c r="G309" s="331"/>
      <c r="H309" s="331"/>
      <c r="I309" s="331"/>
      <c r="J309" s="331"/>
      <c r="K309" s="331"/>
      <c r="L309" s="331"/>
      <c r="M309" s="331"/>
      <c r="N309" s="331"/>
      <c r="O309" s="331"/>
      <c r="P309" s="331">
        <v>-500000</v>
      </c>
    </row>
    <row r="310" spans="1:16" x14ac:dyDescent="0.2">
      <c r="A310" s="86" t="s">
        <v>1024</v>
      </c>
      <c r="B310" s="331"/>
      <c r="C310" s="331"/>
      <c r="D310" s="331">
        <v>4855.2299999999996</v>
      </c>
      <c r="E310" s="331"/>
      <c r="F310" s="331"/>
      <c r="G310" s="331"/>
      <c r="H310" s="331"/>
      <c r="I310" s="331"/>
      <c r="J310" s="331"/>
      <c r="K310" s="331"/>
      <c r="L310" s="331"/>
      <c r="M310" s="331"/>
      <c r="N310" s="331"/>
      <c r="O310" s="331"/>
      <c r="P310" s="331">
        <v>4855.2299999999996</v>
      </c>
    </row>
    <row r="311" spans="1:16" x14ac:dyDescent="0.2">
      <c r="A311" s="86" t="s">
        <v>657</v>
      </c>
      <c r="B311" s="331"/>
      <c r="C311" s="331"/>
      <c r="D311" s="331">
        <v>-185213.7991991615</v>
      </c>
      <c r="E311" s="331"/>
      <c r="F311" s="331"/>
      <c r="G311" s="331"/>
      <c r="H311" s="331"/>
      <c r="I311" s="331"/>
      <c r="J311" s="331"/>
      <c r="K311" s="331"/>
      <c r="L311" s="331"/>
      <c r="M311" s="331"/>
      <c r="N311" s="331"/>
      <c r="O311" s="331"/>
      <c r="P311" s="331">
        <v>-185213.7991991615</v>
      </c>
    </row>
    <row r="312" spans="1:16" x14ac:dyDescent="0.2">
      <c r="A312" s="87" t="s">
        <v>418</v>
      </c>
      <c r="B312" s="331">
        <v>235890.58335300005</v>
      </c>
      <c r="C312" s="331"/>
      <c r="D312" s="331">
        <v>104190.24314743385</v>
      </c>
      <c r="E312" s="331">
        <v>4659.6223020142352</v>
      </c>
      <c r="F312" s="331"/>
      <c r="G312" s="331">
        <v>30</v>
      </c>
      <c r="H312" s="331"/>
      <c r="I312" s="331"/>
      <c r="J312" s="331"/>
      <c r="K312" s="331"/>
      <c r="L312" s="331"/>
      <c r="M312" s="331"/>
      <c r="N312" s="331"/>
      <c r="O312" s="331"/>
      <c r="P312" s="331">
        <v>344770.44880244811</v>
      </c>
    </row>
    <row r="313" spans="1:16" x14ac:dyDescent="0.2">
      <c r="A313" s="86" t="s">
        <v>418</v>
      </c>
      <c r="B313" s="331">
        <v>235890.58335300005</v>
      </c>
      <c r="C313" s="331"/>
      <c r="D313" s="331">
        <v>104190.24314743385</v>
      </c>
      <c r="E313" s="331">
        <v>4659.6223020142352</v>
      </c>
      <c r="F313" s="331"/>
      <c r="G313" s="331">
        <v>30</v>
      </c>
      <c r="H313" s="331"/>
      <c r="I313" s="331"/>
      <c r="J313" s="331"/>
      <c r="K313" s="331"/>
      <c r="L313" s="331"/>
      <c r="M313" s="331"/>
      <c r="N313" s="331"/>
      <c r="O313" s="331"/>
      <c r="P313" s="331">
        <v>344770.44880244811</v>
      </c>
    </row>
    <row r="314" spans="1:16" x14ac:dyDescent="0.2">
      <c r="A314" s="87" t="s">
        <v>1168</v>
      </c>
      <c r="B314" s="331">
        <v>5924.5905250000005</v>
      </c>
      <c r="C314" s="331"/>
      <c r="D314" s="331"/>
      <c r="E314" s="331"/>
      <c r="F314" s="331"/>
      <c r="G314" s="331"/>
      <c r="H314" s="331"/>
      <c r="I314" s="331"/>
      <c r="J314" s="331"/>
      <c r="K314" s="331"/>
      <c r="L314" s="331"/>
      <c r="M314" s="331"/>
      <c r="N314" s="331"/>
      <c r="O314" s="331"/>
      <c r="P314" s="331">
        <v>5924.5905250000005</v>
      </c>
    </row>
    <row r="315" spans="1:16" x14ac:dyDescent="0.2">
      <c r="A315" s="86" t="s">
        <v>700</v>
      </c>
      <c r="B315" s="331">
        <v>5924.5905250000005</v>
      </c>
      <c r="C315" s="331"/>
      <c r="D315" s="331"/>
      <c r="E315" s="331"/>
      <c r="F315" s="331"/>
      <c r="G315" s="331"/>
      <c r="H315" s="331"/>
      <c r="I315" s="331"/>
      <c r="J315" s="331"/>
      <c r="K315" s="331"/>
      <c r="L315" s="331"/>
      <c r="M315" s="331"/>
      <c r="N315" s="331"/>
      <c r="O315" s="331"/>
      <c r="P315" s="331">
        <v>5924.5905250000005</v>
      </c>
    </row>
    <row r="316" spans="1:16" x14ac:dyDescent="0.2">
      <c r="A316" s="87" t="s">
        <v>691</v>
      </c>
      <c r="B316" s="331"/>
      <c r="C316" s="331"/>
      <c r="D316" s="331">
        <v>3080.7311606770099</v>
      </c>
      <c r="E316" s="331"/>
      <c r="F316" s="331"/>
      <c r="G316" s="331"/>
      <c r="H316" s="331"/>
      <c r="I316" s="331"/>
      <c r="J316" s="331"/>
      <c r="K316" s="331"/>
      <c r="L316" s="331"/>
      <c r="M316" s="331"/>
      <c r="N316" s="331"/>
      <c r="O316" s="331"/>
      <c r="P316" s="331">
        <v>3080.7311606770099</v>
      </c>
    </row>
    <row r="317" spans="1:16" x14ac:dyDescent="0.2">
      <c r="A317" s="86" t="s">
        <v>691</v>
      </c>
      <c r="B317" s="331"/>
      <c r="C317" s="331"/>
      <c r="D317" s="331">
        <v>3080.7311606770099</v>
      </c>
      <c r="E317" s="331"/>
      <c r="F317" s="331"/>
      <c r="G317" s="331"/>
      <c r="H317" s="331"/>
      <c r="I317" s="331"/>
      <c r="J317" s="331"/>
      <c r="K317" s="331"/>
      <c r="L317" s="331"/>
      <c r="M317" s="331"/>
      <c r="N317" s="331"/>
      <c r="O317" s="331"/>
      <c r="P317" s="331">
        <v>3080.7311606770099</v>
      </c>
    </row>
    <row r="318" spans="1:16" x14ac:dyDescent="0.2">
      <c r="A318" s="66" t="s">
        <v>3</v>
      </c>
      <c r="B318" s="331"/>
      <c r="C318" s="331">
        <v>22.73</v>
      </c>
      <c r="D318" s="331"/>
      <c r="E318" s="331">
        <v>-13539.7</v>
      </c>
      <c r="F318" s="331"/>
      <c r="G318" s="331"/>
      <c r="H318" s="331"/>
      <c r="I318" s="331"/>
      <c r="J318" s="331"/>
      <c r="K318" s="331"/>
      <c r="L318" s="331"/>
      <c r="M318" s="331"/>
      <c r="N318" s="331"/>
      <c r="O318" s="331"/>
      <c r="P318" s="331">
        <v>-13516.970000000001</v>
      </c>
    </row>
    <row r="319" spans="1:16" x14ac:dyDescent="0.2">
      <c r="A319" s="87" t="s">
        <v>398</v>
      </c>
      <c r="B319" s="331"/>
      <c r="C319" s="331">
        <v>22.73</v>
      </c>
      <c r="D319" s="331"/>
      <c r="E319" s="331"/>
      <c r="F319" s="331"/>
      <c r="G319" s="331"/>
      <c r="H319" s="331"/>
      <c r="I319" s="331"/>
      <c r="J319" s="331"/>
      <c r="K319" s="331"/>
      <c r="L319" s="331"/>
      <c r="M319" s="331"/>
      <c r="N319" s="331"/>
      <c r="O319" s="331"/>
      <c r="P319" s="331">
        <v>22.73</v>
      </c>
    </row>
    <row r="320" spans="1:16" x14ac:dyDescent="0.2">
      <c r="A320" s="86" t="s">
        <v>397</v>
      </c>
      <c r="B320" s="331"/>
      <c r="C320" s="331">
        <v>22.73</v>
      </c>
      <c r="D320" s="331"/>
      <c r="E320" s="331"/>
      <c r="F320" s="331"/>
      <c r="G320" s="331"/>
      <c r="H320" s="331"/>
      <c r="I320" s="331"/>
      <c r="J320" s="331"/>
      <c r="K320" s="331"/>
      <c r="L320" s="331"/>
      <c r="M320" s="331"/>
      <c r="N320" s="331"/>
      <c r="O320" s="331"/>
      <c r="P320" s="331">
        <v>22.73</v>
      </c>
    </row>
    <row r="321" spans="1:16" x14ac:dyDescent="0.2">
      <c r="A321" s="87" t="s">
        <v>418</v>
      </c>
      <c r="B321" s="331"/>
      <c r="C321" s="331"/>
      <c r="D321" s="331"/>
      <c r="E321" s="331">
        <v>-13539.7</v>
      </c>
      <c r="F321" s="331"/>
      <c r="G321" s="331"/>
      <c r="H321" s="331"/>
      <c r="I321" s="331"/>
      <c r="J321" s="331"/>
      <c r="K321" s="331"/>
      <c r="L321" s="331"/>
      <c r="M321" s="331"/>
      <c r="N321" s="331"/>
      <c r="O321" s="331"/>
      <c r="P321" s="331">
        <v>-13539.7</v>
      </c>
    </row>
    <row r="322" spans="1:16" x14ac:dyDescent="0.2">
      <c r="A322" s="86" t="s">
        <v>418</v>
      </c>
      <c r="B322" s="331"/>
      <c r="C322" s="331"/>
      <c r="D322" s="331"/>
      <c r="E322" s="331">
        <v>-13539.7</v>
      </c>
      <c r="F322" s="331"/>
      <c r="G322" s="331"/>
      <c r="H322" s="331"/>
      <c r="I322" s="331"/>
      <c r="J322" s="331"/>
      <c r="K322" s="331"/>
      <c r="L322" s="331"/>
      <c r="M322" s="331"/>
      <c r="N322" s="331"/>
      <c r="O322" s="331"/>
      <c r="P322" s="331">
        <v>-13539.7</v>
      </c>
    </row>
    <row r="323" spans="1:16" x14ac:dyDescent="0.2">
      <c r="A323" s="66" t="s">
        <v>2</v>
      </c>
      <c r="B323" s="331">
        <v>-61717.491641519999</v>
      </c>
      <c r="C323" s="331"/>
      <c r="D323" s="331"/>
      <c r="E323" s="331"/>
      <c r="F323" s="331"/>
      <c r="G323" s="331"/>
      <c r="H323" s="331"/>
      <c r="I323" s="331"/>
      <c r="J323" s="331"/>
      <c r="K323" s="331"/>
      <c r="L323" s="331"/>
      <c r="M323" s="331"/>
      <c r="N323" s="331"/>
      <c r="O323" s="331"/>
      <c r="P323" s="331">
        <v>-61717.491641519999</v>
      </c>
    </row>
    <row r="324" spans="1:16" x14ac:dyDescent="0.2">
      <c r="A324" s="87" t="s">
        <v>418</v>
      </c>
      <c r="B324" s="331">
        <v>-61717.491641519999</v>
      </c>
      <c r="C324" s="331"/>
      <c r="D324" s="331"/>
      <c r="E324" s="331"/>
      <c r="F324" s="331"/>
      <c r="G324" s="331"/>
      <c r="H324" s="331"/>
      <c r="I324" s="331"/>
      <c r="J324" s="331"/>
      <c r="K324" s="331"/>
      <c r="L324" s="331"/>
      <c r="M324" s="331"/>
      <c r="N324" s="331"/>
      <c r="O324" s="331"/>
      <c r="P324" s="331">
        <v>-61717.491641519999</v>
      </c>
    </row>
    <row r="325" spans="1:16" x14ac:dyDescent="0.2">
      <c r="A325" s="86" t="s">
        <v>418</v>
      </c>
      <c r="B325" s="331">
        <v>-61717.491641519999</v>
      </c>
      <c r="C325" s="331"/>
      <c r="D325" s="331"/>
      <c r="E325" s="331"/>
      <c r="F325" s="331"/>
      <c r="G325" s="331"/>
      <c r="H325" s="331"/>
      <c r="I325" s="331"/>
      <c r="J325" s="331"/>
      <c r="K325" s="331"/>
      <c r="L325" s="331"/>
      <c r="M325" s="331"/>
      <c r="N325" s="331"/>
      <c r="O325" s="331"/>
      <c r="P325" s="331">
        <v>-61717.491641519999</v>
      </c>
    </row>
    <row r="326" spans="1:16" x14ac:dyDescent="0.2">
      <c r="A326" s="65" t="s">
        <v>19</v>
      </c>
      <c r="B326" s="331">
        <v>260325.27628983487</v>
      </c>
      <c r="C326" s="331">
        <v>-161821.49146937524</v>
      </c>
      <c r="D326" s="331">
        <v>-159018.11524217008</v>
      </c>
      <c r="E326" s="331">
        <v>184822.75596652564</v>
      </c>
      <c r="F326" s="331">
        <v>-22576.058674685857</v>
      </c>
      <c r="G326" s="331">
        <v>780976818.58138919</v>
      </c>
      <c r="H326" s="331">
        <v>276188.94478224893</v>
      </c>
      <c r="I326" s="331">
        <v>271027.50126290502</v>
      </c>
      <c r="J326" s="331">
        <v>236188.50150924051</v>
      </c>
      <c r="K326" s="331">
        <v>246022.26983277209</v>
      </c>
      <c r="L326" s="331">
        <v>260288.83602819283</v>
      </c>
      <c r="M326" s="331">
        <v>264134.63827177871</v>
      </c>
      <c r="N326" s="331">
        <v>9679.1091749277912</v>
      </c>
      <c r="O326" s="331">
        <v>18483.000739006631</v>
      </c>
      <c r="P326" s="331">
        <v>782660563.74986029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6930-7E96-4C8D-95E4-95FC35534B03}">
  <dimension ref="A1:V4"/>
  <sheetViews>
    <sheetView workbookViewId="0">
      <selection activeCell="Q4" sqref="Q4"/>
    </sheetView>
  </sheetViews>
  <sheetFormatPr defaultRowHeight="12.75" x14ac:dyDescent="0.2"/>
  <cols>
    <col min="1" max="2" width="9.28515625" bestFit="1" customWidth="1"/>
    <col min="3" max="3" width="12" bestFit="1" customWidth="1"/>
    <col min="4" max="4" width="10.5703125" bestFit="1" customWidth="1"/>
    <col min="5" max="5" width="27" bestFit="1" customWidth="1"/>
    <col min="6" max="6" width="10.28515625" bestFit="1" customWidth="1"/>
    <col min="7" max="7" width="10.42578125" bestFit="1" customWidth="1"/>
    <col min="8" max="8" width="9.28515625" bestFit="1" customWidth="1"/>
    <col min="9" max="9" width="14" bestFit="1" customWidth="1"/>
    <col min="10" max="10" width="14.42578125" bestFit="1" customWidth="1"/>
    <col min="11" max="11" width="9.28515625" bestFit="1" customWidth="1"/>
    <col min="12" max="13" width="16.28515625" bestFit="1" customWidth="1"/>
    <col min="14" max="14" width="15" bestFit="1" customWidth="1"/>
    <col min="15" max="15" width="17.140625" bestFit="1" customWidth="1"/>
    <col min="16" max="16" width="13.42578125" bestFit="1" customWidth="1"/>
    <col min="17" max="17" width="9.28515625" bestFit="1" customWidth="1"/>
    <col min="18" max="18" width="11.7109375" bestFit="1" customWidth="1"/>
    <col min="19" max="19" width="10.28515625" bestFit="1" customWidth="1"/>
    <col min="20" max="20" width="14" bestFit="1" customWidth="1"/>
    <col min="21" max="21" width="10" bestFit="1" customWidth="1"/>
    <col min="22" max="22" width="14.140625" bestFit="1" customWidth="1"/>
  </cols>
  <sheetData>
    <row r="1" spans="1:22" x14ac:dyDescent="0.2">
      <c r="A1" s="69" t="s">
        <v>1880</v>
      </c>
    </row>
    <row r="3" spans="1:22" x14ac:dyDescent="0.2">
      <c r="A3" t="s">
        <v>87</v>
      </c>
      <c r="B3" t="s">
        <v>43</v>
      </c>
      <c r="C3" t="s">
        <v>54</v>
      </c>
      <c r="D3" t="s">
        <v>88</v>
      </c>
      <c r="E3" t="s">
        <v>1866</v>
      </c>
      <c r="F3" t="s">
        <v>70</v>
      </c>
      <c r="G3" t="s">
        <v>90</v>
      </c>
      <c r="H3" t="s">
        <v>91</v>
      </c>
      <c r="I3" t="s">
        <v>92</v>
      </c>
      <c r="J3" t="s">
        <v>72</v>
      </c>
      <c r="K3" t="s">
        <v>325</v>
      </c>
      <c r="L3" t="s">
        <v>94</v>
      </c>
      <c r="M3" t="s">
        <v>95</v>
      </c>
      <c r="N3" t="s">
        <v>53</v>
      </c>
      <c r="O3" t="s">
        <v>64</v>
      </c>
      <c r="P3" t="s">
        <v>67</v>
      </c>
      <c r="Q3" t="s">
        <v>44</v>
      </c>
      <c r="R3" t="s">
        <v>326</v>
      </c>
      <c r="S3" t="s">
        <v>327</v>
      </c>
      <c r="T3" t="s">
        <v>328</v>
      </c>
      <c r="U3" t="s">
        <v>98</v>
      </c>
      <c r="V3" t="s">
        <v>329</v>
      </c>
    </row>
    <row r="4" spans="1:22" x14ac:dyDescent="0.2">
      <c r="A4" t="s">
        <v>15</v>
      </c>
      <c r="B4" t="s">
        <v>2</v>
      </c>
      <c r="C4" s="38">
        <v>46173</v>
      </c>
      <c r="D4" s="38">
        <v>46173</v>
      </c>
      <c r="E4" s="38">
        <v>46171</v>
      </c>
      <c r="F4" t="s">
        <v>82</v>
      </c>
      <c r="J4">
        <v>15742.95</v>
      </c>
      <c r="K4" t="s">
        <v>1803</v>
      </c>
      <c r="L4" t="s">
        <v>443</v>
      </c>
      <c r="M4" t="s">
        <v>443</v>
      </c>
      <c r="N4" t="s">
        <v>387</v>
      </c>
      <c r="O4" t="s">
        <v>47</v>
      </c>
      <c r="P4" t="s">
        <v>1841</v>
      </c>
      <c r="Q4" t="s">
        <v>1844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9C81-6F6B-4595-B2CA-DA5DCD882913}">
  <dimension ref="A1:D361"/>
  <sheetViews>
    <sheetView topLeftCell="A244" workbookViewId="0">
      <selection activeCell="B33" sqref="B33"/>
    </sheetView>
  </sheetViews>
  <sheetFormatPr defaultRowHeight="12.75" x14ac:dyDescent="0.2"/>
  <cols>
    <col min="1" max="1" width="51.28515625" bestFit="1" customWidth="1"/>
    <col min="2" max="2" width="14.5703125" bestFit="1" customWidth="1"/>
    <col min="3" max="3" width="12" bestFit="1" customWidth="1"/>
    <col min="4" max="4" width="12.5703125" bestFit="1" customWidth="1"/>
    <col min="5" max="5" width="8.7109375" bestFit="1" customWidth="1"/>
    <col min="6" max="18" width="9.7109375" bestFit="1" customWidth="1"/>
    <col min="19" max="23" width="8.7109375" bestFit="1" customWidth="1"/>
    <col min="24" max="33" width="9.7109375" bestFit="1" customWidth="1"/>
    <col min="34" max="38" width="8.7109375" bestFit="1" customWidth="1"/>
    <col min="39" max="54" width="9.7109375" bestFit="1" customWidth="1"/>
    <col min="55" max="60" width="8.7109375" bestFit="1" customWidth="1"/>
    <col min="61" max="70" width="9.7109375" bestFit="1" customWidth="1"/>
    <col min="71" max="77" width="8.7109375" bestFit="1" customWidth="1"/>
    <col min="78" max="93" width="9.7109375" bestFit="1" customWidth="1"/>
    <col min="94" max="98" width="8.7109375" bestFit="1" customWidth="1"/>
    <col min="99" max="122" width="9.7109375" bestFit="1" customWidth="1"/>
    <col min="123" max="131" width="10.7109375" bestFit="1" customWidth="1"/>
    <col min="132" max="134" width="9.7109375" bestFit="1" customWidth="1"/>
    <col min="135" max="135" width="10" bestFit="1" customWidth="1"/>
  </cols>
  <sheetData>
    <row r="1" spans="1:4" x14ac:dyDescent="0.2">
      <c r="A1" s="64" t="s">
        <v>67</v>
      </c>
      <c r="B1" t="s">
        <v>1868</v>
      </c>
    </row>
    <row r="3" spans="1:4" x14ac:dyDescent="0.2">
      <c r="A3" s="64" t="s">
        <v>11</v>
      </c>
      <c r="B3" s="64" t="s">
        <v>40</v>
      </c>
    </row>
    <row r="4" spans="1:4" x14ac:dyDescent="0.2">
      <c r="B4" t="s">
        <v>7</v>
      </c>
      <c r="C4" t="s">
        <v>1870</v>
      </c>
      <c r="D4" t="s">
        <v>19</v>
      </c>
    </row>
    <row r="5" spans="1:4" x14ac:dyDescent="0.2">
      <c r="A5" s="64" t="s">
        <v>65</v>
      </c>
    </row>
    <row r="6" spans="1:4" x14ac:dyDescent="0.2">
      <c r="A6" s="65" t="s">
        <v>45</v>
      </c>
      <c r="B6" s="331">
        <v>431233.47629749833</v>
      </c>
      <c r="C6" s="331"/>
      <c r="D6" s="331">
        <v>431233.47629749833</v>
      </c>
    </row>
    <row r="7" spans="1:4" x14ac:dyDescent="0.2">
      <c r="A7" s="66" t="s">
        <v>2</v>
      </c>
      <c r="B7" s="331">
        <v>131037.14754651101</v>
      </c>
      <c r="C7" s="331"/>
      <c r="D7" s="331">
        <v>131037.14754651101</v>
      </c>
    </row>
    <row r="8" spans="1:4" x14ac:dyDescent="0.2">
      <c r="A8" s="87" t="s">
        <v>49</v>
      </c>
      <c r="B8" s="331">
        <v>47494.426670397384</v>
      </c>
      <c r="C8" s="331"/>
      <c r="D8" s="331">
        <v>47494.426670397384</v>
      </c>
    </row>
    <row r="9" spans="1:4" x14ac:dyDescent="0.2">
      <c r="A9" s="86" t="s">
        <v>560</v>
      </c>
      <c r="B9" s="331">
        <v>47494.426670397384</v>
      </c>
      <c r="C9" s="331"/>
      <c r="D9" s="331">
        <v>47494.426670397384</v>
      </c>
    </row>
    <row r="10" spans="1:4" x14ac:dyDescent="0.2">
      <c r="A10" s="87" t="s">
        <v>46</v>
      </c>
      <c r="B10" s="331">
        <v>376.30431321498349</v>
      </c>
      <c r="C10" s="331"/>
      <c r="D10" s="331">
        <v>376.30431321498349</v>
      </c>
    </row>
    <row r="11" spans="1:4" x14ac:dyDescent="0.2">
      <c r="A11" s="86" t="s">
        <v>393</v>
      </c>
      <c r="B11" s="331">
        <v>49.5625</v>
      </c>
      <c r="C11" s="331"/>
      <c r="D11" s="331">
        <v>49.5625</v>
      </c>
    </row>
    <row r="12" spans="1:4" x14ac:dyDescent="0.2">
      <c r="A12" s="86" t="s">
        <v>390</v>
      </c>
      <c r="B12" s="331">
        <v>326.74181321498349</v>
      </c>
      <c r="C12" s="331"/>
      <c r="D12" s="331">
        <v>326.74181321498349</v>
      </c>
    </row>
    <row r="13" spans="1:4" x14ac:dyDescent="0.2">
      <c r="A13" s="87" t="s">
        <v>346</v>
      </c>
      <c r="B13" s="331">
        <v>7.4349999999999996</v>
      </c>
      <c r="C13" s="331"/>
      <c r="D13" s="331">
        <v>7.4349999999999996</v>
      </c>
    </row>
    <row r="14" spans="1:4" x14ac:dyDescent="0.2">
      <c r="A14" s="86" t="s">
        <v>346</v>
      </c>
      <c r="B14" s="331">
        <v>7.4349999999999996</v>
      </c>
      <c r="C14" s="331"/>
      <c r="D14" s="331">
        <v>7.4349999999999996</v>
      </c>
    </row>
    <row r="15" spans="1:4" x14ac:dyDescent="0.2">
      <c r="A15" s="87" t="s">
        <v>47</v>
      </c>
      <c r="B15" s="331">
        <v>73903.076000000001</v>
      </c>
      <c r="C15" s="331"/>
      <c r="D15" s="331">
        <v>73903.076000000001</v>
      </c>
    </row>
    <row r="16" spans="1:4" x14ac:dyDescent="0.2">
      <c r="A16" s="86" t="s">
        <v>387</v>
      </c>
      <c r="B16" s="331">
        <v>61906.020000000004</v>
      </c>
      <c r="C16" s="331"/>
      <c r="D16" s="331">
        <v>61906.020000000004</v>
      </c>
    </row>
    <row r="17" spans="1:4" x14ac:dyDescent="0.2">
      <c r="A17" s="86" t="s">
        <v>364</v>
      </c>
      <c r="B17" s="331">
        <v>11997.056</v>
      </c>
      <c r="C17" s="331"/>
      <c r="D17" s="331">
        <v>11997.056</v>
      </c>
    </row>
    <row r="18" spans="1:4" x14ac:dyDescent="0.2">
      <c r="A18" s="87" t="s">
        <v>50</v>
      </c>
      <c r="B18" s="331">
        <v>137.18698080000001</v>
      </c>
      <c r="C18" s="331"/>
      <c r="D18" s="331">
        <v>137.18698080000001</v>
      </c>
    </row>
    <row r="19" spans="1:4" x14ac:dyDescent="0.2">
      <c r="A19" s="86" t="s">
        <v>470</v>
      </c>
      <c r="B19" s="331">
        <v>137.18698080000001</v>
      </c>
      <c r="C19" s="331"/>
      <c r="D19" s="331">
        <v>137.18698080000001</v>
      </c>
    </row>
    <row r="20" spans="1:4" x14ac:dyDescent="0.2">
      <c r="A20" s="87" t="s">
        <v>51</v>
      </c>
      <c r="B20" s="331">
        <v>585.60590960000002</v>
      </c>
      <c r="C20" s="331"/>
      <c r="D20" s="331">
        <v>585.60590960000002</v>
      </c>
    </row>
    <row r="21" spans="1:4" x14ac:dyDescent="0.2">
      <c r="A21" s="86" t="s">
        <v>527</v>
      </c>
      <c r="B21" s="331">
        <v>585.60590960000002</v>
      </c>
      <c r="C21" s="331"/>
      <c r="D21" s="331">
        <v>585.60590960000002</v>
      </c>
    </row>
    <row r="22" spans="1:4" x14ac:dyDescent="0.2">
      <c r="A22" s="87" t="s">
        <v>52</v>
      </c>
      <c r="B22" s="331">
        <v>57.973416469324292</v>
      </c>
      <c r="C22" s="331"/>
      <c r="D22" s="331">
        <v>57.973416469324292</v>
      </c>
    </row>
    <row r="23" spans="1:4" x14ac:dyDescent="0.2">
      <c r="A23" s="86" t="s">
        <v>52</v>
      </c>
      <c r="B23" s="331">
        <v>57.973416469324292</v>
      </c>
      <c r="C23" s="331"/>
      <c r="D23" s="331">
        <v>57.973416469324292</v>
      </c>
    </row>
    <row r="24" spans="1:4" x14ac:dyDescent="0.2">
      <c r="A24" s="87" t="s">
        <v>48</v>
      </c>
      <c r="B24" s="331">
        <v>8475.139256029328</v>
      </c>
      <c r="C24" s="331"/>
      <c r="D24" s="331">
        <v>8475.139256029328</v>
      </c>
    </row>
    <row r="25" spans="1:4" x14ac:dyDescent="0.2">
      <c r="A25" s="86" t="s">
        <v>475</v>
      </c>
      <c r="B25" s="331">
        <v>1234.0009693198699</v>
      </c>
      <c r="C25" s="331"/>
      <c r="D25" s="331">
        <v>1234.0009693198699</v>
      </c>
    </row>
    <row r="26" spans="1:4" x14ac:dyDescent="0.2">
      <c r="A26" s="86" t="s">
        <v>339</v>
      </c>
      <c r="B26" s="331">
        <v>251.13040000000001</v>
      </c>
      <c r="C26" s="331"/>
      <c r="D26" s="331">
        <v>251.13040000000001</v>
      </c>
    </row>
    <row r="27" spans="1:4" x14ac:dyDescent="0.2">
      <c r="A27" s="86" t="s">
        <v>391</v>
      </c>
      <c r="B27" s="331">
        <v>215.79899485514684</v>
      </c>
      <c r="C27" s="331"/>
      <c r="D27" s="331">
        <v>215.79899485514684</v>
      </c>
    </row>
    <row r="28" spans="1:4" x14ac:dyDescent="0.2">
      <c r="A28" s="86" t="s">
        <v>402</v>
      </c>
      <c r="B28" s="331">
        <v>82.148570967928379</v>
      </c>
      <c r="C28" s="331"/>
      <c r="D28" s="331">
        <v>82.148570967928379</v>
      </c>
    </row>
    <row r="29" spans="1:4" x14ac:dyDescent="0.2">
      <c r="A29" s="86" t="s">
        <v>353</v>
      </c>
      <c r="B29" s="331">
        <v>4253.288200032006</v>
      </c>
      <c r="C29" s="331"/>
      <c r="D29" s="331">
        <v>4253.288200032006</v>
      </c>
    </row>
    <row r="30" spans="1:4" x14ac:dyDescent="0.2">
      <c r="A30" s="86" t="s">
        <v>356</v>
      </c>
      <c r="B30" s="331">
        <v>2438.7721208543771</v>
      </c>
      <c r="C30" s="331"/>
      <c r="D30" s="331">
        <v>2438.7721208543771</v>
      </c>
    </row>
    <row r="31" spans="1:4" x14ac:dyDescent="0.2">
      <c r="A31" s="66" t="s">
        <v>1</v>
      </c>
      <c r="B31" s="331">
        <v>300196.3287509873</v>
      </c>
      <c r="C31" s="331"/>
      <c r="D31" s="331">
        <v>300196.3287509873</v>
      </c>
    </row>
    <row r="32" spans="1:4" x14ac:dyDescent="0.2">
      <c r="A32" s="87" t="s">
        <v>46</v>
      </c>
      <c r="B32" s="331">
        <v>49.353545820000001</v>
      </c>
      <c r="C32" s="331"/>
      <c r="D32" s="331">
        <v>49.353545820000001</v>
      </c>
    </row>
    <row r="33" spans="1:4" x14ac:dyDescent="0.2">
      <c r="A33" s="86" t="s">
        <v>393</v>
      </c>
      <c r="B33" s="331">
        <v>49.353545820000001</v>
      </c>
      <c r="C33" s="331"/>
      <c r="D33" s="331">
        <v>49.353545820000001</v>
      </c>
    </row>
    <row r="34" spans="1:4" x14ac:dyDescent="0.2">
      <c r="A34" s="87" t="s">
        <v>47</v>
      </c>
      <c r="B34" s="331">
        <v>253036.90999999997</v>
      </c>
      <c r="C34" s="331"/>
      <c r="D34" s="331">
        <v>253036.90999999997</v>
      </c>
    </row>
    <row r="35" spans="1:4" x14ac:dyDescent="0.2">
      <c r="A35" s="86" t="s">
        <v>387</v>
      </c>
      <c r="B35" s="331">
        <v>196662.8</v>
      </c>
      <c r="C35" s="331"/>
      <c r="D35" s="331">
        <v>196662.8</v>
      </c>
    </row>
    <row r="36" spans="1:4" x14ac:dyDescent="0.2">
      <c r="A36" s="86" t="s">
        <v>364</v>
      </c>
      <c r="B36" s="331">
        <v>56374.11</v>
      </c>
      <c r="C36" s="331"/>
      <c r="D36" s="331">
        <v>56374.11</v>
      </c>
    </row>
    <row r="37" spans="1:4" x14ac:dyDescent="0.2">
      <c r="A37" s="87" t="s">
        <v>398</v>
      </c>
      <c r="B37" s="331">
        <v>3379.6828999999998</v>
      </c>
      <c r="C37" s="331"/>
      <c r="D37" s="331">
        <v>3379.6828999999998</v>
      </c>
    </row>
    <row r="38" spans="1:4" x14ac:dyDescent="0.2">
      <c r="A38" s="86" t="s">
        <v>657</v>
      </c>
      <c r="B38" s="331">
        <v>3379.6828999999998</v>
      </c>
      <c r="C38" s="331"/>
      <c r="D38" s="331">
        <v>3379.6828999999998</v>
      </c>
    </row>
    <row r="39" spans="1:4" x14ac:dyDescent="0.2">
      <c r="A39" s="87" t="s">
        <v>48</v>
      </c>
      <c r="B39" s="331">
        <v>43730.382305167332</v>
      </c>
      <c r="C39" s="331"/>
      <c r="D39" s="331">
        <v>43730.382305167332</v>
      </c>
    </row>
    <row r="40" spans="1:4" x14ac:dyDescent="0.2">
      <c r="A40" s="86" t="s">
        <v>356</v>
      </c>
      <c r="B40" s="331">
        <v>43730.382305167332</v>
      </c>
      <c r="C40" s="331"/>
      <c r="D40" s="331">
        <v>43730.382305167332</v>
      </c>
    </row>
    <row r="41" spans="1:4" x14ac:dyDescent="0.2">
      <c r="A41" s="65" t="s">
        <v>62</v>
      </c>
      <c r="B41" s="331">
        <v>1047367409.3211173</v>
      </c>
      <c r="C41" s="331">
        <v>22906.006578779412</v>
      </c>
      <c r="D41" s="331">
        <v>1047390315.3276961</v>
      </c>
    </row>
    <row r="42" spans="1:4" x14ac:dyDescent="0.2">
      <c r="A42" s="66" t="s">
        <v>3</v>
      </c>
      <c r="B42" s="331">
        <v>15329.584395049998</v>
      </c>
      <c r="C42" s="331"/>
      <c r="D42" s="331">
        <v>15329.584395049998</v>
      </c>
    </row>
    <row r="43" spans="1:4" x14ac:dyDescent="0.2">
      <c r="A43" s="87" t="s">
        <v>332</v>
      </c>
      <c r="B43" s="331">
        <v>35.7519913</v>
      </c>
      <c r="C43" s="331"/>
      <c r="D43" s="331">
        <v>35.7519913</v>
      </c>
    </row>
    <row r="44" spans="1:4" x14ac:dyDescent="0.2">
      <c r="A44" s="86" t="s">
        <v>332</v>
      </c>
      <c r="B44" s="331">
        <v>35.7519913</v>
      </c>
      <c r="C44" s="331"/>
      <c r="D44" s="331">
        <v>35.7519913</v>
      </c>
    </row>
    <row r="45" spans="1:4" x14ac:dyDescent="0.2">
      <c r="A45" s="87" t="s">
        <v>344</v>
      </c>
      <c r="B45" s="331">
        <v>23.498152500000003</v>
      </c>
      <c r="C45" s="331"/>
      <c r="D45" s="331">
        <v>23.498152500000003</v>
      </c>
    </row>
    <row r="46" spans="1:4" x14ac:dyDescent="0.2">
      <c r="A46" s="86" t="s">
        <v>344</v>
      </c>
      <c r="B46" s="331">
        <v>23.498152500000003</v>
      </c>
      <c r="C46" s="331"/>
      <c r="D46" s="331">
        <v>23.498152500000003</v>
      </c>
    </row>
    <row r="47" spans="1:4" x14ac:dyDescent="0.2">
      <c r="A47" s="87" t="s">
        <v>46</v>
      </c>
      <c r="B47" s="331">
        <v>623.98009000000002</v>
      </c>
      <c r="C47" s="331"/>
      <c r="D47" s="331">
        <v>623.98009000000002</v>
      </c>
    </row>
    <row r="48" spans="1:4" x14ac:dyDescent="0.2">
      <c r="A48" s="86" t="s">
        <v>349</v>
      </c>
      <c r="B48" s="331">
        <v>51.500090000000007</v>
      </c>
      <c r="C48" s="331"/>
      <c r="D48" s="331">
        <v>51.500090000000007</v>
      </c>
    </row>
    <row r="49" spans="1:4" x14ac:dyDescent="0.2">
      <c r="A49" s="86" t="s">
        <v>393</v>
      </c>
      <c r="B49" s="331">
        <v>136.69</v>
      </c>
      <c r="C49" s="331"/>
      <c r="D49" s="331">
        <v>136.69</v>
      </c>
    </row>
    <row r="50" spans="1:4" x14ac:dyDescent="0.2">
      <c r="A50" s="86" t="s">
        <v>390</v>
      </c>
      <c r="B50" s="331">
        <v>435.79</v>
      </c>
      <c r="C50" s="331"/>
      <c r="D50" s="331">
        <v>435.79</v>
      </c>
    </row>
    <row r="51" spans="1:4" x14ac:dyDescent="0.2">
      <c r="A51" s="87" t="s">
        <v>47</v>
      </c>
      <c r="B51" s="331">
        <v>1968.2700012</v>
      </c>
      <c r="C51" s="331"/>
      <c r="D51" s="331">
        <v>1968.2700012</v>
      </c>
    </row>
    <row r="52" spans="1:4" x14ac:dyDescent="0.2">
      <c r="A52" s="86" t="s">
        <v>332</v>
      </c>
      <c r="B52" s="331">
        <v>4.82</v>
      </c>
      <c r="C52" s="331"/>
      <c r="D52" s="331">
        <v>4.82</v>
      </c>
    </row>
    <row r="53" spans="1:4" x14ac:dyDescent="0.2">
      <c r="A53" s="86" t="s">
        <v>387</v>
      </c>
      <c r="B53" s="331">
        <v>1566.2</v>
      </c>
      <c r="C53" s="331"/>
      <c r="D53" s="331">
        <v>1566.2</v>
      </c>
    </row>
    <row r="54" spans="1:4" x14ac:dyDescent="0.2">
      <c r="A54" s="86" t="s">
        <v>364</v>
      </c>
      <c r="B54" s="331">
        <v>397.25000120000004</v>
      </c>
      <c r="C54" s="331"/>
      <c r="D54" s="331">
        <v>397.25000120000004</v>
      </c>
    </row>
    <row r="55" spans="1:4" x14ac:dyDescent="0.2">
      <c r="A55" s="87" t="s">
        <v>418</v>
      </c>
      <c r="B55" s="331">
        <v>-6865.47</v>
      </c>
      <c r="C55" s="331"/>
      <c r="D55" s="331">
        <v>-6865.47</v>
      </c>
    </row>
    <row r="56" spans="1:4" x14ac:dyDescent="0.2">
      <c r="A56" s="86" t="s">
        <v>418</v>
      </c>
      <c r="B56" s="331">
        <v>-6865.47</v>
      </c>
      <c r="C56" s="331"/>
      <c r="D56" s="331">
        <v>-6865.47</v>
      </c>
    </row>
    <row r="57" spans="1:4" x14ac:dyDescent="0.2">
      <c r="A57" s="87" t="s">
        <v>375</v>
      </c>
      <c r="B57" s="331">
        <v>241.19147800000002</v>
      </c>
      <c r="C57" s="331"/>
      <c r="D57" s="331">
        <v>241.19147800000002</v>
      </c>
    </row>
    <row r="58" spans="1:4" x14ac:dyDescent="0.2">
      <c r="A58" s="86" t="s">
        <v>374</v>
      </c>
      <c r="B58" s="331">
        <v>241.19147800000002</v>
      </c>
      <c r="C58" s="331"/>
      <c r="D58" s="331">
        <v>241.19147800000002</v>
      </c>
    </row>
    <row r="59" spans="1:4" x14ac:dyDescent="0.2">
      <c r="A59" s="87" t="s">
        <v>50</v>
      </c>
      <c r="B59" s="331">
        <v>234.56600324999999</v>
      </c>
      <c r="C59" s="331"/>
      <c r="D59" s="331">
        <v>234.56600324999999</v>
      </c>
    </row>
    <row r="60" spans="1:4" x14ac:dyDescent="0.2">
      <c r="A60" s="86" t="s">
        <v>50</v>
      </c>
      <c r="B60" s="331">
        <v>234.56600324999999</v>
      </c>
      <c r="C60" s="331"/>
      <c r="D60" s="331">
        <v>234.56600324999999</v>
      </c>
    </row>
    <row r="61" spans="1:4" x14ac:dyDescent="0.2">
      <c r="A61" s="87" t="s">
        <v>385</v>
      </c>
      <c r="B61" s="331">
        <v>-62.321101600000006</v>
      </c>
      <c r="C61" s="331"/>
      <c r="D61" s="331">
        <v>-62.321101600000006</v>
      </c>
    </row>
    <row r="62" spans="1:4" x14ac:dyDescent="0.2">
      <c r="A62" s="86" t="s">
        <v>384</v>
      </c>
      <c r="B62" s="331">
        <v>-62.321101600000006</v>
      </c>
      <c r="C62" s="331"/>
      <c r="D62" s="331">
        <v>-62.321101600000006</v>
      </c>
    </row>
    <row r="63" spans="1:4" x14ac:dyDescent="0.2">
      <c r="A63" s="87" t="s">
        <v>367</v>
      </c>
      <c r="B63" s="331">
        <v>1740.0188224000001</v>
      </c>
      <c r="C63" s="331"/>
      <c r="D63" s="331">
        <v>1740.0188224000001</v>
      </c>
    </row>
    <row r="64" spans="1:4" x14ac:dyDescent="0.2">
      <c r="A64" s="86" t="s">
        <v>367</v>
      </c>
      <c r="B64" s="331">
        <v>1156.8288224</v>
      </c>
      <c r="C64" s="331"/>
      <c r="D64" s="331">
        <v>1156.8288224</v>
      </c>
    </row>
    <row r="65" spans="1:4" x14ac:dyDescent="0.2">
      <c r="A65" s="86" t="s">
        <v>1861</v>
      </c>
      <c r="B65" s="331">
        <v>583.19000000000005</v>
      </c>
      <c r="C65" s="331"/>
      <c r="D65" s="331">
        <v>583.19000000000005</v>
      </c>
    </row>
    <row r="66" spans="1:4" x14ac:dyDescent="0.2">
      <c r="A66" s="87" t="s">
        <v>410</v>
      </c>
      <c r="B66" s="331">
        <v>14562.76</v>
      </c>
      <c r="C66" s="331"/>
      <c r="D66" s="331">
        <v>14562.76</v>
      </c>
    </row>
    <row r="67" spans="1:4" x14ac:dyDescent="0.2">
      <c r="A67" s="86" t="s">
        <v>409</v>
      </c>
      <c r="B67" s="331">
        <v>14562.76</v>
      </c>
      <c r="C67" s="331"/>
      <c r="D67" s="331">
        <v>14562.76</v>
      </c>
    </row>
    <row r="68" spans="1:4" x14ac:dyDescent="0.2">
      <c r="A68" s="87" t="s">
        <v>60</v>
      </c>
      <c r="B68" s="331">
        <v>579.52744860000007</v>
      </c>
      <c r="C68" s="331"/>
      <c r="D68" s="331">
        <v>579.52744860000007</v>
      </c>
    </row>
    <row r="69" spans="1:4" x14ac:dyDescent="0.2">
      <c r="A69" s="86" t="s">
        <v>60</v>
      </c>
      <c r="B69" s="331">
        <v>579.52744860000007</v>
      </c>
      <c r="C69" s="331"/>
      <c r="D69" s="331">
        <v>579.52744860000007</v>
      </c>
    </row>
    <row r="70" spans="1:4" x14ac:dyDescent="0.2">
      <c r="A70" s="87" t="s">
        <v>48</v>
      </c>
      <c r="B70" s="331">
        <v>1820.4261750000001</v>
      </c>
      <c r="C70" s="331"/>
      <c r="D70" s="331">
        <v>1820.4261750000001</v>
      </c>
    </row>
    <row r="71" spans="1:4" x14ac:dyDescent="0.2">
      <c r="A71" s="86" t="s">
        <v>339</v>
      </c>
      <c r="B71" s="331">
        <v>1551.476175</v>
      </c>
      <c r="C71" s="331"/>
      <c r="D71" s="331">
        <v>1551.476175</v>
      </c>
    </row>
    <row r="72" spans="1:4" x14ac:dyDescent="0.2">
      <c r="A72" s="86" t="s">
        <v>391</v>
      </c>
      <c r="B72" s="331">
        <v>24.81</v>
      </c>
      <c r="C72" s="331"/>
      <c r="D72" s="331">
        <v>24.81</v>
      </c>
    </row>
    <row r="73" spans="1:4" x14ac:dyDescent="0.2">
      <c r="A73" s="86" t="s">
        <v>356</v>
      </c>
      <c r="B73" s="331">
        <v>244.14</v>
      </c>
      <c r="C73" s="331"/>
      <c r="D73" s="331">
        <v>244.14</v>
      </c>
    </row>
    <row r="74" spans="1:4" x14ac:dyDescent="0.2">
      <c r="A74" s="87" t="s">
        <v>371</v>
      </c>
      <c r="B74" s="331">
        <v>365.14533440000002</v>
      </c>
      <c r="C74" s="331"/>
      <c r="D74" s="331">
        <v>365.14533440000002</v>
      </c>
    </row>
    <row r="75" spans="1:4" x14ac:dyDescent="0.2">
      <c r="A75" s="86" t="s">
        <v>370</v>
      </c>
      <c r="B75" s="331">
        <v>365.14533440000002</v>
      </c>
      <c r="C75" s="331"/>
      <c r="D75" s="331">
        <v>365.14533440000002</v>
      </c>
    </row>
    <row r="76" spans="1:4" x14ac:dyDescent="0.2">
      <c r="A76" s="87" t="s">
        <v>1879</v>
      </c>
      <c r="B76" s="331">
        <v>62.24</v>
      </c>
      <c r="C76" s="331"/>
      <c r="D76" s="331">
        <v>62.24</v>
      </c>
    </row>
    <row r="77" spans="1:4" x14ac:dyDescent="0.2">
      <c r="A77" s="86" t="s">
        <v>367</v>
      </c>
      <c r="B77" s="331">
        <v>62.24</v>
      </c>
      <c r="C77" s="331"/>
      <c r="D77" s="331">
        <v>62.24</v>
      </c>
    </row>
    <row r="78" spans="1:4" x14ac:dyDescent="0.2">
      <c r="A78" s="66" t="s">
        <v>2</v>
      </c>
      <c r="B78" s="331">
        <v>576724.06295993563</v>
      </c>
      <c r="C78" s="331">
        <v>4330.5908360777457</v>
      </c>
      <c r="D78" s="331">
        <v>581054.65379601333</v>
      </c>
    </row>
    <row r="79" spans="1:4" x14ac:dyDescent="0.2">
      <c r="A79" s="87" t="s">
        <v>447</v>
      </c>
      <c r="B79" s="331">
        <v>8795.2199999999993</v>
      </c>
      <c r="C79" s="331"/>
      <c r="D79" s="331">
        <v>8795.2199999999993</v>
      </c>
    </row>
    <row r="80" spans="1:4" x14ac:dyDescent="0.2">
      <c r="A80" s="86" t="s">
        <v>447</v>
      </c>
      <c r="B80" s="331">
        <v>8795.2199999999993</v>
      </c>
      <c r="C80" s="331"/>
      <c r="D80" s="331">
        <v>8795.2199999999993</v>
      </c>
    </row>
    <row r="81" spans="1:4" x14ac:dyDescent="0.2">
      <c r="A81" s="87" t="s">
        <v>464</v>
      </c>
      <c r="B81" s="331">
        <v>28969.618165379801</v>
      </c>
      <c r="C81" s="331"/>
      <c r="D81" s="331">
        <v>28969.618165379801</v>
      </c>
    </row>
    <row r="82" spans="1:4" x14ac:dyDescent="0.2">
      <c r="A82" s="86" t="s">
        <v>464</v>
      </c>
      <c r="B82" s="331">
        <v>28969.618165379801</v>
      </c>
      <c r="C82" s="331"/>
      <c r="D82" s="331">
        <v>28969.618165379801</v>
      </c>
    </row>
    <row r="83" spans="1:4" x14ac:dyDescent="0.2">
      <c r="A83" s="87" t="s">
        <v>1148</v>
      </c>
      <c r="B83" s="331">
        <v>-57411.380000000005</v>
      </c>
      <c r="C83" s="331"/>
      <c r="D83" s="331">
        <v>-57411.380000000005</v>
      </c>
    </row>
    <row r="84" spans="1:4" x14ac:dyDescent="0.2">
      <c r="A84" s="86" t="s">
        <v>1049</v>
      </c>
      <c r="B84" s="331">
        <v>-57411.380000000005</v>
      </c>
      <c r="C84" s="331"/>
      <c r="D84" s="331">
        <v>-57411.380000000005</v>
      </c>
    </row>
    <row r="85" spans="1:4" x14ac:dyDescent="0.2">
      <c r="A85" s="87" t="s">
        <v>332</v>
      </c>
      <c r="B85" s="331">
        <v>48.73774065094436</v>
      </c>
      <c r="C85" s="331"/>
      <c r="D85" s="331">
        <v>48.73774065094436</v>
      </c>
    </row>
    <row r="86" spans="1:4" x14ac:dyDescent="0.2">
      <c r="A86" s="86" t="s">
        <v>332</v>
      </c>
      <c r="B86" s="331">
        <v>48.73774065094436</v>
      </c>
      <c r="C86" s="331"/>
      <c r="D86" s="331">
        <v>48.73774065094436</v>
      </c>
    </row>
    <row r="87" spans="1:4" x14ac:dyDescent="0.2">
      <c r="A87" s="87" t="s">
        <v>473</v>
      </c>
      <c r="B87" s="331">
        <v>130.69389688924338</v>
      </c>
      <c r="C87" s="331"/>
      <c r="D87" s="331">
        <v>130.69389688924338</v>
      </c>
    </row>
    <row r="88" spans="1:4" x14ac:dyDescent="0.2">
      <c r="A88" s="86" t="s">
        <v>472</v>
      </c>
      <c r="B88" s="331">
        <v>130.69389688924338</v>
      </c>
      <c r="C88" s="331"/>
      <c r="D88" s="331">
        <v>130.69389688924338</v>
      </c>
    </row>
    <row r="89" spans="1:4" x14ac:dyDescent="0.2">
      <c r="A89" s="87" t="s">
        <v>510</v>
      </c>
      <c r="B89" s="331">
        <v>182023.94543013582</v>
      </c>
      <c r="C89" s="331">
        <v>4074.2002896419858</v>
      </c>
      <c r="D89" s="331">
        <v>186098.14571977779</v>
      </c>
    </row>
    <row r="90" spans="1:4" x14ac:dyDescent="0.2">
      <c r="A90" s="86" t="s">
        <v>509</v>
      </c>
      <c r="B90" s="331">
        <v>182023.94543013582</v>
      </c>
      <c r="C90" s="331">
        <v>4074.2002896419858</v>
      </c>
      <c r="D90" s="331">
        <v>186098.14571977779</v>
      </c>
    </row>
    <row r="91" spans="1:4" x14ac:dyDescent="0.2">
      <c r="A91" s="87" t="s">
        <v>572</v>
      </c>
      <c r="B91" s="331">
        <v>5582.6682887863317</v>
      </c>
      <c r="C91" s="331"/>
      <c r="D91" s="331">
        <v>5582.6682887863317</v>
      </c>
    </row>
    <row r="92" spans="1:4" x14ac:dyDescent="0.2">
      <c r="A92" s="86" t="s">
        <v>571</v>
      </c>
      <c r="B92" s="331">
        <v>5582.6682887863317</v>
      </c>
      <c r="C92" s="331"/>
      <c r="D92" s="331">
        <v>5582.6682887863317</v>
      </c>
    </row>
    <row r="93" spans="1:4" x14ac:dyDescent="0.2">
      <c r="A93" s="87" t="s">
        <v>1166</v>
      </c>
      <c r="B93" s="331">
        <v>69000</v>
      </c>
      <c r="C93" s="331"/>
      <c r="D93" s="331">
        <v>69000</v>
      </c>
    </row>
    <row r="94" spans="1:4" x14ac:dyDescent="0.2">
      <c r="A94" s="86" t="s">
        <v>1047</v>
      </c>
      <c r="B94" s="331">
        <v>69000</v>
      </c>
      <c r="C94" s="331"/>
      <c r="D94" s="331">
        <v>69000</v>
      </c>
    </row>
    <row r="95" spans="1:4" x14ac:dyDescent="0.2">
      <c r="A95" s="87" t="s">
        <v>46</v>
      </c>
      <c r="B95" s="331">
        <v>10929.631735487023</v>
      </c>
      <c r="C95" s="331"/>
      <c r="D95" s="331">
        <v>10929.631735487023</v>
      </c>
    </row>
    <row r="96" spans="1:4" x14ac:dyDescent="0.2">
      <c r="A96" s="86" t="s">
        <v>349</v>
      </c>
      <c r="B96" s="331">
        <v>8498.0063959289455</v>
      </c>
      <c r="C96" s="331"/>
      <c r="D96" s="331">
        <v>8498.0063959289455</v>
      </c>
    </row>
    <row r="97" spans="1:4" x14ac:dyDescent="0.2">
      <c r="A97" s="86" t="s">
        <v>393</v>
      </c>
      <c r="B97" s="331">
        <v>321.27512087044846</v>
      </c>
      <c r="C97" s="331"/>
      <c r="D97" s="331">
        <v>321.27512087044846</v>
      </c>
    </row>
    <row r="98" spans="1:4" x14ac:dyDescent="0.2">
      <c r="A98" s="86" t="s">
        <v>390</v>
      </c>
      <c r="B98" s="331">
        <v>187.42013884762787</v>
      </c>
      <c r="C98" s="331"/>
      <c r="D98" s="331">
        <v>187.42013884762787</v>
      </c>
    </row>
    <row r="99" spans="1:4" x14ac:dyDescent="0.2">
      <c r="A99" s="86" t="s">
        <v>540</v>
      </c>
      <c r="B99" s="331">
        <v>201.18007983999999</v>
      </c>
      <c r="C99" s="331"/>
      <c r="D99" s="331">
        <v>201.18007983999999</v>
      </c>
    </row>
    <row r="100" spans="1:4" x14ac:dyDescent="0.2">
      <c r="A100" s="86" t="s">
        <v>654</v>
      </c>
      <c r="B100" s="331">
        <v>1721.75</v>
      </c>
      <c r="C100" s="331"/>
      <c r="D100" s="331">
        <v>1721.75</v>
      </c>
    </row>
    <row r="101" spans="1:4" x14ac:dyDescent="0.2">
      <c r="A101" s="87" t="s">
        <v>1844</v>
      </c>
      <c r="B101" s="331">
        <v>2789.5338206920956</v>
      </c>
      <c r="C101" s="331"/>
      <c r="D101" s="331">
        <v>2789.5338206920956</v>
      </c>
    </row>
    <row r="102" spans="1:4" x14ac:dyDescent="0.2">
      <c r="A102" s="86" t="s">
        <v>535</v>
      </c>
      <c r="B102" s="331">
        <v>2789.5338206920956</v>
      </c>
      <c r="C102" s="331"/>
      <c r="D102" s="331">
        <v>2789.5338206920956</v>
      </c>
    </row>
    <row r="103" spans="1:4" x14ac:dyDescent="0.2">
      <c r="A103" s="87" t="s">
        <v>346</v>
      </c>
      <c r="B103" s="331">
        <v>266.15289920794669</v>
      </c>
      <c r="C103" s="331"/>
      <c r="D103" s="331">
        <v>266.15289920794669</v>
      </c>
    </row>
    <row r="104" spans="1:4" x14ac:dyDescent="0.2">
      <c r="A104" s="86" t="s">
        <v>346</v>
      </c>
      <c r="B104" s="331">
        <v>266.15289920794669</v>
      </c>
      <c r="C104" s="331"/>
      <c r="D104" s="331">
        <v>266.15289920794669</v>
      </c>
    </row>
    <row r="105" spans="1:4" x14ac:dyDescent="0.2">
      <c r="A105" s="87" t="s">
        <v>47</v>
      </c>
      <c r="B105" s="331">
        <v>131118</v>
      </c>
      <c r="C105" s="331"/>
      <c r="D105" s="331">
        <v>131118</v>
      </c>
    </row>
    <row r="106" spans="1:4" x14ac:dyDescent="0.2">
      <c r="A106" s="86" t="s">
        <v>387</v>
      </c>
      <c r="B106" s="331">
        <v>108094.34</v>
      </c>
      <c r="C106" s="331"/>
      <c r="D106" s="331">
        <v>108094.34</v>
      </c>
    </row>
    <row r="107" spans="1:4" x14ac:dyDescent="0.2">
      <c r="A107" s="86" t="s">
        <v>364</v>
      </c>
      <c r="B107" s="331">
        <v>23023.66</v>
      </c>
      <c r="C107" s="331"/>
      <c r="D107" s="331">
        <v>23023.66</v>
      </c>
    </row>
    <row r="108" spans="1:4" x14ac:dyDescent="0.2">
      <c r="A108" s="87" t="s">
        <v>398</v>
      </c>
      <c r="B108" s="331">
        <v>18.148424405960025</v>
      </c>
      <c r="C108" s="331"/>
      <c r="D108" s="331">
        <v>18.148424405960025</v>
      </c>
    </row>
    <row r="109" spans="1:4" x14ac:dyDescent="0.2">
      <c r="A109" s="86" t="s">
        <v>397</v>
      </c>
      <c r="B109" s="331">
        <v>18.148424405960025</v>
      </c>
      <c r="C109" s="331"/>
      <c r="D109" s="331">
        <v>18.148424405960025</v>
      </c>
    </row>
    <row r="110" spans="1:4" x14ac:dyDescent="0.2">
      <c r="A110" s="87" t="s">
        <v>547</v>
      </c>
      <c r="B110" s="331">
        <v>-149.09535596976357</v>
      </c>
      <c r="C110" s="331"/>
      <c r="D110" s="331">
        <v>-149.09535596976357</v>
      </c>
    </row>
    <row r="111" spans="1:4" x14ac:dyDescent="0.2">
      <c r="A111" s="86" t="s">
        <v>547</v>
      </c>
      <c r="B111" s="331">
        <v>-149.09535596976357</v>
      </c>
      <c r="C111" s="331"/>
      <c r="D111" s="331">
        <v>-149.09535596976357</v>
      </c>
    </row>
    <row r="112" spans="1:4" x14ac:dyDescent="0.2">
      <c r="A112" s="87" t="s">
        <v>418</v>
      </c>
      <c r="B112" s="331">
        <v>121783.26281919997</v>
      </c>
      <c r="C112" s="331"/>
      <c r="D112" s="331">
        <v>121783.26281919997</v>
      </c>
    </row>
    <row r="113" spans="1:4" x14ac:dyDescent="0.2">
      <c r="A113" s="86" t="s">
        <v>418</v>
      </c>
      <c r="B113" s="331">
        <v>121783.26281919997</v>
      </c>
      <c r="C113" s="331"/>
      <c r="D113" s="331">
        <v>121783.26281919997</v>
      </c>
    </row>
    <row r="114" spans="1:4" x14ac:dyDescent="0.2">
      <c r="A114" s="87" t="s">
        <v>535</v>
      </c>
      <c r="B114" s="331">
        <v>1480.8407679999998</v>
      </c>
      <c r="C114" s="331"/>
      <c r="D114" s="331">
        <v>1480.8407679999998</v>
      </c>
    </row>
    <row r="115" spans="1:4" x14ac:dyDescent="0.2">
      <c r="A115" s="86" t="s">
        <v>374</v>
      </c>
      <c r="B115" s="331">
        <v>1480.8407679999998</v>
      </c>
      <c r="C115" s="331"/>
      <c r="D115" s="331">
        <v>1480.8407679999998</v>
      </c>
    </row>
    <row r="116" spans="1:4" x14ac:dyDescent="0.2">
      <c r="A116" s="87" t="s">
        <v>58</v>
      </c>
      <c r="B116" s="331">
        <v>1255.6152765701408</v>
      </c>
      <c r="C116" s="331">
        <v>108.89054643576014</v>
      </c>
      <c r="D116" s="331">
        <v>1364.505823005901</v>
      </c>
    </row>
    <row r="117" spans="1:4" x14ac:dyDescent="0.2">
      <c r="A117" s="86" t="s">
        <v>58</v>
      </c>
      <c r="B117" s="331">
        <v>1255.6152765701408</v>
      </c>
      <c r="C117" s="331">
        <v>108.89054643576014</v>
      </c>
      <c r="D117" s="331">
        <v>1364.505823005901</v>
      </c>
    </row>
    <row r="118" spans="1:4" x14ac:dyDescent="0.2">
      <c r="A118" s="87" t="s">
        <v>375</v>
      </c>
      <c r="B118" s="331">
        <v>18758.407243337617</v>
      </c>
      <c r="C118" s="331"/>
      <c r="D118" s="331">
        <v>18758.407243337617</v>
      </c>
    </row>
    <row r="119" spans="1:4" x14ac:dyDescent="0.2">
      <c r="A119" s="86" t="s">
        <v>374</v>
      </c>
      <c r="B119" s="331">
        <v>18758.407243337617</v>
      </c>
      <c r="C119" s="331"/>
      <c r="D119" s="331">
        <v>18758.407243337617</v>
      </c>
    </row>
    <row r="120" spans="1:4" x14ac:dyDescent="0.2">
      <c r="A120" s="87" t="s">
        <v>50</v>
      </c>
      <c r="B120" s="331">
        <v>3272.3834181674879</v>
      </c>
      <c r="C120" s="331">
        <v>30</v>
      </c>
      <c r="D120" s="331">
        <v>3302.3834181674879</v>
      </c>
    </row>
    <row r="121" spans="1:4" x14ac:dyDescent="0.2">
      <c r="A121" s="86" t="s">
        <v>50</v>
      </c>
      <c r="B121" s="331">
        <v>3183.4029430405935</v>
      </c>
      <c r="C121" s="331">
        <v>30</v>
      </c>
      <c r="D121" s="331">
        <v>3213.4029430405935</v>
      </c>
    </row>
    <row r="122" spans="1:4" x14ac:dyDescent="0.2">
      <c r="A122" s="86" t="s">
        <v>470</v>
      </c>
      <c r="B122" s="331">
        <v>88.980475126894291</v>
      </c>
      <c r="C122" s="331"/>
      <c r="D122" s="331">
        <v>88.980475126894291</v>
      </c>
    </row>
    <row r="123" spans="1:4" x14ac:dyDescent="0.2">
      <c r="A123" s="87" t="s">
        <v>385</v>
      </c>
      <c r="B123" s="331">
        <v>-314.58911151295496</v>
      </c>
      <c r="C123" s="331"/>
      <c r="D123" s="331">
        <v>-314.58911151295496</v>
      </c>
    </row>
    <row r="124" spans="1:4" x14ac:dyDescent="0.2">
      <c r="A124" s="86" t="s">
        <v>384</v>
      </c>
      <c r="B124" s="331">
        <v>-314.58911151295496</v>
      </c>
      <c r="C124" s="331"/>
      <c r="D124" s="331">
        <v>-314.58911151295496</v>
      </c>
    </row>
    <row r="125" spans="1:4" x14ac:dyDescent="0.2">
      <c r="A125" s="87" t="s">
        <v>367</v>
      </c>
      <c r="B125" s="331">
        <v>2547.5761189313821</v>
      </c>
      <c r="C125" s="331"/>
      <c r="D125" s="331">
        <v>2547.5761189313821</v>
      </c>
    </row>
    <row r="126" spans="1:4" x14ac:dyDescent="0.2">
      <c r="A126" s="86" t="s">
        <v>367</v>
      </c>
      <c r="B126" s="331">
        <v>2547.5761189313821</v>
      </c>
      <c r="C126" s="331"/>
      <c r="D126" s="331">
        <v>2547.5761189313821</v>
      </c>
    </row>
    <row r="127" spans="1:4" x14ac:dyDescent="0.2">
      <c r="A127" s="87" t="s">
        <v>410</v>
      </c>
      <c r="B127" s="331">
        <v>25289.466011713597</v>
      </c>
      <c r="C127" s="331"/>
      <c r="D127" s="331">
        <v>25289.466011713597</v>
      </c>
    </row>
    <row r="128" spans="1:4" x14ac:dyDescent="0.2">
      <c r="A128" s="86" t="s">
        <v>409</v>
      </c>
      <c r="B128" s="331">
        <v>25289.466011713597</v>
      </c>
      <c r="C128" s="331"/>
      <c r="D128" s="331">
        <v>25289.466011713597</v>
      </c>
    </row>
    <row r="129" spans="1:4" x14ac:dyDescent="0.2">
      <c r="A129" s="87" t="s">
        <v>60</v>
      </c>
      <c r="B129" s="331">
        <v>11342.560000000001</v>
      </c>
      <c r="C129" s="331"/>
      <c r="D129" s="331">
        <v>11342.560000000001</v>
      </c>
    </row>
    <row r="130" spans="1:4" x14ac:dyDescent="0.2">
      <c r="A130" s="86" t="s">
        <v>60</v>
      </c>
      <c r="B130" s="331">
        <v>11342.560000000001</v>
      </c>
      <c r="C130" s="331"/>
      <c r="D130" s="331">
        <v>11342.560000000001</v>
      </c>
    </row>
    <row r="131" spans="1:4" x14ac:dyDescent="0.2">
      <c r="A131" s="87" t="s">
        <v>499</v>
      </c>
      <c r="B131" s="331">
        <v>5840.7242879999994</v>
      </c>
      <c r="C131" s="331"/>
      <c r="D131" s="331">
        <v>5840.7242879999994</v>
      </c>
    </row>
    <row r="132" spans="1:4" x14ac:dyDescent="0.2">
      <c r="A132" s="86" t="s">
        <v>499</v>
      </c>
      <c r="B132" s="331">
        <v>5840.7242879999994</v>
      </c>
      <c r="C132" s="331"/>
      <c r="D132" s="331">
        <v>5840.7242879999994</v>
      </c>
    </row>
    <row r="133" spans="1:4" x14ac:dyDescent="0.2">
      <c r="A133" s="87" t="s">
        <v>52</v>
      </c>
      <c r="B133" s="331">
        <v>6.9161400000000004</v>
      </c>
      <c r="C133" s="331"/>
      <c r="D133" s="331">
        <v>6.9161400000000004</v>
      </c>
    </row>
    <row r="134" spans="1:4" x14ac:dyDescent="0.2">
      <c r="A134" s="86" t="s">
        <v>52</v>
      </c>
      <c r="B134" s="331">
        <v>6.9161400000000004</v>
      </c>
      <c r="C134" s="331"/>
      <c r="D134" s="331">
        <v>6.9161400000000004</v>
      </c>
    </row>
    <row r="135" spans="1:4" x14ac:dyDescent="0.2">
      <c r="A135" s="87" t="s">
        <v>48</v>
      </c>
      <c r="B135" s="331">
        <v>2163.4275918627836</v>
      </c>
      <c r="C135" s="331"/>
      <c r="D135" s="331">
        <v>2163.4275918627836</v>
      </c>
    </row>
    <row r="136" spans="1:4" x14ac:dyDescent="0.2">
      <c r="A136" s="86" t="s">
        <v>475</v>
      </c>
      <c r="B136" s="331">
        <v>179.48065800518228</v>
      </c>
      <c r="C136" s="331"/>
      <c r="D136" s="331">
        <v>179.48065800518228</v>
      </c>
    </row>
    <row r="137" spans="1:4" x14ac:dyDescent="0.2">
      <c r="A137" s="86" t="s">
        <v>339</v>
      </c>
      <c r="B137" s="331">
        <v>86.451750000000004</v>
      </c>
      <c r="C137" s="331"/>
      <c r="D137" s="331">
        <v>86.451750000000004</v>
      </c>
    </row>
    <row r="138" spans="1:4" x14ac:dyDescent="0.2">
      <c r="A138" s="86" t="s">
        <v>391</v>
      </c>
      <c r="B138" s="331">
        <v>23.20117965</v>
      </c>
      <c r="C138" s="331"/>
      <c r="D138" s="331">
        <v>23.20117965</v>
      </c>
    </row>
    <row r="139" spans="1:4" x14ac:dyDescent="0.2">
      <c r="A139" s="86" t="s">
        <v>353</v>
      </c>
      <c r="B139" s="331">
        <v>1160.205673728979</v>
      </c>
      <c r="C139" s="331"/>
      <c r="D139" s="331">
        <v>1160.205673728979</v>
      </c>
    </row>
    <row r="140" spans="1:4" x14ac:dyDescent="0.2">
      <c r="A140" s="86" t="s">
        <v>356</v>
      </c>
      <c r="B140" s="331">
        <v>714.08833047862242</v>
      </c>
      <c r="C140" s="331"/>
      <c r="D140" s="331">
        <v>714.08833047862242</v>
      </c>
    </row>
    <row r="141" spans="1:4" x14ac:dyDescent="0.2">
      <c r="A141" s="87" t="s">
        <v>618</v>
      </c>
      <c r="B141" s="331">
        <v>1185.59735</v>
      </c>
      <c r="C141" s="331">
        <v>117.5</v>
      </c>
      <c r="D141" s="331">
        <v>1303.09735</v>
      </c>
    </row>
    <row r="142" spans="1:4" x14ac:dyDescent="0.2">
      <c r="A142" s="86" t="s">
        <v>621</v>
      </c>
      <c r="B142" s="331">
        <v>1094.2055</v>
      </c>
      <c r="C142" s="331">
        <v>117.5</v>
      </c>
      <c r="D142" s="331">
        <v>1211.7055</v>
      </c>
    </row>
    <row r="143" spans="1:4" x14ac:dyDescent="0.2">
      <c r="A143" s="86" t="s">
        <v>617</v>
      </c>
      <c r="B143" s="331">
        <v>91.391850000000005</v>
      </c>
      <c r="C143" s="331"/>
      <c r="D143" s="331">
        <v>91.391850000000005</v>
      </c>
    </row>
    <row r="144" spans="1:4" x14ac:dyDescent="0.2">
      <c r="A144" s="66" t="s">
        <v>1</v>
      </c>
      <c r="B144" s="331">
        <v>1046775355.6737622</v>
      </c>
      <c r="C144" s="331">
        <v>18575.415742701665</v>
      </c>
      <c r="D144" s="331">
        <v>1046793931.089505</v>
      </c>
    </row>
    <row r="145" spans="1:4" x14ac:dyDescent="0.2">
      <c r="A145" s="87" t="s">
        <v>447</v>
      </c>
      <c r="B145" s="331">
        <v>19716.608060799997</v>
      </c>
      <c r="C145" s="331"/>
      <c r="D145" s="331">
        <v>19716.608060799997</v>
      </c>
    </row>
    <row r="146" spans="1:4" x14ac:dyDescent="0.2">
      <c r="A146" s="86" t="s">
        <v>447</v>
      </c>
      <c r="B146" s="331">
        <v>19716.608060799997</v>
      </c>
      <c r="C146" s="331"/>
      <c r="D146" s="331">
        <v>19716.608060799997</v>
      </c>
    </row>
    <row r="147" spans="1:4" x14ac:dyDescent="0.2">
      <c r="A147" s="87" t="s">
        <v>464</v>
      </c>
      <c r="B147" s="331">
        <v>161370.83113000001</v>
      </c>
      <c r="C147" s="331"/>
      <c r="D147" s="331">
        <v>161370.83113000001</v>
      </c>
    </row>
    <row r="148" spans="1:4" x14ac:dyDescent="0.2">
      <c r="A148" s="86" t="s">
        <v>464</v>
      </c>
      <c r="B148" s="331">
        <v>161370.83113000001</v>
      </c>
      <c r="C148" s="331"/>
      <c r="D148" s="331">
        <v>161370.83113000001</v>
      </c>
    </row>
    <row r="149" spans="1:4" x14ac:dyDescent="0.2">
      <c r="A149" s="87" t="s">
        <v>1148</v>
      </c>
      <c r="B149" s="331">
        <v>3021.487999999983</v>
      </c>
      <c r="C149" s="331"/>
      <c r="D149" s="331">
        <v>3021.487999999983</v>
      </c>
    </row>
    <row r="150" spans="1:4" x14ac:dyDescent="0.2">
      <c r="A150" s="86" t="s">
        <v>1041</v>
      </c>
      <c r="B150" s="331">
        <v>242760.77</v>
      </c>
      <c r="C150" s="331"/>
      <c r="D150" s="331">
        <v>242760.77</v>
      </c>
    </row>
    <row r="151" spans="1:4" x14ac:dyDescent="0.2">
      <c r="A151" s="86" t="s">
        <v>930</v>
      </c>
      <c r="B151" s="331">
        <v>-239739.28200000001</v>
      </c>
      <c r="C151" s="331"/>
      <c r="D151" s="331">
        <v>-239739.28200000001</v>
      </c>
    </row>
    <row r="152" spans="1:4" x14ac:dyDescent="0.2">
      <c r="A152" s="87" t="s">
        <v>332</v>
      </c>
      <c r="B152" s="331">
        <v>245.8139711207165</v>
      </c>
      <c r="C152" s="331"/>
      <c r="D152" s="331">
        <v>245.8139711207165</v>
      </c>
    </row>
    <row r="153" spans="1:4" x14ac:dyDescent="0.2">
      <c r="A153" s="86" t="s">
        <v>332</v>
      </c>
      <c r="B153" s="331">
        <v>245.8139711207165</v>
      </c>
      <c r="C153" s="331"/>
      <c r="D153" s="331">
        <v>245.8139711207165</v>
      </c>
    </row>
    <row r="154" spans="1:4" x14ac:dyDescent="0.2">
      <c r="A154" s="87" t="s">
        <v>510</v>
      </c>
      <c r="B154" s="331">
        <v>8853.7900000000009</v>
      </c>
      <c r="C154" s="331"/>
      <c r="D154" s="331">
        <v>8853.7900000000009</v>
      </c>
    </row>
    <row r="155" spans="1:4" x14ac:dyDescent="0.2">
      <c r="A155" s="86" t="s">
        <v>509</v>
      </c>
      <c r="B155" s="331">
        <v>8853.7900000000009</v>
      </c>
      <c r="C155" s="331"/>
      <c r="D155" s="331">
        <v>8853.7900000000009</v>
      </c>
    </row>
    <row r="156" spans="1:4" x14ac:dyDescent="0.2">
      <c r="A156" s="87" t="s">
        <v>344</v>
      </c>
      <c r="B156" s="331">
        <v>222.47407107238845</v>
      </c>
      <c r="C156" s="331"/>
      <c r="D156" s="331">
        <v>222.47407107238845</v>
      </c>
    </row>
    <row r="157" spans="1:4" x14ac:dyDescent="0.2">
      <c r="A157" s="86" t="s">
        <v>344</v>
      </c>
      <c r="B157" s="331">
        <v>222.47407107238845</v>
      </c>
      <c r="C157" s="331"/>
      <c r="D157" s="331">
        <v>222.47407107238845</v>
      </c>
    </row>
    <row r="158" spans="1:4" x14ac:dyDescent="0.2">
      <c r="A158" s="87" t="s">
        <v>572</v>
      </c>
      <c r="B158" s="331">
        <v>6306.0995033870549</v>
      </c>
      <c r="C158" s="331"/>
      <c r="D158" s="331">
        <v>6306.0995033870549</v>
      </c>
    </row>
    <row r="159" spans="1:4" x14ac:dyDescent="0.2">
      <c r="A159" s="86" t="s">
        <v>786</v>
      </c>
      <c r="B159" s="331">
        <v>20194.518906188339</v>
      </c>
      <c r="C159" s="331"/>
      <c r="D159" s="331">
        <v>20194.518906188339</v>
      </c>
    </row>
    <row r="160" spans="1:4" x14ac:dyDescent="0.2">
      <c r="A160" s="86" t="s">
        <v>571</v>
      </c>
      <c r="B160" s="331">
        <v>-13888.419402801284</v>
      </c>
      <c r="C160" s="331"/>
      <c r="D160" s="331">
        <v>-13888.419402801284</v>
      </c>
    </row>
    <row r="161" spans="1:4" x14ac:dyDescent="0.2">
      <c r="A161" s="87" t="s">
        <v>1166</v>
      </c>
      <c r="B161" s="331">
        <v>-50000</v>
      </c>
      <c r="C161" s="331"/>
      <c r="D161" s="331">
        <v>-50000</v>
      </c>
    </row>
    <row r="162" spans="1:4" x14ac:dyDescent="0.2">
      <c r="A162" s="86" t="s">
        <v>1047</v>
      </c>
      <c r="B162" s="331">
        <v>-50000</v>
      </c>
      <c r="C162" s="331"/>
      <c r="D162" s="331">
        <v>-50000</v>
      </c>
    </row>
    <row r="163" spans="1:4" x14ac:dyDescent="0.2">
      <c r="A163" s="87" t="s">
        <v>49</v>
      </c>
      <c r="B163" s="331">
        <v>1043557372.2575999</v>
      </c>
      <c r="C163" s="331"/>
      <c r="D163" s="331">
        <v>1043557372.2575999</v>
      </c>
    </row>
    <row r="164" spans="1:4" x14ac:dyDescent="0.2">
      <c r="A164" s="86" t="s">
        <v>560</v>
      </c>
      <c r="B164" s="331">
        <v>1043557372.2575999</v>
      </c>
      <c r="C164" s="331"/>
      <c r="D164" s="331">
        <v>1043557372.2575999</v>
      </c>
    </row>
    <row r="165" spans="1:4" x14ac:dyDescent="0.2">
      <c r="A165" s="87" t="s">
        <v>46</v>
      </c>
      <c r="B165" s="331">
        <v>736915.25449827383</v>
      </c>
      <c r="C165" s="331"/>
      <c r="D165" s="331">
        <v>736915.25449827383</v>
      </c>
    </row>
    <row r="166" spans="1:4" x14ac:dyDescent="0.2">
      <c r="A166" s="86" t="s">
        <v>349</v>
      </c>
      <c r="B166" s="331">
        <v>37164.464317434096</v>
      </c>
      <c r="C166" s="331"/>
      <c r="D166" s="331">
        <v>37164.464317434096</v>
      </c>
    </row>
    <row r="167" spans="1:4" x14ac:dyDescent="0.2">
      <c r="A167" s="86" t="s">
        <v>393</v>
      </c>
      <c r="B167" s="331">
        <v>444.0409169713401</v>
      </c>
      <c r="C167" s="331"/>
      <c r="D167" s="331">
        <v>444.0409169713401</v>
      </c>
    </row>
    <row r="168" spans="1:4" x14ac:dyDescent="0.2">
      <c r="A168" s="86" t="s">
        <v>390</v>
      </c>
      <c r="B168" s="331">
        <v>693746.62948415626</v>
      </c>
      <c r="C168" s="331"/>
      <c r="D168" s="331">
        <v>693746.62948415626</v>
      </c>
    </row>
    <row r="169" spans="1:4" x14ac:dyDescent="0.2">
      <c r="A169" s="86" t="s">
        <v>540</v>
      </c>
      <c r="B169" s="331">
        <v>4268.1435471288505</v>
      </c>
      <c r="C169" s="331"/>
      <c r="D169" s="331">
        <v>4268.1435471288505</v>
      </c>
    </row>
    <row r="170" spans="1:4" x14ac:dyDescent="0.2">
      <c r="A170" s="86" t="s">
        <v>751</v>
      </c>
      <c r="B170" s="331">
        <v>1291.9762325832519</v>
      </c>
      <c r="C170" s="331"/>
      <c r="D170" s="331">
        <v>1291.9762325832519</v>
      </c>
    </row>
    <row r="171" spans="1:4" x14ac:dyDescent="0.2">
      <c r="A171" s="87" t="s">
        <v>1844</v>
      </c>
      <c r="B171" s="331">
        <v>158.7201</v>
      </c>
      <c r="C171" s="331"/>
      <c r="D171" s="331">
        <v>158.7201</v>
      </c>
    </row>
    <row r="172" spans="1:4" x14ac:dyDescent="0.2">
      <c r="A172" s="86" t="s">
        <v>1879</v>
      </c>
      <c r="B172" s="331">
        <v>158.7201</v>
      </c>
      <c r="C172" s="331"/>
      <c r="D172" s="331">
        <v>158.7201</v>
      </c>
    </row>
    <row r="173" spans="1:4" x14ac:dyDescent="0.2">
      <c r="A173" s="87" t="s">
        <v>346</v>
      </c>
      <c r="B173" s="331">
        <v>47.256290669355685</v>
      </c>
      <c r="C173" s="331"/>
      <c r="D173" s="331">
        <v>47.256290669355685</v>
      </c>
    </row>
    <row r="174" spans="1:4" x14ac:dyDescent="0.2">
      <c r="A174" s="86" t="s">
        <v>346</v>
      </c>
      <c r="B174" s="331">
        <v>47.256290669355685</v>
      </c>
      <c r="C174" s="331"/>
      <c r="D174" s="331">
        <v>47.256290669355685</v>
      </c>
    </row>
    <row r="175" spans="1:4" x14ac:dyDescent="0.2">
      <c r="A175" s="87" t="s">
        <v>47</v>
      </c>
      <c r="B175" s="331">
        <v>714890.19915530551</v>
      </c>
      <c r="C175" s="331"/>
      <c r="D175" s="331">
        <v>714890.19915530551</v>
      </c>
    </row>
    <row r="176" spans="1:4" x14ac:dyDescent="0.2">
      <c r="A176" s="86" t="s">
        <v>387</v>
      </c>
      <c r="B176" s="331">
        <v>645729.4496560439</v>
      </c>
      <c r="C176" s="331"/>
      <c r="D176" s="331">
        <v>645729.4496560439</v>
      </c>
    </row>
    <row r="177" spans="1:4" x14ac:dyDescent="0.2">
      <c r="A177" s="86" t="s">
        <v>364</v>
      </c>
      <c r="B177" s="331">
        <v>69160.749499261612</v>
      </c>
      <c r="C177" s="331"/>
      <c r="D177" s="331">
        <v>69160.749499261612</v>
      </c>
    </row>
    <row r="178" spans="1:4" x14ac:dyDescent="0.2">
      <c r="A178" s="87" t="s">
        <v>398</v>
      </c>
      <c r="B178" s="331">
        <v>126798.33543318663</v>
      </c>
      <c r="C178" s="331"/>
      <c r="D178" s="331">
        <v>126798.33543318663</v>
      </c>
    </row>
    <row r="179" spans="1:4" x14ac:dyDescent="0.2">
      <c r="A179" s="86" t="s">
        <v>663</v>
      </c>
      <c r="B179" s="331">
        <v>335.72</v>
      </c>
      <c r="C179" s="331"/>
      <c r="D179" s="331">
        <v>335.72</v>
      </c>
    </row>
    <row r="180" spans="1:4" x14ac:dyDescent="0.2">
      <c r="A180" s="86" t="s">
        <v>1034</v>
      </c>
      <c r="B180" s="331">
        <v>4637</v>
      </c>
      <c r="C180" s="331"/>
      <c r="D180" s="331">
        <v>4637</v>
      </c>
    </row>
    <row r="181" spans="1:4" x14ac:dyDescent="0.2">
      <c r="A181" s="86" t="s">
        <v>657</v>
      </c>
      <c r="B181" s="331">
        <v>121687.10844639869</v>
      </c>
      <c r="C181" s="331"/>
      <c r="D181" s="331">
        <v>121687.10844639869</v>
      </c>
    </row>
    <row r="182" spans="1:4" x14ac:dyDescent="0.2">
      <c r="A182" s="86" t="s">
        <v>747</v>
      </c>
      <c r="B182" s="331">
        <v>138.50698678793094</v>
      </c>
      <c r="C182" s="331"/>
      <c r="D182" s="331">
        <v>138.50698678793094</v>
      </c>
    </row>
    <row r="183" spans="1:4" x14ac:dyDescent="0.2">
      <c r="A183" s="87" t="s">
        <v>418</v>
      </c>
      <c r="B183" s="331">
        <v>-333971.37390934513</v>
      </c>
      <c r="C183" s="331"/>
      <c r="D183" s="331">
        <v>-333971.37390934513</v>
      </c>
    </row>
    <row r="184" spans="1:4" x14ac:dyDescent="0.2">
      <c r="A184" s="86" t="s">
        <v>418</v>
      </c>
      <c r="B184" s="331">
        <v>-333971.37390934513</v>
      </c>
      <c r="C184" s="331"/>
      <c r="D184" s="331">
        <v>-333971.37390934513</v>
      </c>
    </row>
    <row r="185" spans="1:4" x14ac:dyDescent="0.2">
      <c r="A185" s="87" t="s">
        <v>924</v>
      </c>
      <c r="B185" s="331">
        <v>309.283254</v>
      </c>
      <c r="C185" s="331"/>
      <c r="D185" s="331">
        <v>309.283254</v>
      </c>
    </row>
    <row r="186" spans="1:4" x14ac:dyDescent="0.2">
      <c r="A186" s="86" t="s">
        <v>924</v>
      </c>
      <c r="B186" s="331">
        <v>309.283254</v>
      </c>
      <c r="C186" s="331"/>
      <c r="D186" s="331">
        <v>309.283254</v>
      </c>
    </row>
    <row r="187" spans="1:4" x14ac:dyDescent="0.2">
      <c r="A187" s="87" t="s">
        <v>58</v>
      </c>
      <c r="B187" s="331">
        <v>1338.6946445066799</v>
      </c>
      <c r="C187" s="331"/>
      <c r="D187" s="331">
        <v>1338.6946445066799</v>
      </c>
    </row>
    <row r="188" spans="1:4" x14ac:dyDescent="0.2">
      <c r="A188" s="86" t="s">
        <v>58</v>
      </c>
      <c r="B188" s="331">
        <v>1338.6946445066799</v>
      </c>
      <c r="C188" s="331"/>
      <c r="D188" s="331">
        <v>1338.6946445066799</v>
      </c>
    </row>
    <row r="189" spans="1:4" x14ac:dyDescent="0.2">
      <c r="A189" s="87" t="s">
        <v>375</v>
      </c>
      <c r="B189" s="331">
        <v>8060.0963696524323</v>
      </c>
      <c r="C189" s="331"/>
      <c r="D189" s="331">
        <v>8060.0963696524323</v>
      </c>
    </row>
    <row r="190" spans="1:4" x14ac:dyDescent="0.2">
      <c r="A190" s="86" t="s">
        <v>374</v>
      </c>
      <c r="B190" s="331">
        <v>8060.0963696524323</v>
      </c>
      <c r="C190" s="331"/>
      <c r="D190" s="331">
        <v>8060.0963696524323</v>
      </c>
    </row>
    <row r="191" spans="1:4" x14ac:dyDescent="0.2">
      <c r="A191" s="87" t="s">
        <v>50</v>
      </c>
      <c r="B191" s="331">
        <v>1319.0369213921003</v>
      </c>
      <c r="C191" s="331"/>
      <c r="D191" s="331">
        <v>1319.0369213921003</v>
      </c>
    </row>
    <row r="192" spans="1:4" x14ac:dyDescent="0.2">
      <c r="A192" s="86" t="s">
        <v>686</v>
      </c>
      <c r="B192" s="331">
        <v>62.670751600000003</v>
      </c>
      <c r="C192" s="331"/>
      <c r="D192" s="331">
        <v>62.670751600000003</v>
      </c>
    </row>
    <row r="193" spans="1:4" x14ac:dyDescent="0.2">
      <c r="A193" s="86" t="s">
        <v>50</v>
      </c>
      <c r="B193" s="331">
        <v>1162.8809631629651</v>
      </c>
      <c r="C193" s="331"/>
      <c r="D193" s="331">
        <v>1162.8809631629651</v>
      </c>
    </row>
    <row r="194" spans="1:4" x14ac:dyDescent="0.2">
      <c r="A194" s="86" t="s">
        <v>470</v>
      </c>
      <c r="B194" s="331">
        <v>93.485206629135291</v>
      </c>
      <c r="C194" s="331"/>
      <c r="D194" s="331">
        <v>93.485206629135291</v>
      </c>
    </row>
    <row r="195" spans="1:4" x14ac:dyDescent="0.2">
      <c r="A195" s="87" t="s">
        <v>385</v>
      </c>
      <c r="B195" s="331">
        <v>-7445.2149396445011</v>
      </c>
      <c r="C195" s="331"/>
      <c r="D195" s="331">
        <v>-7445.2149396445011</v>
      </c>
    </row>
    <row r="196" spans="1:4" x14ac:dyDescent="0.2">
      <c r="A196" s="86" t="s">
        <v>795</v>
      </c>
      <c r="B196" s="331">
        <v>-6738.5940194295017</v>
      </c>
      <c r="C196" s="331"/>
      <c r="D196" s="331">
        <v>-6738.5940194295017</v>
      </c>
    </row>
    <row r="197" spans="1:4" x14ac:dyDescent="0.2">
      <c r="A197" s="86" t="s">
        <v>384</v>
      </c>
      <c r="B197" s="331">
        <v>-706.62092021499973</v>
      </c>
      <c r="C197" s="331"/>
      <c r="D197" s="331">
        <v>-706.62092021499973</v>
      </c>
    </row>
    <row r="198" spans="1:4" x14ac:dyDescent="0.2">
      <c r="A198" s="87" t="s">
        <v>849</v>
      </c>
      <c r="B198" s="331">
        <v>231.03750923758292</v>
      </c>
      <c r="C198" s="331"/>
      <c r="D198" s="331">
        <v>231.03750923758292</v>
      </c>
    </row>
    <row r="199" spans="1:4" x14ac:dyDescent="0.2">
      <c r="A199" s="86" t="s">
        <v>849</v>
      </c>
      <c r="B199" s="331">
        <v>231.03750923758292</v>
      </c>
      <c r="C199" s="331"/>
      <c r="D199" s="331">
        <v>231.03750923758292</v>
      </c>
    </row>
    <row r="200" spans="1:4" x14ac:dyDescent="0.2">
      <c r="A200" s="87" t="s">
        <v>367</v>
      </c>
      <c r="B200" s="331">
        <v>96903.388209402678</v>
      </c>
      <c r="C200" s="331">
        <v>18483.000739006631</v>
      </c>
      <c r="D200" s="331">
        <v>115386.38894840931</v>
      </c>
    </row>
    <row r="201" spans="1:4" x14ac:dyDescent="0.2">
      <c r="A201" s="86" t="s">
        <v>367</v>
      </c>
      <c r="B201" s="331">
        <v>96903.388209402678</v>
      </c>
      <c r="C201" s="331">
        <v>18483.000739006631</v>
      </c>
      <c r="D201" s="331">
        <v>115386.38894840931</v>
      </c>
    </row>
    <row r="202" spans="1:4" x14ac:dyDescent="0.2">
      <c r="A202" s="87" t="s">
        <v>801</v>
      </c>
      <c r="B202" s="331">
        <v>2889.2492126178408</v>
      </c>
      <c r="C202" s="331"/>
      <c r="D202" s="331">
        <v>2889.2492126178408</v>
      </c>
    </row>
    <row r="203" spans="1:4" x14ac:dyDescent="0.2">
      <c r="A203" s="86" t="s">
        <v>801</v>
      </c>
      <c r="B203" s="331">
        <v>2889.2492126178408</v>
      </c>
      <c r="C203" s="331"/>
      <c r="D203" s="331">
        <v>2889.2492126178408</v>
      </c>
    </row>
    <row r="204" spans="1:4" x14ac:dyDescent="0.2">
      <c r="A204" s="87" t="s">
        <v>410</v>
      </c>
      <c r="B204" s="331">
        <v>221061.74911391165</v>
      </c>
      <c r="C204" s="331"/>
      <c r="D204" s="331">
        <v>221061.74911391165</v>
      </c>
    </row>
    <row r="205" spans="1:4" x14ac:dyDescent="0.2">
      <c r="A205" s="86" t="s">
        <v>409</v>
      </c>
      <c r="B205" s="331">
        <v>221061.74911391165</v>
      </c>
      <c r="C205" s="331"/>
      <c r="D205" s="331">
        <v>221061.74911391165</v>
      </c>
    </row>
    <row r="206" spans="1:4" x14ac:dyDescent="0.2">
      <c r="A206" s="87" t="s">
        <v>749</v>
      </c>
      <c r="B206" s="331">
        <v>316.59840015856781</v>
      </c>
      <c r="C206" s="331"/>
      <c r="D206" s="331">
        <v>316.59840015856781</v>
      </c>
    </row>
    <row r="207" spans="1:4" x14ac:dyDescent="0.2">
      <c r="A207" s="86" t="s">
        <v>749</v>
      </c>
      <c r="B207" s="331">
        <v>316.59840015856781</v>
      </c>
      <c r="C207" s="331"/>
      <c r="D207" s="331">
        <v>316.59840015856781</v>
      </c>
    </row>
    <row r="208" spans="1:4" x14ac:dyDescent="0.2">
      <c r="A208" s="87" t="s">
        <v>51</v>
      </c>
      <c r="B208" s="331">
        <v>1458100.7183607505</v>
      </c>
      <c r="C208" s="331"/>
      <c r="D208" s="331">
        <v>1458100.7183607505</v>
      </c>
    </row>
    <row r="209" spans="1:4" x14ac:dyDescent="0.2">
      <c r="A209" s="86" t="s">
        <v>684</v>
      </c>
      <c r="B209" s="331">
        <v>2430.0548687605792</v>
      </c>
      <c r="C209" s="331"/>
      <c r="D209" s="331">
        <v>2430.0548687605792</v>
      </c>
    </row>
    <row r="210" spans="1:4" x14ac:dyDescent="0.2">
      <c r="A210" s="86" t="s">
        <v>527</v>
      </c>
      <c r="B210" s="331">
        <v>1455327.2031552307</v>
      </c>
      <c r="C210" s="331"/>
      <c r="D210" s="331">
        <v>1455327.2031552307</v>
      </c>
    </row>
    <row r="211" spans="1:4" x14ac:dyDescent="0.2">
      <c r="A211" s="86" t="s">
        <v>688</v>
      </c>
      <c r="B211" s="331">
        <v>343.46033675911519</v>
      </c>
      <c r="C211" s="331"/>
      <c r="D211" s="331">
        <v>343.46033675911519</v>
      </c>
    </row>
    <row r="212" spans="1:4" x14ac:dyDescent="0.2">
      <c r="A212" s="87" t="s">
        <v>691</v>
      </c>
      <c r="B212" s="331">
        <v>3121.0925415632182</v>
      </c>
      <c r="C212" s="331"/>
      <c r="D212" s="331">
        <v>3121.0925415632182</v>
      </c>
    </row>
    <row r="213" spans="1:4" x14ac:dyDescent="0.2">
      <c r="A213" s="86" t="s">
        <v>691</v>
      </c>
      <c r="B213" s="331">
        <v>3121.0925415632182</v>
      </c>
      <c r="C213" s="331"/>
      <c r="D213" s="331">
        <v>3121.0925415632182</v>
      </c>
    </row>
    <row r="214" spans="1:4" x14ac:dyDescent="0.2">
      <c r="A214" s="87" t="s">
        <v>60</v>
      </c>
      <c r="B214" s="331">
        <v>2141.3358017305945</v>
      </c>
      <c r="C214" s="331"/>
      <c r="D214" s="331">
        <v>2141.3358017305945</v>
      </c>
    </row>
    <row r="215" spans="1:4" x14ac:dyDescent="0.2">
      <c r="A215" s="86" t="s">
        <v>60</v>
      </c>
      <c r="B215" s="331">
        <v>2141.3358017305945</v>
      </c>
      <c r="C215" s="331"/>
      <c r="D215" s="331">
        <v>2141.3358017305945</v>
      </c>
    </row>
    <row r="216" spans="1:4" x14ac:dyDescent="0.2">
      <c r="A216" s="87" t="s">
        <v>499</v>
      </c>
      <c r="B216" s="331">
        <v>-1436.0367424171209</v>
      </c>
      <c r="C216" s="331"/>
      <c r="D216" s="331">
        <v>-1436.0367424171209</v>
      </c>
    </row>
    <row r="217" spans="1:4" x14ac:dyDescent="0.2">
      <c r="A217" s="86" t="s">
        <v>499</v>
      </c>
      <c r="B217" s="331">
        <v>-1436.0367424171209</v>
      </c>
      <c r="C217" s="331"/>
      <c r="D217" s="331">
        <v>-1436.0367424171209</v>
      </c>
    </row>
    <row r="218" spans="1:4" x14ac:dyDescent="0.2">
      <c r="A218" s="87" t="s">
        <v>48</v>
      </c>
      <c r="B218" s="331">
        <v>29245.142786249922</v>
      </c>
      <c r="C218" s="331"/>
      <c r="D218" s="331">
        <v>29245.142786249922</v>
      </c>
    </row>
    <row r="219" spans="1:4" x14ac:dyDescent="0.2">
      <c r="A219" s="86" t="s">
        <v>475</v>
      </c>
      <c r="B219" s="331">
        <v>3079.9757001579792</v>
      </c>
      <c r="C219" s="331"/>
      <c r="D219" s="331">
        <v>3079.9757001579792</v>
      </c>
    </row>
    <row r="220" spans="1:4" x14ac:dyDescent="0.2">
      <c r="A220" s="86" t="s">
        <v>391</v>
      </c>
      <c r="B220" s="331">
        <v>207.48629282754189</v>
      </c>
      <c r="C220" s="331"/>
      <c r="D220" s="331">
        <v>207.48629282754189</v>
      </c>
    </row>
    <row r="221" spans="1:4" x14ac:dyDescent="0.2">
      <c r="A221" s="86" t="s">
        <v>402</v>
      </c>
      <c r="B221" s="331">
        <v>238.21062640337504</v>
      </c>
      <c r="C221" s="331"/>
      <c r="D221" s="331">
        <v>238.21062640337504</v>
      </c>
    </row>
    <row r="222" spans="1:4" x14ac:dyDescent="0.2">
      <c r="A222" s="86" t="s">
        <v>353</v>
      </c>
      <c r="B222" s="331">
        <v>22647.558504800676</v>
      </c>
      <c r="C222" s="331"/>
      <c r="D222" s="331">
        <v>22647.558504800676</v>
      </c>
    </row>
    <row r="223" spans="1:4" x14ac:dyDescent="0.2">
      <c r="A223" s="86" t="s">
        <v>356</v>
      </c>
      <c r="B223" s="331">
        <v>3071.911662060349</v>
      </c>
      <c r="C223" s="331"/>
      <c r="D223" s="331">
        <v>3071.911662060349</v>
      </c>
    </row>
    <row r="224" spans="1:4" x14ac:dyDescent="0.2">
      <c r="A224" s="87" t="s">
        <v>618</v>
      </c>
      <c r="B224" s="331">
        <v>5953.5442844585023</v>
      </c>
      <c r="C224" s="331"/>
      <c r="D224" s="331">
        <v>5953.5442844585023</v>
      </c>
    </row>
    <row r="225" spans="1:4" x14ac:dyDescent="0.2">
      <c r="A225" s="86" t="s">
        <v>621</v>
      </c>
      <c r="B225" s="331">
        <v>5544.8252032268247</v>
      </c>
      <c r="C225" s="331"/>
      <c r="D225" s="331">
        <v>5544.8252032268247</v>
      </c>
    </row>
    <row r="226" spans="1:4" x14ac:dyDescent="0.2">
      <c r="A226" s="86" t="s">
        <v>617</v>
      </c>
      <c r="B226" s="331">
        <v>408.71908123167771</v>
      </c>
      <c r="C226" s="331"/>
      <c r="D226" s="331">
        <v>408.71908123167771</v>
      </c>
    </row>
    <row r="227" spans="1:4" x14ac:dyDescent="0.2">
      <c r="A227" s="87" t="s">
        <v>371</v>
      </c>
      <c r="B227" s="331">
        <v>1298.2041302004477</v>
      </c>
      <c r="C227" s="331">
        <v>92.415003695033164</v>
      </c>
      <c r="D227" s="331">
        <v>1390.6191338954809</v>
      </c>
    </row>
    <row r="228" spans="1:4" x14ac:dyDescent="0.2">
      <c r="A228" s="86" t="s">
        <v>370</v>
      </c>
      <c r="B228" s="331">
        <v>1298.2041302004477</v>
      </c>
      <c r="C228" s="331">
        <v>92.415003695033164</v>
      </c>
      <c r="D228" s="331">
        <v>1390.6191338954809</v>
      </c>
    </row>
    <row r="229" spans="1:4" x14ac:dyDescent="0.2">
      <c r="A229" s="65" t="s">
        <v>66</v>
      </c>
      <c r="B229" s="331">
        <v>-401791.26035255636</v>
      </c>
      <c r="C229" s="331"/>
      <c r="D229" s="331">
        <v>-401791.26035255636</v>
      </c>
    </row>
    <row r="230" spans="1:4" x14ac:dyDescent="0.2">
      <c r="A230" s="66" t="s">
        <v>3</v>
      </c>
      <c r="B230" s="331">
        <v>-13516.970000000001</v>
      </c>
      <c r="C230" s="331"/>
      <c r="D230" s="331">
        <v>-13516.970000000001</v>
      </c>
    </row>
    <row r="231" spans="1:4" x14ac:dyDescent="0.2">
      <c r="A231" s="87" t="s">
        <v>398</v>
      </c>
      <c r="B231" s="331">
        <v>22.73</v>
      </c>
      <c r="C231" s="331"/>
      <c r="D231" s="331">
        <v>22.73</v>
      </c>
    </row>
    <row r="232" spans="1:4" x14ac:dyDescent="0.2">
      <c r="A232" s="86" t="s">
        <v>397</v>
      </c>
      <c r="B232" s="331">
        <v>22.73</v>
      </c>
      <c r="C232" s="331"/>
      <c r="D232" s="331">
        <v>22.73</v>
      </c>
    </row>
    <row r="233" spans="1:4" x14ac:dyDescent="0.2">
      <c r="A233" s="87" t="s">
        <v>418</v>
      </c>
      <c r="B233" s="331">
        <v>-13539.7</v>
      </c>
      <c r="C233" s="331"/>
      <c r="D233" s="331">
        <v>-13539.7</v>
      </c>
    </row>
    <row r="234" spans="1:4" x14ac:dyDescent="0.2">
      <c r="A234" s="86" t="s">
        <v>418</v>
      </c>
      <c r="B234" s="331">
        <v>-13539.7</v>
      </c>
      <c r="C234" s="331"/>
      <c r="D234" s="331">
        <v>-13539.7</v>
      </c>
    </row>
    <row r="235" spans="1:4" x14ac:dyDescent="0.2">
      <c r="A235" s="66" t="s">
        <v>2</v>
      </c>
      <c r="B235" s="331">
        <v>-61717.491641519999</v>
      </c>
      <c r="C235" s="331"/>
      <c r="D235" s="331">
        <v>-61717.491641519999</v>
      </c>
    </row>
    <row r="236" spans="1:4" x14ac:dyDescent="0.2">
      <c r="A236" s="87" t="s">
        <v>418</v>
      </c>
      <c r="B236" s="331">
        <v>-61717.491641519999</v>
      </c>
      <c r="C236" s="331"/>
      <c r="D236" s="331">
        <v>-61717.491641519999</v>
      </c>
    </row>
    <row r="237" spans="1:4" x14ac:dyDescent="0.2">
      <c r="A237" s="86" t="s">
        <v>418</v>
      </c>
      <c r="B237" s="331">
        <v>-61717.491641519999</v>
      </c>
      <c r="C237" s="331"/>
      <c r="D237" s="331">
        <v>-61717.491641519999</v>
      </c>
    </row>
    <row r="238" spans="1:4" x14ac:dyDescent="0.2">
      <c r="A238" s="66" t="s">
        <v>1</v>
      </c>
      <c r="B238" s="331">
        <v>-326556.79871103633</v>
      </c>
      <c r="C238" s="331"/>
      <c r="D238" s="331">
        <v>-326556.79871103633</v>
      </c>
    </row>
    <row r="239" spans="1:4" x14ac:dyDescent="0.2">
      <c r="A239" s="87" t="s">
        <v>332</v>
      </c>
      <c r="B239" s="331">
        <v>26</v>
      </c>
      <c r="C239" s="331"/>
      <c r="D239" s="331">
        <v>26</v>
      </c>
    </row>
    <row r="240" spans="1:4" x14ac:dyDescent="0.2">
      <c r="A240" s="86" t="s">
        <v>332</v>
      </c>
      <c r="B240" s="331">
        <v>26</v>
      </c>
      <c r="C240" s="331"/>
      <c r="D240" s="331">
        <v>26</v>
      </c>
    </row>
    <row r="241" spans="1:4" x14ac:dyDescent="0.2">
      <c r="A241" s="87" t="s">
        <v>398</v>
      </c>
      <c r="B241" s="331">
        <v>-680358.56919916149</v>
      </c>
      <c r="C241" s="331"/>
      <c r="D241" s="331">
        <v>-680358.56919916149</v>
      </c>
    </row>
    <row r="242" spans="1:4" x14ac:dyDescent="0.2">
      <c r="A242" s="86" t="s">
        <v>1027</v>
      </c>
      <c r="B242" s="331">
        <v>-500000</v>
      </c>
      <c r="C242" s="331"/>
      <c r="D242" s="331">
        <v>-500000</v>
      </c>
    </row>
    <row r="243" spans="1:4" x14ac:dyDescent="0.2">
      <c r="A243" s="86" t="s">
        <v>1024</v>
      </c>
      <c r="B243" s="331">
        <v>4855.2299999999996</v>
      </c>
      <c r="C243" s="331"/>
      <c r="D243" s="331">
        <v>4855.2299999999996</v>
      </c>
    </row>
    <row r="244" spans="1:4" x14ac:dyDescent="0.2">
      <c r="A244" s="86" t="s">
        <v>657</v>
      </c>
      <c r="B244" s="331">
        <v>-185213.7991991615</v>
      </c>
      <c r="C244" s="331"/>
      <c r="D244" s="331">
        <v>-185213.7991991615</v>
      </c>
    </row>
    <row r="245" spans="1:4" x14ac:dyDescent="0.2">
      <c r="A245" s="87" t="s">
        <v>418</v>
      </c>
      <c r="B245" s="331">
        <v>344770.44880244811</v>
      </c>
      <c r="C245" s="331"/>
      <c r="D245" s="331">
        <v>344770.44880244811</v>
      </c>
    </row>
    <row r="246" spans="1:4" x14ac:dyDescent="0.2">
      <c r="A246" s="86" t="s">
        <v>418</v>
      </c>
      <c r="B246" s="331">
        <v>344770.44880244811</v>
      </c>
      <c r="C246" s="331"/>
      <c r="D246" s="331">
        <v>344770.44880244811</v>
      </c>
    </row>
    <row r="247" spans="1:4" x14ac:dyDescent="0.2">
      <c r="A247" s="87" t="s">
        <v>1168</v>
      </c>
      <c r="B247" s="331">
        <v>5924.5905250000005</v>
      </c>
      <c r="C247" s="331"/>
      <c r="D247" s="331">
        <v>5924.5905250000005</v>
      </c>
    </row>
    <row r="248" spans="1:4" x14ac:dyDescent="0.2">
      <c r="A248" s="86" t="s">
        <v>700</v>
      </c>
      <c r="B248" s="331">
        <v>5924.5905250000005</v>
      </c>
      <c r="C248" s="331"/>
      <c r="D248" s="331">
        <v>5924.5905250000005</v>
      </c>
    </row>
    <row r="249" spans="1:4" x14ac:dyDescent="0.2">
      <c r="A249" s="87" t="s">
        <v>691</v>
      </c>
      <c r="B249" s="331">
        <v>3080.7311606770099</v>
      </c>
      <c r="C249" s="331"/>
      <c r="D249" s="331">
        <v>3080.7311606770099</v>
      </c>
    </row>
    <row r="250" spans="1:4" x14ac:dyDescent="0.2">
      <c r="A250" s="86" t="s">
        <v>691</v>
      </c>
      <c r="B250" s="331">
        <v>3080.7311606770099</v>
      </c>
      <c r="C250" s="331"/>
      <c r="D250" s="331">
        <v>3080.7311606770099</v>
      </c>
    </row>
    <row r="251" spans="1:4" x14ac:dyDescent="0.2">
      <c r="A251" s="65" t="s">
        <v>55</v>
      </c>
      <c r="B251" s="331">
        <v>-264110279.99735326</v>
      </c>
      <c r="C251" s="331">
        <v>5256.1033351550122</v>
      </c>
      <c r="D251" s="331">
        <v>-264105023.89401808</v>
      </c>
    </row>
    <row r="252" spans="1:4" x14ac:dyDescent="0.2">
      <c r="A252" s="66" t="s">
        <v>3</v>
      </c>
      <c r="B252" s="331">
        <v>36144.58867675002</v>
      </c>
      <c r="C252" s="331"/>
      <c r="D252" s="331">
        <v>36144.58867675002</v>
      </c>
    </row>
    <row r="253" spans="1:4" x14ac:dyDescent="0.2">
      <c r="A253" s="87" t="s">
        <v>46</v>
      </c>
      <c r="B253" s="331">
        <v>1006</v>
      </c>
      <c r="C253" s="331"/>
      <c r="D253" s="331">
        <v>1006</v>
      </c>
    </row>
    <row r="254" spans="1:4" x14ac:dyDescent="0.2">
      <c r="A254" s="86" t="s">
        <v>390</v>
      </c>
      <c r="B254" s="331">
        <v>1006</v>
      </c>
      <c r="C254" s="331"/>
      <c r="D254" s="331">
        <v>1006</v>
      </c>
    </row>
    <row r="255" spans="1:4" x14ac:dyDescent="0.2">
      <c r="A255" s="87" t="s">
        <v>346</v>
      </c>
      <c r="B255" s="331">
        <v>701.29312500000003</v>
      </c>
      <c r="C255" s="331"/>
      <c r="D255" s="331">
        <v>701.29312500000003</v>
      </c>
    </row>
    <row r="256" spans="1:4" x14ac:dyDescent="0.2">
      <c r="A256" s="86" t="s">
        <v>346</v>
      </c>
      <c r="B256" s="331">
        <v>701.29312500000003</v>
      </c>
      <c r="C256" s="331"/>
      <c r="D256" s="331">
        <v>701.29312500000003</v>
      </c>
    </row>
    <row r="257" spans="1:4" x14ac:dyDescent="0.2">
      <c r="A257" s="87" t="s">
        <v>47</v>
      </c>
      <c r="B257" s="331">
        <v>115066.80000000002</v>
      </c>
      <c r="C257" s="331"/>
      <c r="D257" s="331">
        <v>115066.80000000002</v>
      </c>
    </row>
    <row r="258" spans="1:4" x14ac:dyDescent="0.2">
      <c r="A258" s="86" t="s">
        <v>387</v>
      </c>
      <c r="B258" s="331">
        <v>115066.80000000002</v>
      </c>
      <c r="C258" s="331"/>
      <c r="D258" s="331">
        <v>115066.80000000002</v>
      </c>
    </row>
    <row r="259" spans="1:4" x14ac:dyDescent="0.2">
      <c r="A259" s="87" t="s">
        <v>380</v>
      </c>
      <c r="B259" s="331">
        <v>791.63406500000008</v>
      </c>
      <c r="C259" s="331"/>
      <c r="D259" s="331">
        <v>791.63406500000008</v>
      </c>
    </row>
    <row r="260" spans="1:4" x14ac:dyDescent="0.2">
      <c r="A260" s="86" t="s">
        <v>380</v>
      </c>
      <c r="B260" s="331">
        <v>791.63406500000008</v>
      </c>
      <c r="C260" s="331"/>
      <c r="D260" s="331">
        <v>791.63406500000008</v>
      </c>
    </row>
    <row r="261" spans="1:4" x14ac:dyDescent="0.2">
      <c r="A261" s="87" t="s">
        <v>10</v>
      </c>
      <c r="B261" s="331">
        <v>-81919.452517500002</v>
      </c>
      <c r="C261" s="331"/>
      <c r="D261" s="331">
        <v>-81919.452517500002</v>
      </c>
    </row>
    <row r="262" spans="1:4" x14ac:dyDescent="0.2">
      <c r="A262" s="86" t="s">
        <v>382</v>
      </c>
      <c r="B262" s="331">
        <v>-81919.452517500002</v>
      </c>
      <c r="C262" s="331"/>
      <c r="D262" s="331">
        <v>-81919.452517500002</v>
      </c>
    </row>
    <row r="263" spans="1:4" x14ac:dyDescent="0.2">
      <c r="A263" s="87" t="s">
        <v>48</v>
      </c>
      <c r="B263" s="331">
        <v>498.31400424999998</v>
      </c>
      <c r="C263" s="331"/>
      <c r="D263" s="331">
        <v>498.31400424999998</v>
      </c>
    </row>
    <row r="264" spans="1:4" x14ac:dyDescent="0.2">
      <c r="A264" s="86" t="s">
        <v>402</v>
      </c>
      <c r="B264" s="331">
        <v>58.32</v>
      </c>
      <c r="C264" s="331"/>
      <c r="D264" s="331">
        <v>58.32</v>
      </c>
    </row>
    <row r="265" spans="1:4" x14ac:dyDescent="0.2">
      <c r="A265" s="86" t="s">
        <v>356</v>
      </c>
      <c r="B265" s="331">
        <v>439.99400424999999</v>
      </c>
      <c r="C265" s="331"/>
      <c r="D265" s="331">
        <v>439.99400424999999</v>
      </c>
    </row>
    <row r="266" spans="1:4" x14ac:dyDescent="0.2">
      <c r="A266" s="66" t="s">
        <v>2</v>
      </c>
      <c r="B266" s="331">
        <v>292360.34400000004</v>
      </c>
      <c r="C266" s="331"/>
      <c r="D266" s="331">
        <v>292360.34400000004</v>
      </c>
    </row>
    <row r="267" spans="1:4" x14ac:dyDescent="0.2">
      <c r="A267" s="87" t="s">
        <v>47</v>
      </c>
      <c r="B267" s="331">
        <v>292360.34400000004</v>
      </c>
      <c r="C267" s="331"/>
      <c r="D267" s="331">
        <v>292360.34400000004</v>
      </c>
    </row>
    <row r="268" spans="1:4" x14ac:dyDescent="0.2">
      <c r="A268" s="86" t="s">
        <v>387</v>
      </c>
      <c r="B268" s="331">
        <v>254900.99400000001</v>
      </c>
      <c r="C268" s="331"/>
      <c r="D268" s="331">
        <v>254900.99400000001</v>
      </c>
    </row>
    <row r="269" spans="1:4" x14ac:dyDescent="0.2">
      <c r="A269" s="86" t="s">
        <v>364</v>
      </c>
      <c r="B269" s="331">
        <v>37459.350000000006</v>
      </c>
      <c r="C269" s="331"/>
      <c r="D269" s="331">
        <v>37459.350000000006</v>
      </c>
    </row>
    <row r="270" spans="1:4" x14ac:dyDescent="0.2">
      <c r="A270" s="66" t="s">
        <v>1</v>
      </c>
      <c r="B270" s="331">
        <v>-264438784.93002999</v>
      </c>
      <c r="C270" s="331">
        <v>5256.1033351550122</v>
      </c>
      <c r="D270" s="331">
        <v>-264433528.82669485</v>
      </c>
    </row>
    <row r="271" spans="1:4" x14ac:dyDescent="0.2">
      <c r="A271" s="87" t="s">
        <v>464</v>
      </c>
      <c r="B271" s="331">
        <v>118.32200973087411</v>
      </c>
      <c r="C271" s="331"/>
      <c r="D271" s="331">
        <v>118.32200973087411</v>
      </c>
    </row>
    <row r="272" spans="1:4" x14ac:dyDescent="0.2">
      <c r="A272" s="86" t="s">
        <v>464</v>
      </c>
      <c r="B272" s="331">
        <v>118.32200973087411</v>
      </c>
      <c r="C272" s="331"/>
      <c r="D272" s="331">
        <v>118.32200973087411</v>
      </c>
    </row>
    <row r="273" spans="1:4" x14ac:dyDescent="0.2">
      <c r="A273" s="87" t="s">
        <v>332</v>
      </c>
      <c r="B273" s="331">
        <v>7.7000000000000002E-3</v>
      </c>
      <c r="C273" s="331"/>
      <c r="D273" s="331">
        <v>7.7000000000000002E-3</v>
      </c>
    </row>
    <row r="274" spans="1:4" x14ac:dyDescent="0.2">
      <c r="A274" s="86" t="s">
        <v>332</v>
      </c>
      <c r="B274" s="331">
        <v>7.7000000000000002E-3</v>
      </c>
      <c r="C274" s="331"/>
      <c r="D274" s="331">
        <v>7.7000000000000002E-3</v>
      </c>
    </row>
    <row r="275" spans="1:4" x14ac:dyDescent="0.2">
      <c r="A275" s="87" t="s">
        <v>46</v>
      </c>
      <c r="B275" s="331">
        <v>170.82800086217441</v>
      </c>
      <c r="C275" s="331"/>
      <c r="D275" s="331">
        <v>170.82800086217441</v>
      </c>
    </row>
    <row r="276" spans="1:4" x14ac:dyDescent="0.2">
      <c r="A276" s="86" t="s">
        <v>349</v>
      </c>
      <c r="B276" s="331">
        <v>21.563500862174404</v>
      </c>
      <c r="C276" s="331"/>
      <c r="D276" s="331">
        <v>21.563500862174404</v>
      </c>
    </row>
    <row r="277" spans="1:4" x14ac:dyDescent="0.2">
      <c r="A277" s="86" t="s">
        <v>540</v>
      </c>
      <c r="B277" s="331">
        <v>149.2645</v>
      </c>
      <c r="C277" s="331"/>
      <c r="D277" s="331">
        <v>149.2645</v>
      </c>
    </row>
    <row r="278" spans="1:4" x14ac:dyDescent="0.2">
      <c r="A278" s="87" t="s">
        <v>47</v>
      </c>
      <c r="B278" s="331">
        <v>546389.91030791949</v>
      </c>
      <c r="C278" s="331"/>
      <c r="D278" s="331">
        <v>546389.91030791949</v>
      </c>
    </row>
    <row r="279" spans="1:4" x14ac:dyDescent="0.2">
      <c r="A279" s="86" t="s">
        <v>387</v>
      </c>
      <c r="B279" s="331">
        <v>508908.26</v>
      </c>
      <c r="C279" s="331"/>
      <c r="D279" s="331">
        <v>508908.26</v>
      </c>
    </row>
    <row r="280" spans="1:4" x14ac:dyDescent="0.2">
      <c r="A280" s="86" t="s">
        <v>875</v>
      </c>
      <c r="B280" s="331">
        <v>9626.2503079194303</v>
      </c>
      <c r="C280" s="331"/>
      <c r="D280" s="331">
        <v>9626.2503079194303</v>
      </c>
    </row>
    <row r="281" spans="1:4" x14ac:dyDescent="0.2">
      <c r="A281" s="86" t="s">
        <v>364</v>
      </c>
      <c r="B281" s="331">
        <v>27855.4</v>
      </c>
      <c r="C281" s="331"/>
      <c r="D281" s="331">
        <v>27855.4</v>
      </c>
    </row>
    <row r="282" spans="1:4" x14ac:dyDescent="0.2">
      <c r="A282" s="87" t="s">
        <v>398</v>
      </c>
      <c r="B282" s="331">
        <v>14.42372072</v>
      </c>
      <c r="C282" s="331"/>
      <c r="D282" s="331">
        <v>14.42372072</v>
      </c>
    </row>
    <row r="283" spans="1:4" x14ac:dyDescent="0.2">
      <c r="A283" s="86" t="s">
        <v>663</v>
      </c>
      <c r="B283" s="331">
        <v>14.42372072</v>
      </c>
      <c r="C283" s="331"/>
      <c r="D283" s="331">
        <v>14.42372072</v>
      </c>
    </row>
    <row r="284" spans="1:4" x14ac:dyDescent="0.2">
      <c r="A284" s="87" t="s">
        <v>58</v>
      </c>
      <c r="B284" s="331">
        <v>95619.653809709125</v>
      </c>
      <c r="C284" s="331">
        <v>5256.1033351550122</v>
      </c>
      <c r="D284" s="331">
        <v>100875.75714486414</v>
      </c>
    </row>
    <row r="285" spans="1:4" x14ac:dyDescent="0.2">
      <c r="A285" s="86" t="s">
        <v>58</v>
      </c>
      <c r="B285" s="331">
        <v>95619.653809709125</v>
      </c>
      <c r="C285" s="331">
        <v>5256.1033351550122</v>
      </c>
      <c r="D285" s="331">
        <v>100875.75714486414</v>
      </c>
    </row>
    <row r="286" spans="1:4" x14ac:dyDescent="0.2">
      <c r="A286" s="87" t="s">
        <v>50</v>
      </c>
      <c r="B286" s="331">
        <v>125.55562936000001</v>
      </c>
      <c r="C286" s="331"/>
      <c r="D286" s="331">
        <v>125.55562936000001</v>
      </c>
    </row>
    <row r="287" spans="1:4" x14ac:dyDescent="0.2">
      <c r="A287" s="86" t="s">
        <v>686</v>
      </c>
      <c r="B287" s="331">
        <v>40.940692000000006</v>
      </c>
      <c r="C287" s="331"/>
      <c r="D287" s="331">
        <v>40.940692000000006</v>
      </c>
    </row>
    <row r="288" spans="1:4" x14ac:dyDescent="0.2">
      <c r="A288" s="86" t="s">
        <v>50</v>
      </c>
      <c r="B288" s="331">
        <v>84.614937359999999</v>
      </c>
      <c r="C288" s="331"/>
      <c r="D288" s="331">
        <v>84.614937359999999</v>
      </c>
    </row>
    <row r="289" spans="1:4" x14ac:dyDescent="0.2">
      <c r="A289" s="87" t="s">
        <v>10</v>
      </c>
      <c r="B289" s="331">
        <v>-265096226.86618015</v>
      </c>
      <c r="C289" s="331"/>
      <c r="D289" s="331">
        <v>-265096226.86618015</v>
      </c>
    </row>
    <row r="290" spans="1:4" x14ac:dyDescent="0.2">
      <c r="A290" s="86" t="s">
        <v>382</v>
      </c>
      <c r="B290" s="331">
        <v>-265069795.40499833</v>
      </c>
      <c r="C290" s="331"/>
      <c r="D290" s="331">
        <v>-265069795.40499833</v>
      </c>
    </row>
    <row r="291" spans="1:4" x14ac:dyDescent="0.2">
      <c r="A291" s="86" t="s">
        <v>773</v>
      </c>
      <c r="B291" s="331">
        <v>-26431.461181810279</v>
      </c>
      <c r="C291" s="331"/>
      <c r="D291" s="331">
        <v>-26431.461181810279</v>
      </c>
    </row>
    <row r="292" spans="1:4" x14ac:dyDescent="0.2">
      <c r="A292" s="87" t="s">
        <v>51</v>
      </c>
      <c r="B292" s="331">
        <v>1286.7076073640671</v>
      </c>
      <c r="C292" s="331"/>
      <c r="D292" s="331">
        <v>1286.7076073640671</v>
      </c>
    </row>
    <row r="293" spans="1:4" x14ac:dyDescent="0.2">
      <c r="A293" s="86" t="s">
        <v>684</v>
      </c>
      <c r="B293" s="331">
        <v>43.77360736406726</v>
      </c>
      <c r="C293" s="331"/>
      <c r="D293" s="331">
        <v>43.77360736406726</v>
      </c>
    </row>
    <row r="294" spans="1:4" x14ac:dyDescent="0.2">
      <c r="A294" s="86" t="s">
        <v>527</v>
      </c>
      <c r="B294" s="331">
        <v>1242.934</v>
      </c>
      <c r="C294" s="331"/>
      <c r="D294" s="331">
        <v>1242.934</v>
      </c>
    </row>
    <row r="295" spans="1:4" x14ac:dyDescent="0.2">
      <c r="A295" s="87" t="s">
        <v>60</v>
      </c>
      <c r="B295" s="331">
        <v>5004.256745386574</v>
      </c>
      <c r="C295" s="331"/>
      <c r="D295" s="331">
        <v>5004.256745386574</v>
      </c>
    </row>
    <row r="296" spans="1:4" x14ac:dyDescent="0.2">
      <c r="A296" s="86" t="s">
        <v>60</v>
      </c>
      <c r="B296" s="331">
        <v>5004.256745386574</v>
      </c>
      <c r="C296" s="331"/>
      <c r="D296" s="331">
        <v>5004.256745386574</v>
      </c>
    </row>
    <row r="297" spans="1:4" x14ac:dyDescent="0.2">
      <c r="A297" s="87" t="s">
        <v>48</v>
      </c>
      <c r="B297" s="331">
        <v>8712.2706190682602</v>
      </c>
      <c r="C297" s="331"/>
      <c r="D297" s="331">
        <v>8712.2706190682602</v>
      </c>
    </row>
    <row r="298" spans="1:4" x14ac:dyDescent="0.2">
      <c r="A298" s="86" t="s">
        <v>475</v>
      </c>
      <c r="B298" s="331">
        <v>1397.1671375562623</v>
      </c>
      <c r="C298" s="331"/>
      <c r="D298" s="331">
        <v>1397.1671375562623</v>
      </c>
    </row>
    <row r="299" spans="1:4" x14ac:dyDescent="0.2">
      <c r="A299" s="86" t="s">
        <v>391</v>
      </c>
      <c r="B299" s="331">
        <v>721.68238237774631</v>
      </c>
      <c r="C299" s="331"/>
      <c r="D299" s="331">
        <v>721.68238237774631</v>
      </c>
    </row>
    <row r="300" spans="1:4" x14ac:dyDescent="0.2">
      <c r="A300" s="86" t="s">
        <v>353</v>
      </c>
      <c r="B300" s="331">
        <v>6006.5697041366011</v>
      </c>
      <c r="C300" s="331"/>
      <c r="D300" s="331">
        <v>6006.5697041366011</v>
      </c>
    </row>
    <row r="301" spans="1:4" x14ac:dyDescent="0.2">
      <c r="A301" s="86" t="s">
        <v>356</v>
      </c>
      <c r="B301" s="331">
        <v>586.85139499765035</v>
      </c>
      <c r="C301" s="331"/>
      <c r="D301" s="331">
        <v>586.85139499765035</v>
      </c>
    </row>
    <row r="302" spans="1:4" x14ac:dyDescent="0.2">
      <c r="A302" s="65" t="s">
        <v>61</v>
      </c>
      <c r="B302" s="331">
        <v>-222936.42346507069</v>
      </c>
      <c r="C302" s="331"/>
      <c r="D302" s="331">
        <v>-222936.42346507069</v>
      </c>
    </row>
    <row r="303" spans="1:4" x14ac:dyDescent="0.2">
      <c r="A303" s="66" t="s">
        <v>3</v>
      </c>
      <c r="B303" s="331">
        <v>-36670.056413949998</v>
      </c>
      <c r="C303" s="331"/>
      <c r="D303" s="331">
        <v>-36670.056413949998</v>
      </c>
    </row>
    <row r="304" spans="1:4" x14ac:dyDescent="0.2">
      <c r="A304" s="87" t="s">
        <v>47</v>
      </c>
      <c r="B304" s="331">
        <v>26147.82</v>
      </c>
      <c r="C304" s="331"/>
      <c r="D304" s="331">
        <v>26147.82</v>
      </c>
    </row>
    <row r="305" spans="1:4" x14ac:dyDescent="0.2">
      <c r="A305" s="86" t="s">
        <v>387</v>
      </c>
      <c r="B305" s="331">
        <v>26147.82</v>
      </c>
      <c r="C305" s="331"/>
      <c r="D305" s="331">
        <v>26147.82</v>
      </c>
    </row>
    <row r="306" spans="1:4" x14ac:dyDescent="0.2">
      <c r="A306" s="87" t="s">
        <v>10</v>
      </c>
      <c r="B306" s="331">
        <v>-63934.84</v>
      </c>
      <c r="C306" s="331"/>
      <c r="D306" s="331">
        <v>-63934.84</v>
      </c>
    </row>
    <row r="307" spans="1:4" x14ac:dyDescent="0.2">
      <c r="A307" s="86" t="s">
        <v>382</v>
      </c>
      <c r="B307" s="331">
        <v>-63934.84</v>
      </c>
      <c r="C307" s="331"/>
      <c r="D307" s="331">
        <v>-63934.84</v>
      </c>
    </row>
    <row r="308" spans="1:4" x14ac:dyDescent="0.2">
      <c r="A308" s="87" t="s">
        <v>52</v>
      </c>
      <c r="B308" s="331">
        <v>9.6224609500000007</v>
      </c>
      <c r="C308" s="331"/>
      <c r="D308" s="331">
        <v>9.6224609500000007</v>
      </c>
    </row>
    <row r="309" spans="1:4" x14ac:dyDescent="0.2">
      <c r="A309" s="86" t="s">
        <v>52</v>
      </c>
      <c r="B309" s="331">
        <v>9.6224609500000007</v>
      </c>
      <c r="C309" s="331"/>
      <c r="D309" s="331">
        <v>9.6224609500000007</v>
      </c>
    </row>
    <row r="310" spans="1:4" x14ac:dyDescent="0.2">
      <c r="A310" s="87" t="s">
        <v>48</v>
      </c>
      <c r="B310" s="331">
        <v>1107.3411251</v>
      </c>
      <c r="C310" s="331"/>
      <c r="D310" s="331">
        <v>1107.3411251</v>
      </c>
    </row>
    <row r="311" spans="1:4" x14ac:dyDescent="0.2">
      <c r="A311" s="86" t="s">
        <v>353</v>
      </c>
      <c r="B311" s="331">
        <v>1101.1999551500001</v>
      </c>
      <c r="C311" s="331"/>
      <c r="D311" s="331">
        <v>1101.1999551500001</v>
      </c>
    </row>
    <row r="312" spans="1:4" x14ac:dyDescent="0.2">
      <c r="A312" s="86" t="s">
        <v>356</v>
      </c>
      <c r="B312" s="331">
        <v>6.1411699500000001</v>
      </c>
      <c r="C312" s="331"/>
      <c r="D312" s="331">
        <v>6.1411699500000001</v>
      </c>
    </row>
    <row r="313" spans="1:4" x14ac:dyDescent="0.2">
      <c r="A313" s="66" t="s">
        <v>2</v>
      </c>
      <c r="B313" s="331">
        <v>-372712.20040905033</v>
      </c>
      <c r="C313" s="331"/>
      <c r="D313" s="331">
        <v>-372712.20040905033</v>
      </c>
    </row>
    <row r="314" spans="1:4" x14ac:dyDescent="0.2">
      <c r="A314" s="87" t="s">
        <v>46</v>
      </c>
      <c r="B314" s="331">
        <v>130.70576</v>
      </c>
      <c r="C314" s="331"/>
      <c r="D314" s="331">
        <v>130.70576</v>
      </c>
    </row>
    <row r="315" spans="1:4" x14ac:dyDescent="0.2">
      <c r="A315" s="86" t="s">
        <v>393</v>
      </c>
      <c r="B315" s="331">
        <v>49.5</v>
      </c>
      <c r="C315" s="331"/>
      <c r="D315" s="331">
        <v>49.5</v>
      </c>
    </row>
    <row r="316" spans="1:4" x14ac:dyDescent="0.2">
      <c r="A316" s="86" t="s">
        <v>390</v>
      </c>
      <c r="B316" s="331">
        <v>81.205759999999998</v>
      </c>
      <c r="C316" s="331"/>
      <c r="D316" s="331">
        <v>81.205759999999998</v>
      </c>
    </row>
    <row r="317" spans="1:4" x14ac:dyDescent="0.2">
      <c r="A317" s="87" t="s">
        <v>47</v>
      </c>
      <c r="B317" s="331">
        <v>168024.41999999998</v>
      </c>
      <c r="C317" s="331"/>
      <c r="D317" s="331">
        <v>168024.41999999998</v>
      </c>
    </row>
    <row r="318" spans="1:4" x14ac:dyDescent="0.2">
      <c r="A318" s="86" t="s">
        <v>387</v>
      </c>
      <c r="B318" s="331">
        <v>150154.09</v>
      </c>
      <c r="C318" s="331"/>
      <c r="D318" s="331">
        <v>150154.09</v>
      </c>
    </row>
    <row r="319" spans="1:4" x14ac:dyDescent="0.2">
      <c r="A319" s="86" t="s">
        <v>364</v>
      </c>
      <c r="B319" s="331">
        <v>17870.329999999998</v>
      </c>
      <c r="C319" s="331"/>
      <c r="D319" s="331">
        <v>17870.329999999998</v>
      </c>
    </row>
    <row r="320" spans="1:4" x14ac:dyDescent="0.2">
      <c r="A320" s="87" t="s">
        <v>50</v>
      </c>
      <c r="B320" s="331">
        <v>8.8920307199999993</v>
      </c>
      <c r="C320" s="331"/>
      <c r="D320" s="331">
        <v>8.8920307199999993</v>
      </c>
    </row>
    <row r="321" spans="1:4" x14ac:dyDescent="0.2">
      <c r="A321" s="86" t="s">
        <v>50</v>
      </c>
      <c r="B321" s="331">
        <v>8.8920307199999993</v>
      </c>
      <c r="C321" s="331"/>
      <c r="D321" s="331">
        <v>8.8920307199999993</v>
      </c>
    </row>
    <row r="322" spans="1:4" x14ac:dyDescent="0.2">
      <c r="A322" s="87" t="s">
        <v>10</v>
      </c>
      <c r="B322" s="331">
        <v>-544239.06273405708</v>
      </c>
      <c r="C322" s="331"/>
      <c r="D322" s="331">
        <v>-544239.06273405708</v>
      </c>
    </row>
    <row r="323" spans="1:4" x14ac:dyDescent="0.2">
      <c r="A323" s="86" t="s">
        <v>382</v>
      </c>
      <c r="B323" s="331">
        <v>-544239.06273405708</v>
      </c>
      <c r="C323" s="331"/>
      <c r="D323" s="331">
        <v>-544239.06273405708</v>
      </c>
    </row>
    <row r="324" spans="1:4" x14ac:dyDescent="0.2">
      <c r="A324" s="87" t="s">
        <v>51</v>
      </c>
      <c r="B324" s="331">
        <v>390.00323050605408</v>
      </c>
      <c r="C324" s="331"/>
      <c r="D324" s="331">
        <v>390.00323050605408</v>
      </c>
    </row>
    <row r="325" spans="1:4" x14ac:dyDescent="0.2">
      <c r="A325" s="86" t="s">
        <v>527</v>
      </c>
      <c r="B325" s="331">
        <v>390.00323050605408</v>
      </c>
      <c r="C325" s="331"/>
      <c r="D325" s="331">
        <v>390.00323050605408</v>
      </c>
    </row>
    <row r="326" spans="1:4" x14ac:dyDescent="0.2">
      <c r="A326" s="87" t="s">
        <v>52</v>
      </c>
      <c r="B326" s="331">
        <v>16.212592469324289</v>
      </c>
      <c r="C326" s="331"/>
      <c r="D326" s="331">
        <v>16.212592469324289</v>
      </c>
    </row>
    <row r="327" spans="1:4" x14ac:dyDescent="0.2">
      <c r="A327" s="86" t="s">
        <v>52</v>
      </c>
      <c r="B327" s="331">
        <v>16.212592469324289</v>
      </c>
      <c r="C327" s="331"/>
      <c r="D327" s="331">
        <v>16.212592469324289</v>
      </c>
    </row>
    <row r="328" spans="1:4" x14ac:dyDescent="0.2">
      <c r="A328" s="87" t="s">
        <v>48</v>
      </c>
      <c r="B328" s="331">
        <v>2956.6287113115263</v>
      </c>
      <c r="C328" s="331"/>
      <c r="D328" s="331">
        <v>2956.6287113115263</v>
      </c>
    </row>
    <row r="329" spans="1:4" x14ac:dyDescent="0.2">
      <c r="A329" s="86" t="s">
        <v>475</v>
      </c>
      <c r="B329" s="331">
        <v>819.35642393782518</v>
      </c>
      <c r="C329" s="331"/>
      <c r="D329" s="331">
        <v>819.35642393782518</v>
      </c>
    </row>
    <row r="330" spans="1:4" x14ac:dyDescent="0.2">
      <c r="A330" s="86" t="s">
        <v>339</v>
      </c>
      <c r="B330" s="331">
        <v>245.02339778225075</v>
      </c>
      <c r="C330" s="331"/>
      <c r="D330" s="331">
        <v>245.02339778225075</v>
      </c>
    </row>
    <row r="331" spans="1:4" x14ac:dyDescent="0.2">
      <c r="A331" s="86" t="s">
        <v>391</v>
      </c>
      <c r="B331" s="331">
        <v>17.1151741097807</v>
      </c>
      <c r="C331" s="331"/>
      <c r="D331" s="331">
        <v>17.1151741097807</v>
      </c>
    </row>
    <row r="332" spans="1:4" x14ac:dyDescent="0.2">
      <c r="A332" s="86" t="s">
        <v>402</v>
      </c>
      <c r="B332" s="331">
        <v>40.47851686030323</v>
      </c>
      <c r="C332" s="331"/>
      <c r="D332" s="331">
        <v>40.47851686030323</v>
      </c>
    </row>
    <row r="333" spans="1:4" x14ac:dyDescent="0.2">
      <c r="A333" s="86" t="s">
        <v>353</v>
      </c>
      <c r="B333" s="331">
        <v>1422.3956074312725</v>
      </c>
      <c r="C333" s="331"/>
      <c r="D333" s="331">
        <v>1422.3956074312725</v>
      </c>
    </row>
    <row r="334" spans="1:4" x14ac:dyDescent="0.2">
      <c r="A334" s="86" t="s">
        <v>356</v>
      </c>
      <c r="B334" s="331">
        <v>412.259591190094</v>
      </c>
      <c r="C334" s="331"/>
      <c r="D334" s="331">
        <v>412.259591190094</v>
      </c>
    </row>
    <row r="335" spans="1:4" x14ac:dyDescent="0.2">
      <c r="A335" s="66" t="s">
        <v>1</v>
      </c>
      <c r="B335" s="331">
        <v>186445.83335792966</v>
      </c>
      <c r="C335" s="331"/>
      <c r="D335" s="331">
        <v>186445.83335792966</v>
      </c>
    </row>
    <row r="336" spans="1:4" x14ac:dyDescent="0.2">
      <c r="A336" s="87" t="s">
        <v>49</v>
      </c>
      <c r="B336" s="331">
        <v>168.75319999999999</v>
      </c>
      <c r="C336" s="331"/>
      <c r="D336" s="331">
        <v>168.75319999999999</v>
      </c>
    </row>
    <row r="337" spans="1:4" x14ac:dyDescent="0.2">
      <c r="A337" s="86" t="s">
        <v>560</v>
      </c>
      <c r="B337" s="331">
        <v>168.75319999999999</v>
      </c>
      <c r="C337" s="331"/>
      <c r="D337" s="331">
        <v>168.75319999999999</v>
      </c>
    </row>
    <row r="338" spans="1:4" x14ac:dyDescent="0.2">
      <c r="A338" s="87" t="s">
        <v>46</v>
      </c>
      <c r="B338" s="331">
        <v>7.7012503079194303</v>
      </c>
      <c r="C338" s="331"/>
      <c r="D338" s="331">
        <v>7.7012503079194303</v>
      </c>
    </row>
    <row r="339" spans="1:4" x14ac:dyDescent="0.2">
      <c r="A339" s="86" t="s">
        <v>751</v>
      </c>
      <c r="B339" s="331">
        <v>7.7012503079194303</v>
      </c>
      <c r="C339" s="331"/>
      <c r="D339" s="331">
        <v>7.7012503079194303</v>
      </c>
    </row>
    <row r="340" spans="1:4" x14ac:dyDescent="0.2">
      <c r="A340" s="87" t="s">
        <v>47</v>
      </c>
      <c r="B340" s="331">
        <v>615433.47</v>
      </c>
      <c r="C340" s="331"/>
      <c r="D340" s="331">
        <v>615433.47</v>
      </c>
    </row>
    <row r="341" spans="1:4" x14ac:dyDescent="0.2">
      <c r="A341" s="86" t="s">
        <v>387</v>
      </c>
      <c r="B341" s="331">
        <v>534017.59</v>
      </c>
      <c r="C341" s="331"/>
      <c r="D341" s="331">
        <v>534017.59</v>
      </c>
    </row>
    <row r="342" spans="1:4" x14ac:dyDescent="0.2">
      <c r="A342" s="86" t="s">
        <v>364</v>
      </c>
      <c r="B342" s="331">
        <v>81415.88</v>
      </c>
      <c r="C342" s="331"/>
      <c r="D342" s="331">
        <v>81415.88</v>
      </c>
    </row>
    <row r="343" spans="1:4" x14ac:dyDescent="0.2">
      <c r="A343" s="87" t="s">
        <v>68</v>
      </c>
      <c r="B343" s="331">
        <v>1470.145014769314</v>
      </c>
      <c r="C343" s="331"/>
      <c r="D343" s="331">
        <v>1470.145014769314</v>
      </c>
    </row>
    <row r="344" spans="1:4" x14ac:dyDescent="0.2">
      <c r="A344" s="86" t="s">
        <v>68</v>
      </c>
      <c r="B344" s="331">
        <v>1470.145014769314</v>
      </c>
      <c r="C344" s="331"/>
      <c r="D344" s="331">
        <v>1470.145014769314</v>
      </c>
    </row>
    <row r="345" spans="1:4" x14ac:dyDescent="0.2">
      <c r="A345" s="87" t="s">
        <v>10</v>
      </c>
      <c r="B345" s="331">
        <v>-439825.21511488716</v>
      </c>
      <c r="C345" s="331"/>
      <c r="D345" s="331">
        <v>-439825.21511488716</v>
      </c>
    </row>
    <row r="346" spans="1:4" x14ac:dyDescent="0.2">
      <c r="A346" s="86" t="s">
        <v>382</v>
      </c>
      <c r="B346" s="331">
        <v>-439825.21511488716</v>
      </c>
      <c r="C346" s="331"/>
      <c r="D346" s="331">
        <v>-439825.21511488716</v>
      </c>
    </row>
    <row r="347" spans="1:4" x14ac:dyDescent="0.2">
      <c r="A347" s="87" t="s">
        <v>51</v>
      </c>
      <c r="B347" s="331">
        <v>2312.910549350066</v>
      </c>
      <c r="C347" s="331"/>
      <c r="D347" s="331">
        <v>2312.910549350066</v>
      </c>
    </row>
    <row r="348" spans="1:4" x14ac:dyDescent="0.2">
      <c r="A348" s="86" t="s">
        <v>799</v>
      </c>
      <c r="B348" s="331">
        <v>510.97562827892415</v>
      </c>
      <c r="C348" s="331"/>
      <c r="D348" s="331">
        <v>510.97562827892415</v>
      </c>
    </row>
    <row r="349" spans="1:4" x14ac:dyDescent="0.2">
      <c r="A349" s="86" t="s">
        <v>684</v>
      </c>
      <c r="B349" s="331">
        <v>57.577844880000001</v>
      </c>
      <c r="C349" s="331"/>
      <c r="D349" s="331">
        <v>57.577844880000001</v>
      </c>
    </row>
    <row r="350" spans="1:4" x14ac:dyDescent="0.2">
      <c r="A350" s="86" t="s">
        <v>527</v>
      </c>
      <c r="B350" s="331">
        <v>1695.1810065311417</v>
      </c>
      <c r="C350" s="331"/>
      <c r="D350" s="331">
        <v>1695.1810065311417</v>
      </c>
    </row>
    <row r="351" spans="1:4" x14ac:dyDescent="0.2">
      <c r="A351" s="86" t="s">
        <v>688</v>
      </c>
      <c r="B351" s="331">
        <v>49.176069660000003</v>
      </c>
      <c r="C351" s="331"/>
      <c r="D351" s="331">
        <v>49.176069660000003</v>
      </c>
    </row>
    <row r="352" spans="1:4" x14ac:dyDescent="0.2">
      <c r="A352" s="87" t="s">
        <v>60</v>
      </c>
      <c r="B352" s="331">
        <v>646.36205746339704</v>
      </c>
      <c r="C352" s="331"/>
      <c r="D352" s="331">
        <v>646.36205746339704</v>
      </c>
    </row>
    <row r="353" spans="1:4" x14ac:dyDescent="0.2">
      <c r="A353" s="86" t="s">
        <v>60</v>
      </c>
      <c r="B353" s="331">
        <v>646.36205746339704</v>
      </c>
      <c r="C353" s="331"/>
      <c r="D353" s="331">
        <v>646.36205746339704</v>
      </c>
    </row>
    <row r="354" spans="1:4" x14ac:dyDescent="0.2">
      <c r="A354" s="87" t="s">
        <v>48</v>
      </c>
      <c r="B354" s="331">
        <v>6231.7064009262149</v>
      </c>
      <c r="C354" s="331"/>
      <c r="D354" s="331">
        <v>6231.7064009262149</v>
      </c>
    </row>
    <row r="355" spans="1:4" x14ac:dyDescent="0.2">
      <c r="A355" s="86" t="s">
        <v>475</v>
      </c>
      <c r="B355" s="331">
        <v>668.7939181944605</v>
      </c>
      <c r="C355" s="331"/>
      <c r="D355" s="331">
        <v>668.7939181944605</v>
      </c>
    </row>
    <row r="356" spans="1:4" x14ac:dyDescent="0.2">
      <c r="A356" s="86" t="s">
        <v>339</v>
      </c>
      <c r="B356" s="331">
        <v>3527.380574785413</v>
      </c>
      <c r="C356" s="331"/>
      <c r="D356" s="331">
        <v>3527.380574785413</v>
      </c>
    </row>
    <row r="357" spans="1:4" x14ac:dyDescent="0.2">
      <c r="A357" s="86" t="s">
        <v>391</v>
      </c>
      <c r="B357" s="331">
        <v>7.8212231399999999</v>
      </c>
      <c r="C357" s="331"/>
      <c r="D357" s="331">
        <v>7.8212231399999999</v>
      </c>
    </row>
    <row r="358" spans="1:4" x14ac:dyDescent="0.2">
      <c r="A358" s="86" t="s">
        <v>402</v>
      </c>
      <c r="B358" s="331">
        <v>265.88566688091839</v>
      </c>
      <c r="C358" s="331"/>
      <c r="D358" s="331">
        <v>265.88566688091839</v>
      </c>
    </row>
    <row r="359" spans="1:4" x14ac:dyDescent="0.2">
      <c r="A359" s="86" t="s">
        <v>353</v>
      </c>
      <c r="B359" s="331">
        <v>1157.2017413473673</v>
      </c>
      <c r="C359" s="331"/>
      <c r="D359" s="331">
        <v>1157.2017413473673</v>
      </c>
    </row>
    <row r="360" spans="1:4" x14ac:dyDescent="0.2">
      <c r="A360" s="86" t="s">
        <v>356</v>
      </c>
      <c r="B360" s="331">
        <v>604.62327657805622</v>
      </c>
      <c r="C360" s="331"/>
      <c r="D360" s="331">
        <v>604.62327657805622</v>
      </c>
    </row>
    <row r="361" spans="1:4" x14ac:dyDescent="0.2">
      <c r="A361" s="65" t="s">
        <v>19</v>
      </c>
      <c r="B361" s="331">
        <v>783063635.11624396</v>
      </c>
      <c r="C361" s="331">
        <v>28162.109913934422</v>
      </c>
      <c r="D361" s="331">
        <v>783091797.2261579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5EE6-0D67-463D-998B-BE6E8419D753}">
  <sheetPr filterMode="1">
    <tabColor rgb="FFFFFF00"/>
  </sheetPr>
  <dimension ref="A1:X1468"/>
  <sheetViews>
    <sheetView topLeftCell="E1" workbookViewId="0">
      <pane ySplit="1" topLeftCell="A370" activePane="bottomLeft" state="frozen"/>
      <selection activeCell="E94" sqref="E94"/>
      <selection pane="bottomLeft" activeCell="N1481" sqref="N1481"/>
    </sheetView>
  </sheetViews>
  <sheetFormatPr defaultRowHeight="12.75" x14ac:dyDescent="0.2"/>
  <cols>
    <col min="1" max="1" width="9.42578125" style="2" bestFit="1" customWidth="1"/>
    <col min="2" max="2" width="9.140625" style="2"/>
    <col min="3" max="3" width="10.42578125" style="2" bestFit="1" customWidth="1"/>
    <col min="4" max="4" width="11.140625" style="164" customWidth="1"/>
    <col min="5" max="5" width="11.140625" style="2" customWidth="1"/>
    <col min="6" max="6" width="9.140625" style="2" customWidth="1"/>
    <col min="7" max="7" width="15" style="300" customWidth="1"/>
    <col min="8" max="8" width="12.28515625" style="300" customWidth="1"/>
    <col min="9" max="9" width="15" style="300" customWidth="1"/>
    <col min="10" max="10" width="15.5703125" style="300" customWidth="1"/>
    <col min="11" max="11" width="29" style="4" customWidth="1"/>
    <col min="12" max="12" width="24.5703125" style="4" customWidth="1"/>
    <col min="13" max="13" width="44.5703125" style="4" customWidth="1"/>
    <col min="14" max="17" width="17" style="4" customWidth="1"/>
    <col min="18" max="20" width="0" hidden="1" customWidth="1"/>
    <col min="21" max="21" width="9.140625" style="4"/>
    <col min="22" max="22" width="9.140625" style="2"/>
    <col min="23" max="16384" width="9.140625" style="4"/>
  </cols>
  <sheetData>
    <row r="1" spans="1:22" s="322" customFormat="1" x14ac:dyDescent="0.2">
      <c r="A1" s="7" t="s">
        <v>87</v>
      </c>
      <c r="B1" s="7" t="s">
        <v>43</v>
      </c>
      <c r="C1" s="162" t="s">
        <v>54</v>
      </c>
      <c r="D1" s="177" t="s">
        <v>88</v>
      </c>
      <c r="E1" s="177" t="s">
        <v>1866</v>
      </c>
      <c r="F1" s="7" t="s">
        <v>70</v>
      </c>
      <c r="G1" s="201" t="s">
        <v>90</v>
      </c>
      <c r="H1" s="201" t="s">
        <v>91</v>
      </c>
      <c r="I1" s="201" t="s">
        <v>92</v>
      </c>
      <c r="J1" s="201" t="s">
        <v>72</v>
      </c>
      <c r="K1" s="75" t="s">
        <v>325</v>
      </c>
      <c r="L1" s="73" t="s">
        <v>94</v>
      </c>
      <c r="M1" s="23" t="s">
        <v>95</v>
      </c>
      <c r="N1" s="23" t="s">
        <v>53</v>
      </c>
      <c r="O1" s="7" t="s">
        <v>64</v>
      </c>
      <c r="P1" s="23" t="s">
        <v>67</v>
      </c>
      <c r="Q1" s="23" t="s">
        <v>44</v>
      </c>
      <c r="R1" s="7" t="s">
        <v>326</v>
      </c>
      <c r="S1" s="7" t="s">
        <v>327</v>
      </c>
      <c r="T1" s="7" t="s">
        <v>328</v>
      </c>
      <c r="U1" s="7" t="s">
        <v>98</v>
      </c>
      <c r="V1" s="7" t="s">
        <v>329</v>
      </c>
    </row>
    <row r="2" spans="1:22" customFormat="1" hidden="1" x14ac:dyDescent="0.2">
      <c r="A2" s="36" t="s">
        <v>15</v>
      </c>
      <c r="B2" s="36" t="s">
        <v>3</v>
      </c>
      <c r="C2" s="93">
        <v>46024</v>
      </c>
      <c r="D2" s="3">
        <v>46024</v>
      </c>
      <c r="E2" s="126">
        <v>46024</v>
      </c>
      <c r="F2" s="36" t="s">
        <v>79</v>
      </c>
      <c r="G2" s="319">
        <v>25</v>
      </c>
      <c r="H2" s="319">
        <v>0</v>
      </c>
      <c r="I2" s="319">
        <v>25</v>
      </c>
      <c r="J2" s="319">
        <v>3.5963750000000001</v>
      </c>
      <c r="K2" t="s">
        <v>330</v>
      </c>
      <c r="M2" t="s">
        <v>331</v>
      </c>
      <c r="N2" t="s">
        <v>332</v>
      </c>
      <c r="O2" t="s">
        <v>332</v>
      </c>
      <c r="P2" t="s">
        <v>333</v>
      </c>
      <c r="Q2" t="s">
        <v>62</v>
      </c>
      <c r="V2" s="36"/>
    </row>
    <row r="3" spans="1:22" customFormat="1" hidden="1" x14ac:dyDescent="0.2">
      <c r="A3" s="36" t="s">
        <v>15</v>
      </c>
      <c r="B3" s="36" t="s">
        <v>3</v>
      </c>
      <c r="C3" s="93">
        <v>46024</v>
      </c>
      <c r="D3" s="3">
        <v>46024</v>
      </c>
      <c r="E3" s="126">
        <v>46024</v>
      </c>
      <c r="F3" s="36" t="s">
        <v>79</v>
      </c>
      <c r="G3" s="319">
        <v>4.38</v>
      </c>
      <c r="H3" s="319">
        <v>0</v>
      </c>
      <c r="I3" s="319">
        <v>4.38</v>
      </c>
      <c r="J3" s="319">
        <v>0.63008490000000006</v>
      </c>
      <c r="K3" t="s">
        <v>330</v>
      </c>
      <c r="M3" t="s">
        <v>334</v>
      </c>
      <c r="N3" t="s">
        <v>332</v>
      </c>
      <c r="O3" t="s">
        <v>332</v>
      </c>
      <c r="P3" t="s">
        <v>333</v>
      </c>
      <c r="Q3" t="s">
        <v>62</v>
      </c>
      <c r="V3" s="36"/>
    </row>
    <row r="4" spans="1:22" customFormat="1" hidden="1" x14ac:dyDescent="0.2">
      <c r="A4" s="36" t="s">
        <v>15</v>
      </c>
      <c r="B4" s="36" t="s">
        <v>3</v>
      </c>
      <c r="C4" s="93">
        <v>46024</v>
      </c>
      <c r="D4" s="3">
        <v>46024</v>
      </c>
      <c r="E4" s="126">
        <v>46024</v>
      </c>
      <c r="F4" s="36" t="s">
        <v>79</v>
      </c>
      <c r="G4" s="319">
        <v>2.67</v>
      </c>
      <c r="H4" s="319">
        <v>0</v>
      </c>
      <c r="I4" s="319">
        <v>2.67</v>
      </c>
      <c r="J4" s="319">
        <v>0.38409285000000004</v>
      </c>
      <c r="K4" t="s">
        <v>330</v>
      </c>
      <c r="M4" t="s">
        <v>335</v>
      </c>
      <c r="N4" t="s">
        <v>332</v>
      </c>
      <c r="O4" t="s">
        <v>332</v>
      </c>
      <c r="P4" t="s">
        <v>333</v>
      </c>
      <c r="Q4" t="s">
        <v>62</v>
      </c>
      <c r="V4" s="36"/>
    </row>
    <row r="5" spans="1:22" customFormat="1" hidden="1" x14ac:dyDescent="0.2">
      <c r="A5" s="36" t="s">
        <v>15</v>
      </c>
      <c r="B5" s="36" t="s">
        <v>3</v>
      </c>
      <c r="C5" s="93">
        <v>46031</v>
      </c>
      <c r="D5" s="3">
        <v>46031</v>
      </c>
      <c r="E5" s="126">
        <v>46031</v>
      </c>
      <c r="F5" s="36" t="s">
        <v>79</v>
      </c>
      <c r="G5" s="319">
        <v>10785</v>
      </c>
      <c r="H5" s="319">
        <v>0</v>
      </c>
      <c r="I5" s="319">
        <v>10785</v>
      </c>
      <c r="J5" s="319">
        <v>1551.476175</v>
      </c>
      <c r="K5" t="s">
        <v>336</v>
      </c>
      <c r="L5" t="s">
        <v>337</v>
      </c>
      <c r="M5" t="s">
        <v>338</v>
      </c>
      <c r="N5" t="s">
        <v>339</v>
      </c>
      <c r="O5" t="s">
        <v>48</v>
      </c>
      <c r="P5" t="s">
        <v>340</v>
      </c>
      <c r="Q5" t="s">
        <v>62</v>
      </c>
      <c r="V5" s="36"/>
    </row>
    <row r="6" spans="1:22" customFormat="1" hidden="1" x14ac:dyDescent="0.2">
      <c r="A6" s="36" t="s">
        <v>15</v>
      </c>
      <c r="B6" s="36" t="s">
        <v>3</v>
      </c>
      <c r="C6" s="93">
        <v>46037</v>
      </c>
      <c r="D6" s="3">
        <v>46037</v>
      </c>
      <c r="E6" s="126">
        <v>46037</v>
      </c>
      <c r="F6" s="36" t="s">
        <v>79</v>
      </c>
      <c r="G6" s="319">
        <v>95.5</v>
      </c>
      <c r="H6" s="319">
        <v>0</v>
      </c>
      <c r="I6" s="319">
        <v>95.5</v>
      </c>
      <c r="J6" s="319">
        <v>13.738152500000002</v>
      </c>
      <c r="K6" t="s">
        <v>341</v>
      </c>
      <c r="L6" t="s">
        <v>342</v>
      </c>
      <c r="M6" t="s">
        <v>343</v>
      </c>
      <c r="N6" t="s">
        <v>344</v>
      </c>
      <c r="O6" t="s">
        <v>344</v>
      </c>
      <c r="P6" t="s">
        <v>340</v>
      </c>
      <c r="Q6" t="s">
        <v>62</v>
      </c>
      <c r="V6" s="36"/>
    </row>
    <row r="7" spans="1:22" customFormat="1" hidden="1" x14ac:dyDescent="0.2">
      <c r="A7" s="36" t="s">
        <v>15</v>
      </c>
      <c r="B7" s="36" t="s">
        <v>3</v>
      </c>
      <c r="C7" s="93">
        <v>46037</v>
      </c>
      <c r="D7" s="3">
        <v>46037</v>
      </c>
      <c r="E7" s="126">
        <v>46037</v>
      </c>
      <c r="F7" s="36" t="s">
        <v>79</v>
      </c>
      <c r="G7" s="319">
        <v>4875</v>
      </c>
      <c r="H7" s="319">
        <v>0</v>
      </c>
      <c r="I7" s="319">
        <v>4875</v>
      </c>
      <c r="J7" s="319">
        <v>701.29312500000003</v>
      </c>
      <c r="K7" t="s">
        <v>341</v>
      </c>
      <c r="L7" t="s">
        <v>342</v>
      </c>
      <c r="M7" t="s">
        <v>345</v>
      </c>
      <c r="N7" t="s">
        <v>346</v>
      </c>
      <c r="O7" t="s">
        <v>346</v>
      </c>
      <c r="P7" t="s">
        <v>347</v>
      </c>
      <c r="Q7" t="s">
        <v>55</v>
      </c>
      <c r="V7" s="36"/>
    </row>
    <row r="8" spans="1:22" customFormat="1" hidden="1" x14ac:dyDescent="0.2">
      <c r="A8" s="36" t="s">
        <v>15</v>
      </c>
      <c r="B8" s="36" t="s">
        <v>3</v>
      </c>
      <c r="C8" s="93">
        <v>46037</v>
      </c>
      <c r="D8" s="3">
        <v>46037</v>
      </c>
      <c r="E8" s="126">
        <v>46037</v>
      </c>
      <c r="F8" s="36" t="s">
        <v>79</v>
      </c>
      <c r="G8" s="319">
        <v>358</v>
      </c>
      <c r="H8" s="319">
        <v>0</v>
      </c>
      <c r="I8" s="319">
        <v>358</v>
      </c>
      <c r="J8" s="319">
        <v>51.500090000000007</v>
      </c>
      <c r="K8" t="s">
        <v>341</v>
      </c>
      <c r="L8" t="s">
        <v>342</v>
      </c>
      <c r="M8" t="s">
        <v>348</v>
      </c>
      <c r="N8" t="s">
        <v>349</v>
      </c>
      <c r="O8" t="s">
        <v>46</v>
      </c>
      <c r="P8" t="s">
        <v>350</v>
      </c>
      <c r="Q8" t="s">
        <v>62</v>
      </c>
      <c r="V8" s="36"/>
    </row>
    <row r="9" spans="1:22" customFormat="1" hidden="1" x14ac:dyDescent="0.2">
      <c r="A9" s="36" t="s">
        <v>15</v>
      </c>
      <c r="B9" s="36" t="s">
        <v>3</v>
      </c>
      <c r="C9" s="93">
        <v>46037</v>
      </c>
      <c r="D9" s="3">
        <v>46037</v>
      </c>
      <c r="E9" s="126">
        <v>46037</v>
      </c>
      <c r="F9" s="36" t="s">
        <v>79</v>
      </c>
      <c r="G9" s="319">
        <v>906.15</v>
      </c>
      <c r="H9" s="319">
        <v>0</v>
      </c>
      <c r="I9" s="319">
        <v>906.15</v>
      </c>
      <c r="J9" s="319">
        <v>130.35420825</v>
      </c>
      <c r="K9" t="s">
        <v>341</v>
      </c>
      <c r="L9" t="s">
        <v>342</v>
      </c>
      <c r="M9" t="s">
        <v>351</v>
      </c>
      <c r="N9" t="s">
        <v>50</v>
      </c>
      <c r="O9" t="s">
        <v>50</v>
      </c>
      <c r="P9" t="s">
        <v>340</v>
      </c>
      <c r="Q9" t="s">
        <v>62</v>
      </c>
      <c r="V9" s="36"/>
    </row>
    <row r="10" spans="1:22" customFormat="1" hidden="1" x14ac:dyDescent="0.2">
      <c r="A10" s="36" t="s">
        <v>15</v>
      </c>
      <c r="B10" s="36" t="s">
        <v>3</v>
      </c>
      <c r="C10" s="93">
        <v>46037</v>
      </c>
      <c r="D10" s="3">
        <v>46037</v>
      </c>
      <c r="E10" s="126">
        <v>46037</v>
      </c>
      <c r="F10" s="36" t="s">
        <v>79</v>
      </c>
      <c r="G10" s="319">
        <v>29</v>
      </c>
      <c r="H10" s="319">
        <v>0</v>
      </c>
      <c r="I10" s="319">
        <v>29</v>
      </c>
      <c r="J10" s="319">
        <v>4.1717950000000004</v>
      </c>
      <c r="K10" t="s">
        <v>341</v>
      </c>
      <c r="L10" t="s">
        <v>342</v>
      </c>
      <c r="M10" t="s">
        <v>351</v>
      </c>
      <c r="N10" t="s">
        <v>50</v>
      </c>
      <c r="O10" t="s">
        <v>50</v>
      </c>
      <c r="P10" t="s">
        <v>340</v>
      </c>
      <c r="Q10" t="s">
        <v>62</v>
      </c>
      <c r="V10" s="36"/>
    </row>
    <row r="11" spans="1:22" customFormat="1" hidden="1" x14ac:dyDescent="0.2">
      <c r="A11" s="36" t="s">
        <v>15</v>
      </c>
      <c r="B11" s="36" t="s">
        <v>3</v>
      </c>
      <c r="C11" s="93">
        <v>46037</v>
      </c>
      <c r="D11" s="3">
        <v>46037</v>
      </c>
      <c r="E11" s="126">
        <v>46037</v>
      </c>
      <c r="F11" s="36" t="s">
        <v>79</v>
      </c>
      <c r="G11" s="319">
        <v>3362.13</v>
      </c>
      <c r="H11" s="319">
        <v>0</v>
      </c>
      <c r="I11" s="319">
        <v>3362.13</v>
      </c>
      <c r="J11" s="319">
        <v>483.65921115000003</v>
      </c>
      <c r="K11" t="s">
        <v>341</v>
      </c>
      <c r="L11" t="s">
        <v>342</v>
      </c>
      <c r="M11" t="s">
        <v>352</v>
      </c>
      <c r="N11" t="s">
        <v>353</v>
      </c>
      <c r="O11" t="s">
        <v>48</v>
      </c>
      <c r="P11" t="s">
        <v>354</v>
      </c>
      <c r="Q11" t="s">
        <v>61</v>
      </c>
      <c r="V11" s="36"/>
    </row>
    <row r="12" spans="1:22" customFormat="1" hidden="1" x14ac:dyDescent="0.2">
      <c r="A12" s="36" t="s">
        <v>15</v>
      </c>
      <c r="B12" s="36" t="s">
        <v>3</v>
      </c>
      <c r="C12" s="93">
        <v>46037</v>
      </c>
      <c r="D12" s="3">
        <v>46037</v>
      </c>
      <c r="E12" s="126">
        <v>46037</v>
      </c>
      <c r="F12" s="36" t="s">
        <v>79</v>
      </c>
      <c r="G12" s="319">
        <v>400</v>
      </c>
      <c r="H12" s="319">
        <v>0</v>
      </c>
      <c r="I12" s="319">
        <v>400</v>
      </c>
      <c r="J12" s="319">
        <v>57.542000000000002</v>
      </c>
      <c r="K12" t="s">
        <v>341</v>
      </c>
      <c r="L12" t="s">
        <v>342</v>
      </c>
      <c r="M12" t="s">
        <v>355</v>
      </c>
      <c r="N12" t="s">
        <v>356</v>
      </c>
      <c r="O12" t="s">
        <v>48</v>
      </c>
      <c r="P12" t="s">
        <v>347</v>
      </c>
      <c r="Q12" t="s">
        <v>55</v>
      </c>
      <c r="V12" s="36"/>
    </row>
    <row r="13" spans="1:22" customFormat="1" hidden="1" x14ac:dyDescent="0.2">
      <c r="A13" s="36" t="s">
        <v>15</v>
      </c>
      <c r="B13" s="36" t="s">
        <v>3</v>
      </c>
      <c r="C13" s="93">
        <v>46037</v>
      </c>
      <c r="D13" s="3">
        <v>46037</v>
      </c>
      <c r="E13" s="126">
        <v>46037</v>
      </c>
      <c r="F13" s="36" t="s">
        <v>79</v>
      </c>
      <c r="G13" s="319">
        <v>9.9999999999999985E-3</v>
      </c>
      <c r="H13" s="319">
        <v>0</v>
      </c>
      <c r="I13" s="319">
        <v>9.9999999999999985E-3</v>
      </c>
      <c r="J13" s="319">
        <v>1.4385499999999998E-3</v>
      </c>
      <c r="K13" t="s">
        <v>341</v>
      </c>
      <c r="L13" t="s">
        <v>342</v>
      </c>
      <c r="M13" t="s">
        <v>357</v>
      </c>
      <c r="N13" t="s">
        <v>332</v>
      </c>
      <c r="O13" t="s">
        <v>332</v>
      </c>
      <c r="P13" t="s">
        <v>333</v>
      </c>
      <c r="Q13" t="s">
        <v>62</v>
      </c>
      <c r="V13" s="36"/>
    </row>
    <row r="14" spans="1:22" customFormat="1" hidden="1" x14ac:dyDescent="0.2">
      <c r="A14" s="36" t="s">
        <v>15</v>
      </c>
      <c r="B14" s="36" t="s">
        <v>3</v>
      </c>
      <c r="C14" s="93">
        <v>46037</v>
      </c>
      <c r="D14" s="3">
        <v>46037</v>
      </c>
      <c r="E14" s="126">
        <v>46037</v>
      </c>
      <c r="F14" s="36" t="s">
        <v>79</v>
      </c>
      <c r="G14" s="319">
        <v>2073.3200000000002</v>
      </c>
      <c r="H14" s="319">
        <v>0</v>
      </c>
      <c r="I14" s="319">
        <v>2073.3200000000002</v>
      </c>
      <c r="J14" s="319">
        <v>298.25744860000003</v>
      </c>
      <c r="K14" t="s">
        <v>341</v>
      </c>
      <c r="L14" t="s">
        <v>342</v>
      </c>
      <c r="M14" t="s">
        <v>358</v>
      </c>
      <c r="N14" t="s">
        <v>60</v>
      </c>
      <c r="O14" t="s">
        <v>60</v>
      </c>
      <c r="P14" t="s">
        <v>333</v>
      </c>
      <c r="Q14" t="s">
        <v>62</v>
      </c>
      <c r="V14" s="36"/>
    </row>
    <row r="15" spans="1:22" customFormat="1" hidden="1" x14ac:dyDescent="0.2">
      <c r="A15" s="36" t="s">
        <v>15</v>
      </c>
      <c r="B15" s="36" t="s">
        <v>3</v>
      </c>
      <c r="C15" s="93">
        <v>46037</v>
      </c>
      <c r="D15" s="3">
        <v>46037</v>
      </c>
      <c r="E15" s="126">
        <v>46037</v>
      </c>
      <c r="F15" s="36" t="s">
        <v>79</v>
      </c>
      <c r="G15" s="319">
        <v>66.89</v>
      </c>
      <c r="H15" s="319">
        <v>0</v>
      </c>
      <c r="I15" s="319">
        <v>66.89</v>
      </c>
      <c r="J15" s="319">
        <v>9.6224609500000007</v>
      </c>
      <c r="K15" t="s">
        <v>341</v>
      </c>
      <c r="L15" t="s">
        <v>342</v>
      </c>
      <c r="M15" t="s">
        <v>359</v>
      </c>
      <c r="N15" t="s">
        <v>52</v>
      </c>
      <c r="O15" t="s">
        <v>52</v>
      </c>
      <c r="P15" t="s">
        <v>354</v>
      </c>
      <c r="Q15" t="s">
        <v>61</v>
      </c>
      <c r="V15" s="36"/>
    </row>
    <row r="16" spans="1:22" customFormat="1" hidden="1" x14ac:dyDescent="0.2">
      <c r="A16" s="36" t="s">
        <v>15</v>
      </c>
      <c r="B16" s="36" t="s">
        <v>3</v>
      </c>
      <c r="C16" s="93">
        <v>46037</v>
      </c>
      <c r="D16" s="3">
        <v>46037</v>
      </c>
      <c r="E16" s="126">
        <v>46037</v>
      </c>
      <c r="F16" s="36" t="s">
        <v>79</v>
      </c>
      <c r="G16" s="319">
        <v>4292.8</v>
      </c>
      <c r="H16" s="319">
        <v>0</v>
      </c>
      <c r="I16" s="319">
        <v>4292.8</v>
      </c>
      <c r="J16" s="319">
        <v>617.54074400000002</v>
      </c>
      <c r="K16" t="s">
        <v>341</v>
      </c>
      <c r="L16" t="s">
        <v>342</v>
      </c>
      <c r="M16" t="s">
        <v>360</v>
      </c>
      <c r="N16" t="s">
        <v>353</v>
      </c>
      <c r="O16" t="s">
        <v>48</v>
      </c>
      <c r="P16" t="s">
        <v>354</v>
      </c>
      <c r="Q16" t="s">
        <v>61</v>
      </c>
      <c r="V16" s="36"/>
    </row>
    <row r="17" spans="1:22" customFormat="1" hidden="1" x14ac:dyDescent="0.2">
      <c r="A17" s="36" t="s">
        <v>15</v>
      </c>
      <c r="B17" s="36" t="s">
        <v>3</v>
      </c>
      <c r="C17" s="93">
        <v>46037</v>
      </c>
      <c r="D17" s="3">
        <v>46037</v>
      </c>
      <c r="E17" s="126">
        <v>46037</v>
      </c>
      <c r="F17" s="36" t="s">
        <v>79</v>
      </c>
      <c r="G17" s="319">
        <v>42.69</v>
      </c>
      <c r="H17" s="319">
        <v>0</v>
      </c>
      <c r="I17" s="319">
        <v>42.69</v>
      </c>
      <c r="J17" s="319">
        <v>6.1411699500000001</v>
      </c>
      <c r="K17" t="s">
        <v>341</v>
      </c>
      <c r="L17" t="s">
        <v>342</v>
      </c>
      <c r="M17" t="s">
        <v>361</v>
      </c>
      <c r="N17" t="s">
        <v>356</v>
      </c>
      <c r="O17" t="s">
        <v>48</v>
      </c>
      <c r="P17" t="s">
        <v>354</v>
      </c>
      <c r="Q17" t="s">
        <v>61</v>
      </c>
      <c r="V17" s="36"/>
    </row>
    <row r="18" spans="1:22" customFormat="1" hidden="1" x14ac:dyDescent="0.2">
      <c r="A18" s="36" t="s">
        <v>15</v>
      </c>
      <c r="B18" s="36" t="s">
        <v>3</v>
      </c>
      <c r="C18" s="93">
        <v>46037</v>
      </c>
      <c r="D18" s="3">
        <v>46037</v>
      </c>
      <c r="E18" s="126">
        <v>46037</v>
      </c>
      <c r="F18" s="36" t="s">
        <v>79</v>
      </c>
      <c r="G18" s="319">
        <v>157.35</v>
      </c>
      <c r="H18" s="319">
        <v>0</v>
      </c>
      <c r="I18" s="319">
        <v>157.35</v>
      </c>
      <c r="J18" s="319">
        <v>22.635584250000001</v>
      </c>
      <c r="K18" t="s">
        <v>341</v>
      </c>
      <c r="L18" t="s">
        <v>342</v>
      </c>
      <c r="M18" t="s">
        <v>361</v>
      </c>
      <c r="N18" t="s">
        <v>356</v>
      </c>
      <c r="O18" t="s">
        <v>48</v>
      </c>
      <c r="P18" t="s">
        <v>347</v>
      </c>
      <c r="Q18" t="s">
        <v>55</v>
      </c>
      <c r="V18" s="36"/>
    </row>
    <row r="19" spans="1:22" customFormat="1" hidden="1" x14ac:dyDescent="0.2">
      <c r="A19" s="36" t="s">
        <v>15</v>
      </c>
      <c r="B19" s="36" t="s">
        <v>3</v>
      </c>
      <c r="C19" s="93">
        <v>46037</v>
      </c>
      <c r="D19" s="3">
        <v>46037</v>
      </c>
      <c r="E19" s="126">
        <v>46037</v>
      </c>
      <c r="F19" s="36" t="s">
        <v>79</v>
      </c>
      <c r="G19" s="319">
        <v>204</v>
      </c>
      <c r="H19" s="319">
        <v>0</v>
      </c>
      <c r="I19" s="319">
        <v>204</v>
      </c>
      <c r="J19" s="319">
        <v>29.346420000000002</v>
      </c>
      <c r="K19" t="s">
        <v>341</v>
      </c>
      <c r="L19" t="s">
        <v>342</v>
      </c>
      <c r="M19" t="s">
        <v>361</v>
      </c>
      <c r="N19" t="s">
        <v>356</v>
      </c>
      <c r="O19" t="s">
        <v>48</v>
      </c>
      <c r="P19" t="s">
        <v>347</v>
      </c>
      <c r="Q19" t="s">
        <v>55</v>
      </c>
      <c r="V19" s="36"/>
    </row>
    <row r="20" spans="1:22" customFormat="1" hidden="1" x14ac:dyDescent="0.2">
      <c r="A20" s="36" t="s">
        <v>15</v>
      </c>
      <c r="B20" s="36" t="s">
        <v>3</v>
      </c>
      <c r="C20" s="93">
        <v>46037</v>
      </c>
      <c r="D20" s="3">
        <v>46037</v>
      </c>
      <c r="E20" s="126">
        <v>46037</v>
      </c>
      <c r="F20" s="36" t="s">
        <v>79</v>
      </c>
      <c r="G20" s="319">
        <v>671.44</v>
      </c>
      <c r="H20" s="319">
        <v>0</v>
      </c>
      <c r="I20" s="319">
        <v>671.44</v>
      </c>
      <c r="J20" s="319">
        <v>96.590001200000017</v>
      </c>
      <c r="K20" t="s">
        <v>362</v>
      </c>
      <c r="M20" t="s">
        <v>363</v>
      </c>
      <c r="N20" t="s">
        <v>364</v>
      </c>
      <c r="O20" t="s">
        <v>47</v>
      </c>
      <c r="P20" t="s">
        <v>333</v>
      </c>
      <c r="Q20" t="s">
        <v>62</v>
      </c>
      <c r="V20" s="36"/>
    </row>
    <row r="21" spans="1:22" customFormat="1" hidden="1" x14ac:dyDescent="0.2">
      <c r="A21" s="36" t="s">
        <v>15</v>
      </c>
      <c r="B21" s="36" t="s">
        <v>3</v>
      </c>
      <c r="C21" s="93">
        <v>46037</v>
      </c>
      <c r="D21" s="3">
        <v>46037</v>
      </c>
      <c r="E21" s="126">
        <v>46037</v>
      </c>
      <c r="F21" s="36" t="s">
        <v>79</v>
      </c>
      <c r="G21" s="319">
        <v>426.88</v>
      </c>
      <c r="H21" s="319">
        <v>0</v>
      </c>
      <c r="I21" s="319">
        <v>426.88</v>
      </c>
      <c r="J21" s="319">
        <v>61.408822400000005</v>
      </c>
      <c r="K21" t="s">
        <v>365</v>
      </c>
      <c r="M21" t="s">
        <v>366</v>
      </c>
      <c r="N21" t="s">
        <v>367</v>
      </c>
      <c r="O21" t="s">
        <v>367</v>
      </c>
      <c r="P21" t="s">
        <v>350</v>
      </c>
      <c r="Q21" t="s">
        <v>62</v>
      </c>
      <c r="V21" s="36"/>
    </row>
    <row r="22" spans="1:22" customFormat="1" hidden="1" x14ac:dyDescent="0.2">
      <c r="A22" s="36" t="s">
        <v>15</v>
      </c>
      <c r="B22" s="36" t="s">
        <v>3</v>
      </c>
      <c r="C22" s="93">
        <v>46037</v>
      </c>
      <c r="D22" s="3">
        <v>46037</v>
      </c>
      <c r="E22" s="126">
        <v>46037</v>
      </c>
      <c r="F22" s="36" t="s">
        <v>79</v>
      </c>
      <c r="G22" s="319">
        <v>246.53</v>
      </c>
      <c r="H22" s="319">
        <v>0</v>
      </c>
      <c r="I22" s="319">
        <v>246.53</v>
      </c>
      <c r="J22" s="319">
        <v>35.46457315</v>
      </c>
      <c r="K22" t="s">
        <v>368</v>
      </c>
      <c r="M22" t="s">
        <v>369</v>
      </c>
      <c r="N22" t="s">
        <v>370</v>
      </c>
      <c r="O22" t="s">
        <v>371</v>
      </c>
      <c r="P22" t="s">
        <v>340</v>
      </c>
      <c r="Q22" t="s">
        <v>62</v>
      </c>
      <c r="V22" s="36"/>
    </row>
    <row r="23" spans="1:22" customFormat="1" hidden="1" x14ac:dyDescent="0.2">
      <c r="A23" s="36" t="s">
        <v>15</v>
      </c>
      <c r="B23" s="36" t="s">
        <v>3</v>
      </c>
      <c r="C23" s="93">
        <v>46037</v>
      </c>
      <c r="D23" s="3">
        <v>46037</v>
      </c>
      <c r="E23" s="126">
        <v>46037</v>
      </c>
      <c r="F23" s="36" t="s">
        <v>79</v>
      </c>
      <c r="G23" s="319">
        <v>277</v>
      </c>
      <c r="H23" s="319">
        <v>0</v>
      </c>
      <c r="I23" s="319">
        <v>277</v>
      </c>
      <c r="J23" s="319">
        <v>39.847835000000003</v>
      </c>
      <c r="K23" t="s">
        <v>372</v>
      </c>
      <c r="M23" t="s">
        <v>373</v>
      </c>
      <c r="N23" t="s">
        <v>374</v>
      </c>
      <c r="O23" t="s">
        <v>375</v>
      </c>
      <c r="P23" t="s">
        <v>376</v>
      </c>
      <c r="Q23" t="s">
        <v>62</v>
      </c>
      <c r="V23" s="36"/>
    </row>
    <row r="24" spans="1:22" customFormat="1" hidden="1" x14ac:dyDescent="0.2">
      <c r="A24" s="36" t="s">
        <v>15</v>
      </c>
      <c r="B24" s="36" t="s">
        <v>3</v>
      </c>
      <c r="C24" s="93">
        <v>46038</v>
      </c>
      <c r="D24" s="3">
        <v>46038</v>
      </c>
      <c r="E24" s="126">
        <v>46038</v>
      </c>
      <c r="F24" s="36" t="s">
        <v>79</v>
      </c>
      <c r="G24" s="319">
        <v>5503</v>
      </c>
      <c r="H24" s="319">
        <v>0</v>
      </c>
      <c r="I24" s="319">
        <v>5503</v>
      </c>
      <c r="J24" s="319">
        <v>791.63406500000008</v>
      </c>
      <c r="K24" t="s">
        <v>377</v>
      </c>
      <c r="L24" t="s">
        <v>378</v>
      </c>
      <c r="M24" t="s">
        <v>379</v>
      </c>
      <c r="N24" t="s">
        <v>380</v>
      </c>
      <c r="O24" t="s">
        <v>380</v>
      </c>
      <c r="P24" t="s">
        <v>347</v>
      </c>
      <c r="Q24" t="s">
        <v>55</v>
      </c>
      <c r="V24" s="36"/>
    </row>
    <row r="25" spans="1:22" customFormat="1" hidden="1" x14ac:dyDescent="0.2">
      <c r="A25" s="36" t="s">
        <v>15</v>
      </c>
      <c r="B25" s="36" t="s">
        <v>3</v>
      </c>
      <c r="C25" s="93">
        <v>46045</v>
      </c>
      <c r="D25" s="3">
        <v>46045</v>
      </c>
      <c r="E25" s="126">
        <v>46045</v>
      </c>
      <c r="F25" s="36" t="s">
        <v>79</v>
      </c>
      <c r="G25" s="319">
        <v>-569458.5</v>
      </c>
      <c r="H25" s="319">
        <v>0</v>
      </c>
      <c r="I25" s="319">
        <v>-569458.5</v>
      </c>
      <c r="J25" s="319">
        <v>-81919.452517500002</v>
      </c>
      <c r="K25" t="s">
        <v>313</v>
      </c>
      <c r="L25" t="s">
        <v>381</v>
      </c>
      <c r="M25" t="s">
        <v>316</v>
      </c>
      <c r="N25" t="s">
        <v>382</v>
      </c>
      <c r="O25" t="s">
        <v>10</v>
      </c>
      <c r="P25" t="s">
        <v>347</v>
      </c>
      <c r="Q25" t="s">
        <v>55</v>
      </c>
      <c r="V25" s="36"/>
    </row>
    <row r="26" spans="1:22" customFormat="1" hidden="1" x14ac:dyDescent="0.2">
      <c r="A26" s="36" t="s">
        <v>15</v>
      </c>
      <c r="B26" s="36" t="s">
        <v>3</v>
      </c>
      <c r="C26" s="93">
        <v>46052</v>
      </c>
      <c r="D26" s="3">
        <v>46052</v>
      </c>
      <c r="E26" s="126">
        <v>46052</v>
      </c>
      <c r="F26" s="36" t="s">
        <v>79</v>
      </c>
      <c r="G26" s="319">
        <v>-381.92</v>
      </c>
      <c r="H26" s="319">
        <v>0</v>
      </c>
      <c r="I26" s="319">
        <v>-381.92</v>
      </c>
      <c r="J26" s="319">
        <v>-54.941101600000003</v>
      </c>
      <c r="K26" t="s">
        <v>330</v>
      </c>
      <c r="M26" t="s">
        <v>383</v>
      </c>
      <c r="N26" t="s">
        <v>384</v>
      </c>
      <c r="O26" t="s">
        <v>385</v>
      </c>
      <c r="P26" t="s">
        <v>333</v>
      </c>
      <c r="Q26" t="s">
        <v>62</v>
      </c>
      <c r="V26" s="36"/>
    </row>
    <row r="27" spans="1:22" customFormat="1" hidden="1" x14ac:dyDescent="0.2">
      <c r="A27" s="36" t="s">
        <v>15</v>
      </c>
      <c r="B27" s="36" t="s">
        <v>3</v>
      </c>
      <c r="C27" s="93">
        <v>46053</v>
      </c>
      <c r="D27" s="3">
        <v>46053</v>
      </c>
      <c r="E27" s="126">
        <v>46053</v>
      </c>
      <c r="F27" s="36" t="s">
        <v>79</v>
      </c>
      <c r="G27" s="319"/>
      <c r="H27" s="319"/>
      <c r="I27" s="319"/>
      <c r="J27" s="319">
        <v>1920.72</v>
      </c>
      <c r="K27" t="s">
        <v>1851</v>
      </c>
      <c r="M27" t="s">
        <v>386</v>
      </c>
      <c r="N27" t="s">
        <v>387</v>
      </c>
      <c r="O27" t="s">
        <v>47</v>
      </c>
      <c r="P27" t="s">
        <v>354</v>
      </c>
      <c r="Q27" t="str">
        <f>_xlfn.XLOOKUP(P27,[1]!Table2[Department],[1]!Table2[Group],"ERROR")</f>
        <v>Sales &amp; Marketing</v>
      </c>
      <c r="V27" s="36"/>
    </row>
    <row r="28" spans="1:22" customFormat="1" hidden="1" x14ac:dyDescent="0.2">
      <c r="A28" s="36" t="s">
        <v>15</v>
      </c>
      <c r="B28" s="36" t="s">
        <v>3</v>
      </c>
      <c r="C28" s="93">
        <v>46053</v>
      </c>
      <c r="D28" s="3">
        <v>46053</v>
      </c>
      <c r="E28" s="126">
        <v>46053</v>
      </c>
      <c r="F28" s="36" t="s">
        <v>79</v>
      </c>
      <c r="G28" s="321"/>
      <c r="H28" s="321"/>
      <c r="I28" s="321"/>
      <c r="J28" s="321">
        <v>10359.73</v>
      </c>
      <c r="K28" t="s">
        <v>1851</v>
      </c>
      <c r="M28" t="s">
        <v>386</v>
      </c>
      <c r="N28" t="s">
        <v>387</v>
      </c>
      <c r="O28" t="s">
        <v>47</v>
      </c>
      <c r="P28" t="s">
        <v>347</v>
      </c>
      <c r="Q28" t="str">
        <f>_xlfn.XLOOKUP(P28,[1]!Table2[Department],[1]!Table2[Group],"ERROR")</f>
        <v>Research &amp; Development</v>
      </c>
      <c r="V28" s="36"/>
    </row>
    <row r="29" spans="1:22" customFormat="1" hidden="1" x14ac:dyDescent="0.2">
      <c r="A29" s="36" t="s">
        <v>15</v>
      </c>
      <c r="B29" s="36" t="s">
        <v>3</v>
      </c>
      <c r="C29" s="93">
        <v>46055</v>
      </c>
      <c r="D29" s="3">
        <v>46055</v>
      </c>
      <c r="E29" s="126">
        <v>46055</v>
      </c>
      <c r="F29" s="36" t="s">
        <v>79</v>
      </c>
      <c r="G29" s="319">
        <v>17.690000000000001</v>
      </c>
      <c r="H29" s="319">
        <v>0</v>
      </c>
      <c r="I29" s="319">
        <v>17.690000000000001</v>
      </c>
      <c r="J29" s="116">
        <v>2.54</v>
      </c>
      <c r="K29" t="s">
        <v>330</v>
      </c>
      <c r="M29" t="s">
        <v>334</v>
      </c>
      <c r="N29" t="s">
        <v>332</v>
      </c>
      <c r="O29" t="s">
        <v>332</v>
      </c>
      <c r="P29" t="s">
        <v>333</v>
      </c>
      <c r="Q29" t="s">
        <v>62</v>
      </c>
      <c r="V29" s="36"/>
    </row>
    <row r="30" spans="1:22" customFormat="1" hidden="1" x14ac:dyDescent="0.2">
      <c r="A30" s="36" t="s">
        <v>15</v>
      </c>
      <c r="B30" s="36" t="s">
        <v>3</v>
      </c>
      <c r="C30" s="93">
        <v>46055</v>
      </c>
      <c r="D30" s="3">
        <v>46055</v>
      </c>
      <c r="E30" s="126">
        <v>46055</v>
      </c>
      <c r="F30" s="36" t="s">
        <v>79</v>
      </c>
      <c r="G30" s="319">
        <v>2.67</v>
      </c>
      <c r="H30" s="319">
        <v>0</v>
      </c>
      <c r="I30" s="319">
        <v>2.67</v>
      </c>
      <c r="J30" s="116">
        <v>0.38</v>
      </c>
      <c r="K30" t="s">
        <v>330</v>
      </c>
      <c r="M30" t="s">
        <v>335</v>
      </c>
      <c r="N30" t="s">
        <v>332</v>
      </c>
      <c r="O30" t="s">
        <v>332</v>
      </c>
      <c r="P30" t="s">
        <v>333</v>
      </c>
      <c r="Q30" t="s">
        <v>62</v>
      </c>
      <c r="V30" s="36"/>
    </row>
    <row r="31" spans="1:22" customFormat="1" hidden="1" x14ac:dyDescent="0.2">
      <c r="A31" s="36" t="s">
        <v>15</v>
      </c>
      <c r="B31" s="36" t="s">
        <v>3</v>
      </c>
      <c r="C31" s="93">
        <v>46055</v>
      </c>
      <c r="D31" s="3">
        <v>46055</v>
      </c>
      <c r="E31" s="126">
        <v>46055</v>
      </c>
      <c r="F31" s="36" t="s">
        <v>79</v>
      </c>
      <c r="G31" s="319">
        <v>25</v>
      </c>
      <c r="H31" s="319">
        <v>0</v>
      </c>
      <c r="I31" s="319">
        <v>25</v>
      </c>
      <c r="J31" s="116">
        <v>3.6</v>
      </c>
      <c r="K31" t="s">
        <v>330</v>
      </c>
      <c r="M31" t="s">
        <v>331</v>
      </c>
      <c r="N31" t="s">
        <v>332</v>
      </c>
      <c r="O31" t="s">
        <v>332</v>
      </c>
      <c r="P31" t="s">
        <v>333</v>
      </c>
      <c r="Q31" t="s">
        <v>62</v>
      </c>
      <c r="V31" s="36"/>
    </row>
    <row r="32" spans="1:22" customFormat="1" hidden="1" x14ac:dyDescent="0.2">
      <c r="A32" s="36" t="s">
        <v>15</v>
      </c>
      <c r="B32" s="36" t="s">
        <v>3</v>
      </c>
      <c r="C32" s="93">
        <v>46066</v>
      </c>
      <c r="D32" s="3">
        <v>46066</v>
      </c>
      <c r="E32" s="126">
        <v>46066</v>
      </c>
      <c r="F32" s="36" t="s">
        <v>79</v>
      </c>
      <c r="G32" s="319">
        <v>3029.3999999999996</v>
      </c>
      <c r="H32" s="319">
        <v>0</v>
      </c>
      <c r="I32" s="319">
        <v>3029.3999999999996</v>
      </c>
      <c r="J32" s="116">
        <v>435.79</v>
      </c>
      <c r="K32" t="s">
        <v>341</v>
      </c>
      <c r="L32" t="s">
        <v>388</v>
      </c>
      <c r="M32" t="s">
        <v>389</v>
      </c>
      <c r="N32" t="s">
        <v>390</v>
      </c>
      <c r="O32" t="s">
        <v>46</v>
      </c>
      <c r="P32" t="s">
        <v>350</v>
      </c>
      <c r="Q32" t="s">
        <v>62</v>
      </c>
      <c r="V32" s="36"/>
    </row>
    <row r="33" spans="1:22" customFormat="1" hidden="1" x14ac:dyDescent="0.2">
      <c r="A33" s="36" t="s">
        <v>15</v>
      </c>
      <c r="B33" s="36" t="s">
        <v>3</v>
      </c>
      <c r="C33" s="93">
        <v>46066</v>
      </c>
      <c r="D33" s="3">
        <v>46066</v>
      </c>
      <c r="E33" s="126">
        <v>46066</v>
      </c>
      <c r="F33" s="36" t="s">
        <v>79</v>
      </c>
      <c r="G33" s="319">
        <v>12</v>
      </c>
      <c r="H33" s="319">
        <v>0</v>
      </c>
      <c r="I33" s="319">
        <v>12</v>
      </c>
      <c r="J33" s="116">
        <v>1.73</v>
      </c>
      <c r="K33" t="s">
        <v>341</v>
      </c>
      <c r="L33" t="s">
        <v>388</v>
      </c>
      <c r="M33" t="s">
        <v>343</v>
      </c>
      <c r="N33" t="s">
        <v>344</v>
      </c>
      <c r="O33" t="s">
        <v>344</v>
      </c>
      <c r="P33" t="s">
        <v>340</v>
      </c>
      <c r="Q33" t="s">
        <v>62</v>
      </c>
      <c r="V33" s="36"/>
    </row>
    <row r="34" spans="1:22" customFormat="1" hidden="1" x14ac:dyDescent="0.2">
      <c r="A34" s="36" t="s">
        <v>15</v>
      </c>
      <c r="B34" s="36" t="s">
        <v>3</v>
      </c>
      <c r="C34" s="93">
        <v>46066</v>
      </c>
      <c r="D34" s="3">
        <v>46066</v>
      </c>
      <c r="E34" s="126">
        <v>46066</v>
      </c>
      <c r="F34" s="36" t="s">
        <v>79</v>
      </c>
      <c r="G34" s="319">
        <v>397.48</v>
      </c>
      <c r="H34" s="319">
        <v>0</v>
      </c>
      <c r="I34" s="319">
        <v>397.48</v>
      </c>
      <c r="J34" s="116">
        <v>57.18</v>
      </c>
      <c r="K34" t="s">
        <v>341</v>
      </c>
      <c r="L34" t="s">
        <v>388</v>
      </c>
      <c r="M34" t="s">
        <v>351</v>
      </c>
      <c r="N34" t="s">
        <v>50</v>
      </c>
      <c r="O34" t="s">
        <v>50</v>
      </c>
      <c r="P34" t="s">
        <v>340</v>
      </c>
      <c r="Q34" t="s">
        <v>62</v>
      </c>
      <c r="V34" s="36"/>
    </row>
    <row r="35" spans="1:22" customFormat="1" hidden="1" x14ac:dyDescent="0.2">
      <c r="A35" s="36" t="s">
        <v>15</v>
      </c>
      <c r="B35" s="36" t="s">
        <v>3</v>
      </c>
      <c r="C35" s="93">
        <v>46066</v>
      </c>
      <c r="D35" s="3">
        <v>46066</v>
      </c>
      <c r="E35" s="126">
        <v>46066</v>
      </c>
      <c r="F35" s="36" t="s">
        <v>79</v>
      </c>
      <c r="G35" s="319">
        <v>172.5</v>
      </c>
      <c r="H35" s="319">
        <v>0</v>
      </c>
      <c r="I35" s="319">
        <v>172.5</v>
      </c>
      <c r="J35" s="116">
        <v>24.81</v>
      </c>
      <c r="K35" t="s">
        <v>341</v>
      </c>
      <c r="L35" t="s">
        <v>388</v>
      </c>
      <c r="M35" t="s">
        <v>352</v>
      </c>
      <c r="N35" t="s">
        <v>391</v>
      </c>
      <c r="O35" t="s">
        <v>48</v>
      </c>
      <c r="P35" t="s">
        <v>350</v>
      </c>
      <c r="Q35" t="s">
        <v>62</v>
      </c>
      <c r="V35" s="36"/>
    </row>
    <row r="36" spans="1:22" customFormat="1" hidden="1" x14ac:dyDescent="0.2">
      <c r="A36" s="36" t="s">
        <v>15</v>
      </c>
      <c r="B36" s="36" t="s">
        <v>3</v>
      </c>
      <c r="C36" s="93">
        <v>46066</v>
      </c>
      <c r="D36" s="3">
        <v>46066</v>
      </c>
      <c r="E36" s="126">
        <v>46066</v>
      </c>
      <c r="F36" s="36" t="s">
        <v>79</v>
      </c>
      <c r="G36" s="319">
        <v>350.19</v>
      </c>
      <c r="H36" s="319">
        <v>0</v>
      </c>
      <c r="I36" s="319">
        <v>350.19</v>
      </c>
      <c r="J36" s="116">
        <v>50.38</v>
      </c>
      <c r="K36" t="s">
        <v>341</v>
      </c>
      <c r="L36" t="s">
        <v>388</v>
      </c>
      <c r="M36" t="s">
        <v>392</v>
      </c>
      <c r="N36" t="s">
        <v>393</v>
      </c>
      <c r="O36" t="s">
        <v>46</v>
      </c>
      <c r="P36" t="s">
        <v>350</v>
      </c>
      <c r="Q36" t="s">
        <v>62</v>
      </c>
      <c r="V36" s="36"/>
    </row>
    <row r="37" spans="1:22" customFormat="1" hidden="1" x14ac:dyDescent="0.2">
      <c r="A37" s="36" t="s">
        <v>15</v>
      </c>
      <c r="B37" s="36" t="s">
        <v>3</v>
      </c>
      <c r="C37" s="93">
        <v>46066</v>
      </c>
      <c r="D37" s="3">
        <v>46066</v>
      </c>
      <c r="E37" s="126">
        <v>46066</v>
      </c>
      <c r="F37" s="36" t="s">
        <v>79</v>
      </c>
      <c r="G37" s="319">
        <v>600</v>
      </c>
      <c r="H37" s="319">
        <v>0</v>
      </c>
      <c r="I37" s="319">
        <v>600</v>
      </c>
      <c r="J37" s="116">
        <v>86.31</v>
      </c>
      <c r="K37" t="s">
        <v>341</v>
      </c>
      <c r="L37" t="s">
        <v>388</v>
      </c>
      <c r="M37" t="s">
        <v>392</v>
      </c>
      <c r="N37" t="s">
        <v>393</v>
      </c>
      <c r="O37" t="s">
        <v>46</v>
      </c>
      <c r="P37" t="s">
        <v>350</v>
      </c>
      <c r="Q37" t="s">
        <v>62</v>
      </c>
      <c r="V37" s="36"/>
    </row>
    <row r="38" spans="1:22" customFormat="1" hidden="1" x14ac:dyDescent="0.2">
      <c r="A38" s="36" t="s">
        <v>15</v>
      </c>
      <c r="B38" s="36" t="s">
        <v>3</v>
      </c>
      <c r="C38" s="93">
        <v>46066</v>
      </c>
      <c r="D38" s="3">
        <v>46066</v>
      </c>
      <c r="E38" s="126">
        <v>46066</v>
      </c>
      <c r="F38" s="36" t="s">
        <v>79</v>
      </c>
      <c r="G38" s="319">
        <v>656.77</v>
      </c>
      <c r="H38" s="319">
        <v>0</v>
      </c>
      <c r="I38" s="319">
        <v>656.77</v>
      </c>
      <c r="J38" s="116">
        <v>94.48</v>
      </c>
      <c r="K38" t="s">
        <v>341</v>
      </c>
      <c r="L38" t="s">
        <v>388</v>
      </c>
      <c r="M38" t="s">
        <v>358</v>
      </c>
      <c r="N38" t="s">
        <v>60</v>
      </c>
      <c r="O38" t="s">
        <v>60</v>
      </c>
      <c r="P38" t="s">
        <v>333</v>
      </c>
      <c r="Q38" t="s">
        <v>62</v>
      </c>
      <c r="V38" s="36"/>
    </row>
    <row r="39" spans="1:22" customFormat="1" hidden="1" x14ac:dyDescent="0.2">
      <c r="A39" s="36" t="s">
        <v>15</v>
      </c>
      <c r="B39" s="36" t="s">
        <v>3</v>
      </c>
      <c r="C39" s="93">
        <v>46066</v>
      </c>
      <c r="D39" s="3">
        <v>46066</v>
      </c>
      <c r="E39" s="126">
        <v>46066</v>
      </c>
      <c r="F39" s="36" t="s">
        <v>79</v>
      </c>
      <c r="G39" s="319">
        <v>1610.42</v>
      </c>
      <c r="H39" s="319">
        <v>0</v>
      </c>
      <c r="I39" s="319">
        <v>1610.42</v>
      </c>
      <c r="J39" s="116">
        <v>231.67</v>
      </c>
      <c r="K39" t="s">
        <v>341</v>
      </c>
      <c r="L39" t="s">
        <v>388</v>
      </c>
      <c r="M39" t="s">
        <v>361</v>
      </c>
      <c r="N39" t="s">
        <v>356</v>
      </c>
      <c r="O39" t="s">
        <v>48</v>
      </c>
      <c r="P39" t="s">
        <v>340</v>
      </c>
      <c r="Q39" t="s">
        <v>62</v>
      </c>
      <c r="V39" s="36"/>
    </row>
    <row r="40" spans="1:22" customFormat="1" hidden="1" x14ac:dyDescent="0.2">
      <c r="A40" s="36" t="s">
        <v>15</v>
      </c>
      <c r="B40" s="36" t="s">
        <v>3</v>
      </c>
      <c r="C40" s="93">
        <v>46066</v>
      </c>
      <c r="D40" s="3">
        <v>46066</v>
      </c>
      <c r="E40" s="126">
        <v>46066</v>
      </c>
      <c r="F40" s="36" t="s">
        <v>79</v>
      </c>
      <c r="G40" s="319">
        <v>86.7</v>
      </c>
      <c r="H40" s="319">
        <v>0</v>
      </c>
      <c r="I40" s="319">
        <v>86.7</v>
      </c>
      <c r="J40" s="116">
        <v>12.47</v>
      </c>
      <c r="K40" t="s">
        <v>341</v>
      </c>
      <c r="L40" t="s">
        <v>388</v>
      </c>
      <c r="M40" t="s">
        <v>361</v>
      </c>
      <c r="N40" t="s">
        <v>356</v>
      </c>
      <c r="O40" t="s">
        <v>48</v>
      </c>
      <c r="P40" t="s">
        <v>340</v>
      </c>
      <c r="Q40" t="s">
        <v>62</v>
      </c>
      <c r="V40" s="36"/>
    </row>
    <row r="41" spans="1:22" customFormat="1" hidden="1" x14ac:dyDescent="0.2">
      <c r="A41" s="36" t="s">
        <v>15</v>
      </c>
      <c r="B41" s="36" t="s">
        <v>3</v>
      </c>
      <c r="C41" s="93">
        <v>46066</v>
      </c>
      <c r="D41" s="3">
        <v>46066</v>
      </c>
      <c r="E41" s="126">
        <v>46066</v>
      </c>
      <c r="F41" s="36" t="s">
        <v>79</v>
      </c>
      <c r="G41" s="319">
        <v>528.69000000000005</v>
      </c>
      <c r="H41" s="319">
        <v>0</v>
      </c>
      <c r="I41" s="319">
        <v>528.69000000000005</v>
      </c>
      <c r="J41" s="116">
        <v>76.05</v>
      </c>
      <c r="K41" t="s">
        <v>368</v>
      </c>
      <c r="M41" t="s">
        <v>369</v>
      </c>
      <c r="N41" t="s">
        <v>370</v>
      </c>
      <c r="O41" t="s">
        <v>371</v>
      </c>
      <c r="P41" t="s">
        <v>340</v>
      </c>
      <c r="Q41" t="s">
        <v>62</v>
      </c>
      <c r="V41" s="36"/>
    </row>
    <row r="42" spans="1:22" customFormat="1" hidden="1" x14ac:dyDescent="0.2">
      <c r="A42" s="36" t="s">
        <v>15</v>
      </c>
      <c r="B42" s="36" t="s">
        <v>3</v>
      </c>
      <c r="C42" s="93">
        <v>46066</v>
      </c>
      <c r="D42" s="3">
        <v>46066</v>
      </c>
      <c r="E42" s="126">
        <v>46066</v>
      </c>
      <c r="F42" s="36" t="s">
        <v>79</v>
      </c>
      <c r="G42" s="319">
        <v>426.88</v>
      </c>
      <c r="H42" s="319">
        <v>0</v>
      </c>
      <c r="I42" s="319">
        <v>426.88</v>
      </c>
      <c r="J42" s="116">
        <v>61.41</v>
      </c>
      <c r="K42" t="s">
        <v>365</v>
      </c>
      <c r="M42" t="s">
        <v>366</v>
      </c>
      <c r="N42" t="s">
        <v>367</v>
      </c>
      <c r="O42" t="s">
        <v>367</v>
      </c>
      <c r="P42" t="s">
        <v>350</v>
      </c>
      <c r="Q42" t="s">
        <v>62</v>
      </c>
      <c r="V42" s="36"/>
    </row>
    <row r="43" spans="1:22" customFormat="1" hidden="1" x14ac:dyDescent="0.2">
      <c r="A43" s="36" t="s">
        <v>15</v>
      </c>
      <c r="B43" s="36" t="s">
        <v>3</v>
      </c>
      <c r="C43" s="93">
        <v>46066</v>
      </c>
      <c r="D43" s="3">
        <v>46066</v>
      </c>
      <c r="E43" s="126">
        <v>46066</v>
      </c>
      <c r="F43" s="36" t="s">
        <v>79</v>
      </c>
      <c r="G43" s="319">
        <v>1011.2</v>
      </c>
      <c r="H43" s="319">
        <v>0</v>
      </c>
      <c r="I43" s="319">
        <v>1011.2</v>
      </c>
      <c r="J43" s="116">
        <v>145.47</v>
      </c>
      <c r="K43" t="s">
        <v>362</v>
      </c>
      <c r="M43" t="s">
        <v>394</v>
      </c>
      <c r="N43" t="s">
        <v>367</v>
      </c>
      <c r="O43" t="s">
        <v>367</v>
      </c>
      <c r="P43" t="s">
        <v>333</v>
      </c>
      <c r="Q43" t="s">
        <v>62</v>
      </c>
      <c r="V43" s="36"/>
    </row>
    <row r="44" spans="1:22" customFormat="1" hidden="1" x14ac:dyDescent="0.2">
      <c r="A44" s="36" t="s">
        <v>15</v>
      </c>
      <c r="B44" s="36" t="s">
        <v>3</v>
      </c>
      <c r="C44" s="93">
        <v>46066</v>
      </c>
      <c r="D44" s="3">
        <v>46066</v>
      </c>
      <c r="E44" s="126">
        <v>46066</v>
      </c>
      <c r="F44" s="36" t="s">
        <v>79</v>
      </c>
      <c r="G44" s="319">
        <v>158</v>
      </c>
      <c r="H44" s="319">
        <v>0</v>
      </c>
      <c r="I44" s="319">
        <v>158</v>
      </c>
      <c r="J44" s="116">
        <v>22.73</v>
      </c>
      <c r="K44" t="s">
        <v>395</v>
      </c>
      <c r="M44" t="s">
        <v>396</v>
      </c>
      <c r="N44" t="s">
        <v>397</v>
      </c>
      <c r="O44" t="s">
        <v>398</v>
      </c>
      <c r="P44" t="s">
        <v>66</v>
      </c>
      <c r="Q44" t="s">
        <v>66</v>
      </c>
      <c r="V44" s="36"/>
    </row>
    <row r="45" spans="1:22" customFormat="1" hidden="1" x14ac:dyDescent="0.2">
      <c r="A45" s="36" t="s">
        <v>15</v>
      </c>
      <c r="B45" s="36" t="s">
        <v>3</v>
      </c>
      <c r="C45" s="93">
        <v>46066</v>
      </c>
      <c r="D45" s="3">
        <v>46066</v>
      </c>
      <c r="E45" s="126">
        <v>46066</v>
      </c>
      <c r="F45" s="36" t="s">
        <v>79</v>
      </c>
      <c r="G45" s="319">
        <v>277</v>
      </c>
      <c r="H45" s="319">
        <v>0</v>
      </c>
      <c r="I45" s="319">
        <v>277</v>
      </c>
      <c r="J45" s="116">
        <v>39.85</v>
      </c>
      <c r="K45" t="s">
        <v>372</v>
      </c>
      <c r="M45" t="s">
        <v>399</v>
      </c>
      <c r="N45" t="s">
        <v>374</v>
      </c>
      <c r="O45" t="s">
        <v>375</v>
      </c>
      <c r="P45" t="s">
        <v>376</v>
      </c>
      <c r="Q45" t="s">
        <v>62</v>
      </c>
      <c r="V45" s="36"/>
    </row>
    <row r="46" spans="1:22" customFormat="1" hidden="1" x14ac:dyDescent="0.2">
      <c r="A46" s="36" t="s">
        <v>15</v>
      </c>
      <c r="B46" s="36" t="s">
        <v>3</v>
      </c>
      <c r="C46" s="93">
        <v>46053</v>
      </c>
      <c r="D46" s="3">
        <v>46053</v>
      </c>
      <c r="E46" s="126">
        <v>46067</v>
      </c>
      <c r="F46" s="36" t="s">
        <v>79</v>
      </c>
      <c r="G46" s="319"/>
      <c r="H46" s="319"/>
      <c r="I46" s="319"/>
      <c r="J46" s="319">
        <v>985.05</v>
      </c>
      <c r="K46" t="s">
        <v>1851</v>
      </c>
      <c r="M46" t="s">
        <v>386</v>
      </c>
      <c r="N46" t="s">
        <v>387</v>
      </c>
      <c r="O46" t="s">
        <v>47</v>
      </c>
      <c r="P46" t="s">
        <v>354</v>
      </c>
      <c r="Q46" t="str">
        <f>_xlfn.XLOOKUP(P46,[1]!Table2[Department],[1]!Table2[Group],"ERROR")</f>
        <v>Sales &amp; Marketing</v>
      </c>
      <c r="V46" s="36"/>
    </row>
    <row r="47" spans="1:22" customFormat="1" hidden="1" x14ac:dyDescent="0.2">
      <c r="A47" s="36" t="s">
        <v>15</v>
      </c>
      <c r="B47" s="36" t="s">
        <v>3</v>
      </c>
      <c r="C47" s="93">
        <v>46053</v>
      </c>
      <c r="D47" s="3">
        <v>46053</v>
      </c>
      <c r="E47" s="126">
        <v>46067</v>
      </c>
      <c r="F47" s="36" t="s">
        <v>79</v>
      </c>
      <c r="G47" s="319"/>
      <c r="H47" s="319"/>
      <c r="I47" s="319"/>
      <c r="J47" s="319">
        <v>6789.57</v>
      </c>
      <c r="K47" t="s">
        <v>1851</v>
      </c>
      <c r="M47" t="s">
        <v>386</v>
      </c>
      <c r="N47" t="s">
        <v>387</v>
      </c>
      <c r="O47" t="s">
        <v>47</v>
      </c>
      <c r="P47" t="s">
        <v>347</v>
      </c>
      <c r="Q47" t="str">
        <f>_xlfn.XLOOKUP(P47,[1]!Table2[Department],[1]!Table2[Group],"ERROR")</f>
        <v>Research &amp; Development</v>
      </c>
      <c r="V47" s="36"/>
    </row>
    <row r="48" spans="1:22" customFormat="1" hidden="1" x14ac:dyDescent="0.2">
      <c r="A48" s="36" t="s">
        <v>15</v>
      </c>
      <c r="B48" s="36" t="s">
        <v>3</v>
      </c>
      <c r="C48" s="93">
        <v>46081</v>
      </c>
      <c r="D48" s="3">
        <v>46081</v>
      </c>
      <c r="E48" s="126">
        <v>46080</v>
      </c>
      <c r="F48" s="36" t="s">
        <v>79</v>
      </c>
      <c r="G48" s="319"/>
      <c r="H48" s="319"/>
      <c r="I48" s="319"/>
      <c r="J48" s="319">
        <v>2165.09</v>
      </c>
      <c r="K48" t="s">
        <v>1851</v>
      </c>
      <c r="M48" t="s">
        <v>400</v>
      </c>
      <c r="N48" t="s">
        <v>387</v>
      </c>
      <c r="O48" t="s">
        <v>47</v>
      </c>
      <c r="P48" t="s">
        <v>354</v>
      </c>
      <c r="Q48" t="str">
        <f>_xlfn.XLOOKUP(P48,[1]!Table2[Department],[1]!Table2[Group],"ERROR")</f>
        <v>Sales &amp; Marketing</v>
      </c>
      <c r="V48" s="36"/>
    </row>
    <row r="49" spans="1:22" customFormat="1" hidden="1" x14ac:dyDescent="0.2">
      <c r="A49" s="36" t="s">
        <v>15</v>
      </c>
      <c r="B49" s="36" t="s">
        <v>3</v>
      </c>
      <c r="C49" s="93">
        <v>46081</v>
      </c>
      <c r="D49" s="3">
        <v>46081</v>
      </c>
      <c r="E49" s="126">
        <v>46080</v>
      </c>
      <c r="F49" s="36" t="s">
        <v>79</v>
      </c>
      <c r="G49" s="319"/>
      <c r="H49" s="319"/>
      <c r="I49" s="319"/>
      <c r="J49" s="319">
        <v>11374.61</v>
      </c>
      <c r="K49" t="s">
        <v>1851</v>
      </c>
      <c r="M49" t="s">
        <v>400</v>
      </c>
      <c r="N49" t="s">
        <v>387</v>
      </c>
      <c r="O49" t="s">
        <v>47</v>
      </c>
      <c r="P49" t="s">
        <v>347</v>
      </c>
      <c r="Q49" t="str">
        <f>_xlfn.XLOOKUP(P49,[1]!Table2[Department],[1]!Table2[Group],"ERROR")</f>
        <v>Research &amp; Development</v>
      </c>
      <c r="V49" s="36"/>
    </row>
    <row r="50" spans="1:22" customFormat="1" hidden="1" x14ac:dyDescent="0.2">
      <c r="A50" s="36" t="s">
        <v>15</v>
      </c>
      <c r="B50" s="36" t="s">
        <v>3</v>
      </c>
      <c r="C50" s="93">
        <v>46083</v>
      </c>
      <c r="D50" s="3">
        <v>46083</v>
      </c>
      <c r="E50" s="126">
        <v>46083</v>
      </c>
      <c r="F50" s="36" t="s">
        <v>79</v>
      </c>
      <c r="G50" s="319">
        <v>8.76</v>
      </c>
      <c r="H50" s="319">
        <v>0</v>
      </c>
      <c r="I50" s="319">
        <v>8.76</v>
      </c>
      <c r="J50" s="116">
        <v>1.28</v>
      </c>
      <c r="K50" t="s">
        <v>330</v>
      </c>
      <c r="M50" t="s">
        <v>334</v>
      </c>
      <c r="N50" t="s">
        <v>332</v>
      </c>
      <c r="O50" t="s">
        <v>332</v>
      </c>
      <c r="P50" t="s">
        <v>333</v>
      </c>
      <c r="Q50" t="s">
        <v>62</v>
      </c>
      <c r="V50" s="36"/>
    </row>
    <row r="51" spans="1:22" customFormat="1" hidden="1" x14ac:dyDescent="0.2">
      <c r="A51" s="36" t="s">
        <v>15</v>
      </c>
      <c r="B51" s="36" t="s">
        <v>3</v>
      </c>
      <c r="C51" s="93">
        <v>46083</v>
      </c>
      <c r="D51" s="3">
        <v>46083</v>
      </c>
      <c r="E51" s="126">
        <v>46083</v>
      </c>
      <c r="F51" s="36" t="s">
        <v>79</v>
      </c>
      <c r="G51" s="319">
        <v>2.67</v>
      </c>
      <c r="H51" s="319">
        <v>0</v>
      </c>
      <c r="I51" s="319">
        <v>2.67</v>
      </c>
      <c r="J51" s="116">
        <v>0.39</v>
      </c>
      <c r="K51" t="s">
        <v>330</v>
      </c>
      <c r="M51" t="s">
        <v>335</v>
      </c>
      <c r="N51" t="s">
        <v>332</v>
      </c>
      <c r="O51" t="s">
        <v>332</v>
      </c>
      <c r="P51" t="s">
        <v>333</v>
      </c>
      <c r="Q51" t="s">
        <v>62</v>
      </c>
      <c r="V51" s="36"/>
    </row>
    <row r="52" spans="1:22" customFormat="1" hidden="1" x14ac:dyDescent="0.2">
      <c r="A52" s="36" t="s">
        <v>15</v>
      </c>
      <c r="B52" s="36" t="s">
        <v>3</v>
      </c>
      <c r="C52" s="93">
        <v>46083</v>
      </c>
      <c r="D52" s="3">
        <v>46083</v>
      </c>
      <c r="E52" s="126">
        <v>46083</v>
      </c>
      <c r="F52" s="36" t="s">
        <v>79</v>
      </c>
      <c r="G52" s="319">
        <v>25</v>
      </c>
      <c r="H52" s="319">
        <v>0</v>
      </c>
      <c r="I52" s="319">
        <v>25</v>
      </c>
      <c r="J52" s="116">
        <v>3.64</v>
      </c>
      <c r="K52" t="s">
        <v>330</v>
      </c>
      <c r="M52" t="s">
        <v>331</v>
      </c>
      <c r="N52" t="s">
        <v>332</v>
      </c>
      <c r="O52" t="s">
        <v>332</v>
      </c>
      <c r="P52" t="s">
        <v>333</v>
      </c>
      <c r="Q52" t="s">
        <v>62</v>
      </c>
      <c r="V52" s="36"/>
    </row>
    <row r="53" spans="1:22" customFormat="1" hidden="1" x14ac:dyDescent="0.2">
      <c r="A53" s="36" t="s">
        <v>15</v>
      </c>
      <c r="B53" s="36" t="s">
        <v>3</v>
      </c>
      <c r="C53" s="93">
        <v>46097</v>
      </c>
      <c r="D53" s="3">
        <v>46097</v>
      </c>
      <c r="E53" s="126">
        <v>46097</v>
      </c>
      <c r="F53" s="36" t="s">
        <v>79</v>
      </c>
      <c r="G53" s="319">
        <v>400</v>
      </c>
      <c r="H53" s="319">
        <v>0</v>
      </c>
      <c r="I53" s="319">
        <v>400</v>
      </c>
      <c r="J53" s="116">
        <v>58.32</v>
      </c>
      <c r="K53" t="s">
        <v>341</v>
      </c>
      <c r="L53" t="s">
        <v>401</v>
      </c>
      <c r="M53" t="s">
        <v>355</v>
      </c>
      <c r="N53" t="s">
        <v>402</v>
      </c>
      <c r="O53" t="s">
        <v>48</v>
      </c>
      <c r="P53" t="s">
        <v>347</v>
      </c>
      <c r="Q53" t="s">
        <v>55</v>
      </c>
      <c r="V53" s="36"/>
    </row>
    <row r="54" spans="1:22" customFormat="1" hidden="1" x14ac:dyDescent="0.2">
      <c r="A54" s="36" t="s">
        <v>15</v>
      </c>
      <c r="B54" s="36" t="s">
        <v>3</v>
      </c>
      <c r="C54" s="93">
        <v>46097</v>
      </c>
      <c r="D54" s="3">
        <v>46097</v>
      </c>
      <c r="E54" s="126">
        <v>46097</v>
      </c>
      <c r="F54" s="36" t="s">
        <v>79</v>
      </c>
      <c r="G54" s="319">
        <v>624</v>
      </c>
      <c r="H54" s="319">
        <v>0</v>
      </c>
      <c r="I54" s="319">
        <v>624</v>
      </c>
      <c r="J54" s="116">
        <v>90.98</v>
      </c>
      <c r="K54" t="s">
        <v>341</v>
      </c>
      <c r="L54" t="s">
        <v>401</v>
      </c>
      <c r="M54" t="s">
        <v>403</v>
      </c>
      <c r="N54" t="s">
        <v>367</v>
      </c>
      <c r="O54" t="s">
        <v>367</v>
      </c>
      <c r="P54" t="s">
        <v>340</v>
      </c>
      <c r="Q54" t="s">
        <v>62</v>
      </c>
      <c r="V54" s="36"/>
    </row>
    <row r="55" spans="1:22" customFormat="1" hidden="1" x14ac:dyDescent="0.2">
      <c r="A55" s="36" t="s">
        <v>15</v>
      </c>
      <c r="B55" s="36" t="s">
        <v>3</v>
      </c>
      <c r="C55" s="93">
        <v>46097</v>
      </c>
      <c r="D55" s="3">
        <v>46097</v>
      </c>
      <c r="E55" s="126">
        <v>46097</v>
      </c>
      <c r="F55" s="36" t="s">
        <v>79</v>
      </c>
      <c r="G55" s="319">
        <v>624.03</v>
      </c>
      <c r="H55" s="319">
        <v>0</v>
      </c>
      <c r="I55" s="319">
        <v>624.03</v>
      </c>
      <c r="J55" s="116">
        <v>90.98</v>
      </c>
      <c r="K55" t="s">
        <v>341</v>
      </c>
      <c r="L55" t="s">
        <v>401</v>
      </c>
      <c r="M55" t="s">
        <v>358</v>
      </c>
      <c r="N55" t="s">
        <v>60</v>
      </c>
      <c r="O55" t="s">
        <v>60</v>
      </c>
      <c r="P55" t="s">
        <v>333</v>
      </c>
      <c r="Q55" t="s">
        <v>62</v>
      </c>
      <c r="V55" s="36"/>
    </row>
    <row r="56" spans="1:22" customFormat="1" hidden="1" x14ac:dyDescent="0.2">
      <c r="A56" s="36" t="s">
        <v>15</v>
      </c>
      <c r="B56" s="36" t="s">
        <v>3</v>
      </c>
      <c r="C56" s="93">
        <v>46097</v>
      </c>
      <c r="D56" s="3">
        <v>46097</v>
      </c>
      <c r="E56" s="126">
        <v>46097</v>
      </c>
      <c r="F56" s="36" t="s">
        <v>79</v>
      </c>
      <c r="G56" s="319">
        <v>1011.2</v>
      </c>
      <c r="H56" s="319">
        <v>0</v>
      </c>
      <c r="I56" s="319">
        <v>1011.2</v>
      </c>
      <c r="J56" s="116">
        <v>147.43</v>
      </c>
      <c r="K56" t="s">
        <v>362</v>
      </c>
      <c r="M56" t="s">
        <v>404</v>
      </c>
      <c r="N56" t="s">
        <v>367</v>
      </c>
      <c r="O56" t="s">
        <v>367</v>
      </c>
      <c r="P56" t="s">
        <v>333</v>
      </c>
      <c r="Q56" t="s">
        <v>62</v>
      </c>
      <c r="V56" s="36"/>
    </row>
    <row r="57" spans="1:22" customFormat="1" hidden="1" x14ac:dyDescent="0.2">
      <c r="A57" s="36" t="s">
        <v>15</v>
      </c>
      <c r="B57" s="36" t="s">
        <v>3</v>
      </c>
      <c r="C57" s="93">
        <v>46097</v>
      </c>
      <c r="D57" s="3">
        <v>46097</v>
      </c>
      <c r="E57" s="126">
        <v>46097</v>
      </c>
      <c r="F57" s="36" t="s">
        <v>79</v>
      </c>
      <c r="G57" s="319">
        <v>426.88</v>
      </c>
      <c r="H57" s="319"/>
      <c r="I57" s="319">
        <v>426.88</v>
      </c>
      <c r="J57" s="116">
        <v>62.24</v>
      </c>
      <c r="K57" t="s">
        <v>365</v>
      </c>
      <c r="M57" t="s">
        <v>366</v>
      </c>
      <c r="N57" t="s">
        <v>367</v>
      </c>
      <c r="P57" t="s">
        <v>350</v>
      </c>
      <c r="Q57" t="s">
        <v>62</v>
      </c>
      <c r="V57" s="36"/>
    </row>
    <row r="58" spans="1:22" customFormat="1" hidden="1" x14ac:dyDescent="0.2">
      <c r="A58" s="36" t="s">
        <v>15</v>
      </c>
      <c r="B58" s="36" t="s">
        <v>3</v>
      </c>
      <c r="C58" s="93">
        <v>46097</v>
      </c>
      <c r="D58" s="3">
        <v>46097</v>
      </c>
      <c r="E58" s="126">
        <v>46097</v>
      </c>
      <c r="F58" s="36" t="s">
        <v>79</v>
      </c>
      <c r="G58" s="319">
        <v>520.18000000000029</v>
      </c>
      <c r="H58" s="319">
        <v>0</v>
      </c>
      <c r="I58" s="319">
        <v>520.18000000000029</v>
      </c>
      <c r="J58" s="116">
        <v>75.84</v>
      </c>
      <c r="K58" t="s">
        <v>368</v>
      </c>
      <c r="L58" t="s">
        <v>405</v>
      </c>
      <c r="M58" t="s">
        <v>406</v>
      </c>
      <c r="N58" t="s">
        <v>370</v>
      </c>
      <c r="O58" t="s">
        <v>371</v>
      </c>
      <c r="P58" t="s">
        <v>340</v>
      </c>
      <c r="Q58" t="s">
        <v>62</v>
      </c>
      <c r="V58" s="36"/>
    </row>
    <row r="59" spans="1:22" customFormat="1" hidden="1" x14ac:dyDescent="0.2">
      <c r="A59" s="36" t="s">
        <v>15</v>
      </c>
      <c r="B59" s="36" t="s">
        <v>3</v>
      </c>
      <c r="C59" s="93">
        <v>46097</v>
      </c>
      <c r="D59" s="3">
        <v>46097</v>
      </c>
      <c r="E59" s="126">
        <v>46097</v>
      </c>
      <c r="F59" s="36" t="s">
        <v>79</v>
      </c>
      <c r="G59" s="319">
        <v>50801</v>
      </c>
      <c r="H59" s="319">
        <v>0</v>
      </c>
      <c r="I59" s="319">
        <v>50801</v>
      </c>
      <c r="J59" s="320">
        <v>7406.63</v>
      </c>
      <c r="K59" t="s">
        <v>368</v>
      </c>
      <c r="L59" t="s">
        <v>407</v>
      </c>
      <c r="M59" t="s">
        <v>408</v>
      </c>
      <c r="N59" t="s">
        <v>409</v>
      </c>
      <c r="O59" t="s">
        <v>410</v>
      </c>
      <c r="P59" t="s">
        <v>340</v>
      </c>
      <c r="Q59" t="s">
        <v>62</v>
      </c>
      <c r="V59" s="36"/>
    </row>
    <row r="60" spans="1:22" customFormat="1" hidden="1" x14ac:dyDescent="0.2">
      <c r="A60" s="36" t="s">
        <v>15</v>
      </c>
      <c r="B60" s="36" t="s">
        <v>3</v>
      </c>
      <c r="C60" s="93">
        <v>46097</v>
      </c>
      <c r="D60" s="3">
        <v>46097</v>
      </c>
      <c r="E60" s="126">
        <v>46097</v>
      </c>
      <c r="F60" s="36" t="s">
        <v>79</v>
      </c>
      <c r="G60" s="319">
        <v>277</v>
      </c>
      <c r="H60" s="319">
        <v>0</v>
      </c>
      <c r="I60" s="319">
        <v>277</v>
      </c>
      <c r="J60" s="116">
        <v>40.39</v>
      </c>
      <c r="K60" t="s">
        <v>372</v>
      </c>
      <c r="M60" t="s">
        <v>411</v>
      </c>
      <c r="N60" t="s">
        <v>374</v>
      </c>
      <c r="O60" t="s">
        <v>375</v>
      </c>
      <c r="P60" t="s">
        <v>376</v>
      </c>
      <c r="Q60" t="s">
        <v>62</v>
      </c>
      <c r="V60" s="36"/>
    </row>
    <row r="61" spans="1:22" customFormat="1" hidden="1" x14ac:dyDescent="0.2">
      <c r="A61" s="36" t="s">
        <v>15</v>
      </c>
      <c r="B61" s="36" t="s">
        <v>3</v>
      </c>
      <c r="C61" s="93">
        <v>46081</v>
      </c>
      <c r="D61" s="3">
        <v>46081</v>
      </c>
      <c r="E61" s="126">
        <v>46097</v>
      </c>
      <c r="F61" s="36" t="s">
        <v>79</v>
      </c>
      <c r="G61" s="319"/>
      <c r="H61" s="319"/>
      <c r="I61" s="319"/>
      <c r="J61" s="319">
        <v>1322.67</v>
      </c>
      <c r="K61" t="s">
        <v>1851</v>
      </c>
      <c r="M61" t="s">
        <v>400</v>
      </c>
      <c r="N61" t="s">
        <v>387</v>
      </c>
      <c r="O61" t="s">
        <v>47</v>
      </c>
      <c r="P61" t="s">
        <v>354</v>
      </c>
      <c r="Q61" t="str">
        <f>_xlfn.XLOOKUP(P61,[1]!Table2[Department],[1]!Table2[Group],"ERROR")</f>
        <v>Sales &amp; Marketing</v>
      </c>
      <c r="V61" s="36"/>
    </row>
    <row r="62" spans="1:22" customFormat="1" hidden="1" x14ac:dyDescent="0.2">
      <c r="A62" s="36" t="s">
        <v>15</v>
      </c>
      <c r="B62" s="36" t="s">
        <v>3</v>
      </c>
      <c r="C62" s="93">
        <v>46081</v>
      </c>
      <c r="D62" s="3">
        <v>46081</v>
      </c>
      <c r="E62" s="126">
        <v>46097</v>
      </c>
      <c r="F62" s="36" t="s">
        <v>79</v>
      </c>
      <c r="G62" s="319"/>
      <c r="H62" s="319"/>
      <c r="I62" s="319"/>
      <c r="J62" s="319">
        <v>6244.75</v>
      </c>
      <c r="K62" t="s">
        <v>1851</v>
      </c>
      <c r="M62" t="s">
        <v>400</v>
      </c>
      <c r="N62" t="s">
        <v>387</v>
      </c>
      <c r="O62" t="s">
        <v>47</v>
      </c>
      <c r="P62" t="s">
        <v>347</v>
      </c>
      <c r="Q62" t="str">
        <f>_xlfn.XLOOKUP(P62,[1]!Table2[Department],[1]!Table2[Group],"ERROR")</f>
        <v>Research &amp; Development</v>
      </c>
      <c r="V62" s="36"/>
    </row>
    <row r="63" spans="1:22" customFormat="1" hidden="1" x14ac:dyDescent="0.2">
      <c r="A63" s="36" t="s">
        <v>15</v>
      </c>
      <c r="B63" s="36" t="s">
        <v>3</v>
      </c>
      <c r="C63" s="93">
        <v>46102</v>
      </c>
      <c r="D63" s="3">
        <v>46102</v>
      </c>
      <c r="E63" s="126">
        <v>46102</v>
      </c>
      <c r="F63" s="36" t="s">
        <v>79</v>
      </c>
      <c r="G63" s="319">
        <v>-50.63</v>
      </c>
      <c r="H63" s="319">
        <v>0</v>
      </c>
      <c r="I63" s="319">
        <v>-50.63</v>
      </c>
      <c r="J63" s="319">
        <v>-7.38</v>
      </c>
      <c r="K63" t="s">
        <v>330</v>
      </c>
      <c r="M63" t="s">
        <v>383</v>
      </c>
      <c r="N63" t="s">
        <v>384</v>
      </c>
      <c r="O63" t="s">
        <v>385</v>
      </c>
      <c r="P63" t="s">
        <v>333</v>
      </c>
      <c r="Q63" t="s">
        <v>62</v>
      </c>
      <c r="V63" s="36"/>
    </row>
    <row r="64" spans="1:22" customFormat="1" hidden="1" x14ac:dyDescent="0.2">
      <c r="A64" s="36" t="s">
        <v>15</v>
      </c>
      <c r="B64" s="36" t="s">
        <v>3</v>
      </c>
      <c r="C64" s="93">
        <v>46112</v>
      </c>
      <c r="D64" s="3">
        <v>46112</v>
      </c>
      <c r="E64" s="126">
        <v>46112</v>
      </c>
      <c r="F64" s="36" t="s">
        <v>79</v>
      </c>
      <c r="G64" s="319"/>
      <c r="H64" s="319"/>
      <c r="I64" s="319"/>
      <c r="J64" s="319">
        <v>4179.7299999999996</v>
      </c>
      <c r="K64" t="s">
        <v>1851</v>
      </c>
      <c r="M64" t="s">
        <v>412</v>
      </c>
      <c r="N64" t="s">
        <v>387</v>
      </c>
      <c r="O64" t="s">
        <v>47</v>
      </c>
      <c r="P64" t="s">
        <v>354</v>
      </c>
      <c r="Q64" t="str">
        <f>_xlfn.XLOOKUP(P64,[1]!Table2[Department],[1]!Table2[Group],"ERROR")</f>
        <v>Sales &amp; Marketing</v>
      </c>
      <c r="V64" s="36"/>
    </row>
    <row r="65" spans="1:22" customFormat="1" hidden="1" x14ac:dyDescent="0.2">
      <c r="A65" s="36" t="s">
        <v>15</v>
      </c>
      <c r="B65" s="36" t="s">
        <v>3</v>
      </c>
      <c r="C65" s="93">
        <v>46112</v>
      </c>
      <c r="D65" s="3">
        <v>46112</v>
      </c>
      <c r="E65" s="126">
        <v>46112</v>
      </c>
      <c r="F65" s="36" t="s">
        <v>79</v>
      </c>
      <c r="G65" s="319"/>
      <c r="H65" s="319"/>
      <c r="I65" s="319"/>
      <c r="J65" s="319">
        <v>22514.19</v>
      </c>
      <c r="K65" t="s">
        <v>1851</v>
      </c>
      <c r="M65" t="s">
        <v>412</v>
      </c>
      <c r="N65" t="s">
        <v>387</v>
      </c>
      <c r="O65" t="s">
        <v>47</v>
      </c>
      <c r="P65" t="s">
        <v>347</v>
      </c>
      <c r="Q65" t="str">
        <f>_xlfn.XLOOKUP(P65,[1]!Table2[Department],[1]!Table2[Group],"ERROR")</f>
        <v>Research &amp; Development</v>
      </c>
      <c r="V65" s="36"/>
    </row>
    <row r="66" spans="1:22" customFormat="1" hidden="1" x14ac:dyDescent="0.2">
      <c r="A66" s="36" t="s">
        <v>15</v>
      </c>
      <c r="B66" s="36" t="s">
        <v>3</v>
      </c>
      <c r="C66" s="93">
        <v>46114</v>
      </c>
      <c r="D66" s="3">
        <v>46114</v>
      </c>
      <c r="E66" s="126">
        <v>46114</v>
      </c>
      <c r="F66" s="36" t="s">
        <v>79</v>
      </c>
      <c r="G66" s="319">
        <v>2.67</v>
      </c>
      <c r="H66" s="319">
        <v>0</v>
      </c>
      <c r="I66" s="319">
        <v>2.67</v>
      </c>
      <c r="J66" s="116">
        <v>0.39</v>
      </c>
      <c r="K66" t="s">
        <v>330</v>
      </c>
      <c r="M66" t="s">
        <v>335</v>
      </c>
      <c r="N66" t="s">
        <v>332</v>
      </c>
      <c r="O66" t="s">
        <v>332</v>
      </c>
      <c r="P66" t="s">
        <v>333</v>
      </c>
      <c r="Q66" t="s">
        <v>62</v>
      </c>
      <c r="V66" s="36"/>
    </row>
    <row r="67" spans="1:22" customFormat="1" hidden="1" x14ac:dyDescent="0.2">
      <c r="A67" s="36" t="s">
        <v>15</v>
      </c>
      <c r="B67" s="36" t="s">
        <v>3</v>
      </c>
      <c r="C67" s="93">
        <v>46114</v>
      </c>
      <c r="D67" s="3">
        <v>46114</v>
      </c>
      <c r="E67" s="126">
        <v>46114</v>
      </c>
      <c r="F67" s="36" t="s">
        <v>79</v>
      </c>
      <c r="G67" s="319">
        <v>25</v>
      </c>
      <c r="H67" s="319">
        <v>0</v>
      </c>
      <c r="I67" s="319">
        <v>25</v>
      </c>
      <c r="J67" s="116">
        <v>3.64</v>
      </c>
      <c r="K67" t="s">
        <v>330</v>
      </c>
      <c r="M67" t="s">
        <v>331</v>
      </c>
      <c r="N67" t="s">
        <v>332</v>
      </c>
      <c r="O67" t="s">
        <v>332</v>
      </c>
      <c r="P67" t="s">
        <v>333</v>
      </c>
      <c r="Q67" t="s">
        <v>62</v>
      </c>
      <c r="V67" s="36"/>
    </row>
    <row r="68" spans="1:22" customFormat="1" hidden="1" x14ac:dyDescent="0.2">
      <c r="A68" s="36" t="s">
        <v>15</v>
      </c>
      <c r="B68" s="36" t="s">
        <v>3</v>
      </c>
      <c r="C68" s="93">
        <v>46114</v>
      </c>
      <c r="D68" s="3">
        <v>46114</v>
      </c>
      <c r="E68" s="126">
        <v>46114</v>
      </c>
      <c r="F68" s="36" t="s">
        <v>79</v>
      </c>
      <c r="G68" s="319">
        <v>4.38</v>
      </c>
      <c r="H68" s="319">
        <v>0</v>
      </c>
      <c r="I68" s="319">
        <v>4.38</v>
      </c>
      <c r="J68" s="116">
        <v>0.64</v>
      </c>
      <c r="K68" t="s">
        <v>330</v>
      </c>
      <c r="M68" t="s">
        <v>334</v>
      </c>
      <c r="N68" t="s">
        <v>332</v>
      </c>
      <c r="O68" t="s">
        <v>332</v>
      </c>
      <c r="P68" t="s">
        <v>333</v>
      </c>
      <c r="Q68" t="s">
        <v>62</v>
      </c>
      <c r="V68" s="36"/>
    </row>
    <row r="69" spans="1:22" customFormat="1" hidden="1" x14ac:dyDescent="0.2">
      <c r="A69" s="36" t="s">
        <v>15</v>
      </c>
      <c r="B69" s="36" t="s">
        <v>3</v>
      </c>
      <c r="C69" s="93">
        <v>46127</v>
      </c>
      <c r="D69" s="3">
        <v>46127</v>
      </c>
      <c r="E69" s="126">
        <v>46127</v>
      </c>
      <c r="F69" s="36" t="s">
        <v>79</v>
      </c>
      <c r="G69" s="319">
        <v>1186.73</v>
      </c>
      <c r="H69" s="319">
        <v>0</v>
      </c>
      <c r="I69" s="319">
        <v>1186.73</v>
      </c>
      <c r="J69" s="116">
        <v>173.02</v>
      </c>
      <c r="K69" t="s">
        <v>362</v>
      </c>
      <c r="M69" t="s">
        <v>413</v>
      </c>
      <c r="N69" t="s">
        <v>367</v>
      </c>
      <c r="O69" t="s">
        <v>367</v>
      </c>
      <c r="P69" t="s">
        <v>333</v>
      </c>
      <c r="Q69" t="s">
        <v>62</v>
      </c>
      <c r="V69" s="36"/>
    </row>
    <row r="70" spans="1:22" customFormat="1" hidden="1" x14ac:dyDescent="0.2">
      <c r="A70" s="36" t="s">
        <v>15</v>
      </c>
      <c r="B70" s="36" t="s">
        <v>3</v>
      </c>
      <c r="C70" s="93">
        <v>46127</v>
      </c>
      <c r="D70" s="3">
        <v>46127</v>
      </c>
      <c r="E70" s="126">
        <v>46127</v>
      </c>
      <c r="F70" s="36" t="s">
        <v>79</v>
      </c>
      <c r="G70" s="319">
        <v>320.16000000000003</v>
      </c>
      <c r="H70" s="319">
        <v>0</v>
      </c>
      <c r="I70" s="319">
        <v>320.16000000000003</v>
      </c>
      <c r="J70" s="116">
        <v>46.68</v>
      </c>
      <c r="K70" t="s">
        <v>365</v>
      </c>
      <c r="M70" t="s">
        <v>414</v>
      </c>
      <c r="N70" t="s">
        <v>367</v>
      </c>
      <c r="O70" t="s">
        <v>367</v>
      </c>
      <c r="P70" t="s">
        <v>350</v>
      </c>
      <c r="Q70" t="s">
        <v>62</v>
      </c>
      <c r="V70" s="36"/>
    </row>
    <row r="71" spans="1:22" customFormat="1" hidden="1" x14ac:dyDescent="0.2">
      <c r="A71" s="36" t="s">
        <v>15</v>
      </c>
      <c r="B71" s="36" t="s">
        <v>3</v>
      </c>
      <c r="C71" s="93">
        <v>46127</v>
      </c>
      <c r="D71" s="3">
        <v>46127</v>
      </c>
      <c r="E71" s="126">
        <v>46127</v>
      </c>
      <c r="F71" s="36" t="s">
        <v>79</v>
      </c>
      <c r="G71" s="319">
        <v>342.51</v>
      </c>
      <c r="H71" s="319">
        <v>0</v>
      </c>
      <c r="I71" s="319">
        <v>342.51</v>
      </c>
      <c r="J71" s="116">
        <v>49.94</v>
      </c>
      <c r="K71" t="s">
        <v>368</v>
      </c>
      <c r="M71" t="s">
        <v>369</v>
      </c>
      <c r="N71" t="s">
        <v>370</v>
      </c>
      <c r="O71" t="s">
        <v>371</v>
      </c>
      <c r="P71" t="s">
        <v>340</v>
      </c>
      <c r="Q71" t="s">
        <v>62</v>
      </c>
      <c r="V71" s="36"/>
    </row>
    <row r="72" spans="1:22" customFormat="1" hidden="1" x14ac:dyDescent="0.2">
      <c r="A72" s="36" t="s">
        <v>15</v>
      </c>
      <c r="B72" s="36" t="s">
        <v>3</v>
      </c>
      <c r="C72" s="93">
        <v>46127</v>
      </c>
      <c r="D72" s="3">
        <v>46127</v>
      </c>
      <c r="E72" s="126">
        <v>46127</v>
      </c>
      <c r="F72" s="36" t="s">
        <v>79</v>
      </c>
      <c r="G72" s="319">
        <v>277</v>
      </c>
      <c r="H72" s="319">
        <v>0</v>
      </c>
      <c r="I72" s="319">
        <v>277</v>
      </c>
      <c r="J72" s="116">
        <v>40.39</v>
      </c>
      <c r="K72" t="s">
        <v>372</v>
      </c>
      <c r="M72" t="s">
        <v>1865</v>
      </c>
      <c r="N72" t="s">
        <v>374</v>
      </c>
      <c r="O72" t="s">
        <v>375</v>
      </c>
      <c r="P72" t="s">
        <v>376</v>
      </c>
      <c r="Q72" t="s">
        <v>62</v>
      </c>
      <c r="V72" s="36"/>
    </row>
    <row r="73" spans="1:22" customFormat="1" hidden="1" x14ac:dyDescent="0.2">
      <c r="A73" s="36" t="s">
        <v>15</v>
      </c>
      <c r="B73" s="36" t="s">
        <v>3</v>
      </c>
      <c r="C73" s="93">
        <v>46127</v>
      </c>
      <c r="D73" s="3">
        <v>46127</v>
      </c>
      <c r="E73" s="126">
        <v>46127</v>
      </c>
      <c r="F73" s="36" t="s">
        <v>79</v>
      </c>
      <c r="G73" s="319">
        <v>55.1</v>
      </c>
      <c r="H73" s="319">
        <v>0</v>
      </c>
      <c r="I73" s="319">
        <v>55.1</v>
      </c>
      <c r="J73" s="116">
        <v>8.0299999999999994</v>
      </c>
      <c r="K73" t="s">
        <v>341</v>
      </c>
      <c r="L73" t="s">
        <v>415</v>
      </c>
      <c r="M73" t="s">
        <v>343</v>
      </c>
      <c r="N73" t="s">
        <v>344</v>
      </c>
      <c r="O73" t="s">
        <v>344</v>
      </c>
      <c r="P73" t="s">
        <v>340</v>
      </c>
      <c r="Q73" t="s">
        <v>62</v>
      </c>
      <c r="V73" s="36"/>
    </row>
    <row r="74" spans="1:22" customFormat="1" hidden="1" x14ac:dyDescent="0.2">
      <c r="A74" s="36" t="s">
        <v>15</v>
      </c>
      <c r="B74" s="36" t="s">
        <v>3</v>
      </c>
      <c r="C74" s="93">
        <v>46127</v>
      </c>
      <c r="D74" s="3">
        <v>46127</v>
      </c>
      <c r="E74" s="126">
        <v>46127</v>
      </c>
      <c r="F74" s="36" t="s">
        <v>79</v>
      </c>
      <c r="G74" s="319">
        <v>293.95</v>
      </c>
      <c r="H74" s="319">
        <v>0</v>
      </c>
      <c r="I74" s="319">
        <v>293.95</v>
      </c>
      <c r="J74" s="116">
        <v>42.86</v>
      </c>
      <c r="K74" t="s">
        <v>341</v>
      </c>
      <c r="L74" t="s">
        <v>415</v>
      </c>
      <c r="M74" t="s">
        <v>351</v>
      </c>
      <c r="N74" t="s">
        <v>50</v>
      </c>
      <c r="O74" t="s">
        <v>50</v>
      </c>
      <c r="P74" t="s">
        <v>340</v>
      </c>
      <c r="Q74" t="s">
        <v>62</v>
      </c>
      <c r="V74" s="36"/>
    </row>
    <row r="75" spans="1:22" customFormat="1" hidden="1" x14ac:dyDescent="0.2">
      <c r="A75" s="36" t="s">
        <v>15</v>
      </c>
      <c r="B75" s="36" t="s">
        <v>3</v>
      </c>
      <c r="C75" s="93">
        <v>46127</v>
      </c>
      <c r="D75" s="3">
        <v>46127</v>
      </c>
      <c r="E75" s="126">
        <v>46127</v>
      </c>
      <c r="F75" s="36" t="s">
        <v>79</v>
      </c>
      <c r="G75" s="319">
        <v>6900</v>
      </c>
      <c r="H75" s="319">
        <v>0</v>
      </c>
      <c r="I75" s="319">
        <v>6900</v>
      </c>
      <c r="J75" s="320">
        <v>1006</v>
      </c>
      <c r="K75" t="s">
        <v>341</v>
      </c>
      <c r="L75" t="s">
        <v>415</v>
      </c>
      <c r="M75" t="s">
        <v>416</v>
      </c>
      <c r="N75" t="s">
        <v>390</v>
      </c>
      <c r="O75" t="s">
        <v>46</v>
      </c>
      <c r="P75" t="s">
        <v>347</v>
      </c>
      <c r="Q75" t="s">
        <v>55</v>
      </c>
      <c r="V75" s="36"/>
    </row>
    <row r="76" spans="1:22" customFormat="1" hidden="1" x14ac:dyDescent="0.2">
      <c r="A76" s="36" t="s">
        <v>15</v>
      </c>
      <c r="B76" s="36" t="s">
        <v>3</v>
      </c>
      <c r="C76" s="93">
        <v>46127</v>
      </c>
      <c r="D76" s="3">
        <v>46127</v>
      </c>
      <c r="E76" s="126">
        <v>46127</v>
      </c>
      <c r="F76" s="36" t="s">
        <v>79</v>
      </c>
      <c r="G76" s="319">
        <v>657.15</v>
      </c>
      <c r="H76" s="319">
        <v>0</v>
      </c>
      <c r="I76" s="319">
        <v>657.15</v>
      </c>
      <c r="J76" s="116">
        <v>95.81</v>
      </c>
      <c r="K76" t="s">
        <v>341</v>
      </c>
      <c r="L76" t="s">
        <v>415</v>
      </c>
      <c r="M76" t="s">
        <v>358</v>
      </c>
      <c r="N76" t="s">
        <v>60</v>
      </c>
      <c r="O76" t="s">
        <v>60</v>
      </c>
      <c r="P76" t="s">
        <v>333</v>
      </c>
      <c r="Q76" t="s">
        <v>62</v>
      </c>
      <c r="V76" s="36"/>
    </row>
    <row r="77" spans="1:22" customFormat="1" hidden="1" x14ac:dyDescent="0.2">
      <c r="A77" s="36" t="s">
        <v>15</v>
      </c>
      <c r="B77" s="36" t="s">
        <v>3</v>
      </c>
      <c r="C77" s="93">
        <v>46127</v>
      </c>
      <c r="D77" s="3">
        <v>46127</v>
      </c>
      <c r="E77" s="126">
        <v>46127</v>
      </c>
      <c r="F77" s="36" t="s">
        <v>79</v>
      </c>
      <c r="G77" s="319">
        <v>45.61</v>
      </c>
      <c r="H77" s="319">
        <v>0</v>
      </c>
      <c r="I77" s="319">
        <v>45.61</v>
      </c>
      <c r="J77" s="116">
        <v>6.65</v>
      </c>
      <c r="K77" t="s">
        <v>341</v>
      </c>
      <c r="L77" t="s">
        <v>415</v>
      </c>
      <c r="M77" t="s">
        <v>361</v>
      </c>
      <c r="N77" t="s">
        <v>356</v>
      </c>
      <c r="O77" t="s">
        <v>48</v>
      </c>
      <c r="P77" t="s">
        <v>347</v>
      </c>
      <c r="Q77" t="s">
        <v>55</v>
      </c>
      <c r="V77" s="36"/>
    </row>
    <row r="78" spans="1:22" customFormat="1" hidden="1" x14ac:dyDescent="0.2">
      <c r="A78" s="36" t="s">
        <v>15</v>
      </c>
      <c r="B78" s="36" t="s">
        <v>3</v>
      </c>
      <c r="C78" s="93">
        <v>46127</v>
      </c>
      <c r="D78" s="3">
        <v>46127</v>
      </c>
      <c r="E78" s="126">
        <v>46127</v>
      </c>
      <c r="F78" s="36" t="s">
        <v>79</v>
      </c>
      <c r="G78" s="319">
        <v>2221</v>
      </c>
      <c r="H78" s="319">
        <v>0</v>
      </c>
      <c r="I78" s="319">
        <v>2221</v>
      </c>
      <c r="J78" s="116">
        <v>323.82</v>
      </c>
      <c r="K78" t="s">
        <v>341</v>
      </c>
      <c r="L78" t="s">
        <v>415</v>
      </c>
      <c r="M78" t="s">
        <v>361</v>
      </c>
      <c r="N78" t="s">
        <v>356</v>
      </c>
      <c r="O78" t="s">
        <v>48</v>
      </c>
      <c r="P78" t="s">
        <v>347</v>
      </c>
      <c r="Q78" t="s">
        <v>55</v>
      </c>
      <c r="V78" s="36"/>
    </row>
    <row r="79" spans="1:22" customFormat="1" hidden="1" x14ac:dyDescent="0.2">
      <c r="A79" s="36" t="s">
        <v>15</v>
      </c>
      <c r="B79" s="36" t="s">
        <v>3</v>
      </c>
      <c r="C79" s="93">
        <v>46112</v>
      </c>
      <c r="D79" s="3">
        <v>46112</v>
      </c>
      <c r="E79" s="126">
        <v>46128</v>
      </c>
      <c r="F79" s="36" t="s">
        <v>79</v>
      </c>
      <c r="G79" s="319"/>
      <c r="H79" s="319"/>
      <c r="I79" s="319"/>
      <c r="J79" s="319">
        <v>106.85</v>
      </c>
      <c r="K79" t="s">
        <v>1851</v>
      </c>
      <c r="M79" t="s">
        <v>412</v>
      </c>
      <c r="N79" t="s">
        <v>387</v>
      </c>
      <c r="O79" t="s">
        <v>47</v>
      </c>
      <c r="P79" t="s">
        <v>354</v>
      </c>
      <c r="Q79" t="str">
        <f>_xlfn.XLOOKUP(P79,[1]!Table2[Department],[1]!Table2[Group],"ERROR")</f>
        <v>Sales &amp; Marketing</v>
      </c>
      <c r="V79" s="36"/>
    </row>
    <row r="80" spans="1:22" customFormat="1" hidden="1" x14ac:dyDescent="0.2">
      <c r="A80" s="36" t="s">
        <v>15</v>
      </c>
      <c r="B80" s="36" t="s">
        <v>3</v>
      </c>
      <c r="C80" s="93">
        <v>46112</v>
      </c>
      <c r="D80" s="3">
        <v>46112</v>
      </c>
      <c r="E80" s="126">
        <v>46128</v>
      </c>
      <c r="F80" s="36" t="s">
        <v>79</v>
      </c>
      <c r="G80" s="319"/>
      <c r="H80" s="319"/>
      <c r="I80" s="319"/>
      <c r="J80" s="319">
        <v>1265.8599999999999</v>
      </c>
      <c r="K80" t="s">
        <v>1851</v>
      </c>
      <c r="M80" t="s">
        <v>412</v>
      </c>
      <c r="N80" t="s">
        <v>387</v>
      </c>
      <c r="O80" t="s">
        <v>47</v>
      </c>
      <c r="P80" t="s">
        <v>347</v>
      </c>
      <c r="Q80" t="str">
        <f>_xlfn.XLOOKUP(P80,[1]!Table2[Department],[1]!Table2[Group],"ERROR")</f>
        <v>Research &amp; Development</v>
      </c>
      <c r="V80" s="36"/>
    </row>
    <row r="81" spans="1:22" customFormat="1" hidden="1" x14ac:dyDescent="0.2">
      <c r="A81" s="36" t="s">
        <v>15</v>
      </c>
      <c r="B81" s="36" t="s">
        <v>3</v>
      </c>
      <c r="C81" s="93">
        <v>46136</v>
      </c>
      <c r="D81" s="3">
        <v>46136</v>
      </c>
      <c r="E81" s="126">
        <v>46136</v>
      </c>
      <c r="F81" s="36" t="s">
        <v>79</v>
      </c>
      <c r="G81" s="319">
        <v>-92866.78</v>
      </c>
      <c r="H81" s="319">
        <v>0</v>
      </c>
      <c r="I81" s="319">
        <v>-92866.78</v>
      </c>
      <c r="J81" s="319">
        <v>-13539.7</v>
      </c>
      <c r="K81" t="s">
        <v>312</v>
      </c>
      <c r="M81" t="s">
        <v>417</v>
      </c>
      <c r="N81" t="s">
        <v>418</v>
      </c>
      <c r="O81" t="s">
        <v>418</v>
      </c>
      <c r="P81" t="s">
        <v>66</v>
      </c>
      <c r="Q81" t="s">
        <v>66</v>
      </c>
      <c r="V81" s="36"/>
    </row>
    <row r="82" spans="1:22" customFormat="1" hidden="1" x14ac:dyDescent="0.2">
      <c r="A82" s="36" t="s">
        <v>15</v>
      </c>
      <c r="B82" s="36" t="s">
        <v>3</v>
      </c>
      <c r="C82" s="93">
        <v>46140</v>
      </c>
      <c r="D82" s="3">
        <v>46142</v>
      </c>
      <c r="E82" s="126">
        <v>46142</v>
      </c>
      <c r="F82" s="36" t="s">
        <v>79</v>
      </c>
      <c r="G82" s="319">
        <v>4000</v>
      </c>
      <c r="H82" s="319">
        <v>0</v>
      </c>
      <c r="I82" s="319">
        <v>4000</v>
      </c>
      <c r="J82" s="319">
        <v>583.19000000000005</v>
      </c>
      <c r="K82" t="s">
        <v>1864</v>
      </c>
      <c r="L82" t="s">
        <v>1863</v>
      </c>
      <c r="M82" t="s">
        <v>1862</v>
      </c>
      <c r="N82" t="s">
        <v>1861</v>
      </c>
      <c r="O82" t="s">
        <v>367</v>
      </c>
      <c r="P82" t="s">
        <v>1860</v>
      </c>
      <c r="Q82" t="s">
        <v>62</v>
      </c>
      <c r="R82" t="s">
        <v>419</v>
      </c>
      <c r="V82" s="36"/>
    </row>
    <row r="83" spans="1:22" customFormat="1" hidden="1" x14ac:dyDescent="0.2">
      <c r="A83" s="36" t="s">
        <v>15</v>
      </c>
      <c r="B83" s="36" t="s">
        <v>3</v>
      </c>
      <c r="C83" s="93">
        <v>46142</v>
      </c>
      <c r="D83" s="3">
        <v>46142</v>
      </c>
      <c r="E83" s="126">
        <v>46142</v>
      </c>
      <c r="F83" s="36" t="s">
        <v>79</v>
      </c>
      <c r="G83" s="319"/>
      <c r="H83" s="319"/>
      <c r="I83" s="319"/>
      <c r="J83" s="319">
        <v>2075.31</v>
      </c>
      <c r="K83" t="s">
        <v>1851</v>
      </c>
      <c r="M83" t="s">
        <v>420</v>
      </c>
      <c r="N83" t="s">
        <v>387</v>
      </c>
      <c r="O83" t="s">
        <v>47</v>
      </c>
      <c r="P83" t="s">
        <v>354</v>
      </c>
      <c r="Q83" t="str">
        <f>_xlfn.XLOOKUP(P83,[1]!Table2[Department],[1]!Table2[Group],"ERROR")</f>
        <v>Sales &amp; Marketing</v>
      </c>
      <c r="V83" s="36"/>
    </row>
    <row r="84" spans="1:22" customFormat="1" hidden="1" x14ac:dyDescent="0.2">
      <c r="A84" s="36" t="s">
        <v>15</v>
      </c>
      <c r="B84" s="36" t="s">
        <v>3</v>
      </c>
      <c r="C84" s="93">
        <v>46142</v>
      </c>
      <c r="D84" s="3">
        <v>46142</v>
      </c>
      <c r="E84" s="126">
        <v>46142</v>
      </c>
      <c r="F84" s="36" t="s">
        <v>79</v>
      </c>
      <c r="G84" s="319"/>
      <c r="H84" s="319"/>
      <c r="I84" s="319"/>
      <c r="J84" s="319">
        <v>10417.49</v>
      </c>
      <c r="K84" t="s">
        <v>1851</v>
      </c>
      <c r="M84" t="s">
        <v>420</v>
      </c>
      <c r="N84" t="s">
        <v>387</v>
      </c>
      <c r="O84" t="s">
        <v>47</v>
      </c>
      <c r="P84" t="s">
        <v>347</v>
      </c>
      <c r="Q84" t="str">
        <f>_xlfn.XLOOKUP(P84,[1]!Table2[Department],[1]!Table2[Group],"ERROR")</f>
        <v>Research &amp; Development</v>
      </c>
      <c r="V84" s="36"/>
    </row>
    <row r="85" spans="1:22" customFormat="1" hidden="1" x14ac:dyDescent="0.2">
      <c r="A85" s="36" t="s">
        <v>15</v>
      </c>
      <c r="B85" s="36" t="s">
        <v>3</v>
      </c>
      <c r="C85" s="93">
        <v>46144</v>
      </c>
      <c r="D85" s="3">
        <v>46144</v>
      </c>
      <c r="E85" s="126">
        <v>46144</v>
      </c>
      <c r="F85" s="36" t="s">
        <v>79</v>
      </c>
      <c r="G85" s="319">
        <v>4.38</v>
      </c>
      <c r="H85" s="319">
        <v>0</v>
      </c>
      <c r="I85" s="319">
        <v>4.38</v>
      </c>
      <c r="J85" s="319">
        <v>0.64</v>
      </c>
      <c r="K85" t="s">
        <v>330</v>
      </c>
      <c r="M85" t="s">
        <v>334</v>
      </c>
      <c r="N85" t="s">
        <v>332</v>
      </c>
      <c r="O85" t="s">
        <v>47</v>
      </c>
      <c r="P85" t="s">
        <v>333</v>
      </c>
      <c r="Q85" t="str">
        <f>_xlfn.XLOOKUP(P85,[1]!Table2[Department],[1]!Table2[Group],"ERROR")</f>
        <v>General &amp; Administrative</v>
      </c>
      <c r="U85" t="s">
        <v>421</v>
      </c>
      <c r="V85" s="36"/>
    </row>
    <row r="86" spans="1:22" customFormat="1" hidden="1" x14ac:dyDescent="0.2">
      <c r="A86" s="36" t="s">
        <v>15</v>
      </c>
      <c r="B86" s="36" t="s">
        <v>3</v>
      </c>
      <c r="C86" s="93">
        <v>46144</v>
      </c>
      <c r="D86" s="3">
        <v>46144</v>
      </c>
      <c r="E86" s="126">
        <v>46144</v>
      </c>
      <c r="F86" s="36" t="s">
        <v>79</v>
      </c>
      <c r="G86" s="319">
        <v>3.55</v>
      </c>
      <c r="H86" s="319">
        <v>0</v>
      </c>
      <c r="I86" s="319">
        <v>3.55</v>
      </c>
      <c r="J86" s="319">
        <v>0.52</v>
      </c>
      <c r="K86" t="s">
        <v>330</v>
      </c>
      <c r="M86" t="s">
        <v>335</v>
      </c>
      <c r="N86" t="s">
        <v>332</v>
      </c>
      <c r="O86" t="s">
        <v>47</v>
      </c>
      <c r="P86" t="s">
        <v>333</v>
      </c>
      <c r="Q86" t="str">
        <f>_xlfn.XLOOKUP(P86,[1]!Table2[Department],[1]!Table2[Group],"ERROR")</f>
        <v>General &amp; Administrative</v>
      </c>
      <c r="U86" t="s">
        <v>422</v>
      </c>
      <c r="V86" s="36"/>
    </row>
    <row r="87" spans="1:22" customFormat="1" hidden="1" x14ac:dyDescent="0.2">
      <c r="A87" s="36" t="s">
        <v>15</v>
      </c>
      <c r="B87" s="36" t="s">
        <v>3</v>
      </c>
      <c r="C87" s="93">
        <v>46144</v>
      </c>
      <c r="D87" s="3">
        <v>46144</v>
      </c>
      <c r="E87" s="126">
        <v>46144</v>
      </c>
      <c r="F87" s="36" t="s">
        <v>79</v>
      </c>
      <c r="G87" s="319">
        <v>25</v>
      </c>
      <c r="H87" s="319">
        <v>0</v>
      </c>
      <c r="I87" s="319">
        <v>25</v>
      </c>
      <c r="J87" s="319">
        <v>3.66</v>
      </c>
      <c r="K87" t="s">
        <v>330</v>
      </c>
      <c r="M87" t="s">
        <v>331</v>
      </c>
      <c r="N87" t="s">
        <v>332</v>
      </c>
      <c r="O87" t="s">
        <v>47</v>
      </c>
      <c r="P87" t="s">
        <v>333</v>
      </c>
      <c r="Q87" t="str">
        <f>_xlfn.XLOOKUP(P87,[1]!Table2[Department],[1]!Table2[Group],"ERROR")</f>
        <v>General &amp; Administrative</v>
      </c>
      <c r="U87" t="s">
        <v>423</v>
      </c>
      <c r="V87" s="36"/>
    </row>
    <row r="88" spans="1:22" customFormat="1" hidden="1" x14ac:dyDescent="0.2">
      <c r="A88" s="36" t="s">
        <v>15</v>
      </c>
      <c r="B88" s="36" t="s">
        <v>3</v>
      </c>
      <c r="C88" s="93">
        <v>46150</v>
      </c>
      <c r="D88" s="3">
        <v>46150</v>
      </c>
      <c r="E88" s="126">
        <v>46150</v>
      </c>
      <c r="F88" s="36" t="s">
        <v>79</v>
      </c>
      <c r="G88" s="319">
        <v>-46851.89</v>
      </c>
      <c r="H88" s="319">
        <v>0</v>
      </c>
      <c r="I88" s="319">
        <v>-46851.89</v>
      </c>
      <c r="J88" s="319">
        <v>-6860.68</v>
      </c>
      <c r="K88" t="s">
        <v>312</v>
      </c>
      <c r="M88" t="s">
        <v>417</v>
      </c>
      <c r="N88" t="s">
        <v>418</v>
      </c>
      <c r="O88" t="s">
        <v>418</v>
      </c>
      <c r="P88" t="s">
        <v>333</v>
      </c>
      <c r="Q88" t="s">
        <v>62</v>
      </c>
      <c r="U88" t="s">
        <v>424</v>
      </c>
      <c r="V88" s="36"/>
    </row>
    <row r="89" spans="1:22" customFormat="1" hidden="1" x14ac:dyDescent="0.2">
      <c r="A89" s="36" t="s">
        <v>15</v>
      </c>
      <c r="B89" s="36" t="s">
        <v>3</v>
      </c>
      <c r="C89" s="93">
        <v>46150</v>
      </c>
      <c r="D89" s="3">
        <v>46150</v>
      </c>
      <c r="E89" s="126">
        <v>46150</v>
      </c>
      <c r="F89" s="36" t="s">
        <v>79</v>
      </c>
      <c r="G89" s="319">
        <v>-32.68</v>
      </c>
      <c r="H89" s="319">
        <v>0</v>
      </c>
      <c r="I89" s="319">
        <v>-32.68</v>
      </c>
      <c r="J89" s="319">
        <v>-4.79</v>
      </c>
      <c r="K89" t="s">
        <v>312</v>
      </c>
      <c r="M89" t="s">
        <v>417</v>
      </c>
      <c r="N89" t="s">
        <v>418</v>
      </c>
      <c r="O89" t="s">
        <v>418</v>
      </c>
      <c r="P89" t="s">
        <v>333</v>
      </c>
      <c r="Q89" t="s">
        <v>62</v>
      </c>
      <c r="U89" t="s">
        <v>425</v>
      </c>
      <c r="V89" s="36"/>
    </row>
    <row r="90" spans="1:22" customFormat="1" hidden="1" x14ac:dyDescent="0.2">
      <c r="A90" s="36" t="s">
        <v>15</v>
      </c>
      <c r="B90" s="36" t="s">
        <v>3</v>
      </c>
      <c r="C90" s="93">
        <v>46143</v>
      </c>
      <c r="D90" s="3">
        <v>46157</v>
      </c>
      <c r="E90" s="126">
        <v>46157</v>
      </c>
      <c r="F90" s="36" t="s">
        <v>79</v>
      </c>
      <c r="G90" s="319">
        <v>1067.2</v>
      </c>
      <c r="H90" s="319">
        <v>0</v>
      </c>
      <c r="I90" s="319">
        <v>1067.2</v>
      </c>
      <c r="J90" s="319">
        <v>156.27000000000001</v>
      </c>
      <c r="K90" t="s">
        <v>362</v>
      </c>
      <c r="M90" t="s">
        <v>426</v>
      </c>
      <c r="N90" t="s">
        <v>367</v>
      </c>
      <c r="O90" t="s">
        <v>367</v>
      </c>
      <c r="P90" t="s">
        <v>333</v>
      </c>
      <c r="Q90" t="s">
        <v>62</v>
      </c>
      <c r="V90" s="36"/>
    </row>
    <row r="91" spans="1:22" customFormat="1" hidden="1" x14ac:dyDescent="0.2">
      <c r="A91" s="36" t="s">
        <v>15</v>
      </c>
      <c r="B91" s="36" t="s">
        <v>3</v>
      </c>
      <c r="C91" s="93">
        <v>46147</v>
      </c>
      <c r="D91" s="3">
        <v>46157</v>
      </c>
      <c r="E91" s="126">
        <v>46157</v>
      </c>
      <c r="F91" s="36" t="s">
        <v>79</v>
      </c>
      <c r="G91" s="319">
        <v>640.31999999999971</v>
      </c>
      <c r="H91" s="319">
        <v>0</v>
      </c>
      <c r="I91" s="319">
        <v>640.31999999999971</v>
      </c>
      <c r="J91" s="319">
        <v>93.76</v>
      </c>
      <c r="K91" t="s">
        <v>365</v>
      </c>
      <c r="M91" t="s">
        <v>427</v>
      </c>
      <c r="N91" t="s">
        <v>367</v>
      </c>
      <c r="O91" t="s">
        <v>367</v>
      </c>
      <c r="P91" t="s">
        <v>350</v>
      </c>
      <c r="Q91" t="s">
        <v>62</v>
      </c>
      <c r="V91" s="36"/>
    </row>
    <row r="92" spans="1:22" customFormat="1" hidden="1" x14ac:dyDescent="0.2">
      <c r="A92" s="36" t="s">
        <v>15</v>
      </c>
      <c r="B92" s="36" t="s">
        <v>3</v>
      </c>
      <c r="C92" s="93">
        <v>46143</v>
      </c>
      <c r="D92" s="3">
        <v>46157</v>
      </c>
      <c r="E92" s="126">
        <v>46157</v>
      </c>
      <c r="F92" s="36" t="s">
        <v>79</v>
      </c>
      <c r="G92" s="319">
        <v>438.75</v>
      </c>
      <c r="H92" s="319">
        <v>0</v>
      </c>
      <c r="I92" s="319">
        <v>438.75</v>
      </c>
      <c r="J92" s="319">
        <v>64.25</v>
      </c>
      <c r="K92" t="s">
        <v>368</v>
      </c>
      <c r="M92" t="s">
        <v>428</v>
      </c>
      <c r="N92" t="s">
        <v>370</v>
      </c>
      <c r="O92" t="s">
        <v>371</v>
      </c>
      <c r="P92" t="s">
        <v>340</v>
      </c>
      <c r="Q92" t="s">
        <v>62</v>
      </c>
      <c r="V92" s="36"/>
    </row>
    <row r="93" spans="1:22" customFormat="1" hidden="1" x14ac:dyDescent="0.2">
      <c r="A93" s="36" t="s">
        <v>15</v>
      </c>
      <c r="B93" s="36" t="s">
        <v>3</v>
      </c>
      <c r="C93" s="93">
        <v>46143</v>
      </c>
      <c r="D93" s="3">
        <v>46157</v>
      </c>
      <c r="E93" s="126">
        <v>46157</v>
      </c>
      <c r="F93" s="36" t="s">
        <v>79</v>
      </c>
      <c r="G93" s="319">
        <v>277</v>
      </c>
      <c r="H93" s="319">
        <v>0</v>
      </c>
      <c r="I93" s="319">
        <v>277</v>
      </c>
      <c r="J93" s="319">
        <v>40.56</v>
      </c>
      <c r="K93" t="s">
        <v>372</v>
      </c>
      <c r="M93" t="s">
        <v>429</v>
      </c>
      <c r="N93" t="s">
        <v>374</v>
      </c>
      <c r="O93" t="s">
        <v>375</v>
      </c>
      <c r="P93" t="s">
        <v>376</v>
      </c>
      <c r="Q93" t="s">
        <v>62</v>
      </c>
      <c r="V93" s="36"/>
    </row>
    <row r="94" spans="1:22" customFormat="1" hidden="1" x14ac:dyDescent="0.2">
      <c r="A94" s="36" t="s">
        <v>15</v>
      </c>
      <c r="B94" s="36" t="s">
        <v>3</v>
      </c>
      <c r="C94" s="93">
        <v>46142</v>
      </c>
      <c r="D94" s="3">
        <v>46142</v>
      </c>
      <c r="E94" s="126">
        <v>46157</v>
      </c>
      <c r="F94" s="36" t="s">
        <v>79</v>
      </c>
      <c r="G94" s="319"/>
      <c r="H94" s="319"/>
      <c r="I94" s="319"/>
      <c r="J94" s="319">
        <v>1392.4</v>
      </c>
      <c r="K94" t="s">
        <v>1851</v>
      </c>
      <c r="M94" t="s">
        <v>420</v>
      </c>
      <c r="N94" t="s">
        <v>387</v>
      </c>
      <c r="O94" t="s">
        <v>47</v>
      </c>
      <c r="P94" t="s">
        <v>354</v>
      </c>
      <c r="Q94" t="str">
        <f>_xlfn.XLOOKUP(P94,[1]!Table2[Department],[1]!Table2[Group],"ERROR")</f>
        <v>Sales &amp; Marketing</v>
      </c>
      <c r="V94" s="36"/>
    </row>
    <row r="95" spans="1:22" customFormat="1" hidden="1" x14ac:dyDescent="0.2">
      <c r="A95" s="36" t="s">
        <v>15</v>
      </c>
      <c r="B95" s="36" t="s">
        <v>3</v>
      </c>
      <c r="C95" s="93">
        <v>46142</v>
      </c>
      <c r="D95" s="3">
        <v>46142</v>
      </c>
      <c r="E95" s="126">
        <v>46157</v>
      </c>
      <c r="F95" s="36" t="s">
        <v>79</v>
      </c>
      <c r="G95" s="319"/>
      <c r="H95" s="319"/>
      <c r="I95" s="319"/>
      <c r="J95" s="319">
        <v>7100.6</v>
      </c>
      <c r="K95" t="s">
        <v>1851</v>
      </c>
      <c r="M95" t="s">
        <v>420</v>
      </c>
      <c r="N95" t="s">
        <v>387</v>
      </c>
      <c r="O95" t="s">
        <v>47</v>
      </c>
      <c r="P95" t="s">
        <v>347</v>
      </c>
      <c r="Q95" t="str">
        <f>_xlfn.XLOOKUP(P95,[1]!Table2[Department],[1]!Table2[Group],"ERROR")</f>
        <v>Research &amp; Development</v>
      </c>
      <c r="V95" s="36"/>
    </row>
    <row r="96" spans="1:22" customFormat="1" hidden="1" x14ac:dyDescent="0.2">
      <c r="A96" s="36" t="s">
        <v>15</v>
      </c>
      <c r="B96" s="36" t="s">
        <v>3</v>
      </c>
      <c r="C96" s="93">
        <v>46161</v>
      </c>
      <c r="D96" s="3">
        <v>46161</v>
      </c>
      <c r="E96" s="126">
        <v>46161</v>
      </c>
      <c r="F96" s="36" t="s">
        <v>79</v>
      </c>
      <c r="G96" s="319">
        <v>50</v>
      </c>
      <c r="H96" s="319">
        <v>0</v>
      </c>
      <c r="I96" s="319">
        <v>50</v>
      </c>
      <c r="J96" s="319">
        <v>7.32</v>
      </c>
      <c r="K96" t="s">
        <v>430</v>
      </c>
      <c r="M96" t="s">
        <v>431</v>
      </c>
      <c r="N96" t="s">
        <v>332</v>
      </c>
      <c r="O96" t="s">
        <v>332</v>
      </c>
      <c r="P96" t="s">
        <v>333</v>
      </c>
      <c r="Q96" t="s">
        <v>62</v>
      </c>
      <c r="R96" t="s">
        <v>432</v>
      </c>
      <c r="V96" s="36"/>
    </row>
    <row r="97" spans="1:22" customFormat="1" hidden="1" x14ac:dyDescent="0.2">
      <c r="A97" s="36" t="s">
        <v>15</v>
      </c>
      <c r="B97" s="36" t="s">
        <v>3</v>
      </c>
      <c r="C97" s="93">
        <v>46164</v>
      </c>
      <c r="D97" s="3">
        <v>46164</v>
      </c>
      <c r="E97" s="126">
        <v>46164</v>
      </c>
      <c r="F97" s="36" t="s">
        <v>79</v>
      </c>
      <c r="G97" s="319">
        <v>50</v>
      </c>
      <c r="H97" s="319">
        <v>0</v>
      </c>
      <c r="I97" s="319">
        <v>50</v>
      </c>
      <c r="J97" s="319">
        <v>7.32</v>
      </c>
      <c r="K97" t="s">
        <v>433</v>
      </c>
      <c r="L97" t="s">
        <v>434</v>
      </c>
      <c r="M97" t="s">
        <v>431</v>
      </c>
      <c r="N97" t="s">
        <v>332</v>
      </c>
      <c r="O97" t="s">
        <v>332</v>
      </c>
      <c r="P97" t="s">
        <v>333</v>
      </c>
      <c r="Q97" t="s">
        <v>62</v>
      </c>
      <c r="R97" t="s">
        <v>435</v>
      </c>
      <c r="V97" s="36"/>
    </row>
    <row r="98" spans="1:22" customFormat="1" hidden="1" x14ac:dyDescent="0.2">
      <c r="A98" s="36" t="s">
        <v>15</v>
      </c>
      <c r="B98" s="36" t="s">
        <v>3</v>
      </c>
      <c r="C98" s="93">
        <v>46169</v>
      </c>
      <c r="D98" s="3">
        <v>46169</v>
      </c>
      <c r="E98" s="126">
        <v>46169</v>
      </c>
      <c r="F98" s="36" t="s">
        <v>79</v>
      </c>
      <c r="G98" s="319">
        <v>-9964</v>
      </c>
      <c r="H98" s="319">
        <v>0</v>
      </c>
      <c r="I98" s="319">
        <v>-9964</v>
      </c>
      <c r="J98" s="319">
        <v>-1459.06</v>
      </c>
      <c r="K98" t="s">
        <v>436</v>
      </c>
      <c r="L98" t="s">
        <v>437</v>
      </c>
      <c r="N98" t="s">
        <v>382</v>
      </c>
      <c r="O98" t="s">
        <v>10</v>
      </c>
      <c r="P98" t="s">
        <v>438</v>
      </c>
      <c r="Q98" t="s">
        <v>61</v>
      </c>
      <c r="R98" t="s">
        <v>439</v>
      </c>
      <c r="V98" s="36"/>
    </row>
    <row r="99" spans="1:22" customFormat="1" hidden="1" x14ac:dyDescent="0.2">
      <c r="A99" s="36" t="s">
        <v>15</v>
      </c>
      <c r="B99" s="36" t="s">
        <v>3</v>
      </c>
      <c r="C99" s="93">
        <v>46169</v>
      </c>
      <c r="D99" s="3">
        <v>46169</v>
      </c>
      <c r="E99" s="126">
        <v>46169</v>
      </c>
      <c r="F99" s="36" t="s">
        <v>79</v>
      </c>
      <c r="G99" s="319">
        <v>-426650</v>
      </c>
      <c r="H99" s="319">
        <v>0</v>
      </c>
      <c r="I99" s="319">
        <v>-426650</v>
      </c>
      <c r="J99" s="319">
        <v>-62475.78</v>
      </c>
      <c r="K99" t="s">
        <v>440</v>
      </c>
      <c r="L99" t="s">
        <v>441</v>
      </c>
      <c r="N99" t="s">
        <v>382</v>
      </c>
      <c r="O99" t="s">
        <v>10</v>
      </c>
      <c r="P99" t="s">
        <v>438</v>
      </c>
      <c r="Q99" t="s">
        <v>61</v>
      </c>
      <c r="R99" t="s">
        <v>442</v>
      </c>
      <c r="V99" s="36"/>
    </row>
    <row r="100" spans="1:22" customFormat="1" hidden="1" x14ac:dyDescent="0.2">
      <c r="A100" s="36" t="s">
        <v>15</v>
      </c>
      <c r="B100" s="36" t="s">
        <v>3</v>
      </c>
      <c r="C100" s="93">
        <v>46173</v>
      </c>
      <c r="D100" s="3">
        <v>46173</v>
      </c>
      <c r="E100" s="126">
        <v>46173</v>
      </c>
      <c r="F100" s="36" t="s">
        <v>79</v>
      </c>
      <c r="G100" s="319"/>
      <c r="H100" s="319"/>
      <c r="I100" s="319"/>
      <c r="J100" s="319">
        <v>2000</v>
      </c>
      <c r="K100" t="s">
        <v>1851</v>
      </c>
      <c r="M100" t="s">
        <v>443</v>
      </c>
      <c r="N100" t="s">
        <v>387</v>
      </c>
      <c r="O100" t="s">
        <v>47</v>
      </c>
      <c r="P100" t="s">
        <v>354</v>
      </c>
      <c r="Q100" t="s">
        <v>61</v>
      </c>
      <c r="V100" s="36"/>
    </row>
    <row r="101" spans="1:22" customFormat="1" hidden="1" x14ac:dyDescent="0.2">
      <c r="A101" s="36" t="s">
        <v>15</v>
      </c>
      <c r="B101" s="36" t="s">
        <v>3</v>
      </c>
      <c r="C101" s="93">
        <v>46173</v>
      </c>
      <c r="D101" s="3">
        <v>46173</v>
      </c>
      <c r="E101" s="126">
        <v>46173</v>
      </c>
      <c r="F101" s="36" t="s">
        <v>79</v>
      </c>
      <c r="G101" s="319"/>
      <c r="H101" s="319"/>
      <c r="I101" s="319"/>
      <c r="J101" s="319">
        <v>12000</v>
      </c>
      <c r="K101" t="s">
        <v>1851</v>
      </c>
      <c r="M101" t="s">
        <v>443</v>
      </c>
      <c r="N101" t="s">
        <v>387</v>
      </c>
      <c r="O101" t="s">
        <v>47</v>
      </c>
      <c r="P101" t="s">
        <v>347</v>
      </c>
      <c r="Q101" t="s">
        <v>55</v>
      </c>
      <c r="V101" s="36"/>
    </row>
    <row r="102" spans="1:22" customFormat="1" hidden="1" x14ac:dyDescent="0.2">
      <c r="A102" s="36" t="s">
        <v>15</v>
      </c>
      <c r="B102" s="36" t="s">
        <v>3</v>
      </c>
      <c r="C102" s="93">
        <v>46173</v>
      </c>
      <c r="D102" s="3">
        <v>46173</v>
      </c>
      <c r="E102" s="126">
        <v>46173</v>
      </c>
      <c r="F102" s="36" t="s">
        <v>79</v>
      </c>
      <c r="G102" s="319"/>
      <c r="H102" s="319"/>
      <c r="I102" s="319"/>
      <c r="J102" s="319">
        <v>2000</v>
      </c>
      <c r="K102" t="s">
        <v>1851</v>
      </c>
      <c r="M102" t="s">
        <v>443</v>
      </c>
      <c r="N102" t="s">
        <v>387</v>
      </c>
      <c r="O102" t="s">
        <v>47</v>
      </c>
      <c r="P102" t="s">
        <v>354</v>
      </c>
      <c r="Q102" t="s">
        <v>61</v>
      </c>
      <c r="V102" s="36"/>
    </row>
    <row r="103" spans="1:22" customFormat="1" hidden="1" x14ac:dyDescent="0.2">
      <c r="A103" s="36" t="s">
        <v>15</v>
      </c>
      <c r="B103" s="36" t="s">
        <v>3</v>
      </c>
      <c r="C103" s="93">
        <v>46173</v>
      </c>
      <c r="D103" s="3">
        <v>46173</v>
      </c>
      <c r="E103" s="126">
        <v>46173</v>
      </c>
      <c r="F103" s="36" t="s">
        <v>79</v>
      </c>
      <c r="G103" s="319"/>
      <c r="H103" s="319"/>
      <c r="I103" s="319"/>
      <c r="J103" s="319">
        <v>7500</v>
      </c>
      <c r="K103" t="s">
        <v>1851</v>
      </c>
      <c r="M103" t="s">
        <v>443</v>
      </c>
      <c r="N103" t="s">
        <v>387</v>
      </c>
      <c r="O103" t="s">
        <v>47</v>
      </c>
      <c r="P103" t="s">
        <v>347</v>
      </c>
      <c r="Q103" t="s">
        <v>55</v>
      </c>
      <c r="V103" s="36"/>
    </row>
    <row r="104" spans="1:22" customFormat="1" hidden="1" x14ac:dyDescent="0.2">
      <c r="A104" s="36" t="s">
        <v>247</v>
      </c>
      <c r="B104" s="36" t="s">
        <v>3</v>
      </c>
      <c r="C104" s="93">
        <v>46188</v>
      </c>
      <c r="D104" s="159"/>
      <c r="E104" s="93">
        <v>46188</v>
      </c>
      <c r="F104" s="36" t="s">
        <v>79</v>
      </c>
      <c r="G104" s="319"/>
      <c r="H104" s="319"/>
      <c r="I104" s="319"/>
      <c r="J104" s="319">
        <v>40.153643000000002</v>
      </c>
      <c r="K104" t="s">
        <v>372</v>
      </c>
      <c r="M104" t="s">
        <v>1859</v>
      </c>
      <c r="N104" t="s">
        <v>374</v>
      </c>
      <c r="O104" t="s">
        <v>375</v>
      </c>
      <c r="P104" t="s">
        <v>376</v>
      </c>
      <c r="Q104" t="s">
        <v>62</v>
      </c>
      <c r="V104" s="36"/>
    </row>
    <row r="105" spans="1:22" customFormat="1" hidden="1" x14ac:dyDescent="0.2">
      <c r="A105" s="36" t="s">
        <v>247</v>
      </c>
      <c r="B105" s="36" t="s">
        <v>3</v>
      </c>
      <c r="C105" s="93">
        <v>46188</v>
      </c>
      <c r="D105" s="159"/>
      <c r="E105" s="93">
        <v>46188</v>
      </c>
      <c r="F105" s="36" t="s">
        <v>79</v>
      </c>
      <c r="G105" s="319"/>
      <c r="H105" s="319"/>
      <c r="I105" s="319"/>
      <c r="J105" s="319">
        <v>90.2</v>
      </c>
      <c r="K105" t="s">
        <v>365</v>
      </c>
      <c r="M105" t="s">
        <v>1858</v>
      </c>
      <c r="N105" t="s">
        <v>367</v>
      </c>
      <c r="O105" t="s">
        <v>367</v>
      </c>
      <c r="P105" t="s">
        <v>350</v>
      </c>
      <c r="Q105" t="s">
        <v>62</v>
      </c>
      <c r="V105" s="36"/>
    </row>
    <row r="106" spans="1:22" customFormat="1" hidden="1" x14ac:dyDescent="0.2">
      <c r="A106" s="36" t="s">
        <v>247</v>
      </c>
      <c r="B106" s="36" t="s">
        <v>3</v>
      </c>
      <c r="C106" s="93">
        <v>46188</v>
      </c>
      <c r="D106" s="159"/>
      <c r="E106" s="93">
        <v>46188</v>
      </c>
      <c r="F106" s="36" t="s">
        <v>79</v>
      </c>
      <c r="G106" s="319"/>
      <c r="H106" s="319"/>
      <c r="I106" s="319"/>
      <c r="J106" s="319">
        <v>1566.2</v>
      </c>
      <c r="K106" t="s">
        <v>365</v>
      </c>
      <c r="M106" t="s">
        <v>1857</v>
      </c>
      <c r="N106" t="s">
        <v>387</v>
      </c>
      <c r="O106" t="s">
        <v>47</v>
      </c>
      <c r="P106" t="s">
        <v>350</v>
      </c>
      <c r="Q106" t="s">
        <v>62</v>
      </c>
      <c r="V106" s="36"/>
    </row>
    <row r="107" spans="1:22" customFormat="1" hidden="1" x14ac:dyDescent="0.2">
      <c r="A107" s="36" t="s">
        <v>247</v>
      </c>
      <c r="B107" s="36" t="s">
        <v>3</v>
      </c>
      <c r="C107" s="93">
        <v>46188</v>
      </c>
      <c r="D107" s="159"/>
      <c r="E107" s="93">
        <v>46188</v>
      </c>
      <c r="F107" s="36" t="s">
        <v>79</v>
      </c>
      <c r="G107" s="319"/>
      <c r="H107" s="319"/>
      <c r="I107" s="319"/>
      <c r="J107" s="319">
        <v>63.600761250000005</v>
      </c>
      <c r="K107" t="s">
        <v>368</v>
      </c>
      <c r="L107" t="s">
        <v>405</v>
      </c>
      <c r="M107" t="s">
        <v>1856</v>
      </c>
      <c r="N107" t="s">
        <v>370</v>
      </c>
      <c r="O107" t="s">
        <v>371</v>
      </c>
      <c r="P107" t="s">
        <v>340</v>
      </c>
      <c r="Q107" t="s">
        <v>62</v>
      </c>
      <c r="V107" s="36"/>
    </row>
    <row r="108" spans="1:22" customFormat="1" hidden="1" x14ac:dyDescent="0.2">
      <c r="A108" s="36" t="s">
        <v>247</v>
      </c>
      <c r="B108" s="36" t="s">
        <v>3</v>
      </c>
      <c r="C108" s="93">
        <v>46188</v>
      </c>
      <c r="D108" s="159"/>
      <c r="E108" s="93">
        <v>46188</v>
      </c>
      <c r="F108" s="36" t="s">
        <v>79</v>
      </c>
      <c r="G108" s="319"/>
      <c r="H108" s="319"/>
      <c r="I108" s="319"/>
      <c r="J108" s="319">
        <v>7156.13</v>
      </c>
      <c r="K108" t="s">
        <v>368</v>
      </c>
      <c r="L108" t="s">
        <v>407</v>
      </c>
      <c r="M108" t="s">
        <v>1855</v>
      </c>
      <c r="N108" t="s">
        <v>409</v>
      </c>
      <c r="O108" t="s">
        <v>410</v>
      </c>
      <c r="P108" t="s">
        <v>340</v>
      </c>
      <c r="Q108" t="s">
        <v>62</v>
      </c>
      <c r="V108" s="36"/>
    </row>
    <row r="109" spans="1:22" customFormat="1" hidden="1" x14ac:dyDescent="0.2">
      <c r="A109" s="36" t="s">
        <v>247</v>
      </c>
      <c r="B109" s="36" t="s">
        <v>3</v>
      </c>
      <c r="C109" s="93">
        <v>46203</v>
      </c>
      <c r="D109" s="159">
        <v>46203</v>
      </c>
      <c r="E109" s="93">
        <v>46203</v>
      </c>
      <c r="F109" s="36" t="s">
        <v>79</v>
      </c>
      <c r="G109" s="319"/>
      <c r="H109" s="319"/>
      <c r="I109" s="319"/>
      <c r="J109" s="319">
        <v>150.33000000000001</v>
      </c>
      <c r="K109" t="s">
        <v>362</v>
      </c>
      <c r="M109" t="s">
        <v>1854</v>
      </c>
      <c r="N109" t="s">
        <v>364</v>
      </c>
      <c r="O109" t="s">
        <v>47</v>
      </c>
      <c r="P109" t="s">
        <v>333</v>
      </c>
      <c r="Q109" t="s">
        <v>62</v>
      </c>
      <c r="V109" s="36"/>
    </row>
    <row r="110" spans="1:22" customFormat="1" hidden="1" x14ac:dyDescent="0.2">
      <c r="A110" s="36" t="s">
        <v>247</v>
      </c>
      <c r="B110" s="36" t="s">
        <v>3</v>
      </c>
      <c r="C110" s="93">
        <v>46203</v>
      </c>
      <c r="D110" s="3">
        <v>46203</v>
      </c>
      <c r="E110" s="126">
        <v>46203</v>
      </c>
      <c r="F110" s="36" t="s">
        <v>79</v>
      </c>
      <c r="G110" s="319"/>
      <c r="H110" s="319"/>
      <c r="I110" s="319"/>
      <c r="J110" s="319">
        <v>2000</v>
      </c>
      <c r="K110" t="s">
        <v>1851</v>
      </c>
      <c r="M110" t="s">
        <v>1698</v>
      </c>
      <c r="N110" t="s">
        <v>387</v>
      </c>
      <c r="O110" t="s">
        <v>47</v>
      </c>
      <c r="P110" t="s">
        <v>354</v>
      </c>
      <c r="Q110" t="s">
        <v>61</v>
      </c>
      <c r="V110" s="36"/>
    </row>
    <row r="111" spans="1:22" customFormat="1" hidden="1" x14ac:dyDescent="0.2">
      <c r="A111" s="36" t="s">
        <v>247</v>
      </c>
      <c r="B111" s="36" t="s">
        <v>3</v>
      </c>
      <c r="C111" s="93">
        <v>46203</v>
      </c>
      <c r="D111" s="3">
        <v>46203</v>
      </c>
      <c r="E111" s="126">
        <v>46203</v>
      </c>
      <c r="F111" s="36" t="s">
        <v>79</v>
      </c>
      <c r="G111" s="319"/>
      <c r="H111" s="319"/>
      <c r="I111" s="319"/>
      <c r="J111" s="319">
        <v>12000</v>
      </c>
      <c r="K111" t="s">
        <v>1851</v>
      </c>
      <c r="M111" t="s">
        <v>1698</v>
      </c>
      <c r="N111" t="s">
        <v>387</v>
      </c>
      <c r="O111" t="s">
        <v>47</v>
      </c>
      <c r="P111" t="s">
        <v>347</v>
      </c>
      <c r="Q111" t="s">
        <v>55</v>
      </c>
      <c r="V111" s="36"/>
    </row>
    <row r="112" spans="1:22" customFormat="1" hidden="1" x14ac:dyDescent="0.2">
      <c r="A112" s="36" t="s">
        <v>247</v>
      </c>
      <c r="B112" s="36" t="s">
        <v>3</v>
      </c>
      <c r="C112" s="93">
        <v>46203</v>
      </c>
      <c r="D112" s="3">
        <v>46203</v>
      </c>
      <c r="E112" s="126">
        <v>46203</v>
      </c>
      <c r="F112" s="36" t="s">
        <v>79</v>
      </c>
      <c r="G112" s="319"/>
      <c r="H112" s="319"/>
      <c r="I112" s="319"/>
      <c r="J112" s="319">
        <v>2000</v>
      </c>
      <c r="K112" t="s">
        <v>1851</v>
      </c>
      <c r="M112" t="s">
        <v>1698</v>
      </c>
      <c r="N112" t="s">
        <v>387</v>
      </c>
      <c r="O112" t="s">
        <v>47</v>
      </c>
      <c r="P112" t="s">
        <v>354</v>
      </c>
      <c r="Q112" t="s">
        <v>61</v>
      </c>
      <c r="V112" s="36"/>
    </row>
    <row r="113" spans="1:23" customFormat="1" hidden="1" x14ac:dyDescent="0.2">
      <c r="A113" s="36" t="s">
        <v>247</v>
      </c>
      <c r="B113" s="36" t="s">
        <v>3</v>
      </c>
      <c r="C113" s="93">
        <v>46203</v>
      </c>
      <c r="D113" s="3">
        <v>46203</v>
      </c>
      <c r="E113" s="126">
        <v>46203</v>
      </c>
      <c r="F113" s="36" t="s">
        <v>79</v>
      </c>
      <c r="G113" s="319"/>
      <c r="H113" s="319"/>
      <c r="I113" s="319"/>
      <c r="J113" s="319">
        <v>7500</v>
      </c>
      <c r="K113" t="s">
        <v>1851</v>
      </c>
      <c r="M113" t="s">
        <v>1698</v>
      </c>
      <c r="N113" t="s">
        <v>387</v>
      </c>
      <c r="O113" t="s">
        <v>47</v>
      </c>
      <c r="P113" t="s">
        <v>347</v>
      </c>
      <c r="Q113" t="s">
        <v>55</v>
      </c>
      <c r="V113" s="36"/>
    </row>
    <row r="114" spans="1:23" customFormat="1" hidden="1" x14ac:dyDescent="0.2">
      <c r="A114" s="36" t="s">
        <v>247</v>
      </c>
      <c r="B114" s="36" t="s">
        <v>3</v>
      </c>
      <c r="C114" s="93">
        <v>46218</v>
      </c>
      <c r="D114" s="159"/>
      <c r="E114" s="93">
        <v>46218</v>
      </c>
      <c r="F114" s="36" t="s">
        <v>79</v>
      </c>
      <c r="G114" s="319"/>
      <c r="H114" s="319"/>
      <c r="I114" s="319"/>
      <c r="J114" s="319">
        <v>90.2</v>
      </c>
      <c r="K114" t="s">
        <v>365</v>
      </c>
      <c r="M114" t="s">
        <v>1853</v>
      </c>
      <c r="N114" t="s">
        <v>367</v>
      </c>
      <c r="O114" t="s">
        <v>367</v>
      </c>
      <c r="P114" t="s">
        <v>350</v>
      </c>
      <c r="Q114" t="s">
        <v>62</v>
      </c>
      <c r="V114" s="36"/>
    </row>
    <row r="115" spans="1:23" customFormat="1" hidden="1" x14ac:dyDescent="0.2">
      <c r="A115" s="36" t="s">
        <v>247</v>
      </c>
      <c r="B115" s="36" t="s">
        <v>3</v>
      </c>
      <c r="C115" s="93">
        <v>46234</v>
      </c>
      <c r="D115" s="159">
        <v>46234</v>
      </c>
      <c r="E115" s="93">
        <v>46234</v>
      </c>
      <c r="F115" s="36" t="s">
        <v>79</v>
      </c>
      <c r="G115" s="319"/>
      <c r="H115" s="319"/>
      <c r="I115" s="319"/>
      <c r="J115" s="319">
        <v>150.33000000000001</v>
      </c>
      <c r="K115" t="s">
        <v>362</v>
      </c>
      <c r="M115" t="s">
        <v>1852</v>
      </c>
      <c r="N115" t="s">
        <v>364</v>
      </c>
      <c r="O115" t="s">
        <v>47</v>
      </c>
      <c r="P115" t="s">
        <v>333</v>
      </c>
      <c r="Q115" t="s">
        <v>62</v>
      </c>
      <c r="V115" s="36"/>
    </row>
    <row r="116" spans="1:23" customFormat="1" hidden="1" x14ac:dyDescent="0.2">
      <c r="A116" s="36" t="s">
        <v>247</v>
      </c>
      <c r="B116" s="36" t="s">
        <v>3</v>
      </c>
      <c r="C116" s="93">
        <v>46234</v>
      </c>
      <c r="D116" s="3">
        <v>46234</v>
      </c>
      <c r="E116" s="126">
        <v>46234</v>
      </c>
      <c r="F116" s="36" t="s">
        <v>79</v>
      </c>
      <c r="G116" s="319"/>
      <c r="H116" s="319"/>
      <c r="I116" s="319"/>
      <c r="J116" s="319">
        <v>2000</v>
      </c>
      <c r="K116" t="s">
        <v>1851</v>
      </c>
      <c r="M116" t="s">
        <v>1687</v>
      </c>
      <c r="N116" t="s">
        <v>387</v>
      </c>
      <c r="O116" t="s">
        <v>47</v>
      </c>
      <c r="P116" t="s">
        <v>354</v>
      </c>
      <c r="Q116" t="s">
        <v>61</v>
      </c>
      <c r="V116" s="36"/>
    </row>
    <row r="117" spans="1:23" customFormat="1" hidden="1" x14ac:dyDescent="0.2">
      <c r="A117" s="36" t="s">
        <v>247</v>
      </c>
      <c r="B117" s="36" t="s">
        <v>3</v>
      </c>
      <c r="C117" s="93">
        <v>46234</v>
      </c>
      <c r="D117" s="3">
        <v>46234</v>
      </c>
      <c r="E117" s="126">
        <v>46234</v>
      </c>
      <c r="F117" s="36" t="s">
        <v>79</v>
      </c>
      <c r="G117" s="319"/>
      <c r="H117" s="319"/>
      <c r="I117" s="319"/>
      <c r="J117" s="319">
        <v>2000</v>
      </c>
      <c r="K117" t="s">
        <v>1851</v>
      </c>
      <c r="M117" t="s">
        <v>1687</v>
      </c>
      <c r="N117" t="s">
        <v>387</v>
      </c>
      <c r="O117" t="s">
        <v>47</v>
      </c>
      <c r="P117" t="s">
        <v>354</v>
      </c>
      <c r="Q117" t="s">
        <v>61</v>
      </c>
      <c r="V117" s="36"/>
    </row>
    <row r="118" spans="1:23" customFormat="1" hidden="1" x14ac:dyDescent="0.2">
      <c r="A118" s="36" t="s">
        <v>1620</v>
      </c>
      <c r="B118" s="36" t="s">
        <v>2</v>
      </c>
      <c r="C118" s="93">
        <v>46174</v>
      </c>
      <c r="D118" s="3">
        <v>46181</v>
      </c>
      <c r="E118" s="126">
        <v>46234</v>
      </c>
      <c r="F118" s="36" t="s">
        <v>82</v>
      </c>
      <c r="G118" s="281">
        <v>6000</v>
      </c>
      <c r="H118" s="281">
        <v>0</v>
      </c>
      <c r="I118" s="281">
        <v>6000</v>
      </c>
      <c r="J118" s="281">
        <v>1451.8739524768021</v>
      </c>
      <c r="K118" t="s">
        <v>444</v>
      </c>
      <c r="L118" s="135">
        <v>5184</v>
      </c>
      <c r="M118" t="s">
        <v>1850</v>
      </c>
      <c r="N118" t="s">
        <v>374</v>
      </c>
      <c r="O118" t="s">
        <v>375</v>
      </c>
      <c r="P118" t="s">
        <v>376</v>
      </c>
      <c r="Q118" t="s">
        <v>62</v>
      </c>
      <c r="V118" s="36"/>
    </row>
    <row r="119" spans="1:23" customFormat="1" hidden="1" x14ac:dyDescent="0.2">
      <c r="A119" s="310" t="s">
        <v>1620</v>
      </c>
      <c r="B119" s="2" t="s">
        <v>2</v>
      </c>
      <c r="C119" s="93">
        <v>46198</v>
      </c>
      <c r="D119" s="3">
        <v>46198</v>
      </c>
      <c r="E119" s="126">
        <v>46203</v>
      </c>
      <c r="F119" s="2" t="s">
        <v>82</v>
      </c>
      <c r="G119" s="309">
        <v>379</v>
      </c>
      <c r="H119" s="309">
        <v>22.74</v>
      </c>
      <c r="I119" s="309">
        <f>G119+H119</f>
        <v>401.74</v>
      </c>
      <c r="J119" s="281">
        <v>108.89054643576014</v>
      </c>
      <c r="K119" s="4" t="s">
        <v>445</v>
      </c>
      <c r="L119" s="4" t="s">
        <v>1849</v>
      </c>
      <c r="M119" s="4" t="s">
        <v>1848</v>
      </c>
      <c r="N119" s="4" t="s">
        <v>58</v>
      </c>
      <c r="O119" s="146" t="str">
        <f>_xlfn.XLOOKUP(N119,[1]!costcategory[Account Code],[1]!costcategory[Cost Category],"ERROR")</f>
        <v>Network &amp; Server</v>
      </c>
      <c r="P119" s="4" t="s">
        <v>376</v>
      </c>
      <c r="Q119" s="89" t="str">
        <f>_xlfn.XLOOKUP(P119,[1]!Table2[Department],[1]!Table2[Group],"ERROR")</f>
        <v>General &amp; Administrative</v>
      </c>
      <c r="R119" s="4"/>
      <c r="S119" s="4"/>
      <c r="T119" s="4"/>
      <c r="U119" s="4"/>
      <c r="V119" s="4"/>
    </row>
    <row r="120" spans="1:23" customFormat="1" hidden="1" x14ac:dyDescent="0.2">
      <c r="A120" s="310" t="s">
        <v>1620</v>
      </c>
      <c r="B120" s="2" t="s">
        <v>2</v>
      </c>
      <c r="C120" s="93">
        <v>46157</v>
      </c>
      <c r="D120" s="3" t="s">
        <v>1847</v>
      </c>
      <c r="E120" s="324">
        <v>46234</v>
      </c>
      <c r="F120" s="2" t="s">
        <v>82</v>
      </c>
      <c r="G120" s="309">
        <v>36347.050000000003</v>
      </c>
      <c r="H120" s="112">
        <v>0</v>
      </c>
      <c r="I120" s="111">
        <v>36347.050000000003</v>
      </c>
      <c r="J120" s="309">
        <v>8795.2199999999993</v>
      </c>
      <c r="K120" s="4" t="s">
        <v>446</v>
      </c>
      <c r="L120" s="135"/>
      <c r="M120" s="4" t="s">
        <v>1846</v>
      </c>
      <c r="N120" s="105" t="s">
        <v>447</v>
      </c>
      <c r="O120" s="146" t="s">
        <v>447</v>
      </c>
      <c r="P120" s="4" t="s">
        <v>350</v>
      </c>
      <c r="Q120" s="89" t="str">
        <f>_xlfn.XLOOKUP(P120,[1]!Table2[Department],[1]!Table2[Group],"ERROR")</f>
        <v>General &amp; Administrative</v>
      </c>
      <c r="R120" s="18"/>
      <c r="S120" s="4"/>
      <c r="T120" s="4"/>
      <c r="U120" s="4"/>
      <c r="V120" s="4"/>
      <c r="W120" s="4"/>
    </row>
    <row r="121" spans="1:23" customFormat="1" hidden="1" x14ac:dyDescent="0.2">
      <c r="A121" s="36" t="s">
        <v>15</v>
      </c>
      <c r="B121" s="36" t="s">
        <v>2</v>
      </c>
      <c r="C121" s="93">
        <v>46024</v>
      </c>
      <c r="D121" s="3">
        <v>46024</v>
      </c>
      <c r="E121" s="126">
        <v>46024</v>
      </c>
      <c r="F121" s="36" t="s">
        <v>82</v>
      </c>
      <c r="G121" s="281">
        <v>1.4</v>
      </c>
      <c r="H121" s="281">
        <v>0</v>
      </c>
      <c r="I121" s="281">
        <v>1.4</v>
      </c>
      <c r="J121" s="281">
        <v>0.35527519999999996</v>
      </c>
      <c r="K121" t="s">
        <v>448</v>
      </c>
      <c r="L121" t="s">
        <v>449</v>
      </c>
      <c r="M121" t="s">
        <v>450</v>
      </c>
      <c r="N121" t="s">
        <v>332</v>
      </c>
      <c r="O121" t="s">
        <v>332</v>
      </c>
      <c r="P121" t="s">
        <v>333</v>
      </c>
      <c r="Q121" t="s">
        <v>62</v>
      </c>
      <c r="R121" t="s">
        <v>451</v>
      </c>
      <c r="S121" t="s">
        <v>452</v>
      </c>
      <c r="T121" t="s">
        <v>452</v>
      </c>
      <c r="V121" s="36"/>
    </row>
    <row r="122" spans="1:23" customFormat="1" hidden="1" x14ac:dyDescent="0.2">
      <c r="A122" s="36" t="s">
        <v>15</v>
      </c>
      <c r="B122" s="36" t="s">
        <v>2</v>
      </c>
      <c r="C122" s="93">
        <v>46037</v>
      </c>
      <c r="D122" s="3">
        <v>46037</v>
      </c>
      <c r="E122" s="126">
        <v>46037</v>
      </c>
      <c r="F122" s="36" t="s">
        <v>82</v>
      </c>
      <c r="G122" s="281">
        <v>0.5</v>
      </c>
      <c r="H122" s="281">
        <v>0</v>
      </c>
      <c r="I122" s="281">
        <v>0.5</v>
      </c>
      <c r="J122" s="281">
        <v>0.126884</v>
      </c>
      <c r="K122" t="s">
        <v>448</v>
      </c>
      <c r="L122" t="s">
        <v>453</v>
      </c>
      <c r="M122" t="s">
        <v>454</v>
      </c>
      <c r="N122" t="s">
        <v>332</v>
      </c>
      <c r="O122" t="s">
        <v>332</v>
      </c>
      <c r="P122" t="s">
        <v>333</v>
      </c>
      <c r="Q122" t="s">
        <v>62</v>
      </c>
      <c r="R122" t="s">
        <v>451</v>
      </c>
      <c r="S122" t="s">
        <v>452</v>
      </c>
      <c r="T122" t="s">
        <v>452</v>
      </c>
      <c r="V122" s="36"/>
    </row>
    <row r="123" spans="1:23" customFormat="1" hidden="1" x14ac:dyDescent="0.2">
      <c r="A123" s="36" t="s">
        <v>15</v>
      </c>
      <c r="B123" s="36" t="s">
        <v>2</v>
      </c>
      <c r="C123" s="93">
        <v>46037</v>
      </c>
      <c r="D123" s="3">
        <v>46037</v>
      </c>
      <c r="E123" s="126">
        <v>46037</v>
      </c>
      <c r="F123" s="36" t="s">
        <v>82</v>
      </c>
      <c r="G123" s="281">
        <v>-46642.400000000001</v>
      </c>
      <c r="H123" s="281">
        <v>0</v>
      </c>
      <c r="I123" s="281">
        <v>-46642.400000000001</v>
      </c>
      <c r="J123" s="281">
        <v>-11836.348563199999</v>
      </c>
      <c r="K123" t="s">
        <v>455</v>
      </c>
      <c r="L123" t="s">
        <v>456</v>
      </c>
      <c r="M123" t="s">
        <v>457</v>
      </c>
      <c r="N123" t="s">
        <v>418</v>
      </c>
      <c r="O123" t="s">
        <v>418</v>
      </c>
      <c r="P123" t="s">
        <v>333</v>
      </c>
      <c r="Q123" t="s">
        <v>62</v>
      </c>
      <c r="R123" t="s">
        <v>458</v>
      </c>
      <c r="S123" t="s">
        <v>459</v>
      </c>
      <c r="T123" t="s">
        <v>458</v>
      </c>
      <c r="V123" s="36"/>
    </row>
    <row r="124" spans="1:23" customFormat="1" hidden="1" x14ac:dyDescent="0.2">
      <c r="A124" s="36" t="s">
        <v>15</v>
      </c>
      <c r="B124" s="36" t="s">
        <v>2</v>
      </c>
      <c r="C124" s="93">
        <v>46038</v>
      </c>
      <c r="D124" s="3">
        <v>46038</v>
      </c>
      <c r="E124" s="126">
        <v>46038</v>
      </c>
      <c r="F124" s="36" t="s">
        <v>82</v>
      </c>
      <c r="G124" s="281">
        <v>-232116</v>
      </c>
      <c r="H124" s="281">
        <v>0</v>
      </c>
      <c r="I124" s="281">
        <v>-232116</v>
      </c>
      <c r="J124" s="281">
        <v>-58903.613087999998</v>
      </c>
      <c r="K124" t="s">
        <v>455</v>
      </c>
      <c r="L124" t="s">
        <v>460</v>
      </c>
      <c r="M124" t="s">
        <v>457</v>
      </c>
      <c r="N124" t="s">
        <v>418</v>
      </c>
      <c r="O124" t="s">
        <v>418</v>
      </c>
      <c r="P124" t="s">
        <v>333</v>
      </c>
      <c r="Q124" t="s">
        <v>62</v>
      </c>
      <c r="R124" t="s">
        <v>458</v>
      </c>
      <c r="S124" t="s">
        <v>459</v>
      </c>
      <c r="T124" t="s">
        <v>458</v>
      </c>
      <c r="V124" s="36"/>
    </row>
    <row r="125" spans="1:23" customFormat="1" hidden="1" x14ac:dyDescent="0.2">
      <c r="A125" s="36" t="s">
        <v>15</v>
      </c>
      <c r="B125" s="36" t="s">
        <v>2</v>
      </c>
      <c r="C125" s="93">
        <v>46022</v>
      </c>
      <c r="D125" s="3">
        <v>46022</v>
      </c>
      <c r="E125" s="126">
        <v>46041</v>
      </c>
      <c r="F125" s="36" t="s">
        <v>82</v>
      </c>
      <c r="G125" s="281">
        <v>101023</v>
      </c>
      <c r="H125" s="281">
        <v>0</v>
      </c>
      <c r="I125" s="281">
        <v>101023</v>
      </c>
      <c r="J125" s="281">
        <v>25636.404663999998</v>
      </c>
      <c r="K125" t="s">
        <v>461</v>
      </c>
      <c r="L125" t="s">
        <v>462</v>
      </c>
      <c r="M125" t="s">
        <v>463</v>
      </c>
      <c r="N125" t="s">
        <v>464</v>
      </c>
      <c r="O125" t="s">
        <v>464</v>
      </c>
      <c r="P125" t="s">
        <v>333</v>
      </c>
      <c r="Q125" t="s">
        <v>62</v>
      </c>
      <c r="R125" t="s">
        <v>465</v>
      </c>
      <c r="S125" t="s">
        <v>466</v>
      </c>
      <c r="T125" t="s">
        <v>452</v>
      </c>
      <c r="V125" s="36"/>
    </row>
    <row r="126" spans="1:23" customFormat="1" hidden="1" x14ac:dyDescent="0.2">
      <c r="A126" s="36" t="s">
        <v>15</v>
      </c>
      <c r="B126" s="36" t="s">
        <v>2</v>
      </c>
      <c r="C126" s="93">
        <v>46037</v>
      </c>
      <c r="D126" s="3">
        <v>46037</v>
      </c>
      <c r="E126" s="126">
        <v>46042</v>
      </c>
      <c r="F126" s="36" t="s">
        <v>82</v>
      </c>
      <c r="G126" s="281">
        <v>132.07999999999998</v>
      </c>
      <c r="H126" s="281">
        <v>0</v>
      </c>
      <c r="I126" s="281">
        <v>132.07999999999998</v>
      </c>
      <c r="J126" s="281">
        <v>33.517677439999993</v>
      </c>
      <c r="K126" t="s">
        <v>467</v>
      </c>
      <c r="L126" t="s">
        <v>468</v>
      </c>
      <c r="M126" t="s">
        <v>352</v>
      </c>
      <c r="N126" t="s">
        <v>391</v>
      </c>
      <c r="O126" t="s">
        <v>48</v>
      </c>
      <c r="P126" t="s">
        <v>45</v>
      </c>
      <c r="Q126" t="s">
        <v>45</v>
      </c>
      <c r="V126" s="36"/>
    </row>
    <row r="127" spans="1:23" customFormat="1" hidden="1" x14ac:dyDescent="0.2">
      <c r="A127" s="36" t="s">
        <v>15</v>
      </c>
      <c r="B127" s="36" t="s">
        <v>2</v>
      </c>
      <c r="C127" s="93">
        <v>46037</v>
      </c>
      <c r="D127" s="3">
        <v>46037</v>
      </c>
      <c r="E127" s="126">
        <v>46042</v>
      </c>
      <c r="F127" s="36" t="s">
        <v>82</v>
      </c>
      <c r="G127" s="281">
        <v>540.6</v>
      </c>
      <c r="H127" s="281">
        <v>0</v>
      </c>
      <c r="I127" s="281">
        <v>540.6</v>
      </c>
      <c r="J127" s="281">
        <v>137.18698080000001</v>
      </c>
      <c r="K127" t="s">
        <v>467</v>
      </c>
      <c r="L127" t="s">
        <v>468</v>
      </c>
      <c r="M127" t="s">
        <v>469</v>
      </c>
      <c r="N127" t="s">
        <v>470</v>
      </c>
      <c r="O127" t="s">
        <v>50</v>
      </c>
      <c r="P127" t="s">
        <v>45</v>
      </c>
      <c r="Q127" t="s">
        <v>45</v>
      </c>
      <c r="V127" s="36"/>
    </row>
    <row r="128" spans="1:23" customFormat="1" hidden="1" x14ac:dyDescent="0.2">
      <c r="A128" s="36" t="s">
        <v>15</v>
      </c>
      <c r="B128" s="36" t="s">
        <v>2</v>
      </c>
      <c r="C128" s="93">
        <v>46037</v>
      </c>
      <c r="D128" s="3">
        <v>46037</v>
      </c>
      <c r="E128" s="126">
        <v>46042</v>
      </c>
      <c r="F128" s="36" t="s">
        <v>82</v>
      </c>
      <c r="G128" s="281">
        <v>-0.02</v>
      </c>
      <c r="H128" s="281">
        <v>0</v>
      </c>
      <c r="I128" s="281">
        <v>-0.02</v>
      </c>
      <c r="J128" s="281">
        <v>-5.0753600000000001E-3</v>
      </c>
      <c r="K128" t="s">
        <v>467</v>
      </c>
      <c r="L128" t="s">
        <v>468</v>
      </c>
      <c r="M128" t="s">
        <v>357</v>
      </c>
      <c r="N128" t="s">
        <v>332</v>
      </c>
      <c r="O128" t="s">
        <v>332</v>
      </c>
      <c r="P128" t="s">
        <v>333</v>
      </c>
      <c r="Q128" t="s">
        <v>62</v>
      </c>
      <c r="V128" s="36"/>
    </row>
    <row r="129" spans="1:22" customFormat="1" hidden="1" x14ac:dyDescent="0.2">
      <c r="A129" s="36" t="s">
        <v>15</v>
      </c>
      <c r="B129" s="36" t="s">
        <v>2</v>
      </c>
      <c r="C129" s="93">
        <v>46037</v>
      </c>
      <c r="D129" s="3">
        <v>46037</v>
      </c>
      <c r="E129" s="126">
        <v>46042</v>
      </c>
      <c r="F129" s="36" t="s">
        <v>82</v>
      </c>
      <c r="G129" s="281">
        <v>10</v>
      </c>
      <c r="H129" s="281">
        <v>0</v>
      </c>
      <c r="I129" s="281">
        <v>10</v>
      </c>
      <c r="J129" s="281">
        <v>2.5376799999999999</v>
      </c>
      <c r="K129" t="s">
        <v>467</v>
      </c>
      <c r="L129" t="s">
        <v>468</v>
      </c>
      <c r="M129" t="s">
        <v>471</v>
      </c>
      <c r="N129" t="s">
        <v>472</v>
      </c>
      <c r="O129" t="s">
        <v>473</v>
      </c>
      <c r="P129" t="s">
        <v>350</v>
      </c>
      <c r="Q129" t="s">
        <v>62</v>
      </c>
      <c r="V129" s="36"/>
    </row>
    <row r="130" spans="1:22" customFormat="1" hidden="1" x14ac:dyDescent="0.2">
      <c r="A130" s="36" t="s">
        <v>15</v>
      </c>
      <c r="B130" s="36" t="s">
        <v>2</v>
      </c>
      <c r="C130" s="93">
        <v>46037</v>
      </c>
      <c r="D130" s="3">
        <v>46037</v>
      </c>
      <c r="E130" s="126">
        <v>46042</v>
      </c>
      <c r="F130" s="36" t="s">
        <v>82</v>
      </c>
      <c r="G130" s="281">
        <v>57</v>
      </c>
      <c r="H130" s="281">
        <v>0</v>
      </c>
      <c r="I130" s="281">
        <v>57</v>
      </c>
      <c r="J130" s="281">
        <v>14.464776000000001</v>
      </c>
      <c r="K130" t="s">
        <v>467</v>
      </c>
      <c r="L130" t="s">
        <v>468</v>
      </c>
      <c r="M130" t="s">
        <v>359</v>
      </c>
      <c r="N130" t="s">
        <v>52</v>
      </c>
      <c r="O130" t="s">
        <v>52</v>
      </c>
      <c r="P130" t="s">
        <v>45</v>
      </c>
      <c r="Q130" t="s">
        <v>45</v>
      </c>
      <c r="V130" s="36"/>
    </row>
    <row r="131" spans="1:22" customFormat="1" hidden="1" x14ac:dyDescent="0.2">
      <c r="A131" s="36" t="s">
        <v>15</v>
      </c>
      <c r="B131" s="36" t="s">
        <v>2</v>
      </c>
      <c r="C131" s="93">
        <v>46037</v>
      </c>
      <c r="D131" s="3">
        <v>46037</v>
      </c>
      <c r="E131" s="126">
        <v>46042</v>
      </c>
      <c r="F131" s="36" t="s">
        <v>82</v>
      </c>
      <c r="G131" s="281">
        <v>3807.52</v>
      </c>
      <c r="H131" s="281">
        <v>0</v>
      </c>
      <c r="I131" s="281">
        <v>3807.52</v>
      </c>
      <c r="J131" s="281">
        <v>966.22673536000002</v>
      </c>
      <c r="K131" t="s">
        <v>467</v>
      </c>
      <c r="L131" t="s">
        <v>468</v>
      </c>
      <c r="M131" t="s">
        <v>360</v>
      </c>
      <c r="N131" t="s">
        <v>353</v>
      </c>
      <c r="O131" t="s">
        <v>48</v>
      </c>
      <c r="P131" t="s">
        <v>45</v>
      </c>
      <c r="Q131" t="s">
        <v>45</v>
      </c>
      <c r="V131" s="36"/>
    </row>
    <row r="132" spans="1:22" customFormat="1" hidden="1" x14ac:dyDescent="0.2">
      <c r="A132" s="36" t="s">
        <v>15</v>
      </c>
      <c r="B132" s="36" t="s">
        <v>2</v>
      </c>
      <c r="C132" s="93">
        <v>46037</v>
      </c>
      <c r="D132" s="3">
        <v>46037</v>
      </c>
      <c r="E132" s="126">
        <v>46042</v>
      </c>
      <c r="F132" s="36" t="s">
        <v>82</v>
      </c>
      <c r="G132" s="281">
        <v>1367</v>
      </c>
      <c r="H132" s="281">
        <v>0</v>
      </c>
      <c r="I132" s="281">
        <v>1367</v>
      </c>
      <c r="J132" s="281">
        <v>346.90085599999998</v>
      </c>
      <c r="K132" t="s">
        <v>467</v>
      </c>
      <c r="L132" t="s">
        <v>468</v>
      </c>
      <c r="M132" t="s">
        <v>360</v>
      </c>
      <c r="N132" t="s">
        <v>353</v>
      </c>
      <c r="O132" t="s">
        <v>48</v>
      </c>
      <c r="P132" t="s">
        <v>438</v>
      </c>
      <c r="Q132" t="s">
        <v>61</v>
      </c>
      <c r="V132" s="36"/>
    </row>
    <row r="133" spans="1:22" customFormat="1" hidden="1" x14ac:dyDescent="0.2">
      <c r="A133" s="36" t="s">
        <v>15</v>
      </c>
      <c r="B133" s="36" t="s">
        <v>2</v>
      </c>
      <c r="C133" s="93">
        <v>46037</v>
      </c>
      <c r="D133" s="3">
        <v>46037</v>
      </c>
      <c r="E133" s="126">
        <v>46042</v>
      </c>
      <c r="F133" s="36" t="s">
        <v>82</v>
      </c>
      <c r="G133" s="281">
        <v>1741.39</v>
      </c>
      <c r="H133" s="281">
        <v>0</v>
      </c>
      <c r="I133" s="281">
        <v>1741.39</v>
      </c>
      <c r="J133" s="281">
        <v>441.90905752000003</v>
      </c>
      <c r="K133" t="s">
        <v>467</v>
      </c>
      <c r="L133" t="s">
        <v>468</v>
      </c>
      <c r="M133" t="s">
        <v>360</v>
      </c>
      <c r="N133" t="s">
        <v>353</v>
      </c>
      <c r="O133" t="s">
        <v>48</v>
      </c>
      <c r="P133" t="s">
        <v>354</v>
      </c>
      <c r="Q133" t="s">
        <v>61</v>
      </c>
      <c r="V133" s="36"/>
    </row>
    <row r="134" spans="1:22" customFormat="1" hidden="1" x14ac:dyDescent="0.2">
      <c r="A134" s="36" t="s">
        <v>15</v>
      </c>
      <c r="B134" s="36" t="s">
        <v>2</v>
      </c>
      <c r="C134" s="93">
        <v>46037</v>
      </c>
      <c r="D134" s="3">
        <v>46037</v>
      </c>
      <c r="E134" s="126">
        <v>46042</v>
      </c>
      <c r="F134" s="36" t="s">
        <v>82</v>
      </c>
      <c r="G134" s="281">
        <v>4444.4400000000005</v>
      </c>
      <c r="H134" s="281">
        <v>0</v>
      </c>
      <c r="I134" s="281">
        <v>4444.4400000000005</v>
      </c>
      <c r="J134" s="281">
        <v>1127.8566499200001</v>
      </c>
      <c r="K134" t="s">
        <v>467</v>
      </c>
      <c r="L134" t="s">
        <v>468</v>
      </c>
      <c r="M134" t="s">
        <v>361</v>
      </c>
      <c r="N134" t="s">
        <v>356</v>
      </c>
      <c r="O134" t="s">
        <v>48</v>
      </c>
      <c r="P134" t="s">
        <v>45</v>
      </c>
      <c r="Q134" t="s">
        <v>45</v>
      </c>
      <c r="V134" s="36"/>
    </row>
    <row r="135" spans="1:22" customFormat="1" hidden="1" x14ac:dyDescent="0.2">
      <c r="A135" s="36" t="s">
        <v>15</v>
      </c>
      <c r="B135" s="36" t="s">
        <v>2</v>
      </c>
      <c r="C135" s="93">
        <v>46037</v>
      </c>
      <c r="D135" s="3">
        <v>46037</v>
      </c>
      <c r="E135" s="126">
        <v>46042</v>
      </c>
      <c r="F135" s="36" t="s">
        <v>82</v>
      </c>
      <c r="G135" s="281">
        <v>33</v>
      </c>
      <c r="H135" s="281">
        <v>0</v>
      </c>
      <c r="I135" s="281">
        <v>33</v>
      </c>
      <c r="J135" s="281">
        <v>8.3743440000000007</v>
      </c>
      <c r="K135" t="s">
        <v>467</v>
      </c>
      <c r="L135" t="s">
        <v>468</v>
      </c>
      <c r="M135" t="s">
        <v>361</v>
      </c>
      <c r="N135" t="s">
        <v>356</v>
      </c>
      <c r="O135" t="s">
        <v>48</v>
      </c>
      <c r="P135" t="s">
        <v>354</v>
      </c>
      <c r="Q135" t="s">
        <v>61</v>
      </c>
      <c r="V135" s="36"/>
    </row>
    <row r="136" spans="1:22" customFormat="1" hidden="1" x14ac:dyDescent="0.2">
      <c r="A136" s="36" t="s">
        <v>15</v>
      </c>
      <c r="B136" s="36" t="s">
        <v>2</v>
      </c>
      <c r="C136" s="93">
        <v>46037</v>
      </c>
      <c r="D136" s="3">
        <v>46037</v>
      </c>
      <c r="E136" s="126">
        <v>46042</v>
      </c>
      <c r="F136" s="36" t="s">
        <v>82</v>
      </c>
      <c r="G136" s="281">
        <v>146.4</v>
      </c>
      <c r="H136" s="281">
        <v>0</v>
      </c>
      <c r="I136" s="281">
        <v>146.4</v>
      </c>
      <c r="J136" s="281">
        <v>37.151635200000001</v>
      </c>
      <c r="K136" t="s">
        <v>467</v>
      </c>
      <c r="L136" t="s">
        <v>468</v>
      </c>
      <c r="M136" t="s">
        <v>361</v>
      </c>
      <c r="N136" t="s">
        <v>356</v>
      </c>
      <c r="O136" t="s">
        <v>48</v>
      </c>
      <c r="P136" t="s">
        <v>438</v>
      </c>
      <c r="Q136" t="s">
        <v>61</v>
      </c>
      <c r="V136" s="36"/>
    </row>
    <row r="137" spans="1:22" customFormat="1" hidden="1" x14ac:dyDescent="0.2">
      <c r="A137" s="36" t="s">
        <v>15</v>
      </c>
      <c r="B137" s="36" t="s">
        <v>2</v>
      </c>
      <c r="C137" s="93">
        <v>46037</v>
      </c>
      <c r="D137" s="3">
        <v>46037</v>
      </c>
      <c r="E137" s="126">
        <v>46042</v>
      </c>
      <c r="F137" s="36" t="s">
        <v>82</v>
      </c>
      <c r="G137" s="281">
        <v>717.86</v>
      </c>
      <c r="H137" s="281">
        <v>0</v>
      </c>
      <c r="I137" s="281">
        <v>717.86</v>
      </c>
      <c r="J137" s="281">
        <v>182.16989648000001</v>
      </c>
      <c r="K137" t="s">
        <v>467</v>
      </c>
      <c r="L137" t="s">
        <v>468</v>
      </c>
      <c r="M137" t="s">
        <v>474</v>
      </c>
      <c r="N137" t="s">
        <v>475</v>
      </c>
      <c r="O137" t="s">
        <v>48</v>
      </c>
      <c r="P137" t="s">
        <v>45</v>
      </c>
      <c r="Q137" t="s">
        <v>45</v>
      </c>
      <c r="V137" s="36"/>
    </row>
    <row r="138" spans="1:22" customFormat="1" hidden="1" x14ac:dyDescent="0.2">
      <c r="A138" s="36" t="s">
        <v>15</v>
      </c>
      <c r="B138" s="36" t="s">
        <v>2</v>
      </c>
      <c r="C138" s="93">
        <v>46037</v>
      </c>
      <c r="D138" s="3">
        <v>46037</v>
      </c>
      <c r="E138" s="126">
        <v>46042</v>
      </c>
      <c r="F138" s="36" t="s">
        <v>82</v>
      </c>
      <c r="G138" s="281">
        <v>1321.54</v>
      </c>
      <c r="H138" s="281">
        <v>0</v>
      </c>
      <c r="I138" s="281">
        <v>1321.54</v>
      </c>
      <c r="J138" s="281">
        <v>335.36456271999998</v>
      </c>
      <c r="K138" t="s">
        <v>467</v>
      </c>
      <c r="L138" t="s">
        <v>468</v>
      </c>
      <c r="M138" t="s">
        <v>474</v>
      </c>
      <c r="N138" t="s">
        <v>475</v>
      </c>
      <c r="O138" t="s">
        <v>48</v>
      </c>
      <c r="P138" t="s">
        <v>354</v>
      </c>
      <c r="Q138" t="s">
        <v>61</v>
      </c>
      <c r="V138" s="36"/>
    </row>
    <row r="139" spans="1:22" customFormat="1" hidden="1" x14ac:dyDescent="0.2">
      <c r="A139" s="36" t="s">
        <v>15</v>
      </c>
      <c r="B139" s="36" t="s">
        <v>2</v>
      </c>
      <c r="C139" s="93">
        <v>46037</v>
      </c>
      <c r="D139" s="3">
        <v>46037</v>
      </c>
      <c r="E139" s="126">
        <v>46042</v>
      </c>
      <c r="F139" s="36" t="s">
        <v>82</v>
      </c>
      <c r="G139" s="281">
        <v>300</v>
      </c>
      <c r="H139" s="281">
        <v>0</v>
      </c>
      <c r="I139" s="281">
        <v>300</v>
      </c>
      <c r="J139" s="281">
        <v>76.130399999999995</v>
      </c>
      <c r="K139" t="s">
        <v>467</v>
      </c>
      <c r="L139" t="s">
        <v>468</v>
      </c>
      <c r="M139" t="s">
        <v>476</v>
      </c>
      <c r="N139" t="s">
        <v>339</v>
      </c>
      <c r="O139" t="s">
        <v>48</v>
      </c>
      <c r="P139" t="s">
        <v>45</v>
      </c>
      <c r="Q139" t="s">
        <v>45</v>
      </c>
      <c r="V139" s="36"/>
    </row>
    <row r="140" spans="1:22" customFormat="1" hidden="1" x14ac:dyDescent="0.2">
      <c r="A140" s="36" t="s">
        <v>15</v>
      </c>
      <c r="B140" s="36" t="s">
        <v>2</v>
      </c>
      <c r="C140" s="93">
        <v>46037</v>
      </c>
      <c r="D140" s="3">
        <v>46037</v>
      </c>
      <c r="E140" s="126">
        <v>46042</v>
      </c>
      <c r="F140" s="36" t="s">
        <v>82</v>
      </c>
      <c r="G140" s="281">
        <v>35.04</v>
      </c>
      <c r="H140" s="281">
        <v>0</v>
      </c>
      <c r="I140" s="281">
        <v>35.04</v>
      </c>
      <c r="J140" s="281">
        <v>8.8920307199999993</v>
      </c>
      <c r="K140" t="s">
        <v>467</v>
      </c>
      <c r="L140" t="s">
        <v>468</v>
      </c>
      <c r="M140" t="s">
        <v>351</v>
      </c>
      <c r="N140" t="s">
        <v>50</v>
      </c>
      <c r="O140" t="s">
        <v>50</v>
      </c>
      <c r="P140" t="s">
        <v>354</v>
      </c>
      <c r="Q140" t="s">
        <v>61</v>
      </c>
      <c r="V140" s="36"/>
    </row>
    <row r="141" spans="1:22" customFormat="1" hidden="1" x14ac:dyDescent="0.2">
      <c r="A141" s="36" t="s">
        <v>15</v>
      </c>
      <c r="B141" s="36" t="s">
        <v>2</v>
      </c>
      <c r="C141" s="93">
        <v>46037</v>
      </c>
      <c r="D141" s="3">
        <v>46037</v>
      </c>
      <c r="E141" s="126">
        <v>46042</v>
      </c>
      <c r="F141" s="36" t="s">
        <v>82</v>
      </c>
      <c r="G141" s="281">
        <v>320</v>
      </c>
      <c r="H141" s="281">
        <v>0</v>
      </c>
      <c r="I141" s="281">
        <v>320</v>
      </c>
      <c r="J141" s="281">
        <v>81.205759999999998</v>
      </c>
      <c r="K141" t="s">
        <v>467</v>
      </c>
      <c r="L141" t="s">
        <v>468</v>
      </c>
      <c r="M141" t="s">
        <v>416</v>
      </c>
      <c r="N141" t="s">
        <v>390</v>
      </c>
      <c r="O141" t="s">
        <v>46</v>
      </c>
      <c r="P141" t="s">
        <v>354</v>
      </c>
      <c r="Q141" t="s">
        <v>61</v>
      </c>
      <c r="V141" s="36"/>
    </row>
    <row r="142" spans="1:22" customFormat="1" hidden="1" x14ac:dyDescent="0.2">
      <c r="A142" s="36" t="s">
        <v>15</v>
      </c>
      <c r="B142" s="36" t="s">
        <v>2</v>
      </c>
      <c r="C142" s="93">
        <v>46042</v>
      </c>
      <c r="D142" s="3">
        <v>46042</v>
      </c>
      <c r="E142" s="126">
        <v>46042</v>
      </c>
      <c r="F142" s="36" t="s">
        <v>82</v>
      </c>
      <c r="G142" s="281">
        <v>1</v>
      </c>
      <c r="H142" s="281">
        <v>0</v>
      </c>
      <c r="I142" s="281">
        <v>1</v>
      </c>
      <c r="J142" s="281">
        <v>0.25376799999999999</v>
      </c>
      <c r="K142" t="s">
        <v>448</v>
      </c>
      <c r="L142" t="s">
        <v>477</v>
      </c>
      <c r="M142" t="s">
        <v>478</v>
      </c>
      <c r="N142" t="s">
        <v>332</v>
      </c>
      <c r="O142" t="s">
        <v>332</v>
      </c>
      <c r="P142" t="s">
        <v>333</v>
      </c>
      <c r="Q142" t="s">
        <v>62</v>
      </c>
      <c r="R142" t="s">
        <v>451</v>
      </c>
      <c r="S142" t="s">
        <v>452</v>
      </c>
      <c r="T142" t="s">
        <v>452</v>
      </c>
      <c r="V142" s="36"/>
    </row>
    <row r="143" spans="1:22" customFormat="1" hidden="1" x14ac:dyDescent="0.2">
      <c r="A143" s="36" t="s">
        <v>15</v>
      </c>
      <c r="B143" s="36" t="s">
        <v>2</v>
      </c>
      <c r="C143" s="93">
        <v>46042</v>
      </c>
      <c r="D143" s="3">
        <v>46042</v>
      </c>
      <c r="E143" s="126">
        <v>46042</v>
      </c>
      <c r="F143" s="36" t="s">
        <v>82</v>
      </c>
      <c r="G143" s="281">
        <v>0.5</v>
      </c>
      <c r="H143" s="281">
        <v>0</v>
      </c>
      <c r="I143" s="281">
        <v>0.5</v>
      </c>
      <c r="J143" s="281">
        <v>0.126884</v>
      </c>
      <c r="K143" t="s">
        <v>448</v>
      </c>
      <c r="L143" t="s">
        <v>479</v>
      </c>
      <c r="M143" t="s">
        <v>480</v>
      </c>
      <c r="N143" t="s">
        <v>332</v>
      </c>
      <c r="O143" t="s">
        <v>332</v>
      </c>
      <c r="P143" t="s">
        <v>333</v>
      </c>
      <c r="Q143" t="s">
        <v>62</v>
      </c>
      <c r="R143" t="s">
        <v>451</v>
      </c>
      <c r="S143" t="s">
        <v>452</v>
      </c>
      <c r="T143" t="s">
        <v>452</v>
      </c>
      <c r="V143" s="36"/>
    </row>
    <row r="144" spans="1:22" customFormat="1" hidden="1" x14ac:dyDescent="0.2">
      <c r="A144" s="36" t="s">
        <v>15</v>
      </c>
      <c r="B144" s="36" t="s">
        <v>2</v>
      </c>
      <c r="C144" s="93">
        <v>46051</v>
      </c>
      <c r="D144" s="3">
        <v>46051</v>
      </c>
      <c r="E144" s="126">
        <v>46051</v>
      </c>
      <c r="F144" s="36" t="s">
        <v>82</v>
      </c>
      <c r="G144" s="281">
        <v>-243204.39</v>
      </c>
      <c r="H144" s="281">
        <v>0</v>
      </c>
      <c r="I144" s="281">
        <v>-243204.39</v>
      </c>
      <c r="J144" s="281">
        <v>-61717.491641519999</v>
      </c>
      <c r="K144" t="s">
        <v>455</v>
      </c>
      <c r="L144" t="s">
        <v>481</v>
      </c>
      <c r="M144" t="s">
        <v>457</v>
      </c>
      <c r="N144" t="s">
        <v>418</v>
      </c>
      <c r="O144" t="s">
        <v>418</v>
      </c>
      <c r="P144" t="s">
        <v>66</v>
      </c>
      <c r="Q144" t="s">
        <v>66</v>
      </c>
      <c r="R144" t="s">
        <v>458</v>
      </c>
      <c r="S144" t="s">
        <v>459</v>
      </c>
      <c r="T144" t="s">
        <v>458</v>
      </c>
      <c r="V144" s="36"/>
    </row>
    <row r="145" spans="1:22" customFormat="1" hidden="1" x14ac:dyDescent="0.2">
      <c r="A145" s="36" t="s">
        <v>15</v>
      </c>
      <c r="B145" s="36" t="s">
        <v>2</v>
      </c>
      <c r="C145" s="93">
        <v>45992</v>
      </c>
      <c r="D145" s="3">
        <v>45998</v>
      </c>
      <c r="E145" s="126">
        <v>46052</v>
      </c>
      <c r="F145" s="36" t="s">
        <v>82</v>
      </c>
      <c r="G145" s="281">
        <v>5393</v>
      </c>
      <c r="H145" s="281">
        <v>0</v>
      </c>
      <c r="I145" s="281">
        <v>5393</v>
      </c>
      <c r="J145" s="281">
        <v>1368.5708239999999</v>
      </c>
      <c r="K145" t="s">
        <v>444</v>
      </c>
      <c r="L145" t="s">
        <v>482</v>
      </c>
      <c r="M145" t="s">
        <v>483</v>
      </c>
      <c r="N145" t="s">
        <v>374</v>
      </c>
      <c r="O145" t="s">
        <v>375</v>
      </c>
      <c r="P145" t="s">
        <v>376</v>
      </c>
      <c r="Q145" t="s">
        <v>62</v>
      </c>
      <c r="R145" t="s">
        <v>484</v>
      </c>
      <c r="S145" t="s">
        <v>466</v>
      </c>
      <c r="T145" t="s">
        <v>465</v>
      </c>
      <c r="V145" s="36"/>
    </row>
    <row r="146" spans="1:22" customFormat="1" hidden="1" x14ac:dyDescent="0.2">
      <c r="A146" s="36" t="s">
        <v>15</v>
      </c>
      <c r="B146" s="36" t="s">
        <v>2</v>
      </c>
      <c r="C146" s="93">
        <v>46376</v>
      </c>
      <c r="D146" s="3">
        <v>46029</v>
      </c>
      <c r="E146" s="126">
        <v>46052</v>
      </c>
      <c r="F146" s="36" t="s">
        <v>82</v>
      </c>
      <c r="G146" s="281">
        <v>2700</v>
      </c>
      <c r="H146" s="281">
        <v>0</v>
      </c>
      <c r="I146" s="281">
        <v>2700</v>
      </c>
      <c r="J146" s="281">
        <v>685.17359999999996</v>
      </c>
      <c r="K146" t="s">
        <v>485</v>
      </c>
      <c r="L146" t="s">
        <v>486</v>
      </c>
      <c r="M146" t="s">
        <v>487</v>
      </c>
      <c r="N146" t="s">
        <v>409</v>
      </c>
      <c r="O146" t="s">
        <v>410</v>
      </c>
      <c r="P146" t="s">
        <v>340</v>
      </c>
      <c r="Q146" t="s">
        <v>62</v>
      </c>
      <c r="R146" t="s">
        <v>488</v>
      </c>
      <c r="S146" t="s">
        <v>466</v>
      </c>
      <c r="T146" t="s">
        <v>465</v>
      </c>
      <c r="V146" s="36"/>
    </row>
    <row r="147" spans="1:22" customFormat="1" hidden="1" x14ac:dyDescent="0.2">
      <c r="A147" s="36" t="s">
        <v>15</v>
      </c>
      <c r="B147" s="36" t="s">
        <v>2</v>
      </c>
      <c r="C147" s="93">
        <v>46023</v>
      </c>
      <c r="D147" s="3">
        <v>46029</v>
      </c>
      <c r="E147" s="126">
        <v>46052</v>
      </c>
      <c r="F147" s="36" t="s">
        <v>82</v>
      </c>
      <c r="G147" s="281">
        <v>5764</v>
      </c>
      <c r="H147" s="281">
        <v>0</v>
      </c>
      <c r="I147" s="281">
        <v>5764</v>
      </c>
      <c r="J147" s="281">
        <v>1462.718752</v>
      </c>
      <c r="K147" t="s">
        <v>444</v>
      </c>
      <c r="L147" t="s">
        <v>489</v>
      </c>
      <c r="M147" t="s">
        <v>490</v>
      </c>
      <c r="N147" t="s">
        <v>374</v>
      </c>
      <c r="O147" t="s">
        <v>375</v>
      </c>
      <c r="P147" t="s">
        <v>376</v>
      </c>
      <c r="Q147" t="s">
        <v>62</v>
      </c>
      <c r="R147" t="s">
        <v>484</v>
      </c>
      <c r="S147" t="s">
        <v>466</v>
      </c>
      <c r="T147" t="s">
        <v>465</v>
      </c>
      <c r="V147" s="36"/>
    </row>
    <row r="148" spans="1:22" customFormat="1" hidden="1" x14ac:dyDescent="0.2">
      <c r="A148" s="36" t="s">
        <v>15</v>
      </c>
      <c r="B148" s="36" t="s">
        <v>2</v>
      </c>
      <c r="C148" s="93">
        <v>46023</v>
      </c>
      <c r="D148" s="3">
        <v>46030</v>
      </c>
      <c r="E148" s="126">
        <v>46052</v>
      </c>
      <c r="F148" s="36" t="s">
        <v>82</v>
      </c>
      <c r="G148" s="281">
        <v>3900</v>
      </c>
      <c r="H148" s="281">
        <v>0</v>
      </c>
      <c r="I148" s="281">
        <v>3900</v>
      </c>
      <c r="J148" s="281">
        <v>989.6952</v>
      </c>
      <c r="K148" t="s">
        <v>491</v>
      </c>
      <c r="L148" t="s">
        <v>492</v>
      </c>
      <c r="M148" t="s">
        <v>493</v>
      </c>
      <c r="N148" t="s">
        <v>409</v>
      </c>
      <c r="O148" t="s">
        <v>410</v>
      </c>
      <c r="P148" t="s">
        <v>340</v>
      </c>
      <c r="Q148" t="s">
        <v>62</v>
      </c>
      <c r="R148" t="s">
        <v>488</v>
      </c>
      <c r="S148" t="s">
        <v>466</v>
      </c>
      <c r="T148" t="s">
        <v>465</v>
      </c>
      <c r="V148" s="36"/>
    </row>
    <row r="149" spans="1:22" customFormat="1" hidden="1" x14ac:dyDescent="0.2">
      <c r="A149" s="36" t="s">
        <v>15</v>
      </c>
      <c r="B149" s="36" t="s">
        <v>2</v>
      </c>
      <c r="C149" s="93">
        <v>46016</v>
      </c>
      <c r="D149" s="3">
        <v>46037</v>
      </c>
      <c r="E149" s="126">
        <v>46052</v>
      </c>
      <c r="F149" s="36" t="s">
        <v>82</v>
      </c>
      <c r="G149" s="281">
        <v>401.75</v>
      </c>
      <c r="H149" s="281">
        <v>0</v>
      </c>
      <c r="I149" s="281">
        <v>401.75</v>
      </c>
      <c r="J149" s="281">
        <v>101.951294</v>
      </c>
      <c r="K149" t="s">
        <v>445</v>
      </c>
      <c r="L149" t="s">
        <v>494</v>
      </c>
      <c r="M149" t="s">
        <v>495</v>
      </c>
      <c r="N149" t="s">
        <v>58</v>
      </c>
      <c r="O149" t="s">
        <v>58</v>
      </c>
      <c r="P149" t="s">
        <v>340</v>
      </c>
      <c r="Q149" t="s">
        <v>62</v>
      </c>
      <c r="R149" t="s">
        <v>488</v>
      </c>
      <c r="S149" t="s">
        <v>466</v>
      </c>
      <c r="T149" t="s">
        <v>465</v>
      </c>
      <c r="V149" s="36"/>
    </row>
    <row r="150" spans="1:22" customFormat="1" hidden="1" x14ac:dyDescent="0.2">
      <c r="A150" s="36" t="s">
        <v>15</v>
      </c>
      <c r="B150" s="36" t="s">
        <v>2</v>
      </c>
      <c r="C150" s="93">
        <v>46053</v>
      </c>
      <c r="D150" s="3">
        <v>46053</v>
      </c>
      <c r="E150" s="126">
        <v>46052</v>
      </c>
      <c r="F150" s="36" t="s">
        <v>82</v>
      </c>
      <c r="G150" s="281"/>
      <c r="H150" s="281"/>
      <c r="I150" s="281"/>
      <c r="J150" s="281">
        <v>4003.46</v>
      </c>
      <c r="K150" t="s">
        <v>1803</v>
      </c>
      <c r="L150" t="s">
        <v>386</v>
      </c>
      <c r="M150" t="s">
        <v>386</v>
      </c>
      <c r="N150" t="s">
        <v>387</v>
      </c>
      <c r="O150" s="146" t="str">
        <f>_xlfn.XLOOKUP(N150,[1]!costcategory[Account Code],[1]!costcategory[Cost Category],"ERROR")</f>
        <v>Headcount Costs</v>
      </c>
      <c r="P150" t="s">
        <v>354</v>
      </c>
      <c r="Q150" s="147" t="str">
        <f>_xlfn.XLOOKUP(P150,[1]!Table2[Department],[1]!Table2[Group],"ERROR")</f>
        <v>Sales &amp; Marketing</v>
      </c>
      <c r="V150" s="36"/>
    </row>
    <row r="151" spans="1:22" customFormat="1" hidden="1" x14ac:dyDescent="0.2">
      <c r="A151" s="36" t="s">
        <v>15</v>
      </c>
      <c r="B151" s="36" t="s">
        <v>2</v>
      </c>
      <c r="C151" s="93">
        <v>46053</v>
      </c>
      <c r="D151" s="3">
        <v>46053</v>
      </c>
      <c r="E151" s="126">
        <v>46052</v>
      </c>
      <c r="F151" s="36" t="s">
        <v>82</v>
      </c>
      <c r="G151" s="281"/>
      <c r="H151" s="281"/>
      <c r="I151" s="281"/>
      <c r="J151" s="281">
        <v>3576.0139999999992</v>
      </c>
      <c r="K151" t="s">
        <v>1803</v>
      </c>
      <c r="L151" t="s">
        <v>386</v>
      </c>
      <c r="M151" t="s">
        <v>386</v>
      </c>
      <c r="N151" t="s">
        <v>387</v>
      </c>
      <c r="O151" s="146" t="str">
        <f>_xlfn.XLOOKUP(N151,[1]!costcategory[Account Code],[1]!costcategory[Cost Category],"ERROR")</f>
        <v>Headcount Costs</v>
      </c>
      <c r="P151" t="s">
        <v>45</v>
      </c>
      <c r="Q151" s="147" t="str">
        <f>_xlfn.XLOOKUP(P151,[1]!Table2[Department],[1]!Table2[Group],"ERROR")</f>
        <v>DSC</v>
      </c>
      <c r="V151" s="36"/>
    </row>
    <row r="152" spans="1:22" customFormat="1" hidden="1" x14ac:dyDescent="0.2">
      <c r="A152" s="36" t="s">
        <v>15</v>
      </c>
      <c r="B152" s="36" t="s">
        <v>2</v>
      </c>
      <c r="C152" s="93">
        <v>46053</v>
      </c>
      <c r="D152" s="3">
        <v>46053</v>
      </c>
      <c r="E152" s="126">
        <v>46052</v>
      </c>
      <c r="F152" s="36" t="s">
        <v>82</v>
      </c>
      <c r="G152" s="281"/>
      <c r="H152" s="281"/>
      <c r="I152" s="281"/>
      <c r="J152" s="281">
        <v>14304.056</v>
      </c>
      <c r="K152" t="s">
        <v>1803</v>
      </c>
      <c r="L152" t="s">
        <v>386</v>
      </c>
      <c r="M152" t="s">
        <v>386</v>
      </c>
      <c r="N152" t="s">
        <v>387</v>
      </c>
      <c r="O152" s="146" t="str">
        <f>_xlfn.XLOOKUP(N152,[1]!costcategory[Account Code],[1]!costcategory[Cost Category],"ERROR")</f>
        <v>Headcount Costs</v>
      </c>
      <c r="P152" t="s">
        <v>63</v>
      </c>
      <c r="Q152" s="147" t="str">
        <f>_xlfn.XLOOKUP(P152,[1]!Table2[Department],[1]!Table2[Group],"ERROR")</f>
        <v>Research &amp; Development</v>
      </c>
      <c r="V152" s="36"/>
    </row>
    <row r="153" spans="1:22" customFormat="1" hidden="1" x14ac:dyDescent="0.2">
      <c r="A153" s="36" t="s">
        <v>15</v>
      </c>
      <c r="B153" s="36" t="s">
        <v>2</v>
      </c>
      <c r="C153" s="93">
        <v>46053</v>
      </c>
      <c r="D153" s="3">
        <v>46053</v>
      </c>
      <c r="E153" s="126">
        <v>46052</v>
      </c>
      <c r="F153" s="36" t="s">
        <v>82</v>
      </c>
      <c r="G153" s="281"/>
      <c r="H153" s="281"/>
      <c r="I153" s="281"/>
      <c r="J153" s="281">
        <v>3634.49</v>
      </c>
      <c r="K153" t="s">
        <v>1803</v>
      </c>
      <c r="L153" t="s">
        <v>386</v>
      </c>
      <c r="M153" t="s">
        <v>386</v>
      </c>
      <c r="N153" t="s">
        <v>387</v>
      </c>
      <c r="O153" s="146" t="str">
        <f>_xlfn.XLOOKUP(N153,[1]!costcategory[Account Code],[1]!costcategory[Cost Category],"ERROR")</f>
        <v>Headcount Costs</v>
      </c>
      <c r="P153" t="s">
        <v>333</v>
      </c>
      <c r="Q153" s="147" t="str">
        <f>_xlfn.XLOOKUP(P153,[1]!Table2[Department],[1]!Table2[Group],"ERROR")</f>
        <v>General &amp; Administrative</v>
      </c>
      <c r="V153" s="36"/>
    </row>
    <row r="154" spans="1:22" customFormat="1" hidden="1" x14ac:dyDescent="0.2">
      <c r="A154" s="36" t="s">
        <v>15</v>
      </c>
      <c r="B154" s="36" t="s">
        <v>2</v>
      </c>
      <c r="C154" s="93">
        <v>46053</v>
      </c>
      <c r="D154" s="3">
        <v>46053</v>
      </c>
      <c r="E154" s="126">
        <v>46052</v>
      </c>
      <c r="F154" s="36" t="s">
        <v>82</v>
      </c>
      <c r="G154" s="281"/>
      <c r="H154" s="281"/>
      <c r="I154" s="281"/>
      <c r="J154" s="281">
        <v>2353.23</v>
      </c>
      <c r="K154" t="s">
        <v>1803</v>
      </c>
      <c r="L154" t="s">
        <v>386</v>
      </c>
      <c r="M154" t="s">
        <v>386</v>
      </c>
      <c r="N154" t="s">
        <v>387</v>
      </c>
      <c r="O154" s="146" t="str">
        <f>_xlfn.XLOOKUP(N154,[1]!costcategory[Account Code],[1]!costcategory[Cost Category],"ERROR")</f>
        <v>Headcount Costs</v>
      </c>
      <c r="P154" t="s">
        <v>350</v>
      </c>
      <c r="Q154" s="147" t="str">
        <f>_xlfn.XLOOKUP(P154,[1]!Table2[Department],[1]!Table2[Group],"ERROR")</f>
        <v>General &amp; Administrative</v>
      </c>
      <c r="V154" s="36"/>
    </row>
    <row r="155" spans="1:22" customFormat="1" hidden="1" x14ac:dyDescent="0.2">
      <c r="A155" s="36" t="s">
        <v>15</v>
      </c>
      <c r="B155" s="36" t="s">
        <v>2</v>
      </c>
      <c r="C155" s="93">
        <v>46053</v>
      </c>
      <c r="D155" s="3">
        <v>46053</v>
      </c>
      <c r="E155" s="126">
        <v>46052</v>
      </c>
      <c r="F155" s="36" t="s">
        <v>82</v>
      </c>
      <c r="G155" s="281"/>
      <c r="H155" s="281"/>
      <c r="I155" s="281"/>
      <c r="J155" s="281">
        <v>7737.65</v>
      </c>
      <c r="K155" t="s">
        <v>1803</v>
      </c>
      <c r="L155" t="s">
        <v>386</v>
      </c>
      <c r="M155" t="s">
        <v>386</v>
      </c>
      <c r="N155" t="s">
        <v>387</v>
      </c>
      <c r="O155" s="146" t="str">
        <f>_xlfn.XLOOKUP(N155,[1]!costcategory[Account Code],[1]!costcategory[Cost Category],"ERROR")</f>
        <v>Headcount Costs</v>
      </c>
      <c r="P155" t="s">
        <v>438</v>
      </c>
      <c r="Q155" s="147" t="str">
        <f>_xlfn.XLOOKUP(P155,[1]!Table2[Department],[1]!Table2[Group],"ERROR")</f>
        <v>Sales &amp; Marketing</v>
      </c>
      <c r="V155" s="36"/>
    </row>
    <row r="156" spans="1:22" customFormat="1" hidden="1" x14ac:dyDescent="0.2">
      <c r="A156" s="36" t="s">
        <v>15</v>
      </c>
      <c r="B156" s="36" t="s">
        <v>2</v>
      </c>
      <c r="C156" s="93">
        <v>46053</v>
      </c>
      <c r="D156" s="3">
        <v>46053</v>
      </c>
      <c r="E156" s="126">
        <v>46053</v>
      </c>
      <c r="F156" s="36" t="s">
        <v>82</v>
      </c>
      <c r="G156" s="281">
        <v>23016</v>
      </c>
      <c r="H156" s="281">
        <v>0</v>
      </c>
      <c r="I156" s="281">
        <v>23016</v>
      </c>
      <c r="J156" s="281">
        <v>5840.7242879999994</v>
      </c>
      <c r="K156" t="s">
        <v>496</v>
      </c>
      <c r="L156" t="s">
        <v>497</v>
      </c>
      <c r="M156" t="s">
        <v>498</v>
      </c>
      <c r="N156" t="s">
        <v>499</v>
      </c>
      <c r="O156" t="s">
        <v>499</v>
      </c>
      <c r="P156" t="s">
        <v>333</v>
      </c>
      <c r="Q156" t="s">
        <v>62</v>
      </c>
      <c r="R156" t="s">
        <v>465</v>
      </c>
      <c r="S156" t="s">
        <v>466</v>
      </c>
      <c r="T156" t="s">
        <v>452</v>
      </c>
      <c r="V156" s="36"/>
    </row>
    <row r="157" spans="1:22" customFormat="1" hidden="1" x14ac:dyDescent="0.2">
      <c r="A157" s="36" t="s">
        <v>15</v>
      </c>
      <c r="B157" s="36" t="s">
        <v>2</v>
      </c>
      <c r="C157" s="93">
        <v>46053</v>
      </c>
      <c r="D157" s="3">
        <v>46053</v>
      </c>
      <c r="E157" s="126">
        <v>46053</v>
      </c>
      <c r="F157" s="36" t="s">
        <v>82</v>
      </c>
      <c r="G157" s="281">
        <v>1.4</v>
      </c>
      <c r="H157" s="281">
        <v>0</v>
      </c>
      <c r="I157" s="281">
        <v>1.4</v>
      </c>
      <c r="J157" s="281">
        <v>0.35527519999999996</v>
      </c>
      <c r="K157" t="s">
        <v>448</v>
      </c>
      <c r="L157" t="s">
        <v>500</v>
      </c>
      <c r="M157" t="s">
        <v>501</v>
      </c>
      <c r="N157" t="s">
        <v>332</v>
      </c>
      <c r="O157" t="s">
        <v>332</v>
      </c>
      <c r="P157" t="s">
        <v>333</v>
      </c>
      <c r="Q157" t="s">
        <v>62</v>
      </c>
      <c r="R157" t="s">
        <v>451</v>
      </c>
      <c r="S157" t="s">
        <v>452</v>
      </c>
      <c r="T157" t="s">
        <v>452</v>
      </c>
      <c r="V157" s="36"/>
    </row>
    <row r="158" spans="1:22" customFormat="1" hidden="1" x14ac:dyDescent="0.2">
      <c r="A158" s="36" t="s">
        <v>15</v>
      </c>
      <c r="B158" s="36" t="s">
        <v>2</v>
      </c>
      <c r="C158" s="93">
        <v>46053</v>
      </c>
      <c r="D158" s="3">
        <v>46053</v>
      </c>
      <c r="E158" s="126">
        <v>46053</v>
      </c>
      <c r="F158" s="36" t="s">
        <v>82</v>
      </c>
      <c r="G158" s="281">
        <v>-3.51</v>
      </c>
      <c r="H158" s="281">
        <v>0</v>
      </c>
      <c r="I158" s="281">
        <v>-3.51</v>
      </c>
      <c r="J158" s="281">
        <v>-0.89072567999999996</v>
      </c>
      <c r="K158" t="s">
        <v>448</v>
      </c>
      <c r="L158" t="s">
        <v>502</v>
      </c>
      <c r="M158" t="s">
        <v>503</v>
      </c>
      <c r="N158" t="s">
        <v>332</v>
      </c>
      <c r="O158" t="s">
        <v>332</v>
      </c>
      <c r="P158" t="s">
        <v>333</v>
      </c>
      <c r="Q158" t="s">
        <v>62</v>
      </c>
      <c r="R158" t="s">
        <v>451</v>
      </c>
      <c r="S158" t="s">
        <v>452</v>
      </c>
      <c r="T158" t="s">
        <v>452</v>
      </c>
      <c r="V158" s="36"/>
    </row>
    <row r="159" spans="1:22" customFormat="1" hidden="1" x14ac:dyDescent="0.2">
      <c r="A159" s="36" t="s">
        <v>15</v>
      </c>
      <c r="B159" s="36" t="s">
        <v>2</v>
      </c>
      <c r="C159" s="93">
        <v>46053</v>
      </c>
      <c r="D159" s="3">
        <v>46053</v>
      </c>
      <c r="E159" s="126">
        <v>46053</v>
      </c>
      <c r="F159" s="36" t="s">
        <v>82</v>
      </c>
      <c r="G159" s="281">
        <v>10</v>
      </c>
      <c r="H159" s="281">
        <v>0</v>
      </c>
      <c r="I159" s="281">
        <v>10</v>
      </c>
      <c r="J159" s="281">
        <v>2.5376799999999999</v>
      </c>
      <c r="K159" t="s">
        <v>448</v>
      </c>
      <c r="L159" t="s">
        <v>500</v>
      </c>
      <c r="M159" t="s">
        <v>504</v>
      </c>
      <c r="N159" t="s">
        <v>332</v>
      </c>
      <c r="O159" t="s">
        <v>332</v>
      </c>
      <c r="P159" t="s">
        <v>333</v>
      </c>
      <c r="Q159" t="s">
        <v>62</v>
      </c>
      <c r="R159" t="s">
        <v>451</v>
      </c>
      <c r="S159" t="s">
        <v>452</v>
      </c>
      <c r="T159" t="s">
        <v>452</v>
      </c>
      <c r="V159" s="36"/>
    </row>
    <row r="160" spans="1:22" customFormat="1" hidden="1" x14ac:dyDescent="0.2">
      <c r="A160" s="36" t="s">
        <v>15</v>
      </c>
      <c r="B160" s="36" t="s">
        <v>2</v>
      </c>
      <c r="C160" s="93">
        <v>46053</v>
      </c>
      <c r="D160" s="3">
        <v>46053</v>
      </c>
      <c r="E160" s="126">
        <v>46055</v>
      </c>
      <c r="F160" s="36" t="s">
        <v>82</v>
      </c>
      <c r="G160" s="281"/>
      <c r="H160" s="281"/>
      <c r="I160" s="281"/>
      <c r="J160" s="281">
        <v>838.5</v>
      </c>
      <c r="K160" t="s">
        <v>1803</v>
      </c>
      <c r="L160" t="s">
        <v>386</v>
      </c>
      <c r="M160" t="s">
        <v>386</v>
      </c>
      <c r="N160" t="s">
        <v>387</v>
      </c>
      <c r="O160" s="146" t="str">
        <f>_xlfn.XLOOKUP(N160,[1]!costcategory[Account Code],[1]!costcategory[Cost Category],"ERROR")</f>
        <v>Headcount Costs</v>
      </c>
      <c r="P160" t="s">
        <v>354</v>
      </c>
      <c r="Q160" s="147" t="str">
        <f>_xlfn.XLOOKUP(P160,[1]!Table2[Department],[1]!Table2[Group],"ERROR")</f>
        <v>Sales &amp; Marketing</v>
      </c>
      <c r="V160" s="36"/>
    </row>
    <row r="161" spans="1:22" customFormat="1" hidden="1" x14ac:dyDescent="0.2">
      <c r="A161" s="36" t="s">
        <v>15</v>
      </c>
      <c r="B161" s="36" t="s">
        <v>2</v>
      </c>
      <c r="C161" s="93">
        <v>46053</v>
      </c>
      <c r="D161" s="3">
        <v>46053</v>
      </c>
      <c r="E161" s="126">
        <v>46055</v>
      </c>
      <c r="F161" s="36" t="s">
        <v>82</v>
      </c>
      <c r="G161" s="281"/>
      <c r="H161" s="281"/>
      <c r="I161" s="281"/>
      <c r="J161" s="281">
        <v>696.52799999999979</v>
      </c>
      <c r="K161" t="s">
        <v>1803</v>
      </c>
      <c r="L161" t="s">
        <v>386</v>
      </c>
      <c r="M161" t="s">
        <v>386</v>
      </c>
      <c r="N161" t="s">
        <v>387</v>
      </c>
      <c r="O161" s="146" t="str">
        <f>_xlfn.XLOOKUP(N161,[1]!costcategory[Account Code],[1]!costcategory[Cost Category],"ERROR")</f>
        <v>Headcount Costs</v>
      </c>
      <c r="P161" t="s">
        <v>45</v>
      </c>
      <c r="Q161" s="147" t="str">
        <f>_xlfn.XLOOKUP(P161,[1]!Table2[Department],[1]!Table2[Group],"ERROR")</f>
        <v>DSC</v>
      </c>
      <c r="V161" s="36"/>
    </row>
    <row r="162" spans="1:22" customFormat="1" hidden="1" x14ac:dyDescent="0.2">
      <c r="A162" s="36" t="s">
        <v>15</v>
      </c>
      <c r="B162" s="36" t="s">
        <v>2</v>
      </c>
      <c r="C162" s="93">
        <v>46053</v>
      </c>
      <c r="D162" s="3">
        <v>46053</v>
      </c>
      <c r="E162" s="126">
        <v>46055</v>
      </c>
      <c r="F162" s="36" t="s">
        <v>82</v>
      </c>
      <c r="G162" s="281"/>
      <c r="H162" s="281"/>
      <c r="I162" s="281"/>
      <c r="J162" s="281">
        <v>2786.1120000000001</v>
      </c>
      <c r="K162" t="s">
        <v>1803</v>
      </c>
      <c r="L162" t="s">
        <v>386</v>
      </c>
      <c r="M162" t="s">
        <v>386</v>
      </c>
      <c r="N162" t="s">
        <v>387</v>
      </c>
      <c r="O162" s="146" t="str">
        <f>_xlfn.XLOOKUP(N162,[1]!costcategory[Account Code],[1]!costcategory[Cost Category],"ERROR")</f>
        <v>Headcount Costs</v>
      </c>
      <c r="P162" t="s">
        <v>63</v>
      </c>
      <c r="Q162" s="147" t="str">
        <f>_xlfn.XLOOKUP(P162,[1]!Table2[Department],[1]!Table2[Group],"ERROR")</f>
        <v>Research &amp; Development</v>
      </c>
      <c r="V162" s="36"/>
    </row>
    <row r="163" spans="1:22" customFormat="1" hidden="1" x14ac:dyDescent="0.2">
      <c r="A163" s="36" t="s">
        <v>15</v>
      </c>
      <c r="B163" s="36" t="s">
        <v>2</v>
      </c>
      <c r="C163" s="93">
        <v>46053</v>
      </c>
      <c r="D163" s="3">
        <v>46053</v>
      </c>
      <c r="E163" s="126">
        <v>46055</v>
      </c>
      <c r="F163" s="36" t="s">
        <v>82</v>
      </c>
      <c r="G163" s="281"/>
      <c r="H163" s="281"/>
      <c r="I163" s="281"/>
      <c r="J163" s="281">
        <v>433.8</v>
      </c>
      <c r="K163" t="s">
        <v>1803</v>
      </c>
      <c r="L163" t="s">
        <v>386</v>
      </c>
      <c r="M163" t="s">
        <v>386</v>
      </c>
      <c r="N163" t="s">
        <v>387</v>
      </c>
      <c r="O163" s="146" t="str">
        <f>_xlfn.XLOOKUP(N163,[1]!costcategory[Account Code],[1]!costcategory[Cost Category],"ERROR")</f>
        <v>Headcount Costs</v>
      </c>
      <c r="P163" t="s">
        <v>333</v>
      </c>
      <c r="Q163" s="147" t="str">
        <f>_xlfn.XLOOKUP(P163,[1]!Table2[Department],[1]!Table2[Group],"ERROR")</f>
        <v>General &amp; Administrative</v>
      </c>
      <c r="V163" s="36"/>
    </row>
    <row r="164" spans="1:22" customFormat="1" hidden="1" x14ac:dyDescent="0.2">
      <c r="A164" s="36" t="s">
        <v>15</v>
      </c>
      <c r="B164" s="36" t="s">
        <v>2</v>
      </c>
      <c r="C164" s="93">
        <v>46053</v>
      </c>
      <c r="D164" s="3">
        <v>46053</v>
      </c>
      <c r="E164" s="126">
        <v>46055</v>
      </c>
      <c r="F164" s="36" t="s">
        <v>82</v>
      </c>
      <c r="G164" s="281"/>
      <c r="H164" s="281"/>
      <c r="I164" s="281"/>
      <c r="J164" s="281">
        <v>369.03</v>
      </c>
      <c r="K164" t="s">
        <v>1803</v>
      </c>
      <c r="L164" t="s">
        <v>386</v>
      </c>
      <c r="M164" t="s">
        <v>386</v>
      </c>
      <c r="N164" t="s">
        <v>387</v>
      </c>
      <c r="O164" s="146" t="str">
        <f>_xlfn.XLOOKUP(N164,[1]!costcategory[Account Code],[1]!costcategory[Cost Category],"ERROR")</f>
        <v>Headcount Costs</v>
      </c>
      <c r="P164" t="s">
        <v>350</v>
      </c>
      <c r="Q164" s="147" t="str">
        <f>_xlfn.XLOOKUP(P164,[1]!Table2[Department],[1]!Table2[Group],"ERROR")</f>
        <v>General &amp; Administrative</v>
      </c>
      <c r="V164" s="36"/>
    </row>
    <row r="165" spans="1:22" customFormat="1" hidden="1" x14ac:dyDescent="0.2">
      <c r="A165" s="36" t="s">
        <v>15</v>
      </c>
      <c r="B165" s="36" t="s">
        <v>2</v>
      </c>
      <c r="C165" s="93">
        <v>46053</v>
      </c>
      <c r="D165" s="3">
        <v>46053</v>
      </c>
      <c r="E165" s="126">
        <v>46055</v>
      </c>
      <c r="F165" s="36" t="s">
        <v>82</v>
      </c>
      <c r="G165" s="281"/>
      <c r="H165" s="281"/>
      <c r="I165" s="281"/>
      <c r="J165" s="281">
        <v>1515.17</v>
      </c>
      <c r="K165" t="s">
        <v>1803</v>
      </c>
      <c r="L165" t="s">
        <v>386</v>
      </c>
      <c r="M165" t="s">
        <v>386</v>
      </c>
      <c r="N165" t="s">
        <v>387</v>
      </c>
      <c r="O165" s="146" t="str">
        <f>_xlfn.XLOOKUP(N165,[1]!costcategory[Account Code],[1]!costcategory[Cost Category],"ERROR")</f>
        <v>Headcount Costs</v>
      </c>
      <c r="P165" t="s">
        <v>438</v>
      </c>
      <c r="Q165" s="147" t="str">
        <f>_xlfn.XLOOKUP(P165,[1]!Table2[Department],[1]!Table2[Group],"ERROR")</f>
        <v>Sales &amp; Marketing</v>
      </c>
      <c r="V165" s="36"/>
    </row>
    <row r="166" spans="1:22" customFormat="1" hidden="1" x14ac:dyDescent="0.2">
      <c r="A166" s="36" t="s">
        <v>15</v>
      </c>
      <c r="B166" s="36" t="s">
        <v>2</v>
      </c>
      <c r="C166" s="93">
        <v>46066</v>
      </c>
      <c r="D166" s="3">
        <v>46066</v>
      </c>
      <c r="E166" s="126">
        <v>46060</v>
      </c>
      <c r="F166" s="36" t="s">
        <v>82</v>
      </c>
      <c r="G166" s="281">
        <v>2700</v>
      </c>
      <c r="H166" s="281">
        <v>0</v>
      </c>
      <c r="I166" s="281">
        <v>2700</v>
      </c>
      <c r="J166" s="281">
        <v>693.66239999999993</v>
      </c>
      <c r="K166" t="s">
        <v>485</v>
      </c>
      <c r="L166" t="s">
        <v>505</v>
      </c>
      <c r="M166" t="s">
        <v>506</v>
      </c>
      <c r="N166" t="s">
        <v>409</v>
      </c>
      <c r="O166" t="s">
        <v>410</v>
      </c>
      <c r="P166" t="s">
        <v>340</v>
      </c>
      <c r="Q166" t="s">
        <v>62</v>
      </c>
      <c r="V166" s="36"/>
    </row>
    <row r="167" spans="1:22" customFormat="1" hidden="1" x14ac:dyDescent="0.2">
      <c r="A167" s="36" t="s">
        <v>15</v>
      </c>
      <c r="B167" s="36" t="s">
        <v>2</v>
      </c>
      <c r="C167" s="93">
        <v>46053</v>
      </c>
      <c r="D167" s="3">
        <v>46053</v>
      </c>
      <c r="E167" s="126">
        <v>46065</v>
      </c>
      <c r="F167" s="36" t="s">
        <v>82</v>
      </c>
      <c r="G167" s="281"/>
      <c r="H167" s="281"/>
      <c r="I167" s="281"/>
      <c r="J167" s="281">
        <v>106.52</v>
      </c>
      <c r="K167" t="s">
        <v>1803</v>
      </c>
      <c r="L167" t="s">
        <v>386</v>
      </c>
      <c r="M167" t="s">
        <v>386</v>
      </c>
      <c r="N167" t="s">
        <v>387</v>
      </c>
      <c r="O167" s="146" t="str">
        <f>_xlfn.XLOOKUP(N167,[1]!costcategory[Account Code],[1]!costcategory[Cost Category],"ERROR")</f>
        <v>Headcount Costs</v>
      </c>
      <c r="P167" t="s">
        <v>354</v>
      </c>
      <c r="Q167" s="147" t="str">
        <f>_xlfn.XLOOKUP(P167,[1]!Table2[Department],[1]!Table2[Group],"ERROR")</f>
        <v>Sales &amp; Marketing</v>
      </c>
      <c r="V167" s="36"/>
    </row>
    <row r="168" spans="1:22" customFormat="1" hidden="1" x14ac:dyDescent="0.2">
      <c r="A168" s="36" t="s">
        <v>15</v>
      </c>
      <c r="B168" s="36" t="s">
        <v>2</v>
      </c>
      <c r="C168" s="93">
        <v>46053</v>
      </c>
      <c r="D168" s="3">
        <v>46053</v>
      </c>
      <c r="E168" s="126">
        <v>46065</v>
      </c>
      <c r="F168" s="36" t="s">
        <v>82</v>
      </c>
      <c r="G168" s="281"/>
      <c r="H168" s="281"/>
      <c r="I168" s="281"/>
      <c r="J168" s="281">
        <v>125.4</v>
      </c>
      <c r="K168" t="s">
        <v>1803</v>
      </c>
      <c r="L168" t="s">
        <v>1736</v>
      </c>
      <c r="M168" t="s">
        <v>1736</v>
      </c>
      <c r="N168" t="s">
        <v>364</v>
      </c>
      <c r="O168" s="146" t="str">
        <f>_xlfn.XLOOKUP(N168,[1]!costcategory[Account Code],[1]!costcategory[Cost Category],"ERROR")</f>
        <v>Headcount Costs</v>
      </c>
      <c r="P168" t="s">
        <v>354</v>
      </c>
      <c r="Q168" s="147" t="str">
        <f>_xlfn.XLOOKUP(P168,[1]!Table2[Department],[1]!Table2[Group],"ERROR")</f>
        <v>Sales &amp; Marketing</v>
      </c>
      <c r="V168" s="36"/>
    </row>
    <row r="169" spans="1:22" customFormat="1" hidden="1" x14ac:dyDescent="0.2">
      <c r="A169" s="36" t="s">
        <v>15</v>
      </c>
      <c r="B169" s="36" t="s">
        <v>2</v>
      </c>
      <c r="C169" s="93">
        <v>46053</v>
      </c>
      <c r="D169" s="3">
        <v>46053</v>
      </c>
      <c r="E169" s="126">
        <v>46065</v>
      </c>
      <c r="F169" s="36" t="s">
        <v>82</v>
      </c>
      <c r="G169" s="281"/>
      <c r="H169" s="281"/>
      <c r="I169" s="281"/>
      <c r="J169" s="281">
        <v>2175.8960000000002</v>
      </c>
      <c r="K169" t="s">
        <v>1803</v>
      </c>
      <c r="L169" t="s">
        <v>386</v>
      </c>
      <c r="M169" t="s">
        <v>386</v>
      </c>
      <c r="N169" t="s">
        <v>387</v>
      </c>
      <c r="O169" s="146" t="str">
        <f>_xlfn.XLOOKUP(N169,[1]!costcategory[Account Code],[1]!costcategory[Cost Category],"ERROR")</f>
        <v>Headcount Costs</v>
      </c>
      <c r="P169" t="s">
        <v>63</v>
      </c>
      <c r="Q169" s="147" t="str">
        <f>_xlfn.XLOOKUP(P169,[1]!Table2[Department],[1]!Table2[Group],"ERROR")</f>
        <v>Research &amp; Development</v>
      </c>
      <c r="V169" s="36"/>
    </row>
    <row r="170" spans="1:22" customFormat="1" hidden="1" x14ac:dyDescent="0.2">
      <c r="A170" s="36" t="s">
        <v>15</v>
      </c>
      <c r="B170" s="36" t="s">
        <v>2</v>
      </c>
      <c r="C170" s="93">
        <v>46053</v>
      </c>
      <c r="D170" s="3">
        <v>46053</v>
      </c>
      <c r="E170" s="126">
        <v>46065</v>
      </c>
      <c r="F170" s="36" t="s">
        <v>82</v>
      </c>
      <c r="G170" s="281"/>
      <c r="H170" s="281"/>
      <c r="I170" s="281"/>
      <c r="J170" s="281">
        <v>543.97399999999971</v>
      </c>
      <c r="K170" t="s">
        <v>1803</v>
      </c>
      <c r="L170" t="s">
        <v>386</v>
      </c>
      <c r="M170" t="s">
        <v>386</v>
      </c>
      <c r="N170" t="s">
        <v>387</v>
      </c>
      <c r="O170" s="146" t="str">
        <f>_xlfn.XLOOKUP(N170,[1]!costcategory[Account Code],[1]!costcategory[Cost Category],"ERROR")</f>
        <v>Headcount Costs</v>
      </c>
      <c r="P170" t="s">
        <v>45</v>
      </c>
      <c r="Q170" s="147" t="str">
        <f>_xlfn.XLOOKUP(P170,[1]!Table2[Department],[1]!Table2[Group],"ERROR")</f>
        <v>DSC</v>
      </c>
      <c r="V170" s="36"/>
    </row>
    <row r="171" spans="1:22" customFormat="1" hidden="1" x14ac:dyDescent="0.2">
      <c r="A171" s="36" t="s">
        <v>15</v>
      </c>
      <c r="B171" s="36" t="s">
        <v>2</v>
      </c>
      <c r="C171" s="93">
        <v>46053</v>
      </c>
      <c r="D171" s="3">
        <v>46053</v>
      </c>
      <c r="E171" s="126">
        <v>46065</v>
      </c>
      <c r="F171" s="36" t="s">
        <v>82</v>
      </c>
      <c r="G171" s="281"/>
      <c r="H171" s="281"/>
      <c r="I171" s="281"/>
      <c r="J171" s="281">
        <v>2855.0400000000004</v>
      </c>
      <c r="K171" t="s">
        <v>1803</v>
      </c>
      <c r="L171" t="s">
        <v>1736</v>
      </c>
      <c r="M171" t="s">
        <v>1736</v>
      </c>
      <c r="N171" t="s">
        <v>364</v>
      </c>
      <c r="O171" s="146" t="str">
        <f>_xlfn.XLOOKUP(N171,[1]!costcategory[Account Code],[1]!costcategory[Cost Category],"ERROR")</f>
        <v>Headcount Costs</v>
      </c>
      <c r="P171" t="s">
        <v>63</v>
      </c>
      <c r="Q171" s="147" t="str">
        <f>_xlfn.XLOOKUP(P171,[1]!Table2[Department],[1]!Table2[Group],"ERROR")</f>
        <v>Research &amp; Development</v>
      </c>
      <c r="V171" s="36"/>
    </row>
    <row r="172" spans="1:22" customFormat="1" hidden="1" x14ac:dyDescent="0.2">
      <c r="A172" s="36" t="s">
        <v>15</v>
      </c>
      <c r="B172" s="36" t="s">
        <v>2</v>
      </c>
      <c r="C172" s="93">
        <v>46053</v>
      </c>
      <c r="D172" s="3">
        <v>46053</v>
      </c>
      <c r="E172" s="126">
        <v>46065</v>
      </c>
      <c r="F172" s="36" t="s">
        <v>82</v>
      </c>
      <c r="G172" s="281"/>
      <c r="H172" s="281"/>
      <c r="I172" s="281"/>
      <c r="J172" s="281">
        <v>713.75999999999976</v>
      </c>
      <c r="K172" t="s">
        <v>1803</v>
      </c>
      <c r="L172" t="s">
        <v>1736</v>
      </c>
      <c r="M172" t="s">
        <v>1736</v>
      </c>
      <c r="N172" t="s">
        <v>364</v>
      </c>
      <c r="O172" s="146" t="str">
        <f>_xlfn.XLOOKUP(N172,[1]!costcategory[Account Code],[1]!costcategory[Cost Category],"ERROR")</f>
        <v>Headcount Costs</v>
      </c>
      <c r="P172" t="s">
        <v>45</v>
      </c>
      <c r="Q172" s="147" t="str">
        <f>_xlfn.XLOOKUP(P172,[1]!Table2[Department],[1]!Table2[Group],"ERROR")</f>
        <v>DSC</v>
      </c>
      <c r="V172" s="36"/>
    </row>
    <row r="173" spans="1:22" customFormat="1" hidden="1" x14ac:dyDescent="0.2">
      <c r="A173" s="36" t="s">
        <v>15</v>
      </c>
      <c r="B173" s="36" t="s">
        <v>2</v>
      </c>
      <c r="C173" s="93">
        <v>46053</v>
      </c>
      <c r="D173" s="3">
        <v>46053</v>
      </c>
      <c r="E173" s="126">
        <v>46065</v>
      </c>
      <c r="F173" s="36" t="s">
        <v>82</v>
      </c>
      <c r="G173" s="281"/>
      <c r="H173" s="281"/>
      <c r="I173" s="281"/>
      <c r="J173" s="281">
        <v>531.62</v>
      </c>
      <c r="K173" t="s">
        <v>1803</v>
      </c>
      <c r="L173" t="s">
        <v>386</v>
      </c>
      <c r="M173" t="s">
        <v>386</v>
      </c>
      <c r="N173" t="s">
        <v>387</v>
      </c>
      <c r="O173" s="146" t="str">
        <f>_xlfn.XLOOKUP(N173,[1]!costcategory[Account Code],[1]!costcategory[Cost Category],"ERROR")</f>
        <v>Headcount Costs</v>
      </c>
      <c r="P173" t="s">
        <v>333</v>
      </c>
      <c r="Q173" s="147" t="str">
        <f>_xlfn.XLOOKUP(P173,[1]!Table2[Department],[1]!Table2[Group],"ERROR")</f>
        <v>General &amp; Administrative</v>
      </c>
      <c r="V173" s="36"/>
    </row>
    <row r="174" spans="1:22" customFormat="1" hidden="1" x14ac:dyDescent="0.2">
      <c r="A174" s="36" t="s">
        <v>15</v>
      </c>
      <c r="B174" s="36" t="s">
        <v>2</v>
      </c>
      <c r="C174" s="93">
        <v>46053</v>
      </c>
      <c r="D174" s="3">
        <v>46053</v>
      </c>
      <c r="E174" s="126">
        <v>46065</v>
      </c>
      <c r="F174" s="36" t="s">
        <v>82</v>
      </c>
      <c r="G174" s="281"/>
      <c r="H174" s="281"/>
      <c r="I174" s="281"/>
      <c r="J174" s="281">
        <v>702.04</v>
      </c>
      <c r="K174" t="s">
        <v>1803</v>
      </c>
      <c r="L174" t="s">
        <v>1736</v>
      </c>
      <c r="M174" t="s">
        <v>1736</v>
      </c>
      <c r="N174" t="s">
        <v>364</v>
      </c>
      <c r="O174" s="146" t="str">
        <f>_xlfn.XLOOKUP(N174,[1]!costcategory[Account Code],[1]!costcategory[Cost Category],"ERROR")</f>
        <v>Headcount Costs</v>
      </c>
      <c r="P174" t="s">
        <v>333</v>
      </c>
      <c r="Q174" s="147" t="str">
        <f>_xlfn.XLOOKUP(P174,[1]!Table2[Department],[1]!Table2[Group],"ERROR")</f>
        <v>General &amp; Administrative</v>
      </c>
      <c r="V174" s="36"/>
    </row>
    <row r="175" spans="1:22" customFormat="1" hidden="1" x14ac:dyDescent="0.2">
      <c r="A175" s="36" t="s">
        <v>15</v>
      </c>
      <c r="B175" s="36" t="s">
        <v>2</v>
      </c>
      <c r="C175" s="93">
        <v>46053</v>
      </c>
      <c r="D175" s="3">
        <v>46053</v>
      </c>
      <c r="E175" s="126">
        <v>46065</v>
      </c>
      <c r="F175" s="36" t="s">
        <v>82</v>
      </c>
      <c r="G175" s="281"/>
      <c r="H175" s="281"/>
      <c r="I175" s="281"/>
      <c r="J175" s="281">
        <v>348.33</v>
      </c>
      <c r="K175" t="s">
        <v>1803</v>
      </c>
      <c r="L175" t="s">
        <v>386</v>
      </c>
      <c r="M175" t="s">
        <v>386</v>
      </c>
      <c r="N175" t="s">
        <v>387</v>
      </c>
      <c r="O175" s="146" t="str">
        <f>_xlfn.XLOOKUP(N175,[1]!costcategory[Account Code],[1]!costcategory[Cost Category],"ERROR")</f>
        <v>Headcount Costs</v>
      </c>
      <c r="P175" t="s">
        <v>350</v>
      </c>
      <c r="Q175" s="147" t="str">
        <f>_xlfn.XLOOKUP(P175,[1]!Table2[Department],[1]!Table2[Group],"ERROR")</f>
        <v>General &amp; Administrative</v>
      </c>
      <c r="V175" s="36"/>
    </row>
    <row r="176" spans="1:22" customFormat="1" hidden="1" x14ac:dyDescent="0.2">
      <c r="A176" s="36" t="s">
        <v>15</v>
      </c>
      <c r="B176" s="36" t="s">
        <v>2</v>
      </c>
      <c r="C176" s="93">
        <v>46053</v>
      </c>
      <c r="D176" s="3">
        <v>46053</v>
      </c>
      <c r="E176" s="126">
        <v>46065</v>
      </c>
      <c r="F176" s="36" t="s">
        <v>82</v>
      </c>
      <c r="G176" s="281"/>
      <c r="H176" s="281"/>
      <c r="I176" s="281"/>
      <c r="J176" s="281">
        <v>459.33</v>
      </c>
      <c r="K176" t="s">
        <v>1803</v>
      </c>
      <c r="L176" t="s">
        <v>1736</v>
      </c>
      <c r="M176" t="s">
        <v>1736</v>
      </c>
      <c r="N176" t="s">
        <v>364</v>
      </c>
      <c r="O176" s="146" t="str">
        <f>_xlfn.XLOOKUP(N176,[1]!costcategory[Account Code],[1]!costcategory[Cost Category],"ERROR")</f>
        <v>Headcount Costs</v>
      </c>
      <c r="P176" t="s">
        <v>350</v>
      </c>
      <c r="Q176" s="147" t="str">
        <f>_xlfn.XLOOKUP(P176,[1]!Table2[Department],[1]!Table2[Group],"ERROR")</f>
        <v>General &amp; Administrative</v>
      </c>
      <c r="V176" s="36"/>
    </row>
    <row r="177" spans="1:22" customFormat="1" hidden="1" x14ac:dyDescent="0.2">
      <c r="A177" s="36" t="s">
        <v>15</v>
      </c>
      <c r="B177" s="36" t="s">
        <v>2</v>
      </c>
      <c r="C177" s="93">
        <v>46053</v>
      </c>
      <c r="D177" s="3">
        <v>46053</v>
      </c>
      <c r="E177" s="126">
        <v>46065</v>
      </c>
      <c r="F177" s="36" t="s">
        <v>82</v>
      </c>
      <c r="G177" s="281"/>
      <c r="H177" s="281"/>
      <c r="I177" s="281"/>
      <c r="J177" s="281">
        <v>1177.04</v>
      </c>
      <c r="K177" t="s">
        <v>1803</v>
      </c>
      <c r="L177" t="s">
        <v>386</v>
      </c>
      <c r="M177" t="s">
        <v>386</v>
      </c>
      <c r="N177" t="s">
        <v>387</v>
      </c>
      <c r="O177" s="146" t="str">
        <f>_xlfn.XLOOKUP(N177,[1]!costcategory[Account Code],[1]!costcategory[Cost Category],"ERROR")</f>
        <v>Headcount Costs</v>
      </c>
      <c r="P177" t="s">
        <v>438</v>
      </c>
      <c r="Q177" s="147" t="str">
        <f>_xlfn.XLOOKUP(P177,[1]!Table2[Department],[1]!Table2[Group],"ERROR")</f>
        <v>Sales &amp; Marketing</v>
      </c>
      <c r="V177" s="36"/>
    </row>
    <row r="178" spans="1:22" customFormat="1" hidden="1" x14ac:dyDescent="0.2">
      <c r="A178" s="36" t="s">
        <v>15</v>
      </c>
      <c r="B178" s="36" t="s">
        <v>2</v>
      </c>
      <c r="C178" s="93">
        <v>46053</v>
      </c>
      <c r="D178" s="3">
        <v>46053</v>
      </c>
      <c r="E178" s="126">
        <v>46065</v>
      </c>
      <c r="F178" s="36" t="s">
        <v>82</v>
      </c>
      <c r="G178" s="281"/>
      <c r="H178" s="281"/>
      <c r="I178" s="281"/>
      <c r="J178" s="281">
        <v>1543.07</v>
      </c>
      <c r="K178" t="s">
        <v>1803</v>
      </c>
      <c r="L178" t="s">
        <v>1736</v>
      </c>
      <c r="M178" t="s">
        <v>1736</v>
      </c>
      <c r="N178" t="s">
        <v>364</v>
      </c>
      <c r="O178" s="146" t="str">
        <f>_xlfn.XLOOKUP(N178,[1]!costcategory[Account Code],[1]!costcategory[Cost Category],"ERROR")</f>
        <v>Headcount Costs</v>
      </c>
      <c r="P178" t="s">
        <v>438</v>
      </c>
      <c r="Q178" s="147" t="str">
        <f>_xlfn.XLOOKUP(P178,[1]!Table2[Department],[1]!Table2[Group],"ERROR")</f>
        <v>Sales &amp; Marketing</v>
      </c>
      <c r="V178" s="36"/>
    </row>
    <row r="179" spans="1:22" customFormat="1" hidden="1" x14ac:dyDescent="0.2">
      <c r="A179" s="36" t="s">
        <v>15</v>
      </c>
      <c r="B179" s="36" t="s">
        <v>2</v>
      </c>
      <c r="C179" s="93">
        <v>46065</v>
      </c>
      <c r="D179" s="3">
        <v>46065</v>
      </c>
      <c r="E179" s="126">
        <v>46065</v>
      </c>
      <c r="F179" s="36" t="s">
        <v>82</v>
      </c>
      <c r="G179" s="281">
        <v>16837</v>
      </c>
      <c r="H179" s="281">
        <v>0</v>
      </c>
      <c r="I179" s="281">
        <v>16837</v>
      </c>
      <c r="J179" s="281">
        <v>4272.6899999999996</v>
      </c>
      <c r="K179" t="s">
        <v>461</v>
      </c>
      <c r="L179" t="s">
        <v>507</v>
      </c>
      <c r="M179" t="s">
        <v>508</v>
      </c>
      <c r="N179" t="s">
        <v>509</v>
      </c>
      <c r="O179" t="s">
        <v>510</v>
      </c>
      <c r="P179" t="s">
        <v>340</v>
      </c>
      <c r="Q179" t="s">
        <v>62</v>
      </c>
      <c r="V179" s="36"/>
    </row>
    <row r="180" spans="1:22" customFormat="1" hidden="1" x14ac:dyDescent="0.2">
      <c r="A180" s="36" t="s">
        <v>15</v>
      </c>
      <c r="B180" s="36" t="s">
        <v>2</v>
      </c>
      <c r="C180" s="93">
        <v>46066</v>
      </c>
      <c r="D180" s="3">
        <v>46038</v>
      </c>
      <c r="E180" s="126">
        <v>46066</v>
      </c>
      <c r="F180" s="36" t="s">
        <v>82</v>
      </c>
      <c r="G180" s="281">
        <v>-1000000</v>
      </c>
      <c r="H180" s="281">
        <v>0</v>
      </c>
      <c r="I180" s="281">
        <v>-1000000</v>
      </c>
      <c r="J180" s="281">
        <v>-256911.99999999997</v>
      </c>
      <c r="K180" t="s">
        <v>511</v>
      </c>
      <c r="L180" t="s">
        <v>100</v>
      </c>
      <c r="M180" t="s">
        <v>293</v>
      </c>
      <c r="N180" t="s">
        <v>382</v>
      </c>
      <c r="O180" t="s">
        <v>10</v>
      </c>
      <c r="P180" t="s">
        <v>438</v>
      </c>
      <c r="Q180" t="s">
        <v>61</v>
      </c>
      <c r="V180" s="36"/>
    </row>
    <row r="181" spans="1:22" customFormat="1" hidden="1" x14ac:dyDescent="0.2">
      <c r="A181" s="36" t="s">
        <v>15</v>
      </c>
      <c r="B181" s="36" t="s">
        <v>2</v>
      </c>
      <c r="C181" s="93">
        <v>46066</v>
      </c>
      <c r="D181" s="3">
        <v>46038</v>
      </c>
      <c r="E181" s="126">
        <v>46066</v>
      </c>
      <c r="F181" s="36" t="s">
        <v>82</v>
      </c>
      <c r="G181" s="281">
        <v>-883220</v>
      </c>
      <c r="H181" s="281">
        <v>0</v>
      </c>
      <c r="I181" s="281">
        <v>-883220</v>
      </c>
      <c r="J181" s="281">
        <v>-226909.81663999998</v>
      </c>
      <c r="K181" t="s">
        <v>511</v>
      </c>
      <c r="L181" t="s">
        <v>100</v>
      </c>
      <c r="M181" t="s">
        <v>293</v>
      </c>
      <c r="N181" t="s">
        <v>382</v>
      </c>
      <c r="O181" t="s">
        <v>10</v>
      </c>
      <c r="P181" t="s">
        <v>438</v>
      </c>
      <c r="Q181" t="s">
        <v>61</v>
      </c>
      <c r="V181" s="36"/>
    </row>
    <row r="182" spans="1:22" customFormat="1" hidden="1" x14ac:dyDescent="0.2">
      <c r="A182" s="36" t="s">
        <v>15</v>
      </c>
      <c r="B182" s="36" t="s">
        <v>2</v>
      </c>
      <c r="C182" s="93">
        <v>46066</v>
      </c>
      <c r="D182" s="3">
        <v>46041</v>
      </c>
      <c r="E182" s="126">
        <v>46066</v>
      </c>
      <c r="F182" s="36" t="s">
        <v>82</v>
      </c>
      <c r="G182" s="281">
        <v>32030.639999999999</v>
      </c>
      <c r="H182" s="281">
        <v>0</v>
      </c>
      <c r="I182" s="281">
        <v>32030.639999999999</v>
      </c>
      <c r="J182" s="281">
        <v>8229.0557836799999</v>
      </c>
      <c r="K182" t="s">
        <v>512</v>
      </c>
      <c r="L182" t="s">
        <v>513</v>
      </c>
      <c r="M182" t="s">
        <v>514</v>
      </c>
      <c r="N182" t="s">
        <v>349</v>
      </c>
      <c r="O182" t="s">
        <v>46</v>
      </c>
      <c r="P182" t="s">
        <v>350</v>
      </c>
      <c r="Q182" t="s">
        <v>62</v>
      </c>
      <c r="V182" s="36"/>
    </row>
    <row r="183" spans="1:22" customFormat="1" hidden="1" x14ac:dyDescent="0.2">
      <c r="A183" s="36" t="s">
        <v>15</v>
      </c>
      <c r="B183" s="36" t="s">
        <v>2</v>
      </c>
      <c r="C183" s="93">
        <v>46066</v>
      </c>
      <c r="D183" s="3">
        <v>46041</v>
      </c>
      <c r="E183" s="126">
        <v>46066</v>
      </c>
      <c r="F183" s="36" t="s">
        <v>82</v>
      </c>
      <c r="G183" s="281">
        <v>10</v>
      </c>
      <c r="H183" s="281">
        <v>0</v>
      </c>
      <c r="I183" s="281">
        <v>10</v>
      </c>
      <c r="J183" s="281">
        <v>2.5691199999999998</v>
      </c>
      <c r="K183" t="s">
        <v>512</v>
      </c>
      <c r="L183" t="s">
        <v>513</v>
      </c>
      <c r="M183" t="s">
        <v>515</v>
      </c>
      <c r="N183" t="s">
        <v>472</v>
      </c>
      <c r="O183" t="s">
        <v>473</v>
      </c>
      <c r="P183" t="s">
        <v>350</v>
      </c>
      <c r="Q183" t="s">
        <v>62</v>
      </c>
      <c r="V183" s="36"/>
    </row>
    <row r="184" spans="1:22" customFormat="1" hidden="1" x14ac:dyDescent="0.2">
      <c r="A184" s="36" t="s">
        <v>15</v>
      </c>
      <c r="B184" s="36" t="s">
        <v>2</v>
      </c>
      <c r="C184" s="93">
        <v>46066</v>
      </c>
      <c r="D184" s="3">
        <v>46052</v>
      </c>
      <c r="E184" s="126">
        <v>46066</v>
      </c>
      <c r="F184" s="36" t="s">
        <v>82</v>
      </c>
      <c r="G184" s="281">
        <v>11666.05</v>
      </c>
      <c r="H184" s="281">
        <v>0</v>
      </c>
      <c r="I184" s="281">
        <v>11666.05</v>
      </c>
      <c r="J184" s="281">
        <v>2997.1482375999994</v>
      </c>
      <c r="K184" t="s">
        <v>516</v>
      </c>
      <c r="L184" t="s">
        <v>494</v>
      </c>
      <c r="M184" t="s">
        <v>517</v>
      </c>
      <c r="N184" t="s">
        <v>464</v>
      </c>
      <c r="O184" t="s">
        <v>464</v>
      </c>
      <c r="P184" t="s">
        <v>350</v>
      </c>
      <c r="Q184" t="s">
        <v>62</v>
      </c>
      <c r="V184" s="36"/>
    </row>
    <row r="185" spans="1:22" customFormat="1" hidden="1" x14ac:dyDescent="0.2">
      <c r="A185" s="36" t="s">
        <v>15</v>
      </c>
      <c r="B185" s="36" t="s">
        <v>2</v>
      </c>
      <c r="C185" s="93">
        <v>46066</v>
      </c>
      <c r="D185" s="3">
        <v>46061</v>
      </c>
      <c r="E185" s="126">
        <v>46066</v>
      </c>
      <c r="F185" s="36" t="s">
        <v>82</v>
      </c>
      <c r="G185" s="281">
        <v>3900</v>
      </c>
      <c r="H185" s="281">
        <v>0</v>
      </c>
      <c r="I185" s="281">
        <v>3900</v>
      </c>
      <c r="J185" s="281">
        <v>1001.9567999999999</v>
      </c>
      <c r="K185" t="s">
        <v>518</v>
      </c>
      <c r="L185" t="s">
        <v>519</v>
      </c>
      <c r="M185" t="s">
        <v>520</v>
      </c>
      <c r="N185" t="s">
        <v>409</v>
      </c>
      <c r="O185" t="s">
        <v>410</v>
      </c>
      <c r="P185" t="s">
        <v>340</v>
      </c>
      <c r="Q185" t="s">
        <v>62</v>
      </c>
      <c r="V185" s="36"/>
    </row>
    <row r="186" spans="1:22" customFormat="1" hidden="1" x14ac:dyDescent="0.2">
      <c r="A186" s="36" t="s">
        <v>15</v>
      </c>
      <c r="B186" s="36" t="s">
        <v>2</v>
      </c>
      <c r="C186" s="93">
        <v>46066</v>
      </c>
      <c r="D186" s="3">
        <v>46066</v>
      </c>
      <c r="E186" s="126">
        <v>46066</v>
      </c>
      <c r="F186" s="36" t="s">
        <v>82</v>
      </c>
      <c r="G186" s="281">
        <v>1000</v>
      </c>
      <c r="H186" s="281">
        <v>0</v>
      </c>
      <c r="I186" s="281">
        <v>1000</v>
      </c>
      <c r="J186" s="281">
        <v>256.91199999999998</v>
      </c>
      <c r="K186" t="s">
        <v>521</v>
      </c>
      <c r="M186" t="s">
        <v>522</v>
      </c>
      <c r="N186" t="s">
        <v>367</v>
      </c>
      <c r="O186" t="s">
        <v>367</v>
      </c>
      <c r="P186" t="s">
        <v>523</v>
      </c>
      <c r="Q186" t="s">
        <v>62</v>
      </c>
      <c r="V186" s="36"/>
    </row>
    <row r="187" spans="1:22" customFormat="1" hidden="1" x14ac:dyDescent="0.2">
      <c r="A187" s="36" t="s">
        <v>15</v>
      </c>
      <c r="B187" s="36" t="s">
        <v>2</v>
      </c>
      <c r="C187" s="93">
        <v>46066</v>
      </c>
      <c r="D187" s="3">
        <v>46066</v>
      </c>
      <c r="E187" s="126">
        <v>46066</v>
      </c>
      <c r="F187" s="36" t="s">
        <v>82</v>
      </c>
      <c r="G187" s="281">
        <v>0.6</v>
      </c>
      <c r="H187" s="281">
        <v>0</v>
      </c>
      <c r="I187" s="281">
        <v>0.6</v>
      </c>
      <c r="J187" s="281">
        <v>0.15414719999999998</v>
      </c>
      <c r="K187" t="s">
        <v>448</v>
      </c>
      <c r="L187" s="4" t="s">
        <v>524</v>
      </c>
      <c r="M187" t="s">
        <v>332</v>
      </c>
      <c r="N187" t="s">
        <v>332</v>
      </c>
      <c r="O187" t="s">
        <v>332</v>
      </c>
      <c r="P187" t="s">
        <v>333</v>
      </c>
      <c r="Q187" t="s">
        <v>62</v>
      </c>
      <c r="V187" s="36"/>
    </row>
    <row r="188" spans="1:22" customFormat="1" hidden="1" x14ac:dyDescent="0.2">
      <c r="A188" s="36" t="s">
        <v>15</v>
      </c>
      <c r="B188" s="36" t="s">
        <v>2</v>
      </c>
      <c r="C188" s="93">
        <v>46066</v>
      </c>
      <c r="D188" s="3">
        <v>46066</v>
      </c>
      <c r="E188" s="126">
        <v>46066</v>
      </c>
      <c r="F188" s="36" t="s">
        <v>82</v>
      </c>
      <c r="G188" s="281">
        <v>0.5</v>
      </c>
      <c r="H188" s="281">
        <v>0</v>
      </c>
      <c r="I188" s="281">
        <v>0.5</v>
      </c>
      <c r="J188" s="281">
        <v>0.12845599999999999</v>
      </c>
      <c r="K188" t="s">
        <v>448</v>
      </c>
      <c r="L188" s="4" t="s">
        <v>524</v>
      </c>
      <c r="M188" t="s">
        <v>332</v>
      </c>
      <c r="N188" t="s">
        <v>332</v>
      </c>
      <c r="O188" t="s">
        <v>332</v>
      </c>
      <c r="P188" t="s">
        <v>333</v>
      </c>
      <c r="Q188" t="s">
        <v>62</v>
      </c>
      <c r="V188" s="36"/>
    </row>
    <row r="189" spans="1:22" customFormat="1" hidden="1" x14ac:dyDescent="0.2">
      <c r="A189" s="36" t="s">
        <v>15</v>
      </c>
      <c r="B189" s="36" t="s">
        <v>2</v>
      </c>
      <c r="C189" s="93">
        <v>46066</v>
      </c>
      <c r="D189" s="3">
        <v>46066</v>
      </c>
      <c r="E189" s="126">
        <v>46066</v>
      </c>
      <c r="F189" s="36" t="s">
        <v>82</v>
      </c>
      <c r="G189" s="281">
        <v>0.5</v>
      </c>
      <c r="H189" s="281">
        <v>0</v>
      </c>
      <c r="I189" s="281">
        <v>0.5</v>
      </c>
      <c r="J189" s="281">
        <v>0.12845599999999999</v>
      </c>
      <c r="K189" t="s">
        <v>448</v>
      </c>
      <c r="L189" s="4" t="s">
        <v>524</v>
      </c>
      <c r="M189" t="s">
        <v>332</v>
      </c>
      <c r="N189" t="s">
        <v>332</v>
      </c>
      <c r="O189" t="s">
        <v>332</v>
      </c>
      <c r="P189" t="s">
        <v>333</v>
      </c>
      <c r="Q189" t="s">
        <v>62</v>
      </c>
      <c r="V189" s="36"/>
    </row>
    <row r="190" spans="1:22" customFormat="1" hidden="1" x14ac:dyDescent="0.2">
      <c r="A190" s="36" t="s">
        <v>15</v>
      </c>
      <c r="B190" s="36" t="s">
        <v>2</v>
      </c>
      <c r="C190" s="93">
        <v>46066</v>
      </c>
      <c r="D190" s="3">
        <v>46066</v>
      </c>
      <c r="E190" s="126">
        <v>46066</v>
      </c>
      <c r="F190" s="36" t="s">
        <v>82</v>
      </c>
      <c r="G190" s="281">
        <v>690</v>
      </c>
      <c r="H190" s="281">
        <v>0</v>
      </c>
      <c r="I190" s="281">
        <v>690</v>
      </c>
      <c r="J190" s="281">
        <v>177.26927999999998</v>
      </c>
      <c r="K190" t="s">
        <v>525</v>
      </c>
      <c r="L190" t="s">
        <v>525</v>
      </c>
      <c r="M190" t="s">
        <v>476</v>
      </c>
      <c r="N190" t="s">
        <v>339</v>
      </c>
      <c r="O190" t="s">
        <v>48</v>
      </c>
      <c r="P190" t="s">
        <v>438</v>
      </c>
      <c r="Q190" t="s">
        <v>61</v>
      </c>
      <c r="V190" s="36"/>
    </row>
    <row r="191" spans="1:22" customFormat="1" hidden="1" x14ac:dyDescent="0.2">
      <c r="A191" s="36" t="s">
        <v>15</v>
      </c>
      <c r="B191" s="36" t="s">
        <v>2</v>
      </c>
      <c r="C191" s="93">
        <v>46066</v>
      </c>
      <c r="D191" s="3">
        <v>46066</v>
      </c>
      <c r="E191" s="126">
        <v>46066</v>
      </c>
      <c r="F191" s="36" t="s">
        <v>82</v>
      </c>
      <c r="G191" s="281">
        <v>1465.25</v>
      </c>
      <c r="H191" s="281">
        <v>0</v>
      </c>
      <c r="I191" s="281">
        <v>1465.25</v>
      </c>
      <c r="J191" s="281">
        <v>376.44030799999996</v>
      </c>
      <c r="K191" t="s">
        <v>525</v>
      </c>
      <c r="L191" t="s">
        <v>525</v>
      </c>
      <c r="M191" t="s">
        <v>526</v>
      </c>
      <c r="N191" t="s">
        <v>527</v>
      </c>
      <c r="O191" t="s">
        <v>51</v>
      </c>
      <c r="P191" t="s">
        <v>438</v>
      </c>
      <c r="Q191" t="s">
        <v>61</v>
      </c>
      <c r="V191" s="36"/>
    </row>
    <row r="192" spans="1:22" customFormat="1" hidden="1" x14ac:dyDescent="0.2">
      <c r="A192" s="36" t="s">
        <v>15</v>
      </c>
      <c r="B192" s="36" t="s">
        <v>2</v>
      </c>
      <c r="C192" s="93">
        <v>46066</v>
      </c>
      <c r="D192" s="3">
        <v>46066</v>
      </c>
      <c r="E192" s="126">
        <v>46066</v>
      </c>
      <c r="F192" s="36" t="s">
        <v>82</v>
      </c>
      <c r="G192" s="281">
        <v>834.55000000000018</v>
      </c>
      <c r="H192" s="281">
        <v>0</v>
      </c>
      <c r="I192" s="281">
        <v>834.55000000000018</v>
      </c>
      <c r="J192" s="281">
        <v>214.40590960000003</v>
      </c>
      <c r="K192" t="s">
        <v>525</v>
      </c>
      <c r="L192" t="s">
        <v>525</v>
      </c>
      <c r="M192" t="s">
        <v>526</v>
      </c>
      <c r="N192" t="s">
        <v>527</v>
      </c>
      <c r="O192" t="s">
        <v>51</v>
      </c>
      <c r="P192" t="s">
        <v>45</v>
      </c>
      <c r="Q192" t="s">
        <v>45</v>
      </c>
      <c r="V192" s="36"/>
    </row>
    <row r="193" spans="1:22" customFormat="1" hidden="1" x14ac:dyDescent="0.2">
      <c r="A193" s="36" t="s">
        <v>15</v>
      </c>
      <c r="B193" s="36" t="s">
        <v>2</v>
      </c>
      <c r="C193" s="93">
        <v>46066</v>
      </c>
      <c r="D193" s="3">
        <v>46066</v>
      </c>
      <c r="E193" s="126">
        <v>46066</v>
      </c>
      <c r="F193" s="36" t="s">
        <v>82</v>
      </c>
      <c r="G193" s="281">
        <v>135</v>
      </c>
      <c r="H193" s="281">
        <v>0</v>
      </c>
      <c r="I193" s="281">
        <v>135</v>
      </c>
      <c r="J193" s="281">
        <v>34.683119999999995</v>
      </c>
      <c r="K193" t="s">
        <v>525</v>
      </c>
      <c r="L193" t="s">
        <v>525</v>
      </c>
      <c r="M193" t="s">
        <v>355</v>
      </c>
      <c r="N193" t="s">
        <v>402</v>
      </c>
      <c r="O193" t="s">
        <v>48</v>
      </c>
      <c r="P193" t="s">
        <v>438</v>
      </c>
      <c r="Q193" t="s">
        <v>61</v>
      </c>
      <c r="V193" s="36"/>
    </row>
    <row r="194" spans="1:22" customFormat="1" hidden="1" x14ac:dyDescent="0.2">
      <c r="A194" s="36" t="s">
        <v>15</v>
      </c>
      <c r="B194" s="36" t="s">
        <v>2</v>
      </c>
      <c r="C194" s="93">
        <v>46066</v>
      </c>
      <c r="D194" s="3">
        <v>46066</v>
      </c>
      <c r="E194" s="126">
        <v>46066</v>
      </c>
      <c r="F194" s="36" t="s">
        <v>82</v>
      </c>
      <c r="G194" s="281">
        <v>700</v>
      </c>
      <c r="H194" s="281">
        <v>0</v>
      </c>
      <c r="I194" s="281">
        <v>700</v>
      </c>
      <c r="J194" s="281">
        <v>179.83839999999998</v>
      </c>
      <c r="K194" t="s">
        <v>525</v>
      </c>
      <c r="L194" t="s">
        <v>525</v>
      </c>
      <c r="M194" t="s">
        <v>392</v>
      </c>
      <c r="N194" t="s">
        <v>393</v>
      </c>
      <c r="O194" t="s">
        <v>46</v>
      </c>
      <c r="P194" t="s">
        <v>350</v>
      </c>
      <c r="Q194" t="s">
        <v>62</v>
      </c>
      <c r="V194" s="36"/>
    </row>
    <row r="195" spans="1:22" customFormat="1" hidden="1" x14ac:dyDescent="0.2">
      <c r="A195" s="36" t="s">
        <v>15</v>
      </c>
      <c r="B195" s="36" t="s">
        <v>2</v>
      </c>
      <c r="C195" s="93">
        <v>46066</v>
      </c>
      <c r="D195" s="3">
        <v>46066</v>
      </c>
      <c r="E195" s="126">
        <v>46066</v>
      </c>
      <c r="F195" s="36" t="s">
        <v>82</v>
      </c>
      <c r="G195" s="281">
        <v>79</v>
      </c>
      <c r="H195" s="281">
        <v>0</v>
      </c>
      <c r="I195" s="281">
        <v>79</v>
      </c>
      <c r="J195" s="281">
        <v>20.296047999999999</v>
      </c>
      <c r="K195" t="s">
        <v>525</v>
      </c>
      <c r="L195" t="s">
        <v>525</v>
      </c>
      <c r="M195" t="s">
        <v>359</v>
      </c>
      <c r="N195" t="s">
        <v>52</v>
      </c>
      <c r="O195" t="s">
        <v>52</v>
      </c>
      <c r="P195" t="s">
        <v>45</v>
      </c>
      <c r="Q195" t="s">
        <v>45</v>
      </c>
      <c r="V195" s="36"/>
    </row>
    <row r="196" spans="1:22" customFormat="1" hidden="1" x14ac:dyDescent="0.2">
      <c r="A196" s="36" t="s">
        <v>15</v>
      </c>
      <c r="B196" s="36" t="s">
        <v>2</v>
      </c>
      <c r="C196" s="93">
        <v>46066</v>
      </c>
      <c r="D196" s="3">
        <v>46066</v>
      </c>
      <c r="E196" s="126">
        <v>46066</v>
      </c>
      <c r="F196" s="36" t="s">
        <v>82</v>
      </c>
      <c r="G196" s="281">
        <v>24.63</v>
      </c>
      <c r="H196" s="281">
        <v>0</v>
      </c>
      <c r="I196" s="281">
        <v>24.63</v>
      </c>
      <c r="J196" s="281">
        <v>6.327742559999999</v>
      </c>
      <c r="K196" t="s">
        <v>525</v>
      </c>
      <c r="L196" t="s">
        <v>525</v>
      </c>
      <c r="M196" t="s">
        <v>360</v>
      </c>
      <c r="N196" t="s">
        <v>353</v>
      </c>
      <c r="O196" t="s">
        <v>48</v>
      </c>
      <c r="P196" t="s">
        <v>45</v>
      </c>
      <c r="Q196" t="s">
        <v>45</v>
      </c>
      <c r="V196" s="36"/>
    </row>
    <row r="197" spans="1:22" customFormat="1" hidden="1" x14ac:dyDescent="0.2">
      <c r="A197" s="36" t="s">
        <v>15</v>
      </c>
      <c r="B197" s="36" t="s">
        <v>2</v>
      </c>
      <c r="C197" s="93">
        <v>46066</v>
      </c>
      <c r="D197" s="3">
        <v>46066</v>
      </c>
      <c r="E197" s="126">
        <v>46066</v>
      </c>
      <c r="F197" s="36" t="s">
        <v>82</v>
      </c>
      <c r="G197" s="281">
        <v>1891.31</v>
      </c>
      <c r="H197" s="281">
        <v>0</v>
      </c>
      <c r="I197" s="281">
        <v>1891.31</v>
      </c>
      <c r="J197" s="281">
        <v>485.90023471999996</v>
      </c>
      <c r="K197" t="s">
        <v>525</v>
      </c>
      <c r="L197" t="s">
        <v>525</v>
      </c>
      <c r="M197" t="s">
        <v>360</v>
      </c>
      <c r="N197" t="s">
        <v>353</v>
      </c>
      <c r="O197" t="s">
        <v>48</v>
      </c>
      <c r="P197" t="s">
        <v>333</v>
      </c>
      <c r="Q197" t="s">
        <v>62</v>
      </c>
      <c r="V197" s="36"/>
    </row>
    <row r="198" spans="1:22" customFormat="1" hidden="1" x14ac:dyDescent="0.2">
      <c r="A198" s="36" t="s">
        <v>15</v>
      </c>
      <c r="B198" s="36" t="s">
        <v>2</v>
      </c>
      <c r="C198" s="93">
        <v>46066</v>
      </c>
      <c r="D198" s="3">
        <v>46066</v>
      </c>
      <c r="E198" s="126">
        <v>46066</v>
      </c>
      <c r="F198" s="36" t="s">
        <v>82</v>
      </c>
      <c r="G198" s="281">
        <v>485.1</v>
      </c>
      <c r="H198" s="281">
        <v>0</v>
      </c>
      <c r="I198" s="281">
        <v>485.1</v>
      </c>
      <c r="J198" s="281">
        <v>124.62801119999999</v>
      </c>
      <c r="K198" t="s">
        <v>525</v>
      </c>
      <c r="L198" t="s">
        <v>525</v>
      </c>
      <c r="M198" t="s">
        <v>361</v>
      </c>
      <c r="N198" t="s">
        <v>356</v>
      </c>
      <c r="O198" t="s">
        <v>48</v>
      </c>
      <c r="P198" t="s">
        <v>438</v>
      </c>
      <c r="Q198" t="s">
        <v>61</v>
      </c>
      <c r="V198" s="36"/>
    </row>
    <row r="199" spans="1:22" customFormat="1" hidden="1" x14ac:dyDescent="0.2">
      <c r="A199" s="36" t="s">
        <v>15</v>
      </c>
      <c r="B199" s="36" t="s">
        <v>2</v>
      </c>
      <c r="C199" s="93">
        <v>46066</v>
      </c>
      <c r="D199" s="3">
        <v>46066</v>
      </c>
      <c r="E199" s="126">
        <v>46066</v>
      </c>
      <c r="F199" s="36" t="s">
        <v>82</v>
      </c>
      <c r="G199" s="281">
        <v>659.08</v>
      </c>
      <c r="H199" s="281">
        <v>0</v>
      </c>
      <c r="I199" s="281">
        <v>659.08</v>
      </c>
      <c r="J199" s="281">
        <v>169.32556095999999</v>
      </c>
      <c r="K199" t="s">
        <v>525</v>
      </c>
      <c r="L199" t="s">
        <v>525</v>
      </c>
      <c r="M199" t="s">
        <v>361</v>
      </c>
      <c r="N199" t="s">
        <v>356</v>
      </c>
      <c r="O199" t="s">
        <v>48</v>
      </c>
      <c r="P199" t="s">
        <v>45</v>
      </c>
      <c r="Q199" t="s">
        <v>45</v>
      </c>
      <c r="V199" s="36"/>
    </row>
    <row r="200" spans="1:22" customFormat="1" hidden="1" x14ac:dyDescent="0.2">
      <c r="A200" s="36" t="s">
        <v>15</v>
      </c>
      <c r="B200" s="36" t="s">
        <v>2</v>
      </c>
      <c r="C200" s="93">
        <v>46066</v>
      </c>
      <c r="D200" s="3">
        <v>46066</v>
      </c>
      <c r="E200" s="126">
        <v>46066</v>
      </c>
      <c r="F200" s="36" t="s">
        <v>82</v>
      </c>
      <c r="G200" s="281">
        <v>313.62</v>
      </c>
      <c r="H200" s="281">
        <v>0</v>
      </c>
      <c r="I200" s="281">
        <v>313.62</v>
      </c>
      <c r="J200" s="281">
        <v>80.572741439999987</v>
      </c>
      <c r="K200" t="s">
        <v>525</v>
      </c>
      <c r="L200" t="s">
        <v>525</v>
      </c>
      <c r="M200" t="s">
        <v>361</v>
      </c>
      <c r="N200" t="s">
        <v>356</v>
      </c>
      <c r="O200" t="s">
        <v>48</v>
      </c>
      <c r="P200" t="s">
        <v>333</v>
      </c>
      <c r="Q200" t="s">
        <v>62</v>
      </c>
      <c r="V200" s="36"/>
    </row>
    <row r="201" spans="1:22" customFormat="1" hidden="1" x14ac:dyDescent="0.2">
      <c r="A201" s="36" t="s">
        <v>15</v>
      </c>
      <c r="B201" s="36" t="s">
        <v>2</v>
      </c>
      <c r="C201" s="93">
        <v>46077</v>
      </c>
      <c r="D201" s="3">
        <v>46077</v>
      </c>
      <c r="E201" s="126">
        <v>46077</v>
      </c>
      <c r="F201" s="36" t="s">
        <v>82</v>
      </c>
      <c r="G201" s="281">
        <v>749374.2</v>
      </c>
      <c r="H201" s="281">
        <v>0</v>
      </c>
      <c r="I201" s="281">
        <v>749374.2</v>
      </c>
      <c r="J201" s="281">
        <v>192523.22447039996</v>
      </c>
      <c r="K201" t="s">
        <v>455</v>
      </c>
      <c r="L201" t="s">
        <v>528</v>
      </c>
      <c r="M201" t="s">
        <v>457</v>
      </c>
      <c r="N201" t="s">
        <v>418</v>
      </c>
      <c r="O201" t="s">
        <v>418</v>
      </c>
      <c r="P201" t="s">
        <v>333</v>
      </c>
      <c r="Q201" t="s">
        <v>62</v>
      </c>
      <c r="V201" s="36"/>
    </row>
    <row r="202" spans="1:22" customFormat="1" hidden="1" x14ac:dyDescent="0.2">
      <c r="A202" s="36" t="s">
        <v>15</v>
      </c>
      <c r="B202" s="36" t="s">
        <v>2</v>
      </c>
      <c r="C202" s="93">
        <v>46078</v>
      </c>
      <c r="D202" s="3">
        <v>46078</v>
      </c>
      <c r="E202" s="126">
        <v>46078</v>
      </c>
      <c r="F202" s="36" t="s">
        <v>82</v>
      </c>
      <c r="G202" s="281">
        <v>40</v>
      </c>
      <c r="H202" s="281">
        <v>0</v>
      </c>
      <c r="I202" s="281">
        <v>40</v>
      </c>
      <c r="J202" s="281">
        <v>10.276479999999999</v>
      </c>
      <c r="K202" t="s">
        <v>448</v>
      </c>
      <c r="L202" s="4" t="s">
        <v>529</v>
      </c>
      <c r="M202" t="s">
        <v>332</v>
      </c>
      <c r="N202" t="s">
        <v>332</v>
      </c>
      <c r="O202" t="s">
        <v>332</v>
      </c>
      <c r="P202" t="s">
        <v>333</v>
      </c>
      <c r="Q202" t="s">
        <v>62</v>
      </c>
      <c r="V202" s="36"/>
    </row>
    <row r="203" spans="1:22" customFormat="1" hidden="1" x14ac:dyDescent="0.2">
      <c r="A203" s="36" t="s">
        <v>15</v>
      </c>
      <c r="B203" s="36" t="s">
        <v>2</v>
      </c>
      <c r="C203" s="93">
        <v>46078</v>
      </c>
      <c r="D203" s="3">
        <v>46078</v>
      </c>
      <c r="E203" s="126">
        <v>46078</v>
      </c>
      <c r="F203" s="36" t="s">
        <v>82</v>
      </c>
      <c r="G203" s="281">
        <v>3.2</v>
      </c>
      <c r="H203" s="281">
        <v>0</v>
      </c>
      <c r="I203" s="281">
        <v>3.2</v>
      </c>
      <c r="J203" s="281">
        <v>0.82211839999999992</v>
      </c>
      <c r="K203" t="s">
        <v>448</v>
      </c>
      <c r="L203" s="4" t="s">
        <v>529</v>
      </c>
      <c r="M203" t="s">
        <v>332</v>
      </c>
      <c r="N203" t="s">
        <v>332</v>
      </c>
      <c r="O203" t="s">
        <v>332</v>
      </c>
      <c r="P203" t="s">
        <v>333</v>
      </c>
      <c r="Q203" t="s">
        <v>62</v>
      </c>
      <c r="V203" s="36"/>
    </row>
    <row r="204" spans="1:22" customFormat="1" hidden="1" x14ac:dyDescent="0.2">
      <c r="A204" s="36" t="s">
        <v>15</v>
      </c>
      <c r="B204" s="36" t="s">
        <v>2</v>
      </c>
      <c r="C204" s="93">
        <v>46080</v>
      </c>
      <c r="D204" s="3">
        <v>46080</v>
      </c>
      <c r="E204" s="126">
        <v>46080</v>
      </c>
      <c r="F204" s="36" t="s">
        <v>82</v>
      </c>
      <c r="G204" s="281">
        <v>2700</v>
      </c>
      <c r="H204" s="281">
        <v>0</v>
      </c>
      <c r="I204" s="281">
        <v>2700</v>
      </c>
      <c r="J204" s="281">
        <v>693.66239999999993</v>
      </c>
      <c r="K204" t="s">
        <v>485</v>
      </c>
      <c r="L204" t="s">
        <v>530</v>
      </c>
      <c r="M204" t="s">
        <v>531</v>
      </c>
      <c r="N204" t="s">
        <v>409</v>
      </c>
      <c r="O204" t="s">
        <v>410</v>
      </c>
      <c r="P204" t="s">
        <v>340</v>
      </c>
      <c r="Q204" t="s">
        <v>62</v>
      </c>
      <c r="V204" s="36"/>
    </row>
    <row r="205" spans="1:22" customFormat="1" hidden="1" x14ac:dyDescent="0.2">
      <c r="A205" s="36" t="s">
        <v>15</v>
      </c>
      <c r="B205" s="36" t="s">
        <v>2</v>
      </c>
      <c r="C205" s="93">
        <v>46080</v>
      </c>
      <c r="D205" s="3">
        <v>46080</v>
      </c>
      <c r="E205" s="126">
        <v>46080</v>
      </c>
      <c r="F205" s="36" t="s">
        <v>82</v>
      </c>
      <c r="G205" s="281">
        <v>5764</v>
      </c>
      <c r="H205" s="281">
        <v>0</v>
      </c>
      <c r="I205" s="281">
        <v>5764</v>
      </c>
      <c r="J205" s="281">
        <v>1480.8407679999998</v>
      </c>
      <c r="K205" t="s">
        <v>532</v>
      </c>
      <c r="L205" t="s">
        <v>533</v>
      </c>
      <c r="M205" t="s">
        <v>534</v>
      </c>
      <c r="N205" t="s">
        <v>374</v>
      </c>
      <c r="O205" t="s">
        <v>535</v>
      </c>
      <c r="P205" t="s">
        <v>376</v>
      </c>
      <c r="Q205" t="s">
        <v>62</v>
      </c>
      <c r="V205" s="36"/>
    </row>
    <row r="206" spans="1:22" customFormat="1" hidden="1" x14ac:dyDescent="0.2">
      <c r="A206" s="36" t="s">
        <v>15</v>
      </c>
      <c r="B206" s="36" t="s">
        <v>2</v>
      </c>
      <c r="C206" s="93">
        <v>46080</v>
      </c>
      <c r="D206" s="3">
        <v>46080</v>
      </c>
      <c r="E206" s="126">
        <v>46080</v>
      </c>
      <c r="F206" s="36" t="s">
        <v>82</v>
      </c>
      <c r="G206" s="281">
        <v>0.5</v>
      </c>
      <c r="H206" s="281">
        <v>0</v>
      </c>
      <c r="I206" s="281">
        <v>0.5</v>
      </c>
      <c r="J206" s="281">
        <v>0.12845599999999999</v>
      </c>
      <c r="K206" t="s">
        <v>448</v>
      </c>
      <c r="L206" s="4" t="s">
        <v>536</v>
      </c>
      <c r="M206" t="s">
        <v>332</v>
      </c>
      <c r="N206" t="s">
        <v>332</v>
      </c>
      <c r="O206" t="s">
        <v>332</v>
      </c>
      <c r="P206" t="s">
        <v>333</v>
      </c>
      <c r="Q206" t="s">
        <v>62</v>
      </c>
      <c r="V206" s="36"/>
    </row>
    <row r="207" spans="1:22" customFormat="1" hidden="1" x14ac:dyDescent="0.2">
      <c r="A207" s="36" t="s">
        <v>15</v>
      </c>
      <c r="B207" s="36" t="s">
        <v>2</v>
      </c>
      <c r="C207" s="93">
        <v>46080</v>
      </c>
      <c r="D207" s="3">
        <v>46080</v>
      </c>
      <c r="E207" s="126">
        <v>46080</v>
      </c>
      <c r="F207" s="36" t="s">
        <v>82</v>
      </c>
      <c r="G207" s="281">
        <v>0.5</v>
      </c>
      <c r="H207" s="281">
        <v>0</v>
      </c>
      <c r="I207" s="281">
        <v>0.5</v>
      </c>
      <c r="J207" s="281">
        <v>0.12845599999999999</v>
      </c>
      <c r="K207" t="s">
        <v>448</v>
      </c>
      <c r="L207" s="4" t="s">
        <v>536</v>
      </c>
      <c r="M207" t="s">
        <v>332</v>
      </c>
      <c r="N207" t="s">
        <v>332</v>
      </c>
      <c r="O207" t="s">
        <v>332</v>
      </c>
      <c r="P207" t="s">
        <v>333</v>
      </c>
      <c r="Q207" t="s">
        <v>62</v>
      </c>
      <c r="V207" s="36"/>
    </row>
    <row r="208" spans="1:22" customFormat="1" hidden="1" x14ac:dyDescent="0.2">
      <c r="A208" s="36" t="s">
        <v>15</v>
      </c>
      <c r="B208" s="36" t="s">
        <v>2</v>
      </c>
      <c r="C208" s="93">
        <v>46080</v>
      </c>
      <c r="D208" s="3">
        <v>46080</v>
      </c>
      <c r="E208" s="126">
        <v>46080</v>
      </c>
      <c r="F208" s="36" t="s">
        <v>82</v>
      </c>
      <c r="G208" s="281">
        <v>0.5</v>
      </c>
      <c r="H208" s="281">
        <v>0</v>
      </c>
      <c r="I208" s="281">
        <v>0.5</v>
      </c>
      <c r="J208" s="281">
        <v>0.12845599999999999</v>
      </c>
      <c r="K208" t="s">
        <v>448</v>
      </c>
      <c r="L208" s="4" t="s">
        <v>536</v>
      </c>
      <c r="M208" t="s">
        <v>332</v>
      </c>
      <c r="N208" t="s">
        <v>332</v>
      </c>
      <c r="O208" t="s">
        <v>332</v>
      </c>
      <c r="P208" t="s">
        <v>333</v>
      </c>
      <c r="Q208" t="s">
        <v>62</v>
      </c>
      <c r="V208" s="36"/>
    </row>
    <row r="209" spans="1:22" customFormat="1" hidden="1" x14ac:dyDescent="0.2">
      <c r="A209" s="36" t="s">
        <v>15</v>
      </c>
      <c r="B209" s="36" t="s">
        <v>2</v>
      </c>
      <c r="C209" s="93">
        <v>46080</v>
      </c>
      <c r="D209" s="3">
        <v>46080</v>
      </c>
      <c r="E209" s="126">
        <v>46080</v>
      </c>
      <c r="F209" s="36" t="s">
        <v>82</v>
      </c>
      <c r="G209" s="281">
        <v>0.5</v>
      </c>
      <c r="H209" s="281">
        <v>0</v>
      </c>
      <c r="I209" s="281">
        <v>0.5</v>
      </c>
      <c r="J209" s="281">
        <v>0.12845599999999999</v>
      </c>
      <c r="K209" t="s">
        <v>448</v>
      </c>
      <c r="L209" s="4" t="s">
        <v>536</v>
      </c>
      <c r="M209" t="s">
        <v>332</v>
      </c>
      <c r="N209" t="s">
        <v>332</v>
      </c>
      <c r="O209" t="s">
        <v>332</v>
      </c>
      <c r="P209" t="s">
        <v>333</v>
      </c>
      <c r="Q209" t="s">
        <v>62</v>
      </c>
      <c r="V209" s="36"/>
    </row>
    <row r="210" spans="1:22" customFormat="1" hidden="1" x14ac:dyDescent="0.2">
      <c r="A210" s="36" t="s">
        <v>15</v>
      </c>
      <c r="B210" s="36" t="s">
        <v>2</v>
      </c>
      <c r="C210" s="93">
        <v>46080</v>
      </c>
      <c r="D210" s="3">
        <v>46080</v>
      </c>
      <c r="E210" s="126">
        <v>46080</v>
      </c>
      <c r="F210" s="36" t="s">
        <v>82</v>
      </c>
      <c r="G210" s="281">
        <v>0.5</v>
      </c>
      <c r="H210" s="281">
        <v>0</v>
      </c>
      <c r="I210" s="281">
        <v>0.5</v>
      </c>
      <c r="J210" s="281">
        <v>0.12845599999999999</v>
      </c>
      <c r="K210" t="s">
        <v>448</v>
      </c>
      <c r="L210" s="4" t="s">
        <v>536</v>
      </c>
      <c r="M210" t="s">
        <v>332</v>
      </c>
      <c r="N210" t="s">
        <v>332</v>
      </c>
      <c r="O210" t="s">
        <v>332</v>
      </c>
      <c r="P210" t="s">
        <v>333</v>
      </c>
      <c r="Q210" t="s">
        <v>62</v>
      </c>
      <c r="V210" s="36"/>
    </row>
    <row r="211" spans="1:22" customFormat="1" hidden="1" x14ac:dyDescent="0.2">
      <c r="A211" s="36" t="s">
        <v>15</v>
      </c>
      <c r="B211" s="36" t="s">
        <v>2</v>
      </c>
      <c r="C211" s="93">
        <v>46080</v>
      </c>
      <c r="D211" s="3">
        <v>46080</v>
      </c>
      <c r="E211" s="126">
        <v>46080</v>
      </c>
      <c r="F211" s="36" t="s">
        <v>82</v>
      </c>
      <c r="G211" s="281">
        <v>0.5</v>
      </c>
      <c r="H211" s="281">
        <v>0</v>
      </c>
      <c r="I211" s="281">
        <v>0.5</v>
      </c>
      <c r="J211" s="281">
        <v>0.12845599999999999</v>
      </c>
      <c r="K211" t="s">
        <v>448</v>
      </c>
      <c r="L211" s="4" t="s">
        <v>536</v>
      </c>
      <c r="M211" t="s">
        <v>332</v>
      </c>
      <c r="N211" t="s">
        <v>332</v>
      </c>
      <c r="O211" t="s">
        <v>332</v>
      </c>
      <c r="P211" t="s">
        <v>333</v>
      </c>
      <c r="Q211" t="s">
        <v>62</v>
      </c>
      <c r="V211" s="36"/>
    </row>
    <row r="212" spans="1:22" customFormat="1" hidden="1" x14ac:dyDescent="0.2">
      <c r="A212" s="36" t="s">
        <v>15</v>
      </c>
      <c r="B212" s="36" t="s">
        <v>2</v>
      </c>
      <c r="C212" s="93">
        <v>46080</v>
      </c>
      <c r="D212" s="3">
        <v>46080</v>
      </c>
      <c r="E212" s="126">
        <v>46080</v>
      </c>
      <c r="F212" s="36" t="s">
        <v>82</v>
      </c>
      <c r="G212" s="281">
        <v>0.5</v>
      </c>
      <c r="H212" s="281">
        <v>0</v>
      </c>
      <c r="I212" s="281">
        <v>0.5</v>
      </c>
      <c r="J212" s="281">
        <v>0.12845599999999999</v>
      </c>
      <c r="K212" t="s">
        <v>448</v>
      </c>
      <c r="L212" s="4" t="s">
        <v>536</v>
      </c>
      <c r="M212" t="s">
        <v>332</v>
      </c>
      <c r="N212" t="s">
        <v>332</v>
      </c>
      <c r="O212" t="s">
        <v>332</v>
      </c>
      <c r="P212" t="s">
        <v>333</v>
      </c>
      <c r="Q212" t="s">
        <v>62</v>
      </c>
      <c r="V212" s="36"/>
    </row>
    <row r="213" spans="1:22" customFormat="1" hidden="1" x14ac:dyDescent="0.2">
      <c r="A213" s="36" t="s">
        <v>15</v>
      </c>
      <c r="B213" s="36" t="s">
        <v>2</v>
      </c>
      <c r="C213" s="93">
        <v>46080</v>
      </c>
      <c r="D213" s="3">
        <v>46080</v>
      </c>
      <c r="E213" s="126">
        <v>46080</v>
      </c>
      <c r="F213" s="36" t="s">
        <v>82</v>
      </c>
      <c r="G213" s="281">
        <v>0.5</v>
      </c>
      <c r="H213" s="281">
        <v>0</v>
      </c>
      <c r="I213" s="281">
        <v>0.5</v>
      </c>
      <c r="J213" s="281">
        <v>0.12845599999999999</v>
      </c>
      <c r="K213" t="s">
        <v>448</v>
      </c>
      <c r="L213" s="4" t="s">
        <v>536</v>
      </c>
      <c r="M213" t="s">
        <v>332</v>
      </c>
      <c r="N213" t="s">
        <v>332</v>
      </c>
      <c r="O213" t="s">
        <v>332</v>
      </c>
      <c r="P213" t="s">
        <v>333</v>
      </c>
      <c r="Q213" t="s">
        <v>62</v>
      </c>
      <c r="V213" s="36"/>
    </row>
    <row r="214" spans="1:22" customFormat="1" hidden="1" x14ac:dyDescent="0.2">
      <c r="A214" s="36" t="s">
        <v>15</v>
      </c>
      <c r="B214" s="36" t="s">
        <v>2</v>
      </c>
      <c r="C214" s="93">
        <v>46080</v>
      </c>
      <c r="D214" s="3">
        <v>46080</v>
      </c>
      <c r="E214" s="126">
        <v>46080</v>
      </c>
      <c r="F214" s="36" t="s">
        <v>82</v>
      </c>
      <c r="G214" s="281">
        <v>0.5</v>
      </c>
      <c r="H214" s="281">
        <v>0</v>
      </c>
      <c r="I214" s="281">
        <v>0.5</v>
      </c>
      <c r="J214" s="281">
        <v>0.12845599999999999</v>
      </c>
      <c r="K214" t="s">
        <v>448</v>
      </c>
      <c r="L214" s="4" t="s">
        <v>536</v>
      </c>
      <c r="M214" t="s">
        <v>332</v>
      </c>
      <c r="N214" t="s">
        <v>332</v>
      </c>
      <c r="O214" t="s">
        <v>332</v>
      </c>
      <c r="P214" t="s">
        <v>333</v>
      </c>
      <c r="Q214" t="s">
        <v>62</v>
      </c>
      <c r="V214" s="36"/>
    </row>
    <row r="215" spans="1:22" customFormat="1" hidden="1" x14ac:dyDescent="0.2">
      <c r="A215" s="36" t="s">
        <v>15</v>
      </c>
      <c r="B215" s="36" t="s">
        <v>2</v>
      </c>
      <c r="C215" s="93">
        <v>46080</v>
      </c>
      <c r="D215" s="3">
        <v>46080</v>
      </c>
      <c r="E215" s="126">
        <v>46080</v>
      </c>
      <c r="F215" s="36" t="s">
        <v>82</v>
      </c>
      <c r="G215" s="281">
        <v>0.5</v>
      </c>
      <c r="H215" s="281">
        <v>0</v>
      </c>
      <c r="I215" s="281">
        <v>0.5</v>
      </c>
      <c r="J215" s="281">
        <v>0.12845599999999999</v>
      </c>
      <c r="K215" t="s">
        <v>448</v>
      </c>
      <c r="L215" s="4" t="s">
        <v>536</v>
      </c>
      <c r="M215" t="s">
        <v>332</v>
      </c>
      <c r="N215" t="s">
        <v>332</v>
      </c>
      <c r="O215" t="s">
        <v>332</v>
      </c>
      <c r="P215" t="s">
        <v>333</v>
      </c>
      <c r="Q215" t="s">
        <v>62</v>
      </c>
      <c r="V215" s="36"/>
    </row>
    <row r="216" spans="1:22" customFormat="1" hidden="1" x14ac:dyDescent="0.2">
      <c r="A216" s="36" t="s">
        <v>15</v>
      </c>
      <c r="B216" s="36" t="s">
        <v>2</v>
      </c>
      <c r="C216" s="93">
        <v>46080</v>
      </c>
      <c r="D216" s="3">
        <v>46080</v>
      </c>
      <c r="E216" s="126">
        <v>46080</v>
      </c>
      <c r="F216" s="36" t="s">
        <v>82</v>
      </c>
      <c r="G216" s="281">
        <v>0.5</v>
      </c>
      <c r="H216" s="281">
        <v>0</v>
      </c>
      <c r="I216" s="281">
        <v>0.5</v>
      </c>
      <c r="J216" s="281">
        <v>0.12845599999999999</v>
      </c>
      <c r="K216" t="s">
        <v>448</v>
      </c>
      <c r="L216" s="4" t="s">
        <v>536</v>
      </c>
      <c r="M216" t="s">
        <v>332</v>
      </c>
      <c r="N216" t="s">
        <v>332</v>
      </c>
      <c r="O216" t="s">
        <v>332</v>
      </c>
      <c r="P216" t="s">
        <v>333</v>
      </c>
      <c r="Q216" t="s">
        <v>62</v>
      </c>
      <c r="V216" s="36"/>
    </row>
    <row r="217" spans="1:22" customFormat="1" hidden="1" x14ac:dyDescent="0.2">
      <c r="A217" s="36" t="s">
        <v>15</v>
      </c>
      <c r="B217" s="36" t="s">
        <v>2</v>
      </c>
      <c r="C217" s="93">
        <v>46080</v>
      </c>
      <c r="D217" s="3">
        <v>46080</v>
      </c>
      <c r="E217" s="126">
        <v>46080</v>
      </c>
      <c r="F217" s="36" t="s">
        <v>82</v>
      </c>
      <c r="G217" s="281">
        <v>0.5</v>
      </c>
      <c r="H217" s="281">
        <v>0</v>
      </c>
      <c r="I217" s="281">
        <v>0.5</v>
      </c>
      <c r="J217" s="281">
        <v>0.12845599999999999</v>
      </c>
      <c r="K217" t="s">
        <v>448</v>
      </c>
      <c r="L217" s="4" t="s">
        <v>536</v>
      </c>
      <c r="M217" t="s">
        <v>332</v>
      </c>
      <c r="N217" t="s">
        <v>332</v>
      </c>
      <c r="O217" t="s">
        <v>332</v>
      </c>
      <c r="P217" t="s">
        <v>333</v>
      </c>
      <c r="Q217" t="s">
        <v>62</v>
      </c>
      <c r="V217" s="36"/>
    </row>
    <row r="218" spans="1:22" customFormat="1" hidden="1" x14ac:dyDescent="0.2">
      <c r="A218" s="36" t="s">
        <v>15</v>
      </c>
      <c r="B218" s="36" t="s">
        <v>2</v>
      </c>
      <c r="C218" s="93">
        <v>46081</v>
      </c>
      <c r="D218" s="3">
        <v>46081</v>
      </c>
      <c r="E218" s="126">
        <v>46080</v>
      </c>
      <c r="F218" s="36" t="s">
        <v>82</v>
      </c>
      <c r="G218" s="281"/>
      <c r="H218" s="281"/>
      <c r="I218" s="281"/>
      <c r="J218" s="281">
        <v>4053.06</v>
      </c>
      <c r="K218" t="s">
        <v>1803</v>
      </c>
      <c r="L218" t="s">
        <v>400</v>
      </c>
      <c r="M218" t="s">
        <v>400</v>
      </c>
      <c r="N218" t="s">
        <v>387</v>
      </c>
      <c r="O218" s="146" t="str">
        <f>_xlfn.XLOOKUP(N218,[1]!costcategory[Account Code],[1]!costcategory[Cost Category],"ERROR")</f>
        <v>Headcount Costs</v>
      </c>
      <c r="P218" t="s">
        <v>354</v>
      </c>
      <c r="Q218" s="147" t="str">
        <f>_xlfn.XLOOKUP(P218,[1]!Table2[Department],[1]!Table2[Group],"ERROR")</f>
        <v>Sales &amp; Marketing</v>
      </c>
      <c r="V218" s="36"/>
    </row>
    <row r="219" spans="1:22" customFormat="1" hidden="1" x14ac:dyDescent="0.2">
      <c r="A219" s="36" t="s">
        <v>15</v>
      </c>
      <c r="B219" s="36" t="s">
        <v>2</v>
      </c>
      <c r="C219" s="93">
        <v>46081</v>
      </c>
      <c r="D219" s="3">
        <v>46081</v>
      </c>
      <c r="E219" s="126">
        <v>46080</v>
      </c>
      <c r="F219" s="36" t="s">
        <v>82</v>
      </c>
      <c r="G219" s="281"/>
      <c r="H219" s="281"/>
      <c r="I219" s="281"/>
      <c r="J219" s="281">
        <v>3620.3199999999997</v>
      </c>
      <c r="K219" t="s">
        <v>1803</v>
      </c>
      <c r="L219" t="s">
        <v>400</v>
      </c>
      <c r="M219" t="s">
        <v>400</v>
      </c>
      <c r="N219" t="s">
        <v>387</v>
      </c>
      <c r="O219" s="146" t="str">
        <f>_xlfn.XLOOKUP(N219,[1]!costcategory[Account Code],[1]!costcategory[Cost Category],"ERROR")</f>
        <v>Headcount Costs</v>
      </c>
      <c r="P219" t="s">
        <v>45</v>
      </c>
      <c r="Q219" s="147" t="str">
        <f>_xlfn.XLOOKUP(P219,[1]!Table2[Department],[1]!Table2[Group],"ERROR")</f>
        <v>DSC</v>
      </c>
      <c r="V219" s="36"/>
    </row>
    <row r="220" spans="1:22" customFormat="1" hidden="1" x14ac:dyDescent="0.2">
      <c r="A220" s="36" t="s">
        <v>15</v>
      </c>
      <c r="B220" s="36" t="s">
        <v>2</v>
      </c>
      <c r="C220" s="93">
        <v>46081</v>
      </c>
      <c r="D220" s="3">
        <v>46081</v>
      </c>
      <c r="E220" s="126">
        <v>46080</v>
      </c>
      <c r="F220" s="36" t="s">
        <v>82</v>
      </c>
      <c r="G220" s="281"/>
      <c r="H220" s="281"/>
      <c r="I220" s="281"/>
      <c r="J220" s="281">
        <v>14481.279999999999</v>
      </c>
      <c r="K220" t="s">
        <v>1803</v>
      </c>
      <c r="L220" t="s">
        <v>387</v>
      </c>
      <c r="M220" t="s">
        <v>387</v>
      </c>
      <c r="N220" t="s">
        <v>387</v>
      </c>
      <c r="O220" s="146" t="str">
        <f>_xlfn.XLOOKUP(N220,[1]!costcategory[Account Code],[1]!costcategory[Cost Category],"ERROR")</f>
        <v>Headcount Costs</v>
      </c>
      <c r="P220" t="s">
        <v>63</v>
      </c>
      <c r="Q220" s="147" t="str">
        <f>_xlfn.XLOOKUP(P220,[1]!Table2[Department],[1]!Table2[Group],"ERROR")</f>
        <v>Research &amp; Development</v>
      </c>
      <c r="V220" s="36"/>
    </row>
    <row r="221" spans="1:22" customFormat="1" hidden="1" x14ac:dyDescent="0.2">
      <c r="A221" s="36" t="s">
        <v>15</v>
      </c>
      <c r="B221" s="36" t="s">
        <v>2</v>
      </c>
      <c r="C221" s="93">
        <v>46081</v>
      </c>
      <c r="D221" s="3">
        <v>46081</v>
      </c>
      <c r="E221" s="126">
        <v>46080</v>
      </c>
      <c r="F221" s="36" t="s">
        <v>82</v>
      </c>
      <c r="G221" s="281"/>
      <c r="H221" s="281"/>
      <c r="I221" s="281"/>
      <c r="J221" s="281">
        <v>3760.68</v>
      </c>
      <c r="K221" t="s">
        <v>1803</v>
      </c>
      <c r="L221" t="s">
        <v>400</v>
      </c>
      <c r="M221" t="s">
        <v>400</v>
      </c>
      <c r="N221" t="s">
        <v>387</v>
      </c>
      <c r="O221" s="146" t="str">
        <f>_xlfn.XLOOKUP(N221,[1]!costcategory[Account Code],[1]!costcategory[Cost Category],"ERROR")</f>
        <v>Headcount Costs</v>
      </c>
      <c r="P221" t="s">
        <v>333</v>
      </c>
      <c r="Q221" s="147" t="str">
        <f>_xlfn.XLOOKUP(P221,[1]!Table2[Department],[1]!Table2[Group],"ERROR")</f>
        <v>General &amp; Administrative</v>
      </c>
      <c r="V221" s="36"/>
    </row>
    <row r="222" spans="1:22" customFormat="1" hidden="1" x14ac:dyDescent="0.2">
      <c r="A222" s="36" t="s">
        <v>15</v>
      </c>
      <c r="B222" s="36" t="s">
        <v>2</v>
      </c>
      <c r="C222" s="93">
        <v>46081</v>
      </c>
      <c r="D222" s="3">
        <v>46081</v>
      </c>
      <c r="E222" s="126">
        <v>46080</v>
      </c>
      <c r="F222" s="36" t="s">
        <v>82</v>
      </c>
      <c r="G222" s="281"/>
      <c r="H222" s="281"/>
      <c r="I222" s="281"/>
      <c r="J222" s="281">
        <v>2382.38</v>
      </c>
      <c r="K222" t="s">
        <v>1803</v>
      </c>
      <c r="L222" t="s">
        <v>400</v>
      </c>
      <c r="M222" t="s">
        <v>400</v>
      </c>
      <c r="N222" t="s">
        <v>387</v>
      </c>
      <c r="O222" s="146" t="str">
        <f>_xlfn.XLOOKUP(N222,[1]!costcategory[Account Code],[1]!costcategory[Cost Category],"ERROR")</f>
        <v>Headcount Costs</v>
      </c>
      <c r="P222" t="s">
        <v>350</v>
      </c>
      <c r="Q222" s="147" t="str">
        <f>_xlfn.XLOOKUP(P222,[1]!Table2[Department],[1]!Table2[Group],"ERROR")</f>
        <v>General &amp; Administrative</v>
      </c>
      <c r="V222" s="36"/>
    </row>
    <row r="223" spans="1:22" customFormat="1" hidden="1" x14ac:dyDescent="0.2">
      <c r="A223" s="36" t="s">
        <v>15</v>
      </c>
      <c r="B223" s="36" t="s">
        <v>2</v>
      </c>
      <c r="C223" s="93">
        <v>46081</v>
      </c>
      <c r="D223" s="3">
        <v>46081</v>
      </c>
      <c r="E223" s="126">
        <v>46080</v>
      </c>
      <c r="F223" s="36" t="s">
        <v>82</v>
      </c>
      <c r="G223" s="281"/>
      <c r="H223" s="281"/>
      <c r="I223" s="281"/>
      <c r="J223" s="281">
        <v>7833.52</v>
      </c>
      <c r="K223" t="s">
        <v>1803</v>
      </c>
      <c r="L223" t="s">
        <v>400</v>
      </c>
      <c r="M223" t="s">
        <v>400</v>
      </c>
      <c r="N223" t="s">
        <v>387</v>
      </c>
      <c r="O223" s="146" t="str">
        <f>_xlfn.XLOOKUP(N223,[1]!costcategory[Account Code],[1]!costcategory[Cost Category],"ERROR")</f>
        <v>Headcount Costs</v>
      </c>
      <c r="P223" t="s">
        <v>438</v>
      </c>
      <c r="Q223" s="147" t="str">
        <f>_xlfn.XLOOKUP(P223,[1]!Table2[Department],[1]!Table2[Group],"ERROR")</f>
        <v>Sales &amp; Marketing</v>
      </c>
      <c r="V223" s="36"/>
    </row>
    <row r="224" spans="1:22" customFormat="1" hidden="1" x14ac:dyDescent="0.2">
      <c r="A224" s="36" t="s">
        <v>15</v>
      </c>
      <c r="B224" s="36" t="s">
        <v>2</v>
      </c>
      <c r="C224" s="93">
        <v>46080</v>
      </c>
      <c r="D224" s="3">
        <v>46083</v>
      </c>
      <c r="E224" s="126">
        <v>46080</v>
      </c>
      <c r="F224" s="36" t="s">
        <v>82</v>
      </c>
      <c r="G224" s="281">
        <v>783.07</v>
      </c>
      <c r="H224" s="281">
        <v>0</v>
      </c>
      <c r="I224" s="281">
        <v>783.07</v>
      </c>
      <c r="J224" s="281">
        <v>201.18007983999999</v>
      </c>
      <c r="K224" t="s">
        <v>537</v>
      </c>
      <c r="L224" t="s">
        <v>538</v>
      </c>
      <c r="M224" t="s">
        <v>539</v>
      </c>
      <c r="N224" t="s">
        <v>540</v>
      </c>
      <c r="O224" t="s">
        <v>46</v>
      </c>
      <c r="P224" t="s">
        <v>350</v>
      </c>
      <c r="Q224" t="s">
        <v>62</v>
      </c>
      <c r="V224" s="36"/>
    </row>
    <row r="225" spans="1:22" customFormat="1" hidden="1" x14ac:dyDescent="0.2">
      <c r="A225" s="36" t="s">
        <v>15</v>
      </c>
      <c r="B225" s="36" t="s">
        <v>2</v>
      </c>
      <c r="C225" s="93">
        <v>46080</v>
      </c>
      <c r="D225" s="3">
        <v>46089</v>
      </c>
      <c r="E225" s="126">
        <v>46080</v>
      </c>
      <c r="F225" s="36" t="s">
        <v>82</v>
      </c>
      <c r="G225" s="281">
        <v>3900</v>
      </c>
      <c r="H225" s="281">
        <v>0</v>
      </c>
      <c r="I225" s="281">
        <v>3900</v>
      </c>
      <c r="J225" s="281">
        <v>1001.9567999999999</v>
      </c>
      <c r="K225" t="s">
        <v>541</v>
      </c>
      <c r="L225" t="s">
        <v>542</v>
      </c>
      <c r="M225" t="s">
        <v>543</v>
      </c>
      <c r="N225" t="s">
        <v>409</v>
      </c>
      <c r="O225" t="s">
        <v>410</v>
      </c>
      <c r="P225" t="s">
        <v>340</v>
      </c>
      <c r="Q225" t="s">
        <v>62</v>
      </c>
      <c r="V225" s="36"/>
    </row>
    <row r="226" spans="1:22" customFormat="1" hidden="1" x14ac:dyDescent="0.2">
      <c r="A226" s="36" t="s">
        <v>15</v>
      </c>
      <c r="B226" s="36" t="s">
        <v>2</v>
      </c>
      <c r="C226" s="93">
        <v>46081</v>
      </c>
      <c r="D226" s="3">
        <v>46081</v>
      </c>
      <c r="E226" s="126">
        <v>46081</v>
      </c>
      <c r="F226" s="36" t="s">
        <v>82</v>
      </c>
      <c r="G226" s="281">
        <v>-459.64</v>
      </c>
      <c r="H226" s="281">
        <v>0</v>
      </c>
      <c r="I226" s="281">
        <v>-459.64</v>
      </c>
      <c r="J226" s="281">
        <v>-118.08703167999998</v>
      </c>
      <c r="K226" t="s">
        <v>448</v>
      </c>
      <c r="M226" t="s">
        <v>1845</v>
      </c>
      <c r="N226" t="s">
        <v>384</v>
      </c>
      <c r="O226" t="s">
        <v>385</v>
      </c>
      <c r="P226" t="s">
        <v>333</v>
      </c>
      <c r="Q226" t="s">
        <v>62</v>
      </c>
      <c r="V226" s="36"/>
    </row>
    <row r="227" spans="1:22" customFormat="1" hidden="1" x14ac:dyDescent="0.2">
      <c r="A227" s="36" t="s">
        <v>15</v>
      </c>
      <c r="B227" s="36" t="s">
        <v>2</v>
      </c>
      <c r="C227" s="93">
        <v>46081</v>
      </c>
      <c r="D227" s="3">
        <v>46081</v>
      </c>
      <c r="E227" s="126">
        <v>46081</v>
      </c>
      <c r="F227" s="36" t="s">
        <v>82</v>
      </c>
      <c r="G227" s="281">
        <v>10</v>
      </c>
      <c r="H227" s="281">
        <v>0</v>
      </c>
      <c r="I227" s="281">
        <v>10</v>
      </c>
      <c r="J227" s="281">
        <v>2.5691199999999998</v>
      </c>
      <c r="K227" t="s">
        <v>448</v>
      </c>
      <c r="L227" s="4" t="s">
        <v>544</v>
      </c>
      <c r="M227" t="s">
        <v>332</v>
      </c>
      <c r="N227" t="s">
        <v>332</v>
      </c>
      <c r="O227" t="s">
        <v>332</v>
      </c>
      <c r="P227" t="s">
        <v>333</v>
      </c>
      <c r="Q227" t="s">
        <v>62</v>
      </c>
      <c r="V227" s="36"/>
    </row>
    <row r="228" spans="1:22" customFormat="1" hidden="1" x14ac:dyDescent="0.2">
      <c r="A228" s="36" t="s">
        <v>15</v>
      </c>
      <c r="B228" s="36" t="s">
        <v>2</v>
      </c>
      <c r="C228" s="93">
        <v>46085</v>
      </c>
      <c r="D228" s="3">
        <v>46085</v>
      </c>
      <c r="E228" s="126">
        <v>46085</v>
      </c>
      <c r="F228" s="36" t="s">
        <v>82</v>
      </c>
      <c r="G228" s="281">
        <v>-616.15</v>
      </c>
      <c r="H228" s="281">
        <v>0</v>
      </c>
      <c r="I228" s="281">
        <v>-616.15</v>
      </c>
      <c r="J228" s="281">
        <v>-149.09535596976357</v>
      </c>
      <c r="K228" t="s">
        <v>545</v>
      </c>
      <c r="M228" t="s">
        <v>546</v>
      </c>
      <c r="N228" t="s">
        <v>547</v>
      </c>
      <c r="O228" t="s">
        <v>547</v>
      </c>
      <c r="P228" t="s">
        <v>350</v>
      </c>
      <c r="Q228" t="s">
        <v>62</v>
      </c>
      <c r="V228" s="36"/>
    </row>
    <row r="229" spans="1:22" customFormat="1" hidden="1" x14ac:dyDescent="0.2">
      <c r="A229" s="36" t="s">
        <v>15</v>
      </c>
      <c r="B229" s="36" t="s">
        <v>2</v>
      </c>
      <c r="C229" s="93">
        <v>46085</v>
      </c>
      <c r="D229" s="3">
        <v>46085</v>
      </c>
      <c r="E229" s="126">
        <v>46085</v>
      </c>
      <c r="F229" s="36" t="s">
        <v>82</v>
      </c>
      <c r="G229" s="281">
        <v>0.1</v>
      </c>
      <c r="H229" s="281">
        <v>0</v>
      </c>
      <c r="I229" s="281">
        <v>0.1</v>
      </c>
      <c r="J229" s="281">
        <v>2.41978992079467E-2</v>
      </c>
      <c r="K229" t="s">
        <v>448</v>
      </c>
      <c r="L229" s="4" t="s">
        <v>548</v>
      </c>
      <c r="M229" t="s">
        <v>332</v>
      </c>
      <c r="N229" t="s">
        <v>332</v>
      </c>
      <c r="O229" t="s">
        <v>332</v>
      </c>
      <c r="P229" t="s">
        <v>333</v>
      </c>
      <c r="Q229" t="s">
        <v>62</v>
      </c>
      <c r="V229" s="36"/>
    </row>
    <row r="230" spans="1:22" customFormat="1" hidden="1" x14ac:dyDescent="0.2">
      <c r="A230" s="36" t="s">
        <v>15</v>
      </c>
      <c r="B230" s="36" t="s">
        <v>2</v>
      </c>
      <c r="C230" s="93">
        <v>46081</v>
      </c>
      <c r="D230" s="3">
        <v>46081</v>
      </c>
      <c r="E230" s="126">
        <v>46094</v>
      </c>
      <c r="F230" s="36" t="s">
        <v>82</v>
      </c>
      <c r="G230" s="281"/>
      <c r="H230" s="281"/>
      <c r="I230" s="281"/>
      <c r="J230" s="281">
        <v>1083.68</v>
      </c>
      <c r="K230" t="s">
        <v>1803</v>
      </c>
      <c r="L230" t="s">
        <v>1719</v>
      </c>
      <c r="M230" t="s">
        <v>1719</v>
      </c>
      <c r="N230" t="s">
        <v>364</v>
      </c>
      <c r="O230" s="146" t="str">
        <f>_xlfn.XLOOKUP(N230,[1]!costcategory[Account Code],[1]!costcategory[Cost Category],"ERROR")</f>
        <v>Headcount Costs</v>
      </c>
      <c r="P230" t="s">
        <v>354</v>
      </c>
      <c r="Q230" s="147" t="str">
        <f>_xlfn.XLOOKUP(P230,[1]!Table2[Department],[1]!Table2[Group],"ERROR")</f>
        <v>Sales &amp; Marketing</v>
      </c>
      <c r="V230" s="36"/>
    </row>
    <row r="231" spans="1:22" customFormat="1" hidden="1" x14ac:dyDescent="0.2">
      <c r="A231" s="36" t="s">
        <v>15</v>
      </c>
      <c r="B231" s="36" t="s">
        <v>2</v>
      </c>
      <c r="C231" s="93">
        <v>46081</v>
      </c>
      <c r="D231" s="3">
        <v>46081</v>
      </c>
      <c r="E231" s="126">
        <v>46094</v>
      </c>
      <c r="F231" s="36" t="s">
        <v>82</v>
      </c>
      <c r="G231" s="281"/>
      <c r="H231" s="281"/>
      <c r="I231" s="281"/>
      <c r="J231" s="281">
        <v>7718.848</v>
      </c>
      <c r="K231" t="s">
        <v>1803</v>
      </c>
      <c r="L231" t="s">
        <v>1719</v>
      </c>
      <c r="M231" t="s">
        <v>1719</v>
      </c>
      <c r="N231" t="s">
        <v>364</v>
      </c>
      <c r="O231" s="146" t="str">
        <f>_xlfn.XLOOKUP(N231,[1]!costcategory[Account Code],[1]!costcategory[Cost Category],"ERROR")</f>
        <v>Headcount Costs</v>
      </c>
      <c r="P231" t="s">
        <v>63</v>
      </c>
      <c r="Q231" s="147" t="str">
        <f>_xlfn.XLOOKUP(P231,[1]!Table2[Department],[1]!Table2[Group],"ERROR")</f>
        <v>Research &amp; Development</v>
      </c>
      <c r="V231" s="36"/>
    </row>
    <row r="232" spans="1:22" customFormat="1" hidden="1" x14ac:dyDescent="0.2">
      <c r="A232" s="36" t="s">
        <v>15</v>
      </c>
      <c r="B232" s="36" t="s">
        <v>2</v>
      </c>
      <c r="C232" s="93">
        <v>46081</v>
      </c>
      <c r="D232" s="3">
        <v>46081</v>
      </c>
      <c r="E232" s="126">
        <v>46094</v>
      </c>
      <c r="F232" s="36" t="s">
        <v>82</v>
      </c>
      <c r="G232" s="281"/>
      <c r="H232" s="281"/>
      <c r="I232" s="281"/>
      <c r="J232" s="281">
        <v>1929.7119999999995</v>
      </c>
      <c r="K232" t="s">
        <v>1803</v>
      </c>
      <c r="L232" t="s">
        <v>1719</v>
      </c>
      <c r="M232" t="s">
        <v>1719</v>
      </c>
      <c r="N232" t="s">
        <v>364</v>
      </c>
      <c r="O232" s="146" t="str">
        <f>_xlfn.XLOOKUP(N232,[1]!costcategory[Account Code],[1]!costcategory[Cost Category],"ERROR")</f>
        <v>Headcount Costs</v>
      </c>
      <c r="P232" t="s">
        <v>45</v>
      </c>
      <c r="Q232" s="147" t="str">
        <f>_xlfn.XLOOKUP(P232,[1]!Table2[Department],[1]!Table2[Group],"ERROR")</f>
        <v>DSC</v>
      </c>
      <c r="V232" s="36"/>
    </row>
    <row r="233" spans="1:22" customFormat="1" hidden="1" x14ac:dyDescent="0.2">
      <c r="A233" s="36" t="s">
        <v>15</v>
      </c>
      <c r="B233" s="36" t="s">
        <v>2</v>
      </c>
      <c r="C233" s="93">
        <v>46081</v>
      </c>
      <c r="D233" s="3">
        <v>46081</v>
      </c>
      <c r="E233" s="126">
        <v>46094</v>
      </c>
      <c r="F233" s="36" t="s">
        <v>82</v>
      </c>
      <c r="G233" s="281"/>
      <c r="H233" s="281"/>
      <c r="I233" s="281"/>
      <c r="J233" s="281">
        <v>1675.61</v>
      </c>
      <c r="K233" t="s">
        <v>1803</v>
      </c>
      <c r="L233" t="s">
        <v>1719</v>
      </c>
      <c r="M233" t="s">
        <v>1719</v>
      </c>
      <c r="N233" t="s">
        <v>364</v>
      </c>
      <c r="O233" s="146" t="str">
        <f>_xlfn.XLOOKUP(N233,[1]!costcategory[Account Code],[1]!costcategory[Cost Category],"ERROR")</f>
        <v>Headcount Costs</v>
      </c>
      <c r="P233" t="s">
        <v>333</v>
      </c>
      <c r="Q233" s="147" t="str">
        <f>_xlfn.XLOOKUP(P233,[1]!Table2[Department],[1]!Table2[Group],"ERROR")</f>
        <v>General &amp; Administrative</v>
      </c>
      <c r="V233" s="36"/>
    </row>
    <row r="234" spans="1:22" customFormat="1" hidden="1" x14ac:dyDescent="0.2">
      <c r="A234" s="36" t="s">
        <v>15</v>
      </c>
      <c r="B234" s="36" t="s">
        <v>2</v>
      </c>
      <c r="C234" s="93">
        <v>46081</v>
      </c>
      <c r="D234" s="3">
        <v>46081</v>
      </c>
      <c r="E234" s="126">
        <v>46094</v>
      </c>
      <c r="F234" s="36" t="s">
        <v>82</v>
      </c>
      <c r="G234" s="281"/>
      <c r="H234" s="281"/>
      <c r="I234" s="281"/>
      <c r="J234" s="281">
        <v>1160.19</v>
      </c>
      <c r="K234" t="s">
        <v>1803</v>
      </c>
      <c r="L234" t="s">
        <v>1719</v>
      </c>
      <c r="M234" t="s">
        <v>1719</v>
      </c>
      <c r="N234" t="s">
        <v>364</v>
      </c>
      <c r="O234" s="146" t="str">
        <f>_xlfn.XLOOKUP(N234,[1]!costcategory[Account Code],[1]!costcategory[Cost Category],"ERROR")</f>
        <v>Headcount Costs</v>
      </c>
      <c r="P234" t="s">
        <v>350</v>
      </c>
      <c r="Q234" s="147" t="str">
        <f>_xlfn.XLOOKUP(P234,[1]!Table2[Department],[1]!Table2[Group],"ERROR")</f>
        <v>General &amp; Administrative</v>
      </c>
      <c r="V234" s="36"/>
    </row>
    <row r="235" spans="1:22" customFormat="1" hidden="1" x14ac:dyDescent="0.2">
      <c r="A235" s="36" t="s">
        <v>15</v>
      </c>
      <c r="B235" s="36" t="s">
        <v>2</v>
      </c>
      <c r="C235" s="93">
        <v>46081</v>
      </c>
      <c r="D235" s="3">
        <v>46081</v>
      </c>
      <c r="E235" s="126">
        <v>46094</v>
      </c>
      <c r="F235" s="36" t="s">
        <v>82</v>
      </c>
      <c r="G235" s="281"/>
      <c r="H235" s="281"/>
      <c r="I235" s="281"/>
      <c r="J235" s="281">
        <v>4182.17</v>
      </c>
      <c r="K235" t="s">
        <v>1803</v>
      </c>
      <c r="L235" t="s">
        <v>1719</v>
      </c>
      <c r="M235" t="s">
        <v>1719</v>
      </c>
      <c r="N235" t="s">
        <v>364</v>
      </c>
      <c r="O235" s="146" t="str">
        <f>_xlfn.XLOOKUP(N235,[1]!costcategory[Account Code],[1]!costcategory[Cost Category],"ERROR")</f>
        <v>Headcount Costs</v>
      </c>
      <c r="P235" t="s">
        <v>438</v>
      </c>
      <c r="Q235" s="147" t="str">
        <f>_xlfn.XLOOKUP(P235,[1]!Table2[Department],[1]!Table2[Group],"ERROR")</f>
        <v>Sales &amp; Marketing</v>
      </c>
      <c r="V235" s="36"/>
    </row>
    <row r="236" spans="1:22" customFormat="1" hidden="1" x14ac:dyDescent="0.2">
      <c r="A236" s="36" t="s">
        <v>15</v>
      </c>
      <c r="B236" s="36" t="s">
        <v>2</v>
      </c>
      <c r="C236" s="93">
        <v>46094</v>
      </c>
      <c r="D236" s="3">
        <v>46087</v>
      </c>
      <c r="E236" s="126">
        <v>46094</v>
      </c>
      <c r="F236" s="36" t="s">
        <v>82</v>
      </c>
      <c r="G236" s="281">
        <v>-32000</v>
      </c>
      <c r="H236" s="281">
        <v>0</v>
      </c>
      <c r="I236" s="281">
        <v>-32000</v>
      </c>
      <c r="J236" s="281">
        <v>-7743.3277465429437</v>
      </c>
      <c r="K236" t="s">
        <v>511</v>
      </c>
      <c r="L236" t="s">
        <v>117</v>
      </c>
      <c r="M236" t="s">
        <v>549</v>
      </c>
      <c r="N236" t="s">
        <v>382</v>
      </c>
      <c r="O236" t="s">
        <v>10</v>
      </c>
      <c r="P236" t="s">
        <v>438</v>
      </c>
      <c r="Q236" t="s">
        <v>61</v>
      </c>
      <c r="V236" s="36"/>
    </row>
    <row r="237" spans="1:22" customFormat="1" hidden="1" x14ac:dyDescent="0.2">
      <c r="A237" s="36" t="s">
        <v>15</v>
      </c>
      <c r="B237" s="36" t="s">
        <v>2</v>
      </c>
      <c r="C237" s="93">
        <v>46094</v>
      </c>
      <c r="D237" s="3">
        <v>46094</v>
      </c>
      <c r="E237" s="126">
        <v>46094</v>
      </c>
      <c r="F237" s="36" t="s">
        <v>82</v>
      </c>
      <c r="G237" s="281">
        <v>400</v>
      </c>
      <c r="H237" s="281">
        <v>0</v>
      </c>
      <c r="I237" s="281">
        <v>400</v>
      </c>
      <c r="J237" s="281">
        <v>96.791596831786791</v>
      </c>
      <c r="K237" t="s">
        <v>550</v>
      </c>
      <c r="L237" t="s">
        <v>551</v>
      </c>
      <c r="M237" t="s">
        <v>552</v>
      </c>
      <c r="N237" t="s">
        <v>367</v>
      </c>
      <c r="O237" t="s">
        <v>367</v>
      </c>
      <c r="P237" t="s">
        <v>340</v>
      </c>
      <c r="Q237" t="s">
        <v>62</v>
      </c>
      <c r="V237" s="36"/>
    </row>
    <row r="238" spans="1:22" customFormat="1" hidden="1" x14ac:dyDescent="0.2">
      <c r="A238" s="36" t="s">
        <v>15</v>
      </c>
      <c r="B238" s="36" t="s">
        <v>2</v>
      </c>
      <c r="C238" s="93">
        <v>46094</v>
      </c>
      <c r="D238" s="3">
        <v>46094</v>
      </c>
      <c r="E238" s="126">
        <v>46094</v>
      </c>
      <c r="F238" s="36" t="s">
        <v>82</v>
      </c>
      <c r="G238" s="281">
        <v>75</v>
      </c>
      <c r="H238" s="281">
        <v>0</v>
      </c>
      <c r="I238" s="281">
        <v>75</v>
      </c>
      <c r="J238" s="281">
        <v>18.148424405960025</v>
      </c>
      <c r="K238" t="s">
        <v>553</v>
      </c>
      <c r="L238" t="s">
        <v>554</v>
      </c>
      <c r="M238" t="s">
        <v>555</v>
      </c>
      <c r="N238" t="s">
        <v>397</v>
      </c>
      <c r="O238" t="s">
        <v>398</v>
      </c>
      <c r="P238" t="s">
        <v>340</v>
      </c>
      <c r="Q238" t="s">
        <v>62</v>
      </c>
      <c r="V238" s="36"/>
    </row>
    <row r="239" spans="1:22" customFormat="1" hidden="1" x14ac:dyDescent="0.2">
      <c r="A239" s="36" t="s">
        <v>15</v>
      </c>
      <c r="B239" s="36" t="s">
        <v>2</v>
      </c>
      <c r="C239" s="93">
        <v>46094</v>
      </c>
      <c r="D239" s="3">
        <v>46094</v>
      </c>
      <c r="E239" s="126">
        <v>46094</v>
      </c>
      <c r="F239" s="36" t="s">
        <v>82</v>
      </c>
      <c r="G239" s="281">
        <v>5764</v>
      </c>
      <c r="H239" s="281">
        <v>0</v>
      </c>
      <c r="I239" s="281">
        <v>5764</v>
      </c>
      <c r="J239" s="281">
        <v>1394.7669103460478</v>
      </c>
      <c r="K239" t="s">
        <v>532</v>
      </c>
      <c r="L239" t="s">
        <v>556</v>
      </c>
      <c r="M239" t="s">
        <v>534</v>
      </c>
      <c r="N239" t="s">
        <v>535</v>
      </c>
      <c r="O239" t="s">
        <v>1844</v>
      </c>
      <c r="P239" t="s">
        <v>376</v>
      </c>
      <c r="Q239" t="s">
        <v>62</v>
      </c>
      <c r="V239" s="36"/>
    </row>
    <row r="240" spans="1:22" customFormat="1" hidden="1" x14ac:dyDescent="0.2">
      <c r="A240" s="36" t="s">
        <v>15</v>
      </c>
      <c r="B240" s="36" t="s">
        <v>2</v>
      </c>
      <c r="C240" s="93">
        <v>46094</v>
      </c>
      <c r="D240" s="3">
        <v>46094</v>
      </c>
      <c r="E240" s="126">
        <v>46094</v>
      </c>
      <c r="F240" s="36" t="s">
        <v>82</v>
      </c>
      <c r="G240" s="281">
        <v>196275</v>
      </c>
      <c r="H240" s="281">
        <v>0</v>
      </c>
      <c r="I240" s="281">
        <v>196275</v>
      </c>
      <c r="J240" s="281">
        <v>47494.426670397384</v>
      </c>
      <c r="K240" t="s">
        <v>557</v>
      </c>
      <c r="L240" t="s">
        <v>558</v>
      </c>
      <c r="M240" t="s">
        <v>559</v>
      </c>
      <c r="N240" t="s">
        <v>560</v>
      </c>
      <c r="O240" t="s">
        <v>49</v>
      </c>
      <c r="P240" t="s">
        <v>45</v>
      </c>
      <c r="Q240" t="s">
        <v>45</v>
      </c>
      <c r="V240" s="36"/>
    </row>
    <row r="241" spans="1:22" customFormat="1" hidden="1" x14ac:dyDescent="0.2">
      <c r="A241" s="36" t="s">
        <v>15</v>
      </c>
      <c r="B241" s="36" t="s">
        <v>2</v>
      </c>
      <c r="C241" s="93">
        <v>46094</v>
      </c>
      <c r="D241" s="3">
        <v>46094</v>
      </c>
      <c r="E241" s="126">
        <v>46094</v>
      </c>
      <c r="F241" s="36" t="s">
        <v>82</v>
      </c>
      <c r="G241" s="281">
        <v>16837</v>
      </c>
      <c r="H241" s="281">
        <v>0</v>
      </c>
      <c r="I241" s="281">
        <v>16837</v>
      </c>
      <c r="J241" s="281">
        <v>4074.2002896419858</v>
      </c>
      <c r="K241" t="s">
        <v>461</v>
      </c>
      <c r="L241" t="s">
        <v>561</v>
      </c>
      <c r="M241" t="s">
        <v>562</v>
      </c>
      <c r="N241" t="s">
        <v>509</v>
      </c>
      <c r="O241" t="s">
        <v>510</v>
      </c>
      <c r="P241" t="s">
        <v>340</v>
      </c>
      <c r="Q241" t="s">
        <v>62</v>
      </c>
      <c r="V241" s="36"/>
    </row>
    <row r="242" spans="1:22" customFormat="1" hidden="1" x14ac:dyDescent="0.2">
      <c r="A242" s="36" t="s">
        <v>15</v>
      </c>
      <c r="B242" s="36" t="s">
        <v>2</v>
      </c>
      <c r="C242" s="93">
        <v>46094</v>
      </c>
      <c r="D242" s="3">
        <v>46094</v>
      </c>
      <c r="E242" s="126">
        <v>46094</v>
      </c>
      <c r="F242" s="36" t="s">
        <v>82</v>
      </c>
      <c r="G242" s="281">
        <v>0.5</v>
      </c>
      <c r="H242" s="281">
        <v>0</v>
      </c>
      <c r="I242" s="281">
        <v>0.5</v>
      </c>
      <c r="J242" s="281">
        <v>0.1209894960397335</v>
      </c>
      <c r="K242" t="s">
        <v>448</v>
      </c>
      <c r="L242" s="4" t="s">
        <v>563</v>
      </c>
      <c r="M242" t="s">
        <v>332</v>
      </c>
      <c r="N242" t="s">
        <v>332</v>
      </c>
      <c r="O242" t="s">
        <v>332</v>
      </c>
      <c r="P242" t="s">
        <v>333</v>
      </c>
      <c r="Q242" t="s">
        <v>62</v>
      </c>
      <c r="V242" s="36"/>
    </row>
    <row r="243" spans="1:22" customFormat="1" hidden="1" x14ac:dyDescent="0.2">
      <c r="A243" s="36" t="s">
        <v>15</v>
      </c>
      <c r="B243" s="36" t="s">
        <v>2</v>
      </c>
      <c r="C243" s="93">
        <v>46094</v>
      </c>
      <c r="D243" s="3">
        <v>46094</v>
      </c>
      <c r="E243" s="126">
        <v>46094</v>
      </c>
      <c r="F243" s="36" t="s">
        <v>82</v>
      </c>
      <c r="G243" s="281">
        <v>0.5</v>
      </c>
      <c r="H243" s="281">
        <v>0</v>
      </c>
      <c r="I243" s="281">
        <v>0.5</v>
      </c>
      <c r="J243" s="281">
        <v>0.1209894960397335</v>
      </c>
      <c r="K243" t="s">
        <v>448</v>
      </c>
      <c r="L243" s="4" t="s">
        <v>563</v>
      </c>
      <c r="M243" t="s">
        <v>332</v>
      </c>
      <c r="N243" t="s">
        <v>332</v>
      </c>
      <c r="O243" t="s">
        <v>332</v>
      </c>
      <c r="P243" t="s">
        <v>333</v>
      </c>
      <c r="Q243" t="s">
        <v>62</v>
      </c>
      <c r="V243" s="36"/>
    </row>
    <row r="244" spans="1:22" customFormat="1" hidden="1" x14ac:dyDescent="0.2">
      <c r="A244" s="36" t="s">
        <v>15</v>
      </c>
      <c r="B244" s="36" t="s">
        <v>2</v>
      </c>
      <c r="C244" s="93">
        <v>46097</v>
      </c>
      <c r="D244" s="3">
        <v>46096</v>
      </c>
      <c r="E244" s="126">
        <v>46097</v>
      </c>
      <c r="F244" s="36" t="s">
        <v>82</v>
      </c>
      <c r="G244" s="281">
        <v>2000.14</v>
      </c>
      <c r="H244" s="281">
        <v>0</v>
      </c>
      <c r="I244" s="281">
        <v>2000.14</v>
      </c>
      <c r="J244" s="281">
        <v>483.99186121782515</v>
      </c>
      <c r="K244" t="s">
        <v>564</v>
      </c>
      <c r="L244" t="s">
        <v>564</v>
      </c>
      <c r="M244" t="s">
        <v>474</v>
      </c>
      <c r="N244" t="s">
        <v>475</v>
      </c>
      <c r="O244" t="s">
        <v>48</v>
      </c>
      <c r="P244" t="s">
        <v>354</v>
      </c>
      <c r="Q244" t="s">
        <v>61</v>
      </c>
      <c r="V244" s="36"/>
    </row>
    <row r="245" spans="1:22" customFormat="1" hidden="1" x14ac:dyDescent="0.2">
      <c r="A245" s="36" t="s">
        <v>15</v>
      </c>
      <c r="B245" s="36" t="s">
        <v>2</v>
      </c>
      <c r="C245" s="93">
        <v>46097</v>
      </c>
      <c r="D245" s="3">
        <v>46096</v>
      </c>
      <c r="E245" s="126">
        <v>46097</v>
      </c>
      <c r="F245" s="36" t="s">
        <v>82</v>
      </c>
      <c r="G245" s="281">
        <v>568.16</v>
      </c>
      <c r="H245" s="281">
        <v>0</v>
      </c>
      <c r="I245" s="281">
        <v>568.16</v>
      </c>
      <c r="J245" s="281">
        <v>137.48278413986995</v>
      </c>
      <c r="K245" t="s">
        <v>564</v>
      </c>
      <c r="L245" t="s">
        <v>564</v>
      </c>
      <c r="M245" t="s">
        <v>474</v>
      </c>
      <c r="N245" t="s">
        <v>475</v>
      </c>
      <c r="O245" t="s">
        <v>48</v>
      </c>
      <c r="P245" t="s">
        <v>45</v>
      </c>
      <c r="Q245" t="s">
        <v>45</v>
      </c>
      <c r="V245" s="36"/>
    </row>
    <row r="246" spans="1:22" customFormat="1" hidden="1" x14ac:dyDescent="0.2">
      <c r="A246" s="36" t="s">
        <v>15</v>
      </c>
      <c r="B246" s="36" t="s">
        <v>2</v>
      </c>
      <c r="C246" s="93">
        <v>46097</v>
      </c>
      <c r="D246" s="3">
        <v>46096</v>
      </c>
      <c r="E246" s="126">
        <v>46097</v>
      </c>
      <c r="F246" s="36" t="s">
        <v>82</v>
      </c>
      <c r="G246" s="281">
        <v>741.72</v>
      </c>
      <c r="H246" s="281">
        <v>0</v>
      </c>
      <c r="I246" s="281">
        <v>741.72</v>
      </c>
      <c r="J246" s="281">
        <v>179.48065800518228</v>
      </c>
      <c r="K246" t="s">
        <v>564</v>
      </c>
      <c r="L246" t="s">
        <v>564</v>
      </c>
      <c r="M246" t="s">
        <v>474</v>
      </c>
      <c r="N246" t="s">
        <v>475</v>
      </c>
      <c r="O246" t="s">
        <v>48</v>
      </c>
      <c r="P246" t="s">
        <v>350</v>
      </c>
      <c r="Q246" t="s">
        <v>62</v>
      </c>
      <c r="V246" s="36"/>
    </row>
    <row r="247" spans="1:22" customFormat="1" hidden="1" x14ac:dyDescent="0.2">
      <c r="A247" s="36" t="s">
        <v>15</v>
      </c>
      <c r="B247" s="36" t="s">
        <v>2</v>
      </c>
      <c r="C247" s="93">
        <v>46097</v>
      </c>
      <c r="D247" s="3">
        <v>46096</v>
      </c>
      <c r="E247" s="126">
        <v>46097</v>
      </c>
      <c r="F247" s="36" t="s">
        <v>82</v>
      </c>
      <c r="G247" s="281">
        <v>280</v>
      </c>
      <c r="H247" s="281">
        <v>0</v>
      </c>
      <c r="I247" s="281">
        <v>280</v>
      </c>
      <c r="J247" s="281">
        <v>67.754117782250759</v>
      </c>
      <c r="K247" t="s">
        <v>564</v>
      </c>
      <c r="L247" t="s">
        <v>564</v>
      </c>
      <c r="M247" t="s">
        <v>476</v>
      </c>
      <c r="N247" t="s">
        <v>339</v>
      </c>
      <c r="O247" t="s">
        <v>48</v>
      </c>
      <c r="P247" t="s">
        <v>438</v>
      </c>
      <c r="Q247" t="s">
        <v>61</v>
      </c>
      <c r="V247" s="36"/>
    </row>
    <row r="248" spans="1:22" customFormat="1" hidden="1" x14ac:dyDescent="0.2">
      <c r="A248" s="36" t="s">
        <v>15</v>
      </c>
      <c r="B248" s="36" t="s">
        <v>2</v>
      </c>
      <c r="C248" s="93">
        <v>46097</v>
      </c>
      <c r="D248" s="3">
        <v>46096</v>
      </c>
      <c r="E248" s="126">
        <v>46097</v>
      </c>
      <c r="F248" s="36" t="s">
        <v>82</v>
      </c>
      <c r="G248" s="281">
        <v>56.05</v>
      </c>
      <c r="H248" s="281">
        <v>0</v>
      </c>
      <c r="I248" s="281">
        <v>56.05</v>
      </c>
      <c r="J248" s="281">
        <v>13.562922506054123</v>
      </c>
      <c r="K248" t="s">
        <v>564</v>
      </c>
      <c r="L248" t="s">
        <v>564</v>
      </c>
      <c r="M248" t="s">
        <v>526</v>
      </c>
      <c r="N248" t="s">
        <v>527</v>
      </c>
      <c r="O248" t="s">
        <v>51</v>
      </c>
      <c r="P248" t="s">
        <v>438</v>
      </c>
      <c r="Q248" t="s">
        <v>61</v>
      </c>
      <c r="V248" s="36"/>
    </row>
    <row r="249" spans="1:22" customFormat="1" hidden="1" x14ac:dyDescent="0.2">
      <c r="A249" s="36" t="s">
        <v>15</v>
      </c>
      <c r="B249" s="36" t="s">
        <v>2</v>
      </c>
      <c r="C249" s="93">
        <v>46097</v>
      </c>
      <c r="D249" s="3">
        <v>46096</v>
      </c>
      <c r="E249" s="126">
        <v>46097</v>
      </c>
      <c r="F249" s="36" t="s">
        <v>82</v>
      </c>
      <c r="G249" s="281">
        <v>132.69999999999999</v>
      </c>
      <c r="H249" s="281">
        <v>0</v>
      </c>
      <c r="I249" s="281">
        <v>132.69999999999999</v>
      </c>
      <c r="J249" s="281">
        <v>32.110612248945266</v>
      </c>
      <c r="K249" t="s">
        <v>564</v>
      </c>
      <c r="L249" t="s">
        <v>564</v>
      </c>
      <c r="M249" t="s">
        <v>348</v>
      </c>
      <c r="N249" t="s">
        <v>349</v>
      </c>
      <c r="O249" t="s">
        <v>46</v>
      </c>
      <c r="P249" t="s">
        <v>350</v>
      </c>
      <c r="Q249" t="s">
        <v>62</v>
      </c>
      <c r="V249" s="36"/>
    </row>
    <row r="250" spans="1:22" customFormat="1" hidden="1" x14ac:dyDescent="0.2">
      <c r="A250" s="36" t="s">
        <v>15</v>
      </c>
      <c r="B250" s="36" t="s">
        <v>2</v>
      </c>
      <c r="C250" s="93">
        <v>46097</v>
      </c>
      <c r="D250" s="3">
        <v>46096</v>
      </c>
      <c r="E250" s="126">
        <v>46097</v>
      </c>
      <c r="F250" s="36" t="s">
        <v>82</v>
      </c>
      <c r="G250" s="281">
        <v>70.73</v>
      </c>
      <c r="H250" s="281">
        <v>0</v>
      </c>
      <c r="I250" s="281">
        <v>70.73</v>
      </c>
      <c r="J250" s="281">
        <v>17.1151741097807</v>
      </c>
      <c r="K250" t="s">
        <v>564</v>
      </c>
      <c r="L250" t="s">
        <v>564</v>
      </c>
      <c r="M250" t="s">
        <v>352</v>
      </c>
      <c r="N250" t="s">
        <v>391</v>
      </c>
      <c r="O250" t="s">
        <v>48</v>
      </c>
      <c r="P250" t="s">
        <v>354</v>
      </c>
      <c r="Q250" t="s">
        <v>61</v>
      </c>
      <c r="V250" s="36"/>
    </row>
    <row r="251" spans="1:22" customFormat="1" hidden="1" x14ac:dyDescent="0.2">
      <c r="A251" s="36" t="s">
        <v>15</v>
      </c>
      <c r="B251" s="36" t="s">
        <v>2</v>
      </c>
      <c r="C251" s="93">
        <v>46097</v>
      </c>
      <c r="D251" s="3">
        <v>46096</v>
      </c>
      <c r="E251" s="126">
        <v>46097</v>
      </c>
      <c r="F251" s="36" t="s">
        <v>82</v>
      </c>
      <c r="G251" s="281">
        <v>222.82</v>
      </c>
      <c r="H251" s="281">
        <v>0</v>
      </c>
      <c r="I251" s="281">
        <v>222.82</v>
      </c>
      <c r="J251" s="281">
        <v>53.917759015146835</v>
      </c>
      <c r="K251" t="s">
        <v>564</v>
      </c>
      <c r="L251" t="s">
        <v>564</v>
      </c>
      <c r="M251" t="s">
        <v>352</v>
      </c>
      <c r="N251" t="s">
        <v>391</v>
      </c>
      <c r="O251" t="s">
        <v>48</v>
      </c>
      <c r="P251" t="s">
        <v>45</v>
      </c>
      <c r="Q251" t="s">
        <v>45</v>
      </c>
      <c r="V251" s="36"/>
    </row>
    <row r="252" spans="1:22" customFormat="1" hidden="1" x14ac:dyDescent="0.2">
      <c r="A252" s="36" t="s">
        <v>15</v>
      </c>
      <c r="B252" s="36" t="s">
        <v>2</v>
      </c>
      <c r="C252" s="93">
        <v>46097</v>
      </c>
      <c r="D252" s="3">
        <v>46096</v>
      </c>
      <c r="E252" s="126">
        <v>46097</v>
      </c>
      <c r="F252" s="36" t="s">
        <v>82</v>
      </c>
      <c r="G252" s="281">
        <v>23.95</v>
      </c>
      <c r="H252" s="281">
        <v>0</v>
      </c>
      <c r="I252" s="281">
        <v>23.95</v>
      </c>
      <c r="J252" s="281">
        <v>5.7953968603032342</v>
      </c>
      <c r="K252" t="s">
        <v>564</v>
      </c>
      <c r="L252" t="s">
        <v>564</v>
      </c>
      <c r="M252" t="s">
        <v>355</v>
      </c>
      <c r="N252" t="s">
        <v>402</v>
      </c>
      <c r="O252" t="s">
        <v>48</v>
      </c>
      <c r="P252" t="s">
        <v>438</v>
      </c>
      <c r="Q252" t="s">
        <v>61</v>
      </c>
      <c r="V252" s="36"/>
    </row>
    <row r="253" spans="1:22" customFormat="1" hidden="1" x14ac:dyDescent="0.2">
      <c r="A253" s="36" t="s">
        <v>15</v>
      </c>
      <c r="B253" s="36" t="s">
        <v>2</v>
      </c>
      <c r="C253" s="93">
        <v>46097</v>
      </c>
      <c r="D253" s="3">
        <v>46096</v>
      </c>
      <c r="E253" s="126">
        <v>46097</v>
      </c>
      <c r="F253" s="36" t="s">
        <v>82</v>
      </c>
      <c r="G253" s="281">
        <v>29.3</v>
      </c>
      <c r="H253" s="281">
        <v>0</v>
      </c>
      <c r="I253" s="281">
        <v>29.3</v>
      </c>
      <c r="J253" s="281">
        <v>7.0899844679283834</v>
      </c>
      <c r="K253" t="s">
        <v>564</v>
      </c>
      <c r="L253" t="s">
        <v>564</v>
      </c>
      <c r="M253" t="s">
        <v>355</v>
      </c>
      <c r="N253" t="s">
        <v>402</v>
      </c>
      <c r="O253" t="s">
        <v>48</v>
      </c>
      <c r="P253" t="s">
        <v>45</v>
      </c>
      <c r="Q253" t="s">
        <v>45</v>
      </c>
      <c r="V253" s="36"/>
    </row>
    <row r="254" spans="1:22" customFormat="1" hidden="1" x14ac:dyDescent="0.2">
      <c r="A254" s="36" t="s">
        <v>15</v>
      </c>
      <c r="B254" s="36" t="s">
        <v>2</v>
      </c>
      <c r="C254" s="93">
        <v>46097</v>
      </c>
      <c r="D254" s="3">
        <v>46096</v>
      </c>
      <c r="E254" s="126">
        <v>46097</v>
      </c>
      <c r="F254" s="36" t="s">
        <v>82</v>
      </c>
      <c r="G254" s="281">
        <v>388.5</v>
      </c>
      <c r="H254" s="281">
        <v>0</v>
      </c>
      <c r="I254" s="281">
        <v>388.5</v>
      </c>
      <c r="J254" s="281">
        <v>94.008838422872927</v>
      </c>
      <c r="K254" t="s">
        <v>564</v>
      </c>
      <c r="L254" t="s">
        <v>564</v>
      </c>
      <c r="M254" t="s">
        <v>392</v>
      </c>
      <c r="N254" t="s">
        <v>393</v>
      </c>
      <c r="O254" t="s">
        <v>46</v>
      </c>
      <c r="P254" t="s">
        <v>350</v>
      </c>
      <c r="Q254" t="s">
        <v>62</v>
      </c>
      <c r="V254" s="36"/>
    </row>
    <row r="255" spans="1:22" customFormat="1" hidden="1" x14ac:dyDescent="0.2">
      <c r="A255" s="36" t="s">
        <v>15</v>
      </c>
      <c r="B255" s="36" t="s">
        <v>2</v>
      </c>
      <c r="C255" s="93">
        <v>46097</v>
      </c>
      <c r="D255" s="3">
        <v>46096</v>
      </c>
      <c r="E255" s="126">
        <v>46097</v>
      </c>
      <c r="F255" s="36" t="s">
        <v>82</v>
      </c>
      <c r="G255" s="281">
        <v>1350.29</v>
      </c>
      <c r="H255" s="281">
        <v>0</v>
      </c>
      <c r="I255" s="281">
        <v>1350.29</v>
      </c>
      <c r="J255" s="281">
        <v>326.74181321498349</v>
      </c>
      <c r="K255" t="s">
        <v>564</v>
      </c>
      <c r="L255" t="s">
        <v>564</v>
      </c>
      <c r="M255" t="s">
        <v>416</v>
      </c>
      <c r="N255" t="s">
        <v>390</v>
      </c>
      <c r="O255" t="s">
        <v>46</v>
      </c>
      <c r="P255" t="s">
        <v>45</v>
      </c>
      <c r="Q255" t="s">
        <v>45</v>
      </c>
      <c r="V255" s="36"/>
    </row>
    <row r="256" spans="1:22" customFormat="1" hidden="1" x14ac:dyDescent="0.2">
      <c r="A256" s="36" t="s">
        <v>15</v>
      </c>
      <c r="B256" s="36" t="s">
        <v>2</v>
      </c>
      <c r="C256" s="93">
        <v>46097</v>
      </c>
      <c r="D256" s="3">
        <v>46096</v>
      </c>
      <c r="E256" s="126">
        <v>46097</v>
      </c>
      <c r="F256" s="36" t="s">
        <v>82</v>
      </c>
      <c r="G256" s="281">
        <v>67</v>
      </c>
      <c r="H256" s="281">
        <v>0</v>
      </c>
      <c r="I256" s="281">
        <v>67</v>
      </c>
      <c r="J256" s="281">
        <v>16.212592469324289</v>
      </c>
      <c r="K256" t="s">
        <v>564</v>
      </c>
      <c r="L256" t="s">
        <v>564</v>
      </c>
      <c r="M256" t="s">
        <v>359</v>
      </c>
      <c r="N256" t="s">
        <v>52</v>
      </c>
      <c r="O256" t="s">
        <v>52</v>
      </c>
      <c r="P256" t="s">
        <v>354</v>
      </c>
      <c r="Q256" t="s">
        <v>61</v>
      </c>
      <c r="V256" s="36"/>
    </row>
    <row r="257" spans="1:22" customFormat="1" hidden="1" x14ac:dyDescent="0.2">
      <c r="A257" s="36" t="s">
        <v>15</v>
      </c>
      <c r="B257" s="36" t="s">
        <v>2</v>
      </c>
      <c r="C257" s="93">
        <v>46097</v>
      </c>
      <c r="D257" s="3">
        <v>46096</v>
      </c>
      <c r="E257" s="126">
        <v>46097</v>
      </c>
      <c r="F257" s="36" t="s">
        <v>82</v>
      </c>
      <c r="G257" s="281">
        <v>67</v>
      </c>
      <c r="H257" s="281">
        <v>0</v>
      </c>
      <c r="I257" s="281">
        <v>67</v>
      </c>
      <c r="J257" s="281">
        <v>16.212592469324289</v>
      </c>
      <c r="K257" t="s">
        <v>564</v>
      </c>
      <c r="L257" t="s">
        <v>564</v>
      </c>
      <c r="M257" t="s">
        <v>359</v>
      </c>
      <c r="N257" t="s">
        <v>52</v>
      </c>
      <c r="O257" t="s">
        <v>52</v>
      </c>
      <c r="P257" t="s">
        <v>45</v>
      </c>
      <c r="Q257" t="s">
        <v>45</v>
      </c>
      <c r="V257" s="36"/>
    </row>
    <row r="258" spans="1:22" customFormat="1" hidden="1" x14ac:dyDescent="0.2">
      <c r="A258" s="36" t="s">
        <v>15</v>
      </c>
      <c r="B258" s="36" t="s">
        <v>2</v>
      </c>
      <c r="C258" s="93">
        <v>46097</v>
      </c>
      <c r="D258" s="3">
        <v>46096</v>
      </c>
      <c r="E258" s="126">
        <v>46097</v>
      </c>
      <c r="F258" s="36" t="s">
        <v>82</v>
      </c>
      <c r="G258" s="281">
        <v>2618.3500000000004</v>
      </c>
      <c r="H258" s="281">
        <v>0</v>
      </c>
      <c r="I258" s="281">
        <v>2618.3500000000004</v>
      </c>
      <c r="J258" s="281">
        <v>633.58569391127253</v>
      </c>
      <c r="K258" t="s">
        <v>564</v>
      </c>
      <c r="L258" t="s">
        <v>564</v>
      </c>
      <c r="M258" t="s">
        <v>360</v>
      </c>
      <c r="N258" t="s">
        <v>353</v>
      </c>
      <c r="O258" t="s">
        <v>48</v>
      </c>
      <c r="P258" t="s">
        <v>354</v>
      </c>
      <c r="Q258" t="s">
        <v>61</v>
      </c>
      <c r="V258" s="36"/>
    </row>
    <row r="259" spans="1:22" customFormat="1" hidden="1" x14ac:dyDescent="0.2">
      <c r="A259" s="36" t="s">
        <v>15</v>
      </c>
      <c r="B259" s="36" t="s">
        <v>2</v>
      </c>
      <c r="C259" s="93">
        <v>46097</v>
      </c>
      <c r="D259" s="3">
        <v>46096</v>
      </c>
      <c r="E259" s="126">
        <v>46097</v>
      </c>
      <c r="F259" s="36" t="s">
        <v>82</v>
      </c>
      <c r="G259" s="281">
        <v>2545.0299999999997</v>
      </c>
      <c r="H259" s="281">
        <v>0</v>
      </c>
      <c r="I259" s="281">
        <v>2545.0299999999997</v>
      </c>
      <c r="J259" s="281">
        <v>615.84379421200583</v>
      </c>
      <c r="K259" t="s">
        <v>564</v>
      </c>
      <c r="L259" t="s">
        <v>564</v>
      </c>
      <c r="M259" t="s">
        <v>360</v>
      </c>
      <c r="N259" t="s">
        <v>353</v>
      </c>
      <c r="O259" t="s">
        <v>48</v>
      </c>
      <c r="P259" t="s">
        <v>45</v>
      </c>
      <c r="Q259" t="s">
        <v>45</v>
      </c>
      <c r="V259" s="36"/>
    </row>
    <row r="260" spans="1:22" customFormat="1" hidden="1" x14ac:dyDescent="0.2">
      <c r="A260" s="36" t="s">
        <v>15</v>
      </c>
      <c r="B260" s="36" t="s">
        <v>2</v>
      </c>
      <c r="C260" s="93">
        <v>46097</v>
      </c>
      <c r="D260" s="3">
        <v>46096</v>
      </c>
      <c r="E260" s="126">
        <v>46097</v>
      </c>
      <c r="F260" s="36" t="s">
        <v>82</v>
      </c>
      <c r="G260" s="281">
        <v>1868.69</v>
      </c>
      <c r="H260" s="281">
        <v>0</v>
      </c>
      <c r="I260" s="281">
        <v>1868.69</v>
      </c>
      <c r="J260" s="281">
        <v>452.18372270897919</v>
      </c>
      <c r="K260" t="s">
        <v>564</v>
      </c>
      <c r="L260" t="s">
        <v>564</v>
      </c>
      <c r="M260" t="s">
        <v>360</v>
      </c>
      <c r="N260" t="s">
        <v>353</v>
      </c>
      <c r="O260" t="s">
        <v>48</v>
      </c>
      <c r="P260" t="s">
        <v>350</v>
      </c>
      <c r="Q260" t="s">
        <v>62</v>
      </c>
      <c r="V260" s="36"/>
    </row>
    <row r="261" spans="1:22" customFormat="1" hidden="1" x14ac:dyDescent="0.2">
      <c r="A261" s="36" t="s">
        <v>15</v>
      </c>
      <c r="B261" s="36" t="s">
        <v>2</v>
      </c>
      <c r="C261" s="93">
        <v>46097</v>
      </c>
      <c r="D261" s="3">
        <v>46096</v>
      </c>
      <c r="E261" s="126">
        <v>46097</v>
      </c>
      <c r="F261" s="36" t="s">
        <v>82</v>
      </c>
      <c r="G261" s="281">
        <v>300</v>
      </c>
      <c r="H261" s="281">
        <v>0</v>
      </c>
      <c r="I261" s="281">
        <v>300</v>
      </c>
      <c r="J261" s="281">
        <v>72.5936976238401</v>
      </c>
      <c r="K261" t="s">
        <v>564</v>
      </c>
      <c r="L261" t="s">
        <v>564</v>
      </c>
      <c r="M261" t="s">
        <v>361</v>
      </c>
      <c r="N261" t="s">
        <v>356</v>
      </c>
      <c r="O261" t="s">
        <v>48</v>
      </c>
      <c r="P261" t="s">
        <v>354</v>
      </c>
      <c r="Q261" t="s">
        <v>61</v>
      </c>
      <c r="V261" s="36"/>
    </row>
    <row r="262" spans="1:22" customFormat="1" hidden="1" x14ac:dyDescent="0.2">
      <c r="A262" s="36" t="s">
        <v>15</v>
      </c>
      <c r="B262" s="36" t="s">
        <v>2</v>
      </c>
      <c r="C262" s="93">
        <v>46097</v>
      </c>
      <c r="D262" s="3">
        <v>46096</v>
      </c>
      <c r="E262" s="126">
        <v>46097</v>
      </c>
      <c r="F262" s="36" t="s">
        <v>82</v>
      </c>
      <c r="G262" s="281">
        <v>1652.89</v>
      </c>
      <c r="H262" s="281">
        <v>0</v>
      </c>
      <c r="I262" s="281">
        <v>1652.89</v>
      </c>
      <c r="J262" s="281">
        <v>399.96465621823023</v>
      </c>
      <c r="K262" t="s">
        <v>564</v>
      </c>
      <c r="L262" t="s">
        <v>564</v>
      </c>
      <c r="M262" t="s">
        <v>361</v>
      </c>
      <c r="N262" t="s">
        <v>356</v>
      </c>
      <c r="O262" t="s">
        <v>48</v>
      </c>
      <c r="P262" t="s">
        <v>45</v>
      </c>
      <c r="Q262" t="s">
        <v>45</v>
      </c>
      <c r="V262" s="36"/>
    </row>
    <row r="263" spans="1:22" customFormat="1" hidden="1" x14ac:dyDescent="0.2">
      <c r="A263" s="36" t="s">
        <v>15</v>
      </c>
      <c r="B263" s="36" t="s">
        <v>2</v>
      </c>
      <c r="C263" s="93">
        <v>46097</v>
      </c>
      <c r="D263" s="3">
        <v>46096</v>
      </c>
      <c r="E263" s="126">
        <v>46097</v>
      </c>
      <c r="F263" s="36" t="s">
        <v>82</v>
      </c>
      <c r="G263" s="281">
        <v>292.12</v>
      </c>
      <c r="H263" s="281">
        <v>0</v>
      </c>
      <c r="I263" s="281">
        <v>292.12</v>
      </c>
      <c r="J263" s="281">
        <v>70.686903166253899</v>
      </c>
      <c r="K263" t="s">
        <v>564</v>
      </c>
      <c r="L263" t="s">
        <v>564</v>
      </c>
      <c r="M263" t="s">
        <v>361</v>
      </c>
      <c r="N263" t="s">
        <v>356</v>
      </c>
      <c r="O263" t="s">
        <v>48</v>
      </c>
      <c r="P263" t="s">
        <v>438</v>
      </c>
      <c r="Q263" t="s">
        <v>61</v>
      </c>
      <c r="V263" s="36"/>
    </row>
    <row r="264" spans="1:22" customFormat="1" hidden="1" x14ac:dyDescent="0.2">
      <c r="A264" s="36" t="s">
        <v>15</v>
      </c>
      <c r="B264" s="36" t="s">
        <v>2</v>
      </c>
      <c r="C264" s="93">
        <v>46097</v>
      </c>
      <c r="D264" s="3">
        <v>46096</v>
      </c>
      <c r="E264" s="126">
        <v>46097</v>
      </c>
      <c r="F264" s="36" t="s">
        <v>82</v>
      </c>
      <c r="G264" s="281">
        <v>33</v>
      </c>
      <c r="H264" s="281">
        <v>0</v>
      </c>
      <c r="I264" s="281">
        <v>33</v>
      </c>
      <c r="J264" s="281">
        <v>7.9853067386224108</v>
      </c>
      <c r="K264" t="s">
        <v>564</v>
      </c>
      <c r="L264" t="s">
        <v>564</v>
      </c>
      <c r="M264" t="s">
        <v>361</v>
      </c>
      <c r="N264" t="s">
        <v>356</v>
      </c>
      <c r="O264" t="s">
        <v>48</v>
      </c>
      <c r="P264" t="s">
        <v>350</v>
      </c>
      <c r="Q264" t="s">
        <v>62</v>
      </c>
      <c r="V264" s="36"/>
    </row>
    <row r="265" spans="1:22" customFormat="1" hidden="1" x14ac:dyDescent="0.2">
      <c r="A265" s="36" t="s">
        <v>15</v>
      </c>
      <c r="B265" s="36" t="s">
        <v>2</v>
      </c>
      <c r="C265" s="93">
        <v>46097</v>
      </c>
      <c r="D265" s="3">
        <v>46097</v>
      </c>
      <c r="E265" s="126">
        <v>46097</v>
      </c>
      <c r="F265" s="36" t="s">
        <v>82</v>
      </c>
      <c r="G265" s="281">
        <v>0.8</v>
      </c>
      <c r="H265" s="281">
        <v>0</v>
      </c>
      <c r="I265" s="281">
        <v>0.8</v>
      </c>
      <c r="J265" s="281">
        <v>0.1935831936635736</v>
      </c>
      <c r="K265" t="s">
        <v>448</v>
      </c>
      <c r="L265" s="4" t="s">
        <v>565</v>
      </c>
      <c r="M265" t="s">
        <v>332</v>
      </c>
      <c r="N265" t="s">
        <v>332</v>
      </c>
      <c r="O265" t="s">
        <v>332</v>
      </c>
      <c r="P265" t="s">
        <v>333</v>
      </c>
      <c r="Q265" t="s">
        <v>62</v>
      </c>
      <c r="V265" s="36"/>
    </row>
    <row r="266" spans="1:22" customFormat="1" hidden="1" x14ac:dyDescent="0.2">
      <c r="A266" s="36" t="s">
        <v>15</v>
      </c>
      <c r="B266" s="36" t="s">
        <v>2</v>
      </c>
      <c r="C266" s="93">
        <v>46112</v>
      </c>
      <c r="D266" s="3">
        <v>46112</v>
      </c>
      <c r="E266" s="126">
        <v>46112</v>
      </c>
      <c r="F266" s="36" t="s">
        <v>82</v>
      </c>
      <c r="G266" s="281">
        <v>1060</v>
      </c>
      <c r="H266" s="281">
        <v>0</v>
      </c>
      <c r="I266" s="281">
        <v>1060</v>
      </c>
      <c r="J266" s="281">
        <v>256.49773160423501</v>
      </c>
      <c r="K266" t="s">
        <v>566</v>
      </c>
      <c r="L266" t="s">
        <v>567</v>
      </c>
      <c r="M266" t="s">
        <v>568</v>
      </c>
      <c r="N266" t="s">
        <v>367</v>
      </c>
      <c r="O266" t="s">
        <v>367</v>
      </c>
      <c r="P266" t="s">
        <v>340</v>
      </c>
      <c r="Q266" t="s">
        <v>62</v>
      </c>
      <c r="V266" s="36"/>
    </row>
    <row r="267" spans="1:22" customFormat="1" hidden="1" x14ac:dyDescent="0.2">
      <c r="A267" s="36" t="s">
        <v>15</v>
      </c>
      <c r="B267" s="36" t="s">
        <v>2</v>
      </c>
      <c r="C267" s="93">
        <v>46112</v>
      </c>
      <c r="D267" s="3">
        <v>46112</v>
      </c>
      <c r="E267" s="126">
        <v>46112</v>
      </c>
      <c r="F267" s="36" t="s">
        <v>82</v>
      </c>
      <c r="G267" s="281">
        <v>34770.879999999997</v>
      </c>
      <c r="H267" s="281">
        <v>0</v>
      </c>
      <c r="I267" s="281">
        <v>34770.879999999997</v>
      </c>
      <c r="J267" s="281">
        <v>8413.8224961160959</v>
      </c>
      <c r="K267" t="s">
        <v>566</v>
      </c>
      <c r="L267" t="s">
        <v>569</v>
      </c>
      <c r="M267" t="s">
        <v>570</v>
      </c>
      <c r="N267" t="s">
        <v>571</v>
      </c>
      <c r="O267" t="s">
        <v>572</v>
      </c>
      <c r="P267" t="s">
        <v>340</v>
      </c>
      <c r="Q267" t="s">
        <v>62</v>
      </c>
      <c r="V267" s="36"/>
    </row>
    <row r="268" spans="1:22" customFormat="1" hidden="1" x14ac:dyDescent="0.2">
      <c r="A268" s="36" t="s">
        <v>15</v>
      </c>
      <c r="B268" s="36" t="s">
        <v>2</v>
      </c>
      <c r="C268" s="93">
        <v>46112</v>
      </c>
      <c r="D268" s="3">
        <v>46112</v>
      </c>
      <c r="E268" s="126">
        <v>46112</v>
      </c>
      <c r="F268" s="36" t="s">
        <v>82</v>
      </c>
      <c r="G268" s="281">
        <v>769.32</v>
      </c>
      <c r="H268" s="281">
        <v>0</v>
      </c>
      <c r="I268" s="281">
        <v>769.32</v>
      </c>
      <c r="J268" s="281">
        <v>186.15927818657556</v>
      </c>
      <c r="K268" t="s">
        <v>573</v>
      </c>
      <c r="L268" t="s">
        <v>574</v>
      </c>
      <c r="M268" t="s">
        <v>575</v>
      </c>
      <c r="N268" t="s">
        <v>409</v>
      </c>
      <c r="O268" t="s">
        <v>410</v>
      </c>
      <c r="P268" t="s">
        <v>340</v>
      </c>
      <c r="Q268" t="s">
        <v>62</v>
      </c>
      <c r="V268" s="36"/>
    </row>
    <row r="269" spans="1:22" customFormat="1" hidden="1" x14ac:dyDescent="0.2">
      <c r="A269" s="36" t="s">
        <v>15</v>
      </c>
      <c r="B269" s="36" t="s">
        <v>2</v>
      </c>
      <c r="C269" s="93">
        <v>46112</v>
      </c>
      <c r="D269" s="3">
        <v>46112</v>
      </c>
      <c r="E269" s="126">
        <v>46112</v>
      </c>
      <c r="F269" s="36" t="s">
        <v>82</v>
      </c>
      <c r="G269" s="281">
        <v>1000</v>
      </c>
      <c r="H269" s="281">
        <v>0</v>
      </c>
      <c r="I269" s="281">
        <v>1000</v>
      </c>
      <c r="J269" s="281">
        <v>241.97899207946699</v>
      </c>
      <c r="K269" t="s">
        <v>521</v>
      </c>
      <c r="L269" t="s">
        <v>576</v>
      </c>
      <c r="M269" t="s">
        <v>577</v>
      </c>
      <c r="N269" t="s">
        <v>367</v>
      </c>
      <c r="O269" t="s">
        <v>367</v>
      </c>
      <c r="P269" t="s">
        <v>333</v>
      </c>
      <c r="Q269" t="s">
        <v>62</v>
      </c>
      <c r="V269" s="36"/>
    </row>
    <row r="270" spans="1:22" customFormat="1" hidden="1" x14ac:dyDescent="0.2">
      <c r="A270" s="36" t="s">
        <v>15</v>
      </c>
      <c r="B270" s="36" t="s">
        <v>2</v>
      </c>
      <c r="C270" s="93">
        <v>46112</v>
      </c>
      <c r="D270" s="3">
        <v>46112</v>
      </c>
      <c r="E270" s="126">
        <v>46112</v>
      </c>
      <c r="F270" s="36" t="s">
        <v>82</v>
      </c>
      <c r="G270" s="281">
        <v>30</v>
      </c>
      <c r="H270" s="281">
        <v>0</v>
      </c>
      <c r="I270" s="281">
        <v>30</v>
      </c>
      <c r="J270" s="281">
        <v>7.2593697623840097</v>
      </c>
      <c r="K270" t="s">
        <v>578</v>
      </c>
      <c r="M270" t="s">
        <v>579</v>
      </c>
      <c r="N270" t="s">
        <v>472</v>
      </c>
      <c r="O270" t="s">
        <v>473</v>
      </c>
      <c r="P270" t="s">
        <v>340</v>
      </c>
      <c r="Q270" t="s">
        <v>62</v>
      </c>
      <c r="V270" s="36"/>
    </row>
    <row r="271" spans="1:22" customFormat="1" hidden="1" x14ac:dyDescent="0.2">
      <c r="A271" s="36" t="s">
        <v>15</v>
      </c>
      <c r="B271" s="36" t="s">
        <v>2</v>
      </c>
      <c r="C271" s="93">
        <v>46112</v>
      </c>
      <c r="D271" s="3">
        <v>46112</v>
      </c>
      <c r="E271" s="126">
        <v>46112</v>
      </c>
      <c r="F271" s="36" t="s">
        <v>82</v>
      </c>
      <c r="G271" s="281">
        <v>489</v>
      </c>
      <c r="H271" s="281">
        <v>0</v>
      </c>
      <c r="I271" s="281">
        <v>489</v>
      </c>
      <c r="J271" s="281">
        <v>118.32772712685936</v>
      </c>
      <c r="K271" t="s">
        <v>578</v>
      </c>
      <c r="M271" t="s">
        <v>580</v>
      </c>
      <c r="N271" t="s">
        <v>472</v>
      </c>
      <c r="O271" t="s">
        <v>473</v>
      </c>
      <c r="P271" t="s">
        <v>340</v>
      </c>
      <c r="Q271" t="s">
        <v>62</v>
      </c>
      <c r="V271" s="36"/>
    </row>
    <row r="272" spans="1:22" customFormat="1" hidden="1" x14ac:dyDescent="0.2">
      <c r="A272" s="36" t="s">
        <v>15</v>
      </c>
      <c r="B272" s="36" t="s">
        <v>2</v>
      </c>
      <c r="C272" s="93">
        <v>46112</v>
      </c>
      <c r="D272" s="3">
        <v>46112</v>
      </c>
      <c r="E272" s="126">
        <v>46112</v>
      </c>
      <c r="F272" s="36" t="s">
        <v>82</v>
      </c>
      <c r="G272" s="281"/>
      <c r="H272" s="281"/>
      <c r="I272" s="281"/>
      <c r="J272" s="281">
        <v>3315.93</v>
      </c>
      <c r="K272" t="s">
        <v>1803</v>
      </c>
      <c r="L272" t="s">
        <v>412</v>
      </c>
      <c r="M272" t="s">
        <v>412</v>
      </c>
      <c r="N272" t="s">
        <v>387</v>
      </c>
      <c r="O272" s="146" t="str">
        <f>_xlfn.XLOOKUP(N272,[1]!costcategory[Account Code],[1]!costcategory[Cost Category],"ERROR")</f>
        <v>Headcount Costs</v>
      </c>
      <c r="P272" t="s">
        <v>354</v>
      </c>
      <c r="Q272" s="147" t="str">
        <f>_xlfn.XLOOKUP(P272,[1]!Table2[Department],[1]!Table2[Group],"ERROR")</f>
        <v>Sales &amp; Marketing</v>
      </c>
      <c r="V272" s="36"/>
    </row>
    <row r="273" spans="1:23" customFormat="1" hidden="1" x14ac:dyDescent="0.2">
      <c r="A273" s="36" t="s">
        <v>15</v>
      </c>
      <c r="B273" s="36" t="s">
        <v>2</v>
      </c>
      <c r="C273" s="93">
        <v>46112</v>
      </c>
      <c r="D273" s="3">
        <v>46112</v>
      </c>
      <c r="E273" s="126">
        <v>46112</v>
      </c>
      <c r="F273" s="36" t="s">
        <v>82</v>
      </c>
      <c r="G273" s="281"/>
      <c r="H273" s="281"/>
      <c r="I273" s="281"/>
      <c r="J273" s="281">
        <v>2150.4299999999998</v>
      </c>
      <c r="K273" t="s">
        <v>1803</v>
      </c>
      <c r="L273" t="s">
        <v>1711</v>
      </c>
      <c r="M273" t="s">
        <v>1711</v>
      </c>
      <c r="N273" t="s">
        <v>387</v>
      </c>
      <c r="O273" s="146" t="str">
        <f>_xlfn.XLOOKUP(N273,[1]!costcategory[Account Code],[1]!costcategory[Cost Category],"ERROR")</f>
        <v>Headcount Costs</v>
      </c>
      <c r="P273" t="s">
        <v>354</v>
      </c>
      <c r="Q273" s="147" t="str">
        <f>_xlfn.XLOOKUP(P273,[1]!Table2[Department],[1]!Table2[Group],"ERROR")</f>
        <v>Sales &amp; Marketing</v>
      </c>
      <c r="V273" s="36"/>
    </row>
    <row r="274" spans="1:23" customFormat="1" hidden="1" x14ac:dyDescent="0.2">
      <c r="A274" s="36" t="s">
        <v>15</v>
      </c>
      <c r="B274" s="36" t="s">
        <v>2</v>
      </c>
      <c r="C274" s="93">
        <v>46112</v>
      </c>
      <c r="D274" s="3">
        <v>46112</v>
      </c>
      <c r="E274" s="126">
        <v>46112</v>
      </c>
      <c r="F274" s="36" t="s">
        <v>82</v>
      </c>
      <c r="G274" s="281"/>
      <c r="H274" s="281"/>
      <c r="I274" s="281"/>
      <c r="J274" s="281">
        <v>2992.637999999999</v>
      </c>
      <c r="K274" t="s">
        <v>1803</v>
      </c>
      <c r="L274" t="s">
        <v>412</v>
      </c>
      <c r="M274" t="s">
        <v>412</v>
      </c>
      <c r="N274" t="s">
        <v>387</v>
      </c>
      <c r="O274" s="146" t="str">
        <f>_xlfn.XLOOKUP(N274,[1]!costcategory[Account Code],[1]!costcategory[Cost Category],"ERROR")</f>
        <v>Headcount Costs</v>
      </c>
      <c r="P274" t="s">
        <v>45</v>
      </c>
      <c r="Q274" s="147" t="str">
        <f>_xlfn.XLOOKUP(P274,[1]!Table2[Department],[1]!Table2[Group],"ERROR")</f>
        <v>DSC</v>
      </c>
      <c r="V274" s="36"/>
    </row>
    <row r="275" spans="1:23" customFormat="1" hidden="1" x14ac:dyDescent="0.2">
      <c r="A275" s="36" t="s">
        <v>15</v>
      </c>
      <c r="B275" s="36" t="s">
        <v>2</v>
      </c>
      <c r="C275" s="93">
        <v>46112</v>
      </c>
      <c r="D275" s="3">
        <v>46112</v>
      </c>
      <c r="E275" s="126">
        <v>46112</v>
      </c>
      <c r="F275" s="36" t="s">
        <v>82</v>
      </c>
      <c r="G275" s="281"/>
      <c r="H275" s="281"/>
      <c r="I275" s="281"/>
      <c r="J275" s="281">
        <v>11970.552000000001</v>
      </c>
      <c r="K275" t="s">
        <v>1803</v>
      </c>
      <c r="L275" t="s">
        <v>412</v>
      </c>
      <c r="M275" t="s">
        <v>412</v>
      </c>
      <c r="N275" t="s">
        <v>387</v>
      </c>
      <c r="O275" s="146" t="str">
        <f>_xlfn.XLOOKUP(N275,[1]!costcategory[Account Code],[1]!costcategory[Cost Category],"ERROR")</f>
        <v>Headcount Costs</v>
      </c>
      <c r="P275" t="s">
        <v>63</v>
      </c>
      <c r="Q275" s="147" t="str">
        <f>_xlfn.XLOOKUP(P275,[1]!Table2[Department],[1]!Table2[Group],"ERROR")</f>
        <v>Research &amp; Development</v>
      </c>
      <c r="V275" s="36"/>
    </row>
    <row r="276" spans="1:23" customFormat="1" hidden="1" x14ac:dyDescent="0.2">
      <c r="A276" s="36" t="s">
        <v>15</v>
      </c>
      <c r="B276" s="36" t="s">
        <v>2</v>
      </c>
      <c r="C276" s="93">
        <v>46112</v>
      </c>
      <c r="D276" s="3">
        <v>46112</v>
      </c>
      <c r="E276" s="126">
        <v>46112</v>
      </c>
      <c r="F276" s="36" t="s">
        <v>82</v>
      </c>
      <c r="G276" s="281"/>
      <c r="H276" s="281"/>
      <c r="I276" s="281"/>
      <c r="J276" s="281">
        <v>7248.36</v>
      </c>
      <c r="K276" t="s">
        <v>1803</v>
      </c>
      <c r="L276" t="s">
        <v>1711</v>
      </c>
      <c r="M276" t="s">
        <v>1711</v>
      </c>
      <c r="N276" t="s">
        <v>387</v>
      </c>
      <c r="O276" s="146" t="str">
        <f>_xlfn.XLOOKUP(N276,[1]!costcategory[Account Code],[1]!costcategory[Cost Category],"ERROR")</f>
        <v>Headcount Costs</v>
      </c>
      <c r="P276" t="s">
        <v>63</v>
      </c>
      <c r="Q276" s="147" t="str">
        <f>_xlfn.XLOOKUP(P276,[1]!Table2[Department],[1]!Table2[Group],"ERROR")</f>
        <v>Research &amp; Development</v>
      </c>
      <c r="V276" s="36"/>
    </row>
    <row r="277" spans="1:23" customFormat="1" hidden="1" x14ac:dyDescent="0.2">
      <c r="A277" s="36" t="s">
        <v>15</v>
      </c>
      <c r="B277" s="36" t="s">
        <v>2</v>
      </c>
      <c r="C277" s="93">
        <v>46112</v>
      </c>
      <c r="D277" s="3">
        <v>46112</v>
      </c>
      <c r="E277" s="126">
        <v>46112</v>
      </c>
      <c r="F277" s="36" t="s">
        <v>82</v>
      </c>
      <c r="G277" s="281"/>
      <c r="H277" s="281"/>
      <c r="I277" s="281"/>
      <c r="J277" s="281">
        <v>2808.39</v>
      </c>
      <c r="K277" t="s">
        <v>1803</v>
      </c>
      <c r="L277" t="s">
        <v>412</v>
      </c>
      <c r="M277" t="s">
        <v>412</v>
      </c>
      <c r="N277" t="s">
        <v>387</v>
      </c>
      <c r="O277" s="146" t="str">
        <f>_xlfn.XLOOKUP(N277,[1]!costcategory[Account Code],[1]!costcategory[Cost Category],"ERROR")</f>
        <v>Headcount Costs</v>
      </c>
      <c r="P277" t="s">
        <v>333</v>
      </c>
      <c r="Q277" s="147" t="str">
        <f>_xlfn.XLOOKUP(P277,[1]!Table2[Department],[1]!Table2[Group],"ERROR")</f>
        <v>General &amp; Administrative</v>
      </c>
      <c r="V277" s="36"/>
    </row>
    <row r="278" spans="1:23" customFormat="1" hidden="1" x14ac:dyDescent="0.2">
      <c r="A278" s="36" t="s">
        <v>15</v>
      </c>
      <c r="B278" s="36" t="s">
        <v>2</v>
      </c>
      <c r="C278" s="93">
        <v>46112</v>
      </c>
      <c r="D278" s="3">
        <v>46112</v>
      </c>
      <c r="E278" s="126">
        <v>46112</v>
      </c>
      <c r="F278" s="36" t="s">
        <v>82</v>
      </c>
      <c r="G278" s="281"/>
      <c r="H278" s="281"/>
      <c r="I278" s="281"/>
      <c r="J278" s="281">
        <v>2247.9899999999998</v>
      </c>
      <c r="K278" t="s">
        <v>1803</v>
      </c>
      <c r="L278" t="s">
        <v>1711</v>
      </c>
      <c r="M278" t="s">
        <v>1711</v>
      </c>
      <c r="N278" t="s">
        <v>387</v>
      </c>
      <c r="O278" s="146" t="str">
        <f>_xlfn.XLOOKUP(N278,[1]!costcategory[Account Code],[1]!costcategory[Cost Category],"ERROR")</f>
        <v>Headcount Costs</v>
      </c>
      <c r="P278" t="s">
        <v>333</v>
      </c>
      <c r="Q278" s="147" t="str">
        <f>_xlfn.XLOOKUP(P278,[1]!Table2[Department],[1]!Table2[Group],"ERROR")</f>
        <v>General &amp; Administrative</v>
      </c>
      <c r="V278" s="36"/>
    </row>
    <row r="279" spans="1:23" customFormat="1" hidden="1" x14ac:dyDescent="0.2">
      <c r="A279" s="36" t="s">
        <v>15</v>
      </c>
      <c r="B279" s="36" t="s">
        <v>2</v>
      </c>
      <c r="C279" s="93">
        <v>46112</v>
      </c>
      <c r="D279" s="3">
        <v>46112</v>
      </c>
      <c r="E279" s="126">
        <v>46112</v>
      </c>
      <c r="F279" s="36" t="s">
        <v>82</v>
      </c>
      <c r="G279" s="281"/>
      <c r="H279" s="281"/>
      <c r="I279" s="281"/>
      <c r="J279" s="281">
        <v>2290.5100000000002</v>
      </c>
      <c r="K279" t="s">
        <v>1803</v>
      </c>
      <c r="L279" t="s">
        <v>412</v>
      </c>
      <c r="M279" t="s">
        <v>412</v>
      </c>
      <c r="N279" t="s">
        <v>387</v>
      </c>
      <c r="O279" s="146" t="str">
        <f>_xlfn.XLOOKUP(N279,[1]!costcategory[Account Code],[1]!costcategory[Cost Category],"ERROR")</f>
        <v>Headcount Costs</v>
      </c>
      <c r="P279" t="s">
        <v>350</v>
      </c>
      <c r="Q279" s="147" t="str">
        <f>_xlfn.XLOOKUP(P279,[1]!Table2[Department],[1]!Table2[Group],"ERROR")</f>
        <v>General &amp; Administrative</v>
      </c>
      <c r="V279" s="36"/>
    </row>
    <row r="280" spans="1:23" customFormat="1" hidden="1" x14ac:dyDescent="0.2">
      <c r="A280" s="36" t="s">
        <v>15</v>
      </c>
      <c r="B280" s="36" t="s">
        <v>2</v>
      </c>
      <c r="C280" s="93">
        <v>46112</v>
      </c>
      <c r="D280" s="3">
        <v>46112</v>
      </c>
      <c r="E280" s="126">
        <v>46112</v>
      </c>
      <c r="F280" s="36" t="s">
        <v>82</v>
      </c>
      <c r="G280" s="281"/>
      <c r="H280" s="281"/>
      <c r="I280" s="281"/>
      <c r="J280" s="281">
        <v>5855.69</v>
      </c>
      <c r="K280" t="s">
        <v>1803</v>
      </c>
      <c r="L280" t="s">
        <v>412</v>
      </c>
      <c r="M280" t="s">
        <v>412</v>
      </c>
      <c r="N280" t="s">
        <v>387</v>
      </c>
      <c r="O280" s="146" t="str">
        <f>_xlfn.XLOOKUP(N280,[1]!costcategory[Account Code],[1]!costcategory[Cost Category],"ERROR")</f>
        <v>Headcount Costs</v>
      </c>
      <c r="P280" t="s">
        <v>438</v>
      </c>
      <c r="Q280" s="147" t="str">
        <f>_xlfn.XLOOKUP(P280,[1]!Table2[Department],[1]!Table2[Group],"ERROR")</f>
        <v>Sales &amp; Marketing</v>
      </c>
      <c r="V280" s="36"/>
    </row>
    <row r="281" spans="1:23" customFormat="1" hidden="1" x14ac:dyDescent="0.2">
      <c r="A281" s="36" t="s">
        <v>15</v>
      </c>
      <c r="B281" s="36" t="s">
        <v>2</v>
      </c>
      <c r="C281" s="93">
        <v>46112</v>
      </c>
      <c r="D281" s="3">
        <v>46112</v>
      </c>
      <c r="E281" s="126">
        <v>46112</v>
      </c>
      <c r="F281" s="36" t="s">
        <v>82</v>
      </c>
      <c r="G281" s="281"/>
      <c r="H281" s="281"/>
      <c r="I281" s="281"/>
      <c r="J281" s="281">
        <v>436.95</v>
      </c>
      <c r="K281" t="s">
        <v>1803</v>
      </c>
      <c r="L281" t="s">
        <v>1711</v>
      </c>
      <c r="M281" t="s">
        <v>1711</v>
      </c>
      <c r="N281" t="s">
        <v>387</v>
      </c>
      <c r="O281" s="146" t="str">
        <f>_xlfn.XLOOKUP(N281,[1]!costcategory[Account Code],[1]!costcategory[Cost Category],"ERROR")</f>
        <v>Headcount Costs</v>
      </c>
      <c r="P281" t="s">
        <v>438</v>
      </c>
      <c r="Q281" s="147" t="str">
        <f>_xlfn.XLOOKUP(P281,[1]!Table2[Department],[1]!Table2[Group],"ERROR")</f>
        <v>Sales &amp; Marketing</v>
      </c>
      <c r="V281" s="36"/>
    </row>
    <row r="282" spans="1:23" customFormat="1" hidden="1" x14ac:dyDescent="0.2">
      <c r="A282" s="36" t="s">
        <v>15</v>
      </c>
      <c r="B282" s="36" t="s">
        <v>2</v>
      </c>
      <c r="C282" s="93">
        <v>46112</v>
      </c>
      <c r="D282" s="3">
        <v>46112</v>
      </c>
      <c r="E282" s="126">
        <v>46112</v>
      </c>
      <c r="F282" s="36" t="s">
        <v>82</v>
      </c>
      <c r="G282" s="281">
        <v>1.3</v>
      </c>
      <c r="H282" s="281">
        <v>0</v>
      </c>
      <c r="I282" s="281">
        <v>1.3</v>
      </c>
      <c r="J282" s="281">
        <v>0.3145726897033071</v>
      </c>
      <c r="K282" t="s">
        <v>448</v>
      </c>
      <c r="L282" s="4" t="s">
        <v>581</v>
      </c>
      <c r="M282" t="s">
        <v>332</v>
      </c>
      <c r="N282" t="s">
        <v>332</v>
      </c>
      <c r="O282" t="s">
        <v>332</v>
      </c>
      <c r="P282" t="s">
        <v>333</v>
      </c>
      <c r="Q282" t="s">
        <v>62</v>
      </c>
      <c r="V282" s="36"/>
    </row>
    <row r="283" spans="1:23" customFormat="1" hidden="1" x14ac:dyDescent="0.2">
      <c r="A283" s="36" t="s">
        <v>15</v>
      </c>
      <c r="B283" s="36" t="s">
        <v>2</v>
      </c>
      <c r="C283" s="93">
        <v>46112</v>
      </c>
      <c r="D283" s="3">
        <v>46112</v>
      </c>
      <c r="E283" s="126">
        <v>46112</v>
      </c>
      <c r="F283" s="36" t="s">
        <v>82</v>
      </c>
      <c r="G283" s="281">
        <v>0.5</v>
      </c>
      <c r="H283" s="281">
        <v>0</v>
      </c>
      <c r="I283" s="281">
        <v>0.5</v>
      </c>
      <c r="J283" s="281">
        <v>0.1209894960397335</v>
      </c>
      <c r="K283" t="s">
        <v>448</v>
      </c>
      <c r="L283" s="4" t="s">
        <v>581</v>
      </c>
      <c r="M283" t="s">
        <v>332</v>
      </c>
      <c r="N283" t="s">
        <v>332</v>
      </c>
      <c r="O283" t="s">
        <v>332</v>
      </c>
      <c r="P283" t="s">
        <v>333</v>
      </c>
      <c r="Q283" t="s">
        <v>62</v>
      </c>
      <c r="V283" s="36"/>
    </row>
    <row r="284" spans="1:23" hidden="1" x14ac:dyDescent="0.2">
      <c r="A284" s="36" t="s">
        <v>15</v>
      </c>
      <c r="B284" s="36" t="s">
        <v>2</v>
      </c>
      <c r="C284" s="93">
        <v>46112</v>
      </c>
      <c r="D284" s="3">
        <v>46112</v>
      </c>
      <c r="E284" s="126">
        <v>46112</v>
      </c>
      <c r="F284" s="36" t="s">
        <v>82</v>
      </c>
      <c r="G284" s="281">
        <v>-447.79</v>
      </c>
      <c r="H284" s="281">
        <v>0</v>
      </c>
      <c r="I284" s="281">
        <v>-447.79</v>
      </c>
      <c r="J284" s="281">
        <v>-108.35577286326453</v>
      </c>
      <c r="K284" t="s">
        <v>448</v>
      </c>
      <c r="L284"/>
      <c r="M284" t="s">
        <v>384</v>
      </c>
      <c r="N284" t="s">
        <v>384</v>
      </c>
      <c r="O284" t="s">
        <v>385</v>
      </c>
      <c r="P284" t="s">
        <v>333</v>
      </c>
      <c r="Q284" t="s">
        <v>62</v>
      </c>
      <c r="U284"/>
      <c r="V284" s="36"/>
      <c r="W284"/>
    </row>
    <row r="285" spans="1:23" hidden="1" x14ac:dyDescent="0.2">
      <c r="A285" s="36" t="s">
        <v>15</v>
      </c>
      <c r="B285" s="36" t="s">
        <v>2</v>
      </c>
      <c r="C285" s="93">
        <v>46112</v>
      </c>
      <c r="D285" s="3">
        <v>46112</v>
      </c>
      <c r="E285" s="126">
        <v>46112</v>
      </c>
      <c r="F285" s="36" t="s">
        <v>82</v>
      </c>
      <c r="G285" s="281">
        <v>10</v>
      </c>
      <c r="H285" s="281">
        <v>0</v>
      </c>
      <c r="I285" s="281">
        <v>10</v>
      </c>
      <c r="J285" s="281">
        <v>2.41978992079467</v>
      </c>
      <c r="K285" t="s">
        <v>448</v>
      </c>
      <c r="L285" s="4" t="s">
        <v>581</v>
      </c>
      <c r="M285" t="s">
        <v>332</v>
      </c>
      <c r="N285" t="s">
        <v>332</v>
      </c>
      <c r="O285" t="s">
        <v>332</v>
      </c>
      <c r="P285" t="s">
        <v>333</v>
      </c>
      <c r="Q285" t="s">
        <v>62</v>
      </c>
      <c r="U285"/>
      <c r="V285" s="36"/>
      <c r="W285"/>
    </row>
    <row r="286" spans="1:23" hidden="1" x14ac:dyDescent="0.2">
      <c r="A286" s="36" t="s">
        <v>15</v>
      </c>
      <c r="B286" s="36" t="s">
        <v>2</v>
      </c>
      <c r="C286" s="93">
        <v>46112</v>
      </c>
      <c r="D286" s="3">
        <v>46112</v>
      </c>
      <c r="E286" s="126">
        <v>46127</v>
      </c>
      <c r="F286" s="36" t="s">
        <v>82</v>
      </c>
      <c r="G286" s="281"/>
      <c r="H286" s="281"/>
      <c r="I286" s="281"/>
      <c r="J286" s="281">
        <v>1500.67</v>
      </c>
      <c r="K286" t="s">
        <v>1803</v>
      </c>
      <c r="L286" t="s">
        <v>412</v>
      </c>
      <c r="M286" t="s">
        <v>412</v>
      </c>
      <c r="N286" t="s">
        <v>387</v>
      </c>
      <c r="O286" s="146" t="str">
        <f>_xlfn.XLOOKUP(N286,[1]!costcategory[Account Code],[1]!costcategory[Cost Category],"ERROR")</f>
        <v>Headcount Costs</v>
      </c>
      <c r="P286" t="s">
        <v>354</v>
      </c>
      <c r="Q286" s="147" t="str">
        <f>_xlfn.XLOOKUP(P286,[1]!Table2[Department],[1]!Table2[Group],"ERROR")</f>
        <v>Sales &amp; Marketing</v>
      </c>
      <c r="U286"/>
      <c r="V286" s="36"/>
      <c r="W286"/>
    </row>
    <row r="287" spans="1:23" hidden="1" x14ac:dyDescent="0.2">
      <c r="A287" s="36" t="s">
        <v>15</v>
      </c>
      <c r="B287" s="36" t="s">
        <v>2</v>
      </c>
      <c r="C287" s="93">
        <v>46112</v>
      </c>
      <c r="D287" s="3">
        <v>46112</v>
      </c>
      <c r="E287" s="126">
        <v>46127</v>
      </c>
      <c r="F287" s="36" t="s">
        <v>82</v>
      </c>
      <c r="G287" s="281"/>
      <c r="H287" s="281"/>
      <c r="I287" s="281"/>
      <c r="J287" s="281">
        <v>165.28</v>
      </c>
      <c r="K287" t="s">
        <v>1803</v>
      </c>
      <c r="L287" t="s">
        <v>1709</v>
      </c>
      <c r="M287" t="s">
        <v>1709</v>
      </c>
      <c r="N287" t="s">
        <v>364</v>
      </c>
      <c r="O287" s="146" t="str">
        <f>_xlfn.XLOOKUP(N287,[1]!costcategory[Account Code],[1]!costcategory[Cost Category],"ERROR")</f>
        <v>Headcount Costs</v>
      </c>
      <c r="P287" t="s">
        <v>354</v>
      </c>
      <c r="Q287" s="147" t="str">
        <f>_xlfn.XLOOKUP(P287,[1]!Table2[Department],[1]!Table2[Group],"ERROR")</f>
        <v>Sales &amp; Marketing</v>
      </c>
      <c r="U287"/>
      <c r="V287" s="36"/>
      <c r="W287"/>
    </row>
    <row r="288" spans="1:23" hidden="1" x14ac:dyDescent="0.2">
      <c r="A288" s="36" t="s">
        <v>15</v>
      </c>
      <c r="B288" s="36" t="s">
        <v>2</v>
      </c>
      <c r="C288" s="93">
        <v>46112</v>
      </c>
      <c r="D288" s="3">
        <v>46112</v>
      </c>
      <c r="E288" s="126">
        <v>46127</v>
      </c>
      <c r="F288" s="36" t="s">
        <v>82</v>
      </c>
      <c r="G288" s="281"/>
      <c r="H288" s="281"/>
      <c r="I288" s="281"/>
      <c r="J288" s="281">
        <v>6782</v>
      </c>
      <c r="K288" t="s">
        <v>1803</v>
      </c>
      <c r="L288" t="s">
        <v>412</v>
      </c>
      <c r="M288" t="s">
        <v>412</v>
      </c>
      <c r="N288" t="s">
        <v>387</v>
      </c>
      <c r="O288" s="146" t="str">
        <f>_xlfn.XLOOKUP(N288,[1]!costcategory[Account Code],[1]!costcategory[Cost Category],"ERROR")</f>
        <v>Headcount Costs</v>
      </c>
      <c r="P288" t="s">
        <v>63</v>
      </c>
      <c r="Q288" s="147" t="str">
        <f>_xlfn.XLOOKUP(P288,[1]!Table2[Department],[1]!Table2[Group],"ERROR")</f>
        <v>Research &amp; Development</v>
      </c>
      <c r="U288"/>
      <c r="V288" s="36"/>
      <c r="W288"/>
    </row>
    <row r="289" spans="1:23" hidden="1" x14ac:dyDescent="0.2">
      <c r="A289" s="36" t="s">
        <v>15</v>
      </c>
      <c r="B289" s="36" t="s">
        <v>2</v>
      </c>
      <c r="C289" s="93">
        <v>46112</v>
      </c>
      <c r="D289" s="3">
        <v>46112</v>
      </c>
      <c r="E289" s="126">
        <v>46127</v>
      </c>
      <c r="F289" s="36" t="s">
        <v>82</v>
      </c>
      <c r="G289" s="281"/>
      <c r="H289" s="281"/>
      <c r="I289" s="281"/>
      <c r="J289" s="281">
        <v>1695.58</v>
      </c>
      <c r="K289" t="s">
        <v>1803</v>
      </c>
      <c r="L289" t="s">
        <v>412</v>
      </c>
      <c r="M289" t="s">
        <v>412</v>
      </c>
      <c r="N289" t="s">
        <v>387</v>
      </c>
      <c r="O289" s="146" t="str">
        <f>_xlfn.XLOOKUP(N289,[1]!costcategory[Account Code],[1]!costcategory[Cost Category],"ERROR")</f>
        <v>Headcount Costs</v>
      </c>
      <c r="P289" t="s">
        <v>45</v>
      </c>
      <c r="Q289" s="147" t="str">
        <f>_xlfn.XLOOKUP(P289,[1]!Table2[Department],[1]!Table2[Group],"ERROR")</f>
        <v>DSC</v>
      </c>
      <c r="U289"/>
      <c r="V289" s="36"/>
      <c r="W289"/>
    </row>
    <row r="290" spans="1:23" hidden="1" x14ac:dyDescent="0.2">
      <c r="A290" s="36" t="s">
        <v>15</v>
      </c>
      <c r="B290" s="36" t="s">
        <v>2</v>
      </c>
      <c r="C290" s="93">
        <v>46112</v>
      </c>
      <c r="D290" s="3">
        <v>46112</v>
      </c>
      <c r="E290" s="126">
        <v>46127</v>
      </c>
      <c r="F290" s="36" t="s">
        <v>82</v>
      </c>
      <c r="G290" s="281"/>
      <c r="H290" s="281"/>
      <c r="I290" s="281"/>
      <c r="J290" s="281">
        <v>3528.864</v>
      </c>
      <c r="K290" t="s">
        <v>1803</v>
      </c>
      <c r="L290" t="s">
        <v>1709</v>
      </c>
      <c r="M290" t="s">
        <v>1709</v>
      </c>
      <c r="N290" t="s">
        <v>387</v>
      </c>
      <c r="O290" s="146" t="str">
        <f>_xlfn.XLOOKUP(N290,[1]!costcategory[Account Code],[1]!costcategory[Cost Category],"ERROR")</f>
        <v>Headcount Costs</v>
      </c>
      <c r="P290" t="s">
        <v>63</v>
      </c>
      <c r="Q290" s="147" t="str">
        <f>_xlfn.XLOOKUP(P290,[1]!Table2[Department],[1]!Table2[Group],"ERROR")</f>
        <v>Research &amp; Development</v>
      </c>
      <c r="U290"/>
      <c r="V290" s="36"/>
      <c r="W290"/>
    </row>
    <row r="291" spans="1:23" customFormat="1" hidden="1" x14ac:dyDescent="0.2">
      <c r="A291" s="36" t="s">
        <v>15</v>
      </c>
      <c r="B291" s="36" t="s">
        <v>2</v>
      </c>
      <c r="C291" s="93">
        <v>46112</v>
      </c>
      <c r="D291" s="3">
        <v>46112</v>
      </c>
      <c r="E291" s="126">
        <v>46127</v>
      </c>
      <c r="F291" s="36" t="s">
        <v>82</v>
      </c>
      <c r="G291" s="281"/>
      <c r="H291" s="281"/>
      <c r="I291" s="281"/>
      <c r="J291" s="281">
        <v>882.21599999999989</v>
      </c>
      <c r="K291" t="s">
        <v>1803</v>
      </c>
      <c r="L291" t="s">
        <v>1709</v>
      </c>
      <c r="M291" t="s">
        <v>1709</v>
      </c>
      <c r="N291" t="s">
        <v>364</v>
      </c>
      <c r="O291" s="146" t="str">
        <f>_xlfn.XLOOKUP(N291,[1]!costcategory[Account Code],[1]!costcategory[Cost Category],"ERROR")</f>
        <v>Headcount Costs</v>
      </c>
      <c r="P291" t="s">
        <v>45</v>
      </c>
      <c r="Q291" s="147" t="str">
        <f>_xlfn.XLOOKUP(P291,[1]!Table2[Department],[1]!Table2[Group],"ERROR")</f>
        <v>DSC</v>
      </c>
      <c r="V291" s="36"/>
    </row>
    <row r="292" spans="1:23" customFormat="1" hidden="1" x14ac:dyDescent="0.2">
      <c r="A292" s="36" t="s">
        <v>15</v>
      </c>
      <c r="B292" s="36" t="s">
        <v>2</v>
      </c>
      <c r="C292" s="93">
        <v>46112</v>
      </c>
      <c r="D292" s="3">
        <v>46112</v>
      </c>
      <c r="E292" s="126">
        <v>46127</v>
      </c>
      <c r="F292" s="36" t="s">
        <v>82</v>
      </c>
      <c r="G292" s="281"/>
      <c r="H292" s="281"/>
      <c r="I292" s="281"/>
      <c r="J292" s="281">
        <v>1766.15</v>
      </c>
      <c r="K292" t="s">
        <v>1803</v>
      </c>
      <c r="L292" t="s">
        <v>412</v>
      </c>
      <c r="M292" t="s">
        <v>412</v>
      </c>
      <c r="N292" t="s">
        <v>387</v>
      </c>
      <c r="O292" s="146" t="str">
        <f>_xlfn.XLOOKUP(N292,[1]!costcategory[Account Code],[1]!costcategory[Cost Category],"ERROR")</f>
        <v>Headcount Costs</v>
      </c>
      <c r="P292" t="s">
        <v>333</v>
      </c>
      <c r="Q292" s="147" t="str">
        <f>_xlfn.XLOOKUP(P292,[1]!Table2[Department],[1]!Table2[Group],"ERROR")</f>
        <v>General &amp; Administrative</v>
      </c>
      <c r="V292" s="36"/>
    </row>
    <row r="293" spans="1:23" customFormat="1" hidden="1" x14ac:dyDescent="0.2">
      <c r="A293" s="36" t="s">
        <v>15</v>
      </c>
      <c r="B293" s="36" t="s">
        <v>2</v>
      </c>
      <c r="C293" s="93">
        <v>46112</v>
      </c>
      <c r="D293" s="3">
        <v>46112</v>
      </c>
      <c r="E293" s="126">
        <v>46127</v>
      </c>
      <c r="F293" s="36" t="s">
        <v>82</v>
      </c>
      <c r="G293" s="281"/>
      <c r="H293" s="281"/>
      <c r="I293" s="281"/>
      <c r="J293" s="281">
        <v>990.07</v>
      </c>
      <c r="K293" t="s">
        <v>1803</v>
      </c>
      <c r="L293" t="s">
        <v>1709</v>
      </c>
      <c r="M293" t="s">
        <v>1709</v>
      </c>
      <c r="N293" t="s">
        <v>364</v>
      </c>
      <c r="O293" s="146" t="str">
        <f>_xlfn.XLOOKUP(N293,[1]!costcategory[Account Code],[1]!costcategory[Cost Category],"ERROR")</f>
        <v>Headcount Costs</v>
      </c>
      <c r="P293" t="s">
        <v>333</v>
      </c>
      <c r="Q293" s="147" t="str">
        <f>_xlfn.XLOOKUP(P293,[1]!Table2[Department],[1]!Table2[Group],"ERROR")</f>
        <v>General &amp; Administrative</v>
      </c>
      <c r="V293" s="36"/>
    </row>
    <row r="294" spans="1:23" customFormat="1" hidden="1" x14ac:dyDescent="0.2">
      <c r="A294" s="36" t="s">
        <v>15</v>
      </c>
      <c r="B294" s="36" t="s">
        <v>2</v>
      </c>
      <c r="C294" s="93">
        <v>46112</v>
      </c>
      <c r="D294" s="3">
        <v>46112</v>
      </c>
      <c r="E294" s="126">
        <v>46127</v>
      </c>
      <c r="F294" s="36" t="s">
        <v>82</v>
      </c>
      <c r="G294" s="281"/>
      <c r="H294" s="281"/>
      <c r="I294" s="281"/>
      <c r="J294" s="281">
        <v>698.25</v>
      </c>
      <c r="K294" t="s">
        <v>1803</v>
      </c>
      <c r="L294" t="s">
        <v>412</v>
      </c>
      <c r="M294" t="s">
        <v>412</v>
      </c>
      <c r="N294" t="s">
        <v>387</v>
      </c>
      <c r="O294" s="146" t="str">
        <f>_xlfn.XLOOKUP(N294,[1]!costcategory[Account Code],[1]!costcategory[Cost Category],"ERROR")</f>
        <v>Headcount Costs</v>
      </c>
      <c r="P294" t="s">
        <v>350</v>
      </c>
      <c r="Q294" s="147" t="str">
        <f>_xlfn.XLOOKUP(P294,[1]!Table2[Department],[1]!Table2[Group],"ERROR")</f>
        <v>General &amp; Administrative</v>
      </c>
      <c r="V294" s="36"/>
    </row>
    <row r="295" spans="1:23" customFormat="1" hidden="1" x14ac:dyDescent="0.2">
      <c r="A295" s="36" t="s">
        <v>15</v>
      </c>
      <c r="B295" s="36" t="s">
        <v>2</v>
      </c>
      <c r="C295" s="93">
        <v>46112</v>
      </c>
      <c r="D295" s="3">
        <v>46112</v>
      </c>
      <c r="E295" s="126">
        <v>46127</v>
      </c>
      <c r="F295" s="36" t="s">
        <v>82</v>
      </c>
      <c r="G295" s="281"/>
      <c r="H295" s="281"/>
      <c r="I295" s="281"/>
      <c r="J295" s="281">
        <v>447.09</v>
      </c>
      <c r="K295" t="s">
        <v>1803</v>
      </c>
      <c r="L295" t="s">
        <v>1709</v>
      </c>
      <c r="M295" t="s">
        <v>1709</v>
      </c>
      <c r="N295" t="s">
        <v>364</v>
      </c>
      <c r="O295" s="146" t="str">
        <f>_xlfn.XLOOKUP(N295,[1]!costcategory[Account Code],[1]!costcategory[Cost Category],"ERROR")</f>
        <v>Headcount Costs</v>
      </c>
      <c r="P295" t="s">
        <v>350</v>
      </c>
      <c r="Q295" s="147" t="str">
        <f>_xlfn.XLOOKUP(P295,[1]!Table2[Department],[1]!Table2[Group],"ERROR")</f>
        <v>General &amp; Administrative</v>
      </c>
      <c r="V295" s="36"/>
    </row>
    <row r="296" spans="1:23" customFormat="1" hidden="1" x14ac:dyDescent="0.2">
      <c r="A296" s="36" t="s">
        <v>15</v>
      </c>
      <c r="B296" s="36" t="s">
        <v>2</v>
      </c>
      <c r="C296" s="93">
        <v>46112</v>
      </c>
      <c r="D296" s="3">
        <v>46112</v>
      </c>
      <c r="E296" s="126">
        <v>46127</v>
      </c>
      <c r="F296" s="36" t="s">
        <v>82</v>
      </c>
      <c r="G296" s="281"/>
      <c r="H296" s="281"/>
      <c r="I296" s="281"/>
      <c r="J296" s="281">
        <v>2139.62</v>
      </c>
      <c r="K296" t="s">
        <v>1803</v>
      </c>
      <c r="L296" t="s">
        <v>412</v>
      </c>
      <c r="M296" t="s">
        <v>412</v>
      </c>
      <c r="N296" t="s">
        <v>387</v>
      </c>
      <c r="O296" s="146" t="str">
        <f>_xlfn.XLOOKUP(N296,[1]!costcategory[Account Code],[1]!costcategory[Cost Category],"ERROR")</f>
        <v>Headcount Costs</v>
      </c>
      <c r="P296" t="s">
        <v>438</v>
      </c>
      <c r="Q296" s="147" t="str">
        <f>_xlfn.XLOOKUP(P296,[1]!Table2[Department],[1]!Table2[Group],"ERROR")</f>
        <v>Sales &amp; Marketing</v>
      </c>
      <c r="V296" s="36"/>
    </row>
    <row r="297" spans="1:23" customFormat="1" hidden="1" x14ac:dyDescent="0.2">
      <c r="A297" s="36" t="s">
        <v>15</v>
      </c>
      <c r="B297" s="36" t="s">
        <v>2</v>
      </c>
      <c r="C297" s="93">
        <v>46112</v>
      </c>
      <c r="D297" s="3">
        <v>46112</v>
      </c>
      <c r="E297" s="126">
        <v>46127</v>
      </c>
      <c r="F297" s="36" t="s">
        <v>82</v>
      </c>
      <c r="G297" s="281"/>
      <c r="H297" s="281"/>
      <c r="I297" s="281"/>
      <c r="J297" s="281">
        <v>1164.28</v>
      </c>
      <c r="K297" t="s">
        <v>1803</v>
      </c>
      <c r="L297" t="s">
        <v>1709</v>
      </c>
      <c r="M297" t="s">
        <v>1709</v>
      </c>
      <c r="N297" t="s">
        <v>364</v>
      </c>
      <c r="O297" s="146" t="str">
        <f>_xlfn.XLOOKUP(N297,[1]!costcategory[Account Code],[1]!costcategory[Cost Category],"ERROR")</f>
        <v>Headcount Costs</v>
      </c>
      <c r="P297" t="s">
        <v>438</v>
      </c>
      <c r="Q297" s="147" t="str">
        <f>_xlfn.XLOOKUP(P297,[1]!Table2[Department],[1]!Table2[Group],"ERROR")</f>
        <v>Sales &amp; Marketing</v>
      </c>
      <c r="V297" s="36"/>
    </row>
    <row r="298" spans="1:23" customFormat="1" hidden="1" x14ac:dyDescent="0.2">
      <c r="A298" s="36" t="s">
        <v>15</v>
      </c>
      <c r="B298" s="36" t="s">
        <v>2</v>
      </c>
      <c r="C298" s="93">
        <v>46127</v>
      </c>
      <c r="D298" s="3">
        <v>46127</v>
      </c>
      <c r="E298" s="126">
        <v>46127</v>
      </c>
      <c r="F298" s="36" t="s">
        <v>82</v>
      </c>
      <c r="G298" s="281">
        <v>100</v>
      </c>
      <c r="H298" s="281">
        <v>0</v>
      </c>
      <c r="I298" s="281">
        <v>100</v>
      </c>
      <c r="J298" s="281">
        <v>24.197899207946698</v>
      </c>
      <c r="K298" t="s">
        <v>582</v>
      </c>
      <c r="L298" t="s">
        <v>583</v>
      </c>
      <c r="M298" t="s">
        <v>584</v>
      </c>
      <c r="N298" t="s">
        <v>346</v>
      </c>
      <c r="O298" t="s">
        <v>346</v>
      </c>
      <c r="P298" t="s">
        <v>340</v>
      </c>
      <c r="Q298" t="s">
        <v>62</v>
      </c>
      <c r="V298" s="36"/>
    </row>
    <row r="299" spans="1:23" customFormat="1" hidden="1" x14ac:dyDescent="0.2">
      <c r="A299" s="36" t="s">
        <v>15</v>
      </c>
      <c r="B299" s="36" t="s">
        <v>2</v>
      </c>
      <c r="C299" s="93">
        <v>46127</v>
      </c>
      <c r="D299" s="3">
        <v>46127</v>
      </c>
      <c r="E299" s="126">
        <v>46127</v>
      </c>
      <c r="F299" s="36" t="s">
        <v>82</v>
      </c>
      <c r="G299" s="281">
        <v>379.95</v>
      </c>
      <c r="H299" s="281">
        <v>0</v>
      </c>
      <c r="I299" s="281">
        <v>379.95</v>
      </c>
      <c r="J299" s="281">
        <v>91.939918040593483</v>
      </c>
      <c r="K299" t="s">
        <v>585</v>
      </c>
      <c r="L299" t="s">
        <v>586</v>
      </c>
      <c r="M299" t="s">
        <v>351</v>
      </c>
      <c r="N299" t="s">
        <v>50</v>
      </c>
      <c r="O299" t="s">
        <v>50</v>
      </c>
      <c r="P299" t="s">
        <v>350</v>
      </c>
      <c r="Q299" t="s">
        <v>62</v>
      </c>
      <c r="V299" s="36"/>
    </row>
    <row r="300" spans="1:23" customFormat="1" hidden="1" x14ac:dyDescent="0.2">
      <c r="A300" s="36" t="s">
        <v>15</v>
      </c>
      <c r="B300" s="36" t="s">
        <v>2</v>
      </c>
      <c r="C300" s="93">
        <v>46127</v>
      </c>
      <c r="D300" s="3">
        <v>46127</v>
      </c>
      <c r="E300" s="126">
        <v>46127</v>
      </c>
      <c r="F300" s="36" t="s">
        <v>82</v>
      </c>
      <c r="G300" s="281">
        <v>88.77000000000001</v>
      </c>
      <c r="H300" s="281">
        <v>0</v>
      </c>
      <c r="I300" s="281">
        <v>88.77000000000001</v>
      </c>
      <c r="J300" s="281">
        <v>21.480475126894287</v>
      </c>
      <c r="K300" t="s">
        <v>585</v>
      </c>
      <c r="L300" t="s">
        <v>586</v>
      </c>
      <c r="M300" t="s">
        <v>469</v>
      </c>
      <c r="N300" t="s">
        <v>470</v>
      </c>
      <c r="O300" t="s">
        <v>50</v>
      </c>
      <c r="P300" t="s">
        <v>350</v>
      </c>
      <c r="Q300" t="s">
        <v>62</v>
      </c>
      <c r="V300" s="36"/>
    </row>
    <row r="301" spans="1:23" customFormat="1" hidden="1" x14ac:dyDescent="0.2">
      <c r="A301" s="36" t="s">
        <v>15</v>
      </c>
      <c r="B301" s="36" t="s">
        <v>2</v>
      </c>
      <c r="C301" s="93">
        <v>46127</v>
      </c>
      <c r="D301" s="3">
        <v>46127</v>
      </c>
      <c r="E301" s="126">
        <v>46127</v>
      </c>
      <c r="F301" s="36" t="s">
        <v>82</v>
      </c>
      <c r="G301" s="281">
        <v>398</v>
      </c>
      <c r="H301" s="281">
        <v>0</v>
      </c>
      <c r="I301" s="281">
        <v>398</v>
      </c>
      <c r="J301" s="281">
        <v>96.307638847627857</v>
      </c>
      <c r="K301" t="s">
        <v>585</v>
      </c>
      <c r="L301" t="s">
        <v>586</v>
      </c>
      <c r="M301" t="s">
        <v>416</v>
      </c>
      <c r="N301" t="s">
        <v>390</v>
      </c>
      <c r="O301" t="s">
        <v>46</v>
      </c>
      <c r="P301" t="s">
        <v>350</v>
      </c>
      <c r="Q301" t="s">
        <v>62</v>
      </c>
      <c r="V301" s="36"/>
    </row>
    <row r="302" spans="1:23" customFormat="1" hidden="1" x14ac:dyDescent="0.2">
      <c r="A302" s="36" t="s">
        <v>15</v>
      </c>
      <c r="B302" s="36" t="s">
        <v>2</v>
      </c>
      <c r="C302" s="93">
        <v>46127</v>
      </c>
      <c r="D302" s="3">
        <v>46127</v>
      </c>
      <c r="E302" s="126">
        <v>46127</v>
      </c>
      <c r="F302" s="36" t="s">
        <v>82</v>
      </c>
      <c r="G302" s="281">
        <v>16837</v>
      </c>
      <c r="H302" s="281">
        <v>0</v>
      </c>
      <c r="I302" s="281">
        <v>16837</v>
      </c>
      <c r="J302" s="281">
        <v>4074.2002896419858</v>
      </c>
      <c r="K302" t="s">
        <v>461</v>
      </c>
      <c r="L302" t="s">
        <v>587</v>
      </c>
      <c r="M302" t="s">
        <v>588</v>
      </c>
      <c r="N302" t="s">
        <v>509</v>
      </c>
      <c r="O302" t="s">
        <v>510</v>
      </c>
      <c r="P302" t="s">
        <v>340</v>
      </c>
      <c r="Q302" t="s">
        <v>62</v>
      </c>
      <c r="V302" s="36"/>
    </row>
    <row r="303" spans="1:23" customFormat="1" hidden="1" x14ac:dyDescent="0.2">
      <c r="A303" s="36" t="s">
        <v>15</v>
      </c>
      <c r="B303" s="36" t="s">
        <v>2</v>
      </c>
      <c r="C303" s="93">
        <v>46127</v>
      </c>
      <c r="D303" s="3">
        <v>46127</v>
      </c>
      <c r="E303" s="126">
        <v>46127</v>
      </c>
      <c r="F303" s="36" t="s">
        <v>82</v>
      </c>
      <c r="G303" s="281">
        <v>485.24</v>
      </c>
      <c r="H303" s="281">
        <v>0</v>
      </c>
      <c r="I303" s="281">
        <v>485.24</v>
      </c>
      <c r="J303" s="281">
        <v>117.41788611664056</v>
      </c>
      <c r="K303" t="s">
        <v>589</v>
      </c>
      <c r="L303" t="s">
        <v>586</v>
      </c>
      <c r="M303" t="s">
        <v>356</v>
      </c>
      <c r="N303" t="s">
        <v>356</v>
      </c>
      <c r="O303" t="s">
        <v>48</v>
      </c>
      <c r="P303" t="s">
        <v>45</v>
      </c>
      <c r="Q303" t="s">
        <v>45</v>
      </c>
      <c r="V303" s="36"/>
    </row>
    <row r="304" spans="1:23" customFormat="1" hidden="1" x14ac:dyDescent="0.2">
      <c r="A304" s="36" t="s">
        <v>15</v>
      </c>
      <c r="B304" s="36" t="s">
        <v>2</v>
      </c>
      <c r="C304" s="93">
        <v>46127</v>
      </c>
      <c r="D304" s="3">
        <v>46127</v>
      </c>
      <c r="E304" s="126">
        <v>46127</v>
      </c>
      <c r="F304" s="36" t="s">
        <v>82</v>
      </c>
      <c r="G304" s="281">
        <v>803.5</v>
      </c>
      <c r="H304" s="281">
        <v>0</v>
      </c>
      <c r="I304" s="281">
        <v>803.5</v>
      </c>
      <c r="J304" s="281">
        <v>194.43012013585172</v>
      </c>
      <c r="K304" t="s">
        <v>590</v>
      </c>
      <c r="L304" t="s">
        <v>586</v>
      </c>
      <c r="M304" t="s">
        <v>58</v>
      </c>
      <c r="N304" t="s">
        <v>58</v>
      </c>
      <c r="O304" t="s">
        <v>58</v>
      </c>
      <c r="P304" t="s">
        <v>340</v>
      </c>
      <c r="Q304" t="s">
        <v>62</v>
      </c>
      <c r="V304" s="36"/>
    </row>
    <row r="305" spans="1:22" customFormat="1" hidden="1" x14ac:dyDescent="0.2">
      <c r="A305" s="36" t="s">
        <v>15</v>
      </c>
      <c r="B305" s="36" t="s">
        <v>2</v>
      </c>
      <c r="C305" s="93">
        <v>46127</v>
      </c>
      <c r="D305" s="3">
        <v>46127</v>
      </c>
      <c r="E305" s="126">
        <v>46127</v>
      </c>
      <c r="F305" s="36" t="s">
        <v>82</v>
      </c>
      <c r="G305" s="281">
        <v>386.4</v>
      </c>
      <c r="H305" s="281">
        <v>0</v>
      </c>
      <c r="I305" s="281">
        <v>386.4</v>
      </c>
      <c r="J305" s="281">
        <v>93.500682539506045</v>
      </c>
      <c r="K305" t="s">
        <v>591</v>
      </c>
      <c r="L305" t="s">
        <v>586</v>
      </c>
      <c r="M305" t="s">
        <v>356</v>
      </c>
      <c r="N305" t="s">
        <v>356</v>
      </c>
      <c r="O305" t="s">
        <v>48</v>
      </c>
      <c r="P305" t="s">
        <v>45</v>
      </c>
      <c r="Q305" t="s">
        <v>45</v>
      </c>
      <c r="V305" s="36"/>
    </row>
    <row r="306" spans="1:22" customFormat="1" hidden="1" x14ac:dyDescent="0.2">
      <c r="A306" s="36" t="s">
        <v>15</v>
      </c>
      <c r="B306" s="36" t="s">
        <v>2</v>
      </c>
      <c r="C306" s="93">
        <v>46127</v>
      </c>
      <c r="D306" s="3">
        <v>46127</v>
      </c>
      <c r="E306" s="126">
        <v>46127</v>
      </c>
      <c r="F306" s="36" t="s">
        <v>82</v>
      </c>
      <c r="G306" s="281">
        <v>1388.82</v>
      </c>
      <c r="H306" s="281">
        <v>0</v>
      </c>
      <c r="I306" s="281">
        <v>1388.82</v>
      </c>
      <c r="J306" s="281">
        <v>336.06526377980532</v>
      </c>
      <c r="K306" t="s">
        <v>592</v>
      </c>
      <c r="L306" t="s">
        <v>593</v>
      </c>
      <c r="M306" t="s">
        <v>594</v>
      </c>
      <c r="N306" t="s">
        <v>464</v>
      </c>
      <c r="O306" t="s">
        <v>464</v>
      </c>
      <c r="P306" t="s">
        <v>376</v>
      </c>
      <c r="Q306" t="s">
        <v>62</v>
      </c>
      <c r="V306" s="36"/>
    </row>
    <row r="307" spans="1:22" customFormat="1" hidden="1" x14ac:dyDescent="0.2">
      <c r="A307" s="36" t="s">
        <v>15</v>
      </c>
      <c r="B307" s="36" t="s">
        <v>2</v>
      </c>
      <c r="C307" s="93">
        <v>46127</v>
      </c>
      <c r="D307" s="3">
        <v>46127</v>
      </c>
      <c r="E307" s="126">
        <v>46127</v>
      </c>
      <c r="F307" s="36" t="s">
        <v>82</v>
      </c>
      <c r="G307" s="281">
        <v>412.35</v>
      </c>
      <c r="H307" s="281">
        <v>0</v>
      </c>
      <c r="I307" s="281">
        <v>412.35</v>
      </c>
      <c r="J307" s="281">
        <v>99.780037383968221</v>
      </c>
      <c r="K307" t="s">
        <v>595</v>
      </c>
      <c r="L307" t="s">
        <v>596</v>
      </c>
      <c r="M307" t="s">
        <v>597</v>
      </c>
      <c r="N307" t="s">
        <v>58</v>
      </c>
      <c r="O307" t="s">
        <v>58</v>
      </c>
      <c r="P307" t="s">
        <v>376</v>
      </c>
      <c r="Q307" t="s">
        <v>62</v>
      </c>
      <c r="V307" s="36"/>
    </row>
    <row r="308" spans="1:22" customFormat="1" hidden="1" x14ac:dyDescent="0.2">
      <c r="A308" s="36" t="s">
        <v>15</v>
      </c>
      <c r="B308" s="36" t="s">
        <v>2</v>
      </c>
      <c r="C308" s="93">
        <v>46127</v>
      </c>
      <c r="D308" s="3">
        <v>46127</v>
      </c>
      <c r="E308" s="126">
        <v>46127</v>
      </c>
      <c r="F308" s="36" t="s">
        <v>82</v>
      </c>
      <c r="G308" s="281">
        <v>196</v>
      </c>
      <c r="H308" s="281">
        <v>0</v>
      </c>
      <c r="I308" s="281">
        <v>196</v>
      </c>
      <c r="J308" s="281">
        <v>47.427882447575527</v>
      </c>
      <c r="K308" t="s">
        <v>598</v>
      </c>
      <c r="L308" t="s">
        <v>586</v>
      </c>
      <c r="M308" t="s">
        <v>599</v>
      </c>
      <c r="N308" t="s">
        <v>393</v>
      </c>
      <c r="O308" t="s">
        <v>46</v>
      </c>
      <c r="P308" t="s">
        <v>350</v>
      </c>
      <c r="Q308" t="s">
        <v>62</v>
      </c>
      <c r="V308" s="36"/>
    </row>
    <row r="309" spans="1:22" customFormat="1" hidden="1" x14ac:dyDescent="0.2">
      <c r="A309" s="36" t="s">
        <v>15</v>
      </c>
      <c r="B309" s="36" t="s">
        <v>2</v>
      </c>
      <c r="C309" s="93">
        <v>46135</v>
      </c>
      <c r="D309" s="3">
        <v>46135</v>
      </c>
      <c r="E309" s="126">
        <v>46128</v>
      </c>
      <c r="F309" s="36" t="s">
        <v>82</v>
      </c>
      <c r="G309" s="281">
        <v>-11700</v>
      </c>
      <c r="H309" s="281">
        <v>0</v>
      </c>
      <c r="I309" s="281">
        <v>-11700</v>
      </c>
      <c r="J309" s="281">
        <v>-2831.1542073297637</v>
      </c>
      <c r="K309" t="s">
        <v>491</v>
      </c>
      <c r="M309" t="s">
        <v>600</v>
      </c>
      <c r="N309" t="s">
        <v>571</v>
      </c>
      <c r="O309" t="s">
        <v>572</v>
      </c>
      <c r="P309" t="s">
        <v>340</v>
      </c>
      <c r="Q309" t="s">
        <v>62</v>
      </c>
      <c r="V309" s="36"/>
    </row>
    <row r="310" spans="1:22" customFormat="1" hidden="1" x14ac:dyDescent="0.2">
      <c r="A310" s="36" t="s">
        <v>15</v>
      </c>
      <c r="B310" s="36" t="s">
        <v>2</v>
      </c>
      <c r="C310" s="93">
        <v>46135</v>
      </c>
      <c r="D310" s="3">
        <v>46135</v>
      </c>
      <c r="E310" s="126">
        <v>46135</v>
      </c>
      <c r="F310" s="36" t="s">
        <v>82</v>
      </c>
      <c r="G310" s="281">
        <v>-213516</v>
      </c>
      <c r="H310" s="281">
        <v>0</v>
      </c>
      <c r="I310" s="281">
        <v>-213516</v>
      </c>
      <c r="J310" s="281">
        <v>-51666.386472839476</v>
      </c>
      <c r="K310" t="s">
        <v>601</v>
      </c>
      <c r="L310" t="s">
        <v>288</v>
      </c>
      <c r="M310" t="s">
        <v>289</v>
      </c>
      <c r="N310" t="s">
        <v>382</v>
      </c>
      <c r="O310" t="s">
        <v>10</v>
      </c>
      <c r="P310" t="s">
        <v>438</v>
      </c>
      <c r="Q310" t="s">
        <v>61</v>
      </c>
      <c r="V310" s="36"/>
    </row>
    <row r="311" spans="1:22" customFormat="1" hidden="1" x14ac:dyDescent="0.2">
      <c r="A311" s="36" t="s">
        <v>15</v>
      </c>
      <c r="B311" s="36" t="s">
        <v>2</v>
      </c>
      <c r="C311" s="93">
        <v>46139</v>
      </c>
      <c r="D311" s="3">
        <v>46139</v>
      </c>
      <c r="E311" s="126">
        <v>46142</v>
      </c>
      <c r="F311" s="36" t="s">
        <v>82</v>
      </c>
      <c r="G311" s="281">
        <v>200</v>
      </c>
      <c r="H311" s="281">
        <v>0</v>
      </c>
      <c r="I311" s="281">
        <v>200</v>
      </c>
      <c r="J311" s="281">
        <v>48.395798415893395</v>
      </c>
      <c r="K311" t="s">
        <v>550</v>
      </c>
      <c r="L311" t="s">
        <v>602</v>
      </c>
      <c r="M311" t="s">
        <v>603</v>
      </c>
      <c r="N311" t="s">
        <v>367</v>
      </c>
      <c r="O311" t="s">
        <v>367</v>
      </c>
      <c r="P311" t="s">
        <v>340</v>
      </c>
      <c r="Q311" t="s">
        <v>62</v>
      </c>
      <c r="R311" t="s">
        <v>448</v>
      </c>
      <c r="V311" s="36" t="s">
        <v>419</v>
      </c>
    </row>
    <row r="312" spans="1:22" customFormat="1" hidden="1" x14ac:dyDescent="0.2">
      <c r="A312" s="36" t="s">
        <v>15</v>
      </c>
      <c r="B312" s="36" t="s">
        <v>2</v>
      </c>
      <c r="C312" s="93">
        <v>46113</v>
      </c>
      <c r="D312" s="3">
        <v>46142</v>
      </c>
      <c r="E312" s="126">
        <v>46142</v>
      </c>
      <c r="F312" s="36" t="s">
        <v>82</v>
      </c>
      <c r="G312" s="281">
        <v>5764</v>
      </c>
      <c r="H312" s="281">
        <v>0</v>
      </c>
      <c r="I312" s="281">
        <v>5764</v>
      </c>
      <c r="J312" s="281">
        <v>1394.7669103460478</v>
      </c>
      <c r="K312" t="s">
        <v>444</v>
      </c>
      <c r="L312" t="s">
        <v>604</v>
      </c>
      <c r="M312" t="s">
        <v>605</v>
      </c>
      <c r="N312" t="s">
        <v>535</v>
      </c>
      <c r="O312" t="s">
        <v>1844</v>
      </c>
      <c r="P312" t="s">
        <v>376</v>
      </c>
      <c r="Q312" t="s">
        <v>62</v>
      </c>
      <c r="R312" t="s">
        <v>448</v>
      </c>
      <c r="V312" s="36" t="s">
        <v>606</v>
      </c>
    </row>
    <row r="313" spans="1:22" customFormat="1" hidden="1" x14ac:dyDescent="0.2">
      <c r="A313" s="36" t="s">
        <v>15</v>
      </c>
      <c r="B313" s="36" t="s">
        <v>2</v>
      </c>
      <c r="C313" s="93">
        <v>46142</v>
      </c>
      <c r="D313" s="3">
        <v>46142</v>
      </c>
      <c r="E313" s="126">
        <v>46142</v>
      </c>
      <c r="F313" s="36" t="s">
        <v>82</v>
      </c>
      <c r="G313" s="281"/>
      <c r="H313" s="281"/>
      <c r="I313" s="281"/>
      <c r="J313" s="303">
        <v>3896.78</v>
      </c>
      <c r="K313" t="s">
        <v>1803</v>
      </c>
      <c r="L313" t="s">
        <v>420</v>
      </c>
      <c r="M313" t="s">
        <v>420</v>
      </c>
      <c r="N313" t="s">
        <v>387</v>
      </c>
      <c r="O313" s="146" t="str">
        <f>_xlfn.XLOOKUP(N313,[1]!costcategory[Account Code],[1]!costcategory[Cost Category],"ERROR")</f>
        <v>Headcount Costs</v>
      </c>
      <c r="P313" t="s">
        <v>354</v>
      </c>
      <c r="Q313" s="147" t="str">
        <f>_xlfn.XLOOKUP(P313,[1]!Table2[Department],[1]!Table2[Group],"ERROR")</f>
        <v>Sales &amp; Marketing</v>
      </c>
      <c r="V313" s="36"/>
    </row>
    <row r="314" spans="1:22" customFormat="1" hidden="1" x14ac:dyDescent="0.2">
      <c r="A314" s="36" t="s">
        <v>15</v>
      </c>
      <c r="B314" s="36" t="s">
        <v>2</v>
      </c>
      <c r="C314" s="93">
        <v>46142</v>
      </c>
      <c r="D314" s="3">
        <v>46142</v>
      </c>
      <c r="E314" s="126">
        <v>46142</v>
      </c>
      <c r="F314" s="36" t="s">
        <v>82</v>
      </c>
      <c r="G314" s="281"/>
      <c r="H314" s="281"/>
      <c r="I314" s="281"/>
      <c r="J314" s="303">
        <v>3670.0740000000001</v>
      </c>
      <c r="K314" t="s">
        <v>1803</v>
      </c>
      <c r="L314" t="s">
        <v>420</v>
      </c>
      <c r="M314" t="s">
        <v>420</v>
      </c>
      <c r="N314" t="s">
        <v>387</v>
      </c>
      <c r="O314" s="146" t="str">
        <f>_xlfn.XLOOKUP(N314,[1]!costcategory[Account Code],[1]!costcategory[Cost Category],"ERROR")</f>
        <v>Headcount Costs</v>
      </c>
      <c r="P314" t="s">
        <v>45</v>
      </c>
      <c r="Q314" s="147" t="str">
        <f>_xlfn.XLOOKUP(P314,[1]!Table2[Department],[1]!Table2[Group],"ERROR")</f>
        <v>DSC</v>
      </c>
      <c r="V314" s="36"/>
    </row>
    <row r="315" spans="1:22" customFormat="1" hidden="1" x14ac:dyDescent="0.2">
      <c r="A315" s="36" t="s">
        <v>15</v>
      </c>
      <c r="B315" s="36" t="s">
        <v>2</v>
      </c>
      <c r="C315" s="93">
        <v>46142</v>
      </c>
      <c r="D315" s="3">
        <v>46142</v>
      </c>
      <c r="E315" s="126">
        <v>46142</v>
      </c>
      <c r="F315" s="36" t="s">
        <v>82</v>
      </c>
      <c r="G315" s="281"/>
      <c r="H315" s="281"/>
      <c r="I315" s="281"/>
      <c r="J315" s="303">
        <v>14680.296</v>
      </c>
      <c r="K315" t="s">
        <v>1803</v>
      </c>
      <c r="L315" t="s">
        <v>420</v>
      </c>
      <c r="M315" t="s">
        <v>420</v>
      </c>
      <c r="N315" t="s">
        <v>387</v>
      </c>
      <c r="O315" s="146" t="str">
        <f>_xlfn.XLOOKUP(N315,[1]!costcategory[Account Code],[1]!costcategory[Cost Category],"ERROR")</f>
        <v>Headcount Costs</v>
      </c>
      <c r="P315" t="s">
        <v>63</v>
      </c>
      <c r="Q315" s="147" t="str">
        <f>_xlfn.XLOOKUP(P315,[1]!Table2[Department],[1]!Table2[Group],"ERROR")</f>
        <v>Research &amp; Development</v>
      </c>
      <c r="V315" s="36"/>
    </row>
    <row r="316" spans="1:22" customFormat="1" hidden="1" x14ac:dyDescent="0.2">
      <c r="A316" s="36" t="s">
        <v>15</v>
      </c>
      <c r="B316" s="36" t="s">
        <v>2</v>
      </c>
      <c r="C316" s="93">
        <v>46142</v>
      </c>
      <c r="D316" s="3">
        <v>46142</v>
      </c>
      <c r="E316" s="126">
        <v>46142</v>
      </c>
      <c r="F316" s="36" t="s">
        <v>82</v>
      </c>
      <c r="G316" s="281"/>
      <c r="H316" s="281"/>
      <c r="I316" s="281"/>
      <c r="J316" s="303">
        <v>2436.75</v>
      </c>
      <c r="K316" t="s">
        <v>1803</v>
      </c>
      <c r="L316" t="s">
        <v>420</v>
      </c>
      <c r="M316" t="s">
        <v>420</v>
      </c>
      <c r="N316" t="s">
        <v>387</v>
      </c>
      <c r="O316" s="146" t="str">
        <f>_xlfn.XLOOKUP(N316,[1]!costcategory[Account Code],[1]!costcategory[Cost Category],"ERROR")</f>
        <v>Headcount Costs</v>
      </c>
      <c r="P316" t="s">
        <v>333</v>
      </c>
      <c r="Q316" s="147" t="str">
        <f>_xlfn.XLOOKUP(P316,[1]!Table2[Department],[1]!Table2[Group],"ERROR")</f>
        <v>General &amp; Administrative</v>
      </c>
      <c r="V316" s="36"/>
    </row>
    <row r="317" spans="1:22" customFormat="1" hidden="1" x14ac:dyDescent="0.2">
      <c r="A317" s="36" t="s">
        <v>15</v>
      </c>
      <c r="B317" s="36" t="s">
        <v>2</v>
      </c>
      <c r="C317" s="93">
        <v>46142</v>
      </c>
      <c r="D317" s="3">
        <v>46142</v>
      </c>
      <c r="E317" s="126">
        <v>46142</v>
      </c>
      <c r="F317" s="36" t="s">
        <v>82</v>
      </c>
      <c r="G317" s="281"/>
      <c r="H317" s="281"/>
      <c r="I317" s="281"/>
      <c r="J317" s="303">
        <v>2290.5300000000002</v>
      </c>
      <c r="K317" t="s">
        <v>1803</v>
      </c>
      <c r="L317" t="s">
        <v>420</v>
      </c>
      <c r="M317" t="s">
        <v>420</v>
      </c>
      <c r="N317" t="s">
        <v>387</v>
      </c>
      <c r="O317" s="146" t="str">
        <f>_xlfn.XLOOKUP(N317,[1]!costcategory[Account Code],[1]!costcategory[Cost Category],"ERROR")</f>
        <v>Headcount Costs</v>
      </c>
      <c r="P317" t="s">
        <v>350</v>
      </c>
      <c r="Q317" s="147" t="str">
        <f>_xlfn.XLOOKUP(P317,[1]!Table2[Department],[1]!Table2[Group],"ERROR")</f>
        <v>General &amp; Administrative</v>
      </c>
      <c r="V317" s="36"/>
    </row>
    <row r="318" spans="1:22" customFormat="1" hidden="1" x14ac:dyDescent="0.2">
      <c r="A318" s="36" t="s">
        <v>15</v>
      </c>
      <c r="B318" s="36" t="s">
        <v>2</v>
      </c>
      <c r="C318" s="93">
        <v>46142</v>
      </c>
      <c r="D318" s="3">
        <v>46142</v>
      </c>
      <c r="E318" s="126">
        <v>46142</v>
      </c>
      <c r="F318" s="36" t="s">
        <v>82</v>
      </c>
      <c r="G318" s="281"/>
      <c r="H318" s="281"/>
      <c r="I318" s="281"/>
      <c r="J318" s="303">
        <v>5513.26</v>
      </c>
      <c r="K318" t="s">
        <v>1803</v>
      </c>
      <c r="L318" t="s">
        <v>420</v>
      </c>
      <c r="M318" t="s">
        <v>420</v>
      </c>
      <c r="N318" t="s">
        <v>387</v>
      </c>
      <c r="O318" s="146" t="str">
        <f>_xlfn.XLOOKUP(N318,[1]!costcategory[Account Code],[1]!costcategory[Cost Category],"ERROR")</f>
        <v>Headcount Costs</v>
      </c>
      <c r="P318" t="s">
        <v>438</v>
      </c>
      <c r="Q318" s="147" t="str">
        <f>_xlfn.XLOOKUP(P318,[1]!Table2[Department],[1]!Table2[Group],"ERROR")</f>
        <v>Sales &amp; Marketing</v>
      </c>
      <c r="V318" s="36"/>
    </row>
    <row r="319" spans="1:22" customFormat="1" hidden="1" x14ac:dyDescent="0.2">
      <c r="A319" s="36" t="s">
        <v>15</v>
      </c>
      <c r="B319" s="36" t="s">
        <v>2</v>
      </c>
      <c r="C319" s="93">
        <v>46142</v>
      </c>
      <c r="D319" s="3">
        <v>46142</v>
      </c>
      <c r="E319" s="126">
        <v>46142</v>
      </c>
      <c r="F319" s="36" t="s">
        <v>82</v>
      </c>
      <c r="G319" s="281">
        <v>1.2</v>
      </c>
      <c r="H319" s="281">
        <v>0</v>
      </c>
      <c r="I319" s="281">
        <v>1.2</v>
      </c>
      <c r="J319" s="281">
        <v>0.29037479049536036</v>
      </c>
      <c r="K319" t="s">
        <v>607</v>
      </c>
      <c r="L319" s="4" t="s">
        <v>608</v>
      </c>
      <c r="M319" t="s">
        <v>609</v>
      </c>
      <c r="N319" t="s">
        <v>609</v>
      </c>
      <c r="O319" t="s">
        <v>332</v>
      </c>
      <c r="P319" t="s">
        <v>333</v>
      </c>
      <c r="Q319" t="s">
        <v>62</v>
      </c>
      <c r="R319" t="s">
        <v>448</v>
      </c>
      <c r="V319" s="36"/>
    </row>
    <row r="320" spans="1:22" customFormat="1" hidden="1" x14ac:dyDescent="0.2">
      <c r="A320" s="36" t="s">
        <v>15</v>
      </c>
      <c r="B320" s="36" t="s">
        <v>2</v>
      </c>
      <c r="C320" s="93">
        <v>46142</v>
      </c>
      <c r="D320" s="3">
        <v>46142</v>
      </c>
      <c r="E320" s="126">
        <v>46142</v>
      </c>
      <c r="F320" s="36" t="s">
        <v>82</v>
      </c>
      <c r="G320" s="281">
        <v>0.5</v>
      </c>
      <c r="H320" s="281">
        <v>0</v>
      </c>
      <c r="I320" s="281">
        <v>0.5</v>
      </c>
      <c r="J320" s="281">
        <v>0.1209894960397335</v>
      </c>
      <c r="K320" t="s">
        <v>607</v>
      </c>
      <c r="L320" s="4" t="s">
        <v>608</v>
      </c>
      <c r="M320" t="s">
        <v>609</v>
      </c>
      <c r="N320" t="s">
        <v>609</v>
      </c>
      <c r="O320" t="s">
        <v>332</v>
      </c>
      <c r="P320" t="s">
        <v>333</v>
      </c>
      <c r="Q320" t="s">
        <v>62</v>
      </c>
      <c r="R320" t="s">
        <v>448</v>
      </c>
      <c r="V320" s="36"/>
    </row>
    <row r="321" spans="1:22" customFormat="1" hidden="1" x14ac:dyDescent="0.2">
      <c r="A321" s="36" t="s">
        <v>15</v>
      </c>
      <c r="B321" s="36" t="s">
        <v>2</v>
      </c>
      <c r="C321" s="93">
        <v>46142</v>
      </c>
      <c r="D321" s="3">
        <v>46142</v>
      </c>
      <c r="E321" s="126">
        <v>46142</v>
      </c>
      <c r="F321" s="36" t="s">
        <v>82</v>
      </c>
      <c r="G321" s="281">
        <v>0.5</v>
      </c>
      <c r="H321" s="281">
        <v>0</v>
      </c>
      <c r="I321" s="281">
        <v>0.5</v>
      </c>
      <c r="J321" s="281">
        <v>0.1209894960397335</v>
      </c>
      <c r="K321" t="s">
        <v>607</v>
      </c>
      <c r="L321" s="4" t="s">
        <v>608</v>
      </c>
      <c r="M321" t="s">
        <v>609</v>
      </c>
      <c r="N321" t="s">
        <v>609</v>
      </c>
      <c r="O321" t="s">
        <v>332</v>
      </c>
      <c r="P321" t="s">
        <v>333</v>
      </c>
      <c r="Q321" t="s">
        <v>62</v>
      </c>
      <c r="R321" t="s">
        <v>448</v>
      </c>
      <c r="V321" s="36"/>
    </row>
    <row r="322" spans="1:22" customFormat="1" hidden="1" x14ac:dyDescent="0.2">
      <c r="A322" s="36" t="s">
        <v>15</v>
      </c>
      <c r="B322" s="36" t="s">
        <v>2</v>
      </c>
      <c r="C322" s="93">
        <v>46142</v>
      </c>
      <c r="D322" s="3">
        <v>46142</v>
      </c>
      <c r="E322" s="126">
        <v>46142</v>
      </c>
      <c r="F322" s="36" t="s">
        <v>82</v>
      </c>
      <c r="G322" s="281">
        <v>-223.82</v>
      </c>
      <c r="H322" s="281">
        <v>0</v>
      </c>
      <c r="I322" s="281">
        <v>-223.82</v>
      </c>
      <c r="J322" s="281">
        <v>-54.159738007226302</v>
      </c>
      <c r="K322" t="s">
        <v>448</v>
      </c>
      <c r="M322" t="s">
        <v>384</v>
      </c>
      <c r="N322" t="s">
        <v>384</v>
      </c>
      <c r="O322" t="s">
        <v>385</v>
      </c>
      <c r="P322" t="s">
        <v>333</v>
      </c>
      <c r="Q322" t="s">
        <v>62</v>
      </c>
      <c r="R322" t="s">
        <v>448</v>
      </c>
      <c r="V322" s="36" t="s">
        <v>610</v>
      </c>
    </row>
    <row r="323" spans="1:22" customFormat="1" hidden="1" x14ac:dyDescent="0.2">
      <c r="A323" s="36" t="s">
        <v>15</v>
      </c>
      <c r="B323" s="36" t="s">
        <v>2</v>
      </c>
      <c r="C323" s="93">
        <v>46142</v>
      </c>
      <c r="D323" s="3">
        <v>46142</v>
      </c>
      <c r="E323" s="126">
        <v>46142</v>
      </c>
      <c r="F323" s="36" t="s">
        <v>82</v>
      </c>
      <c r="G323" s="281">
        <v>10</v>
      </c>
      <c r="H323" s="281">
        <v>0</v>
      </c>
      <c r="I323" s="281">
        <v>10</v>
      </c>
      <c r="J323" s="281">
        <v>2.41978992079467</v>
      </c>
      <c r="K323" t="s">
        <v>448</v>
      </c>
      <c r="L323" s="4" t="s">
        <v>608</v>
      </c>
      <c r="M323" t="s">
        <v>332</v>
      </c>
      <c r="N323" t="s">
        <v>332</v>
      </c>
      <c r="O323" t="s">
        <v>332</v>
      </c>
      <c r="P323" t="s">
        <v>333</v>
      </c>
      <c r="Q323" t="s">
        <v>62</v>
      </c>
      <c r="R323" t="s">
        <v>448</v>
      </c>
      <c r="V323" s="36"/>
    </row>
    <row r="324" spans="1:22" customFormat="1" hidden="1" x14ac:dyDescent="0.2">
      <c r="A324" s="36" t="s">
        <v>15</v>
      </c>
      <c r="B324" s="36" t="s">
        <v>2</v>
      </c>
      <c r="C324" s="93">
        <v>46143</v>
      </c>
      <c r="D324" s="3">
        <v>46143</v>
      </c>
      <c r="E324" s="126">
        <v>46142</v>
      </c>
      <c r="F324" s="36" t="s">
        <v>82</v>
      </c>
      <c r="G324" s="281">
        <v>10350.69</v>
      </c>
      <c r="H324" s="281">
        <v>0</v>
      </c>
      <c r="I324" s="281">
        <v>10350.69</v>
      </c>
      <c r="J324" s="281">
        <v>2504.6495335270183</v>
      </c>
      <c r="K324" t="s">
        <v>582</v>
      </c>
      <c r="L324" t="s">
        <v>611</v>
      </c>
      <c r="M324" t="s">
        <v>612</v>
      </c>
      <c r="N324" t="s">
        <v>409</v>
      </c>
      <c r="O324" t="s">
        <v>410</v>
      </c>
      <c r="P324" t="s">
        <v>340</v>
      </c>
      <c r="Q324" t="s">
        <v>62</v>
      </c>
      <c r="R324" t="s">
        <v>448</v>
      </c>
      <c r="V324" s="36"/>
    </row>
    <row r="325" spans="1:22" customFormat="1" hidden="1" x14ac:dyDescent="0.2">
      <c r="A325" s="36" t="s">
        <v>15</v>
      </c>
      <c r="B325" s="36" t="s">
        <v>2</v>
      </c>
      <c r="C325" s="93">
        <v>46149</v>
      </c>
      <c r="D325" s="3">
        <v>46149</v>
      </c>
      <c r="E325" s="126">
        <v>46149</v>
      </c>
      <c r="F325" s="36" t="s">
        <v>82</v>
      </c>
      <c r="G325" s="281">
        <v>40</v>
      </c>
      <c r="H325" s="281">
        <v>0</v>
      </c>
      <c r="I325" s="303">
        <v>40</v>
      </c>
      <c r="J325" s="281">
        <v>9.68</v>
      </c>
      <c r="K325" t="s">
        <v>448</v>
      </c>
      <c r="L325" s="4" t="s">
        <v>613</v>
      </c>
      <c r="M325" t="s">
        <v>332</v>
      </c>
      <c r="N325" t="s">
        <v>332</v>
      </c>
      <c r="O325" t="s">
        <v>332</v>
      </c>
      <c r="P325" t="s">
        <v>333</v>
      </c>
      <c r="Q325" t="s">
        <v>62</v>
      </c>
      <c r="R325" t="s">
        <v>448</v>
      </c>
      <c r="V325" s="36"/>
    </row>
    <row r="326" spans="1:22" customFormat="1" hidden="1" x14ac:dyDescent="0.2">
      <c r="A326" s="36" t="s">
        <v>15</v>
      </c>
      <c r="B326" s="36" t="s">
        <v>2</v>
      </c>
      <c r="C326" s="93">
        <v>46149</v>
      </c>
      <c r="D326" s="3">
        <v>46149</v>
      </c>
      <c r="E326" s="126">
        <v>46149</v>
      </c>
      <c r="F326" s="36" t="s">
        <v>82</v>
      </c>
      <c r="G326" s="281">
        <v>3.2</v>
      </c>
      <c r="H326" s="281">
        <v>0</v>
      </c>
      <c r="I326" s="303">
        <v>3.2</v>
      </c>
      <c r="J326" s="281">
        <v>0.77</v>
      </c>
      <c r="K326" t="s">
        <v>448</v>
      </c>
      <c r="L326" s="4" t="s">
        <v>613</v>
      </c>
      <c r="M326" t="s">
        <v>332</v>
      </c>
      <c r="N326" t="s">
        <v>332</v>
      </c>
      <c r="O326" t="s">
        <v>332</v>
      </c>
      <c r="P326" t="s">
        <v>333</v>
      </c>
      <c r="Q326" t="s">
        <v>62</v>
      </c>
      <c r="R326" t="s">
        <v>448</v>
      </c>
      <c r="V326" s="36"/>
    </row>
    <row r="327" spans="1:22" customFormat="1" hidden="1" x14ac:dyDescent="0.2">
      <c r="A327" s="36" t="s">
        <v>15</v>
      </c>
      <c r="B327" s="36" t="s">
        <v>2</v>
      </c>
      <c r="C327" s="93">
        <v>46122</v>
      </c>
      <c r="D327" s="3">
        <v>46129</v>
      </c>
      <c r="E327" s="126">
        <v>46157</v>
      </c>
      <c r="F327" s="36" t="s">
        <v>82</v>
      </c>
      <c r="G327" s="281">
        <v>370</v>
      </c>
      <c r="H327" s="281">
        <v>0</v>
      </c>
      <c r="I327" s="281">
        <v>370</v>
      </c>
      <c r="J327" s="281">
        <v>91.391850000000005</v>
      </c>
      <c r="K327" t="s">
        <v>614</v>
      </c>
      <c r="L327" t="s">
        <v>615</v>
      </c>
      <c r="M327" t="s">
        <v>616</v>
      </c>
      <c r="N327" t="s">
        <v>617</v>
      </c>
      <c r="O327" t="s">
        <v>618</v>
      </c>
      <c r="P327" t="s">
        <v>340</v>
      </c>
      <c r="Q327" t="s">
        <v>62</v>
      </c>
      <c r="V327" s="36"/>
    </row>
    <row r="328" spans="1:22" customFormat="1" hidden="1" x14ac:dyDescent="0.2">
      <c r="A328" s="36" t="s">
        <v>15</v>
      </c>
      <c r="B328" s="36" t="s">
        <v>2</v>
      </c>
      <c r="C328" s="93">
        <v>46122</v>
      </c>
      <c r="D328" s="3">
        <v>46129</v>
      </c>
      <c r="E328" s="126">
        <v>46157</v>
      </c>
      <c r="F328" s="36" t="s">
        <v>82</v>
      </c>
      <c r="G328" s="281">
        <v>180</v>
      </c>
      <c r="H328" s="281">
        <v>0</v>
      </c>
      <c r="I328" s="281">
        <v>180</v>
      </c>
      <c r="J328" s="281">
        <v>44.460900000000002</v>
      </c>
      <c r="K328" t="s">
        <v>614</v>
      </c>
      <c r="L328" t="s">
        <v>619</v>
      </c>
      <c r="M328" t="s">
        <v>620</v>
      </c>
      <c r="N328" t="s">
        <v>621</v>
      </c>
      <c r="O328" t="s">
        <v>618</v>
      </c>
      <c r="P328" t="s">
        <v>340</v>
      </c>
      <c r="Q328" t="s">
        <v>62</v>
      </c>
      <c r="V328" s="36"/>
    </row>
    <row r="329" spans="1:22" customFormat="1" hidden="1" x14ac:dyDescent="0.2">
      <c r="A329" s="36" t="s">
        <v>15</v>
      </c>
      <c r="B329" s="36" t="s">
        <v>2</v>
      </c>
      <c r="C329" s="93">
        <v>46122</v>
      </c>
      <c r="D329" s="3">
        <v>46129</v>
      </c>
      <c r="E329" s="126">
        <v>46157</v>
      </c>
      <c r="F329" s="36" t="s">
        <v>82</v>
      </c>
      <c r="G329" s="281">
        <v>470</v>
      </c>
      <c r="H329" s="281">
        <v>0</v>
      </c>
      <c r="I329" s="281">
        <v>470</v>
      </c>
      <c r="J329" s="281">
        <v>116.09235</v>
      </c>
      <c r="K329" t="s">
        <v>614</v>
      </c>
      <c r="L329" t="s">
        <v>622</v>
      </c>
      <c r="M329" t="s">
        <v>623</v>
      </c>
      <c r="N329" t="s">
        <v>621</v>
      </c>
      <c r="O329" t="s">
        <v>618</v>
      </c>
      <c r="P329" t="s">
        <v>340</v>
      </c>
      <c r="Q329" t="s">
        <v>62</v>
      </c>
      <c r="V329" s="36"/>
    </row>
    <row r="330" spans="1:22" customFormat="1" hidden="1" x14ac:dyDescent="0.2">
      <c r="A330" s="36" t="s">
        <v>15</v>
      </c>
      <c r="B330" s="36" t="s">
        <v>2</v>
      </c>
      <c r="C330" s="93">
        <v>46122</v>
      </c>
      <c r="D330" s="3">
        <v>46129</v>
      </c>
      <c r="E330" s="126">
        <v>46157</v>
      </c>
      <c r="F330" s="36" t="s">
        <v>82</v>
      </c>
      <c r="G330" s="281">
        <v>105</v>
      </c>
      <c r="H330" s="281">
        <v>0</v>
      </c>
      <c r="I330" s="281">
        <v>105</v>
      </c>
      <c r="J330" s="281">
        <v>25.935525000000002</v>
      </c>
      <c r="K330" t="s">
        <v>614</v>
      </c>
      <c r="L330" t="s">
        <v>624</v>
      </c>
      <c r="M330" t="s">
        <v>625</v>
      </c>
      <c r="N330" t="s">
        <v>50</v>
      </c>
      <c r="O330" t="s">
        <v>50</v>
      </c>
      <c r="P330" t="s">
        <v>340</v>
      </c>
      <c r="Q330" t="s">
        <v>62</v>
      </c>
      <c r="V330" s="36"/>
    </row>
    <row r="331" spans="1:22" customFormat="1" hidden="1" x14ac:dyDescent="0.2">
      <c r="A331" s="36" t="s">
        <v>15</v>
      </c>
      <c r="B331" s="36" t="s">
        <v>2</v>
      </c>
      <c r="C331" s="93">
        <v>46136</v>
      </c>
      <c r="D331" s="3">
        <v>46136</v>
      </c>
      <c r="E331" s="126">
        <v>46157</v>
      </c>
      <c r="F331" s="36" t="s">
        <v>82</v>
      </c>
      <c r="G331" s="281">
        <v>3701.74</v>
      </c>
      <c r="H331" s="281">
        <v>0</v>
      </c>
      <c r="I331" s="303">
        <v>3701.74</v>
      </c>
      <c r="J331" s="281">
        <v>914.3482886999999</v>
      </c>
      <c r="K331" t="s">
        <v>626</v>
      </c>
      <c r="L331" t="s">
        <v>626</v>
      </c>
      <c r="M331" t="s">
        <v>474</v>
      </c>
      <c r="N331" t="s">
        <v>475</v>
      </c>
      <c r="O331" t="s">
        <v>48</v>
      </c>
      <c r="P331" t="s">
        <v>45</v>
      </c>
      <c r="Q331" t="s">
        <v>45</v>
      </c>
      <c r="V331" s="36"/>
    </row>
    <row r="332" spans="1:22" customFormat="1" hidden="1" x14ac:dyDescent="0.2">
      <c r="A332" s="36" t="s">
        <v>15</v>
      </c>
      <c r="B332" s="36" t="s">
        <v>2</v>
      </c>
      <c r="C332" s="93">
        <v>46136</v>
      </c>
      <c r="D332" s="3">
        <v>46136</v>
      </c>
      <c r="E332" s="126">
        <v>46157</v>
      </c>
      <c r="F332" s="36" t="s">
        <v>82</v>
      </c>
      <c r="G332" s="281">
        <v>350</v>
      </c>
      <c r="H332" s="281">
        <v>0</v>
      </c>
      <c r="I332" s="281">
        <v>350</v>
      </c>
      <c r="J332" s="281">
        <v>86.451750000000004</v>
      </c>
      <c r="K332" t="s">
        <v>626</v>
      </c>
      <c r="L332" t="s">
        <v>626</v>
      </c>
      <c r="M332" t="s">
        <v>476</v>
      </c>
      <c r="N332" t="s">
        <v>339</v>
      </c>
      <c r="O332" t="s">
        <v>48</v>
      </c>
      <c r="P332" t="s">
        <v>333</v>
      </c>
      <c r="Q332" t="s">
        <v>62</v>
      </c>
      <c r="V332" s="36"/>
    </row>
    <row r="333" spans="1:22" customFormat="1" hidden="1" x14ac:dyDescent="0.2">
      <c r="A333" s="36" t="s">
        <v>15</v>
      </c>
      <c r="B333" s="36" t="s">
        <v>2</v>
      </c>
      <c r="C333" s="93">
        <v>46136</v>
      </c>
      <c r="D333" s="3">
        <v>46136</v>
      </c>
      <c r="E333" s="126">
        <v>46157</v>
      </c>
      <c r="F333" s="36" t="s">
        <v>82</v>
      </c>
      <c r="G333" s="281">
        <v>519.68000000000006</v>
      </c>
      <c r="H333" s="281">
        <v>0</v>
      </c>
      <c r="I333" s="281">
        <v>519.68000000000006</v>
      </c>
      <c r="J333" s="281">
        <v>128.36355840000002</v>
      </c>
      <c r="K333" t="s">
        <v>626</v>
      </c>
      <c r="L333" t="s">
        <v>626</v>
      </c>
      <c r="M333" t="s">
        <v>352</v>
      </c>
      <c r="N333" t="s">
        <v>391</v>
      </c>
      <c r="O333" t="s">
        <v>48</v>
      </c>
      <c r="P333" t="s">
        <v>45</v>
      </c>
      <c r="Q333" t="s">
        <v>45</v>
      </c>
      <c r="V333" s="36"/>
    </row>
    <row r="334" spans="1:22" customFormat="1" hidden="1" x14ac:dyDescent="0.2">
      <c r="A334" s="36" t="s">
        <v>15</v>
      </c>
      <c r="B334" s="36" t="s">
        <v>2</v>
      </c>
      <c r="C334" s="93">
        <v>46136</v>
      </c>
      <c r="D334" s="3">
        <v>46136</v>
      </c>
      <c r="E334" s="126">
        <v>46157</v>
      </c>
      <c r="F334" s="36" t="s">
        <v>82</v>
      </c>
      <c r="G334" s="281">
        <v>93.93</v>
      </c>
      <c r="H334" s="281">
        <v>0</v>
      </c>
      <c r="I334" s="281">
        <v>93.93</v>
      </c>
      <c r="J334" s="281">
        <v>23.20117965</v>
      </c>
      <c r="K334" t="s">
        <v>626</v>
      </c>
      <c r="L334" t="s">
        <v>626</v>
      </c>
      <c r="M334" t="s">
        <v>352</v>
      </c>
      <c r="N334" t="s">
        <v>391</v>
      </c>
      <c r="O334" t="s">
        <v>48</v>
      </c>
      <c r="P334" t="s">
        <v>333</v>
      </c>
      <c r="Q334" t="s">
        <v>62</v>
      </c>
      <c r="V334" s="36"/>
    </row>
    <row r="335" spans="1:22" customFormat="1" hidden="1" x14ac:dyDescent="0.2">
      <c r="A335" s="36" t="s">
        <v>15</v>
      </c>
      <c r="B335" s="36" t="s">
        <v>2</v>
      </c>
      <c r="C335" s="93">
        <v>46136</v>
      </c>
      <c r="D335" s="3">
        <v>46136</v>
      </c>
      <c r="E335" s="126">
        <v>46157</v>
      </c>
      <c r="F335" s="36" t="s">
        <v>82</v>
      </c>
      <c r="G335" s="281">
        <v>37.049999999999997</v>
      </c>
      <c r="H335" s="281">
        <v>0</v>
      </c>
      <c r="I335" s="281">
        <v>37.049999999999997</v>
      </c>
      <c r="J335" s="281">
        <v>9.1515352500000002</v>
      </c>
      <c r="K335" t="s">
        <v>626</v>
      </c>
      <c r="L335" t="s">
        <v>626</v>
      </c>
      <c r="M335" t="s">
        <v>355</v>
      </c>
      <c r="N335" t="s">
        <v>402</v>
      </c>
      <c r="O335" t="s">
        <v>48</v>
      </c>
      <c r="P335" t="s">
        <v>45</v>
      </c>
      <c r="Q335" t="s">
        <v>45</v>
      </c>
      <c r="V335" s="36"/>
    </row>
    <row r="336" spans="1:22" customFormat="1" hidden="1" x14ac:dyDescent="0.2">
      <c r="A336" s="36" t="s">
        <v>15</v>
      </c>
      <c r="B336" s="36" t="s">
        <v>2</v>
      </c>
      <c r="C336" s="93">
        <v>46136</v>
      </c>
      <c r="D336" s="3">
        <v>46136</v>
      </c>
      <c r="E336" s="126">
        <v>46157</v>
      </c>
      <c r="F336" s="36" t="s">
        <v>82</v>
      </c>
      <c r="G336" s="281">
        <v>60.25</v>
      </c>
      <c r="H336" s="281">
        <v>0</v>
      </c>
      <c r="I336" s="281">
        <v>60.25</v>
      </c>
      <c r="J336" s="281">
        <v>14.88205125</v>
      </c>
      <c r="K336" t="s">
        <v>626</v>
      </c>
      <c r="L336" t="s">
        <v>626</v>
      </c>
      <c r="M336" t="s">
        <v>355</v>
      </c>
      <c r="N336" t="s">
        <v>402</v>
      </c>
      <c r="O336" t="s">
        <v>48</v>
      </c>
      <c r="P336" t="s">
        <v>45</v>
      </c>
      <c r="Q336" t="s">
        <v>45</v>
      </c>
      <c r="V336" s="36"/>
    </row>
    <row r="337" spans="1:22" customFormat="1" hidden="1" x14ac:dyDescent="0.2">
      <c r="A337" s="36" t="s">
        <v>15</v>
      </c>
      <c r="B337" s="36" t="s">
        <v>2</v>
      </c>
      <c r="C337" s="93">
        <v>46142</v>
      </c>
      <c r="D337" s="3">
        <v>46142</v>
      </c>
      <c r="E337" s="126">
        <v>46157</v>
      </c>
      <c r="F337" s="36" t="s">
        <v>82</v>
      </c>
      <c r="G337" s="281"/>
      <c r="H337" s="281"/>
      <c r="I337" s="281"/>
      <c r="J337" s="281">
        <v>919.82</v>
      </c>
      <c r="K337" t="s">
        <v>1803</v>
      </c>
      <c r="L337" t="s">
        <v>420</v>
      </c>
      <c r="M337" t="s">
        <v>420</v>
      </c>
      <c r="N337" t="s">
        <v>387</v>
      </c>
      <c r="O337" s="146" t="str">
        <f>_xlfn.XLOOKUP(N337,[1]!costcategory[Account Code],[1]!costcategory[Cost Category],"ERROR")</f>
        <v>Headcount Costs</v>
      </c>
      <c r="P337" t="s">
        <v>354</v>
      </c>
      <c r="Q337" s="147" t="str">
        <f>_xlfn.XLOOKUP(P337,[1]!Table2[Department],[1]!Table2[Group],"ERROR")</f>
        <v>Sales &amp; Marketing</v>
      </c>
      <c r="V337" s="36"/>
    </row>
    <row r="338" spans="1:22" customFormat="1" hidden="1" x14ac:dyDescent="0.2">
      <c r="A338" s="36" t="s">
        <v>15</v>
      </c>
      <c r="B338" s="36" t="s">
        <v>2</v>
      </c>
      <c r="C338" s="93">
        <v>46142</v>
      </c>
      <c r="D338" s="3">
        <v>46142</v>
      </c>
      <c r="E338" s="126">
        <v>46157</v>
      </c>
      <c r="F338" s="36" t="s">
        <v>82</v>
      </c>
      <c r="G338" s="281"/>
      <c r="H338" s="281"/>
      <c r="I338" s="281"/>
      <c r="J338" s="281">
        <v>122.06</v>
      </c>
      <c r="K338" t="s">
        <v>1803</v>
      </c>
      <c r="L338" t="s">
        <v>1702</v>
      </c>
      <c r="M338" t="s">
        <v>1702</v>
      </c>
      <c r="N338" t="s">
        <v>364</v>
      </c>
      <c r="O338" s="146" t="str">
        <f>_xlfn.XLOOKUP(N338,[1]!costcategory[Account Code],[1]!costcategory[Cost Category],"ERROR")</f>
        <v>Headcount Costs</v>
      </c>
      <c r="P338" t="s">
        <v>354</v>
      </c>
      <c r="Q338" s="147" t="str">
        <f>_xlfn.XLOOKUP(P338,[1]!Table2[Department],[1]!Table2[Group],"ERROR")</f>
        <v>Sales &amp; Marketing</v>
      </c>
      <c r="V338" s="36"/>
    </row>
    <row r="339" spans="1:22" customFormat="1" hidden="1" x14ac:dyDescent="0.2">
      <c r="A339" s="36" t="s">
        <v>15</v>
      </c>
      <c r="B339" s="36" t="s">
        <v>2</v>
      </c>
      <c r="C339" s="93">
        <v>46142</v>
      </c>
      <c r="D339" s="3">
        <v>46142</v>
      </c>
      <c r="E339" s="126">
        <v>46157</v>
      </c>
      <c r="F339" s="36" t="s">
        <v>82</v>
      </c>
      <c r="G339" s="281"/>
      <c r="H339" s="281"/>
      <c r="I339" s="281"/>
      <c r="J339" s="281">
        <v>1311.5219999999999</v>
      </c>
      <c r="K339" t="s">
        <v>1803</v>
      </c>
      <c r="L339" t="s">
        <v>420</v>
      </c>
      <c r="M339" t="s">
        <v>420</v>
      </c>
      <c r="N339" t="s">
        <v>387</v>
      </c>
      <c r="O339" s="146" t="str">
        <f>_xlfn.XLOOKUP(N339,[1]!costcategory[Account Code],[1]!costcategory[Cost Category],"ERROR")</f>
        <v>Headcount Costs</v>
      </c>
      <c r="P339" t="s">
        <v>45</v>
      </c>
      <c r="Q339" s="147" t="str">
        <f>_xlfn.XLOOKUP(P339,[1]!Table2[Department],[1]!Table2[Group],"ERROR")</f>
        <v>DSC</v>
      </c>
      <c r="V339" s="36"/>
    </row>
    <row r="340" spans="1:22" customFormat="1" hidden="1" x14ac:dyDescent="0.2">
      <c r="A340" s="36" t="s">
        <v>15</v>
      </c>
      <c r="B340" s="36" t="s">
        <v>2</v>
      </c>
      <c r="C340" s="93">
        <v>46142</v>
      </c>
      <c r="D340" s="3">
        <v>46142</v>
      </c>
      <c r="E340" s="126">
        <v>46157</v>
      </c>
      <c r="F340" s="36" t="s">
        <v>82</v>
      </c>
      <c r="G340" s="281"/>
      <c r="H340" s="281"/>
      <c r="I340" s="281"/>
      <c r="J340" s="281">
        <v>5246.0879999999997</v>
      </c>
      <c r="K340" t="s">
        <v>1803</v>
      </c>
      <c r="L340" t="s">
        <v>420</v>
      </c>
      <c r="M340" t="s">
        <v>420</v>
      </c>
      <c r="N340" t="s">
        <v>387</v>
      </c>
      <c r="O340" s="146" t="str">
        <f>_xlfn.XLOOKUP(N340,[1]!costcategory[Account Code],[1]!costcategory[Cost Category],"ERROR")</f>
        <v>Headcount Costs</v>
      </c>
      <c r="P340" t="s">
        <v>63</v>
      </c>
      <c r="Q340" s="147" t="str">
        <f>_xlfn.XLOOKUP(P340,[1]!Table2[Department],[1]!Table2[Group],"ERROR")</f>
        <v>Research &amp; Development</v>
      </c>
      <c r="V340" s="36"/>
    </row>
    <row r="341" spans="1:22" customFormat="1" hidden="1" x14ac:dyDescent="0.2">
      <c r="A341" s="36" t="s">
        <v>15</v>
      </c>
      <c r="B341" s="36" t="s">
        <v>2</v>
      </c>
      <c r="C341" s="93">
        <v>46142</v>
      </c>
      <c r="D341" s="3">
        <v>46142</v>
      </c>
      <c r="E341" s="126">
        <v>46157</v>
      </c>
      <c r="F341" s="36" t="s">
        <v>82</v>
      </c>
      <c r="G341" s="281"/>
      <c r="H341" s="281"/>
      <c r="I341" s="281"/>
      <c r="J341" s="281">
        <v>2745.9120000000003</v>
      </c>
      <c r="K341" t="s">
        <v>1803</v>
      </c>
      <c r="L341" t="s">
        <v>1702</v>
      </c>
      <c r="M341" t="s">
        <v>1702</v>
      </c>
      <c r="N341" t="s">
        <v>364</v>
      </c>
      <c r="O341" s="146" t="str">
        <f>_xlfn.XLOOKUP(N341,[1]!costcategory[Account Code],[1]!costcategory[Cost Category],"ERROR")</f>
        <v>Headcount Costs</v>
      </c>
      <c r="P341" t="s">
        <v>63</v>
      </c>
      <c r="Q341" s="147" t="str">
        <f>_xlfn.XLOOKUP(P341,[1]!Table2[Department],[1]!Table2[Group],"ERROR")</f>
        <v>Research &amp; Development</v>
      </c>
      <c r="V341" s="36"/>
    </row>
    <row r="342" spans="1:22" customFormat="1" hidden="1" x14ac:dyDescent="0.2">
      <c r="A342" s="36" t="s">
        <v>15</v>
      </c>
      <c r="B342" s="36" t="s">
        <v>2</v>
      </c>
      <c r="C342" s="93">
        <v>46142</v>
      </c>
      <c r="D342" s="3">
        <v>46142</v>
      </c>
      <c r="E342" s="126">
        <v>46157</v>
      </c>
      <c r="F342" s="36" t="s">
        <v>82</v>
      </c>
      <c r="G342" s="281"/>
      <c r="H342" s="281"/>
      <c r="I342" s="281"/>
      <c r="J342" s="281">
        <v>686.47799999999961</v>
      </c>
      <c r="K342" t="s">
        <v>1803</v>
      </c>
      <c r="L342" t="s">
        <v>1702</v>
      </c>
      <c r="M342" t="s">
        <v>1702</v>
      </c>
      <c r="N342" t="s">
        <v>364</v>
      </c>
      <c r="O342" s="146" t="str">
        <f>_xlfn.XLOOKUP(N342,[1]!costcategory[Account Code],[1]!costcategory[Cost Category],"ERROR")</f>
        <v>Headcount Costs</v>
      </c>
      <c r="P342" t="s">
        <v>45</v>
      </c>
      <c r="Q342" s="147" t="str">
        <f>_xlfn.XLOOKUP(P342,[1]!Table2[Department],[1]!Table2[Group],"ERROR")</f>
        <v>DSC</v>
      </c>
      <c r="V342" s="36"/>
    </row>
    <row r="343" spans="1:22" customFormat="1" hidden="1" x14ac:dyDescent="0.2">
      <c r="A343" s="36" t="s">
        <v>15</v>
      </c>
      <c r="B343" s="36" t="s">
        <v>2</v>
      </c>
      <c r="C343" s="93">
        <v>46142</v>
      </c>
      <c r="D343" s="3">
        <v>46142</v>
      </c>
      <c r="E343" s="126">
        <v>46157</v>
      </c>
      <c r="F343" s="36" t="s">
        <v>82</v>
      </c>
      <c r="G343" s="281"/>
      <c r="H343" s="281"/>
      <c r="I343" s="281"/>
      <c r="J343" s="281">
        <v>783.2</v>
      </c>
      <c r="K343" t="s">
        <v>1803</v>
      </c>
      <c r="L343" t="s">
        <v>420</v>
      </c>
      <c r="M343" t="s">
        <v>420</v>
      </c>
      <c r="N343" t="s">
        <v>387</v>
      </c>
      <c r="O343" s="146" t="str">
        <f>_xlfn.XLOOKUP(N343,[1]!costcategory[Account Code],[1]!costcategory[Cost Category],"ERROR")</f>
        <v>Headcount Costs</v>
      </c>
      <c r="P343" t="s">
        <v>333</v>
      </c>
      <c r="Q343" s="147" t="str">
        <f>_xlfn.XLOOKUP(P343,[1]!Table2[Department],[1]!Table2[Group],"ERROR")</f>
        <v>General &amp; Administrative</v>
      </c>
      <c r="V343" s="36"/>
    </row>
    <row r="344" spans="1:22" customFormat="1" hidden="1" x14ac:dyDescent="0.2">
      <c r="A344" s="36" t="s">
        <v>15</v>
      </c>
      <c r="B344" s="36" t="s">
        <v>2</v>
      </c>
      <c r="C344" s="93">
        <v>46142</v>
      </c>
      <c r="D344" s="3">
        <v>46142</v>
      </c>
      <c r="E344" s="126">
        <v>46157</v>
      </c>
      <c r="F344" s="36" t="s">
        <v>82</v>
      </c>
      <c r="G344" s="281"/>
      <c r="H344" s="281"/>
      <c r="I344" s="281"/>
      <c r="J344" s="281">
        <v>447.34</v>
      </c>
      <c r="K344" t="s">
        <v>1803</v>
      </c>
      <c r="L344" t="s">
        <v>1702</v>
      </c>
      <c r="M344" t="s">
        <v>1702</v>
      </c>
      <c r="N344" t="s">
        <v>364</v>
      </c>
      <c r="O344" s="146" t="str">
        <f>_xlfn.XLOOKUP(N344,[1]!costcategory[Account Code],[1]!costcategory[Cost Category],"ERROR")</f>
        <v>Headcount Costs</v>
      </c>
      <c r="P344" t="s">
        <v>333</v>
      </c>
      <c r="Q344" s="147" t="str">
        <f>_xlfn.XLOOKUP(P344,[1]!Table2[Department],[1]!Table2[Group],"ERROR")</f>
        <v>General &amp; Administrative</v>
      </c>
      <c r="V344" s="36"/>
    </row>
    <row r="345" spans="1:22" customFormat="1" hidden="1" x14ac:dyDescent="0.2">
      <c r="A345" s="36" t="s">
        <v>15</v>
      </c>
      <c r="B345" s="36" t="s">
        <v>2</v>
      </c>
      <c r="C345" s="93">
        <v>46142</v>
      </c>
      <c r="D345" s="3">
        <v>46142</v>
      </c>
      <c r="E345" s="126">
        <v>46157</v>
      </c>
      <c r="F345" s="36" t="s">
        <v>82</v>
      </c>
      <c r="G345" s="281"/>
      <c r="H345" s="281"/>
      <c r="I345" s="281"/>
      <c r="J345" s="281">
        <v>698.23</v>
      </c>
      <c r="K345" t="s">
        <v>1803</v>
      </c>
      <c r="L345" t="s">
        <v>420</v>
      </c>
      <c r="M345" t="s">
        <v>420</v>
      </c>
      <c r="N345" t="s">
        <v>387</v>
      </c>
      <c r="O345" s="146" t="str">
        <f>_xlfn.XLOOKUP(N345,[1]!costcategory[Account Code],[1]!costcategory[Cost Category],"ERROR")</f>
        <v>Headcount Costs</v>
      </c>
      <c r="P345" t="s">
        <v>350</v>
      </c>
      <c r="Q345" s="147" t="str">
        <f>_xlfn.XLOOKUP(P345,[1]!Table2[Department],[1]!Table2[Group],"ERROR")</f>
        <v>General &amp; Administrative</v>
      </c>
      <c r="V345" s="36"/>
    </row>
    <row r="346" spans="1:22" customFormat="1" hidden="1" x14ac:dyDescent="0.2">
      <c r="A346" s="36" t="s">
        <v>15</v>
      </c>
      <c r="B346" s="36" t="s">
        <v>2</v>
      </c>
      <c r="C346" s="93">
        <v>46142</v>
      </c>
      <c r="D346" s="3">
        <v>46142</v>
      </c>
      <c r="E346" s="126">
        <v>46157</v>
      </c>
      <c r="F346" s="36" t="s">
        <v>82</v>
      </c>
      <c r="G346" s="281"/>
      <c r="H346" s="281"/>
      <c r="I346" s="281"/>
      <c r="J346" s="281">
        <v>417.2</v>
      </c>
      <c r="K346" t="s">
        <v>1803</v>
      </c>
      <c r="L346" t="s">
        <v>1702</v>
      </c>
      <c r="M346" t="s">
        <v>1702</v>
      </c>
      <c r="N346" t="s">
        <v>364</v>
      </c>
      <c r="O346" s="146" t="str">
        <f>_xlfn.XLOOKUP(N346,[1]!costcategory[Account Code],[1]!costcategory[Cost Category],"ERROR")</f>
        <v>Headcount Costs</v>
      </c>
      <c r="P346" t="s">
        <v>350</v>
      </c>
      <c r="Q346" s="147" t="str">
        <f>_xlfn.XLOOKUP(P346,[1]!Table2[Department],[1]!Table2[Group],"ERROR")</f>
        <v>General &amp; Administrative</v>
      </c>
      <c r="V346" s="36"/>
    </row>
    <row r="347" spans="1:22" customFormat="1" hidden="1" x14ac:dyDescent="0.2">
      <c r="A347" s="36" t="s">
        <v>15</v>
      </c>
      <c r="B347" s="36" t="s">
        <v>2</v>
      </c>
      <c r="C347" s="93">
        <v>46142</v>
      </c>
      <c r="D347" s="3">
        <v>46142</v>
      </c>
      <c r="E347" s="126">
        <v>46157</v>
      </c>
      <c r="F347" s="36" t="s">
        <v>82</v>
      </c>
      <c r="G347" s="281"/>
      <c r="H347" s="281"/>
      <c r="I347" s="281"/>
      <c r="J347" s="281">
        <v>2068.8000000000002</v>
      </c>
      <c r="K347" t="s">
        <v>1803</v>
      </c>
      <c r="L347" t="s">
        <v>420</v>
      </c>
      <c r="M347" t="s">
        <v>420</v>
      </c>
      <c r="N347" t="s">
        <v>387</v>
      </c>
      <c r="O347" s="146" t="str">
        <f>_xlfn.XLOOKUP(N347,[1]!costcategory[Account Code],[1]!costcategory[Cost Category],"ERROR")</f>
        <v>Headcount Costs</v>
      </c>
      <c r="P347" t="s">
        <v>438</v>
      </c>
      <c r="Q347" s="147" t="str">
        <f>_xlfn.XLOOKUP(P347,[1]!Table2[Department],[1]!Table2[Group],"ERROR")</f>
        <v>Sales &amp; Marketing</v>
      </c>
      <c r="V347" s="36"/>
    </row>
    <row r="348" spans="1:22" customFormat="1" hidden="1" x14ac:dyDescent="0.2">
      <c r="A348" s="36" t="s">
        <v>15</v>
      </c>
      <c r="B348" s="36" t="s">
        <v>2</v>
      </c>
      <c r="C348" s="93">
        <v>46142</v>
      </c>
      <c r="D348" s="3">
        <v>46142</v>
      </c>
      <c r="E348" s="126">
        <v>46157</v>
      </c>
      <c r="F348" s="36" t="s">
        <v>82</v>
      </c>
      <c r="G348" s="281"/>
      <c r="H348" s="281"/>
      <c r="I348" s="281"/>
      <c r="J348" s="281">
        <v>1038.31</v>
      </c>
      <c r="K348" t="s">
        <v>1803</v>
      </c>
      <c r="L348" t="s">
        <v>1702</v>
      </c>
      <c r="M348" t="s">
        <v>1702</v>
      </c>
      <c r="N348" t="s">
        <v>364</v>
      </c>
      <c r="O348" s="146" t="str">
        <f>_xlfn.XLOOKUP(N348,[1]!costcategory[Account Code],[1]!costcategory[Cost Category],"ERROR")</f>
        <v>Headcount Costs</v>
      </c>
      <c r="P348" t="s">
        <v>438</v>
      </c>
      <c r="Q348" s="147" t="str">
        <f>_xlfn.XLOOKUP(P348,[1]!Table2[Department],[1]!Table2[Group],"ERROR")</f>
        <v>Sales &amp; Marketing</v>
      </c>
      <c r="V348" s="36"/>
    </row>
    <row r="349" spans="1:22" customFormat="1" hidden="1" x14ac:dyDescent="0.2">
      <c r="A349" s="36" t="s">
        <v>15</v>
      </c>
      <c r="B349" s="36" t="s">
        <v>2</v>
      </c>
      <c r="C349" s="93">
        <v>46142</v>
      </c>
      <c r="D349" s="3">
        <v>46142</v>
      </c>
      <c r="E349" s="126">
        <v>46157</v>
      </c>
      <c r="F349" s="36" t="s">
        <v>82</v>
      </c>
      <c r="G349" s="281">
        <v>28</v>
      </c>
      <c r="H349" s="281">
        <v>0</v>
      </c>
      <c r="I349" s="281">
        <v>28</v>
      </c>
      <c r="J349" s="281">
        <v>6.9161400000000004</v>
      </c>
      <c r="K349" t="s">
        <v>626</v>
      </c>
      <c r="L349" t="s">
        <v>626</v>
      </c>
      <c r="M349" t="s">
        <v>359</v>
      </c>
      <c r="N349" t="s">
        <v>52</v>
      </c>
      <c r="O349" t="s">
        <v>52</v>
      </c>
      <c r="P349" t="s">
        <v>333</v>
      </c>
      <c r="Q349" t="s">
        <v>62</v>
      </c>
      <c r="V349" s="36"/>
    </row>
    <row r="350" spans="1:22" customFormat="1" hidden="1" x14ac:dyDescent="0.2">
      <c r="A350" s="36" t="s">
        <v>15</v>
      </c>
      <c r="B350" s="36" t="s">
        <v>2</v>
      </c>
      <c r="C350" s="93">
        <v>46150</v>
      </c>
      <c r="D350" s="3">
        <v>46150</v>
      </c>
      <c r="E350" s="126">
        <v>46157</v>
      </c>
      <c r="F350" s="36" t="s">
        <v>82</v>
      </c>
      <c r="G350" s="281">
        <v>1633.58</v>
      </c>
      <c r="H350" s="281">
        <v>0</v>
      </c>
      <c r="I350" s="281">
        <v>1633.58</v>
      </c>
      <c r="J350" s="281">
        <v>403.50242789999999</v>
      </c>
      <c r="K350" t="s">
        <v>627</v>
      </c>
      <c r="L350" t="s">
        <v>627</v>
      </c>
      <c r="M350" t="s">
        <v>360</v>
      </c>
      <c r="N350" t="s">
        <v>353</v>
      </c>
      <c r="O350" t="s">
        <v>48</v>
      </c>
      <c r="P350" t="s">
        <v>45</v>
      </c>
      <c r="Q350" t="s">
        <v>45</v>
      </c>
      <c r="V350" s="36"/>
    </row>
    <row r="351" spans="1:22" customFormat="1" hidden="1" x14ac:dyDescent="0.2">
      <c r="A351" s="36" t="s">
        <v>15</v>
      </c>
      <c r="B351" s="36" t="s">
        <v>2</v>
      </c>
      <c r="C351" s="93">
        <v>46150</v>
      </c>
      <c r="D351" s="3">
        <v>46150</v>
      </c>
      <c r="E351" s="126">
        <v>46157</v>
      </c>
      <c r="F351" s="36" t="s">
        <v>82</v>
      </c>
      <c r="G351" s="281">
        <v>899.26</v>
      </c>
      <c r="H351" s="281">
        <v>0</v>
      </c>
      <c r="I351" s="281">
        <v>899.26</v>
      </c>
      <c r="J351" s="281">
        <v>222.1217163</v>
      </c>
      <c r="K351" t="s">
        <v>627</v>
      </c>
      <c r="L351" t="s">
        <v>627</v>
      </c>
      <c r="M351" t="s">
        <v>360</v>
      </c>
      <c r="N351" t="s">
        <v>353</v>
      </c>
      <c r="O351" t="s">
        <v>48</v>
      </c>
      <c r="P351" t="s">
        <v>523</v>
      </c>
      <c r="Q351" t="s">
        <v>62</v>
      </c>
      <c r="V351" s="36"/>
    </row>
    <row r="352" spans="1:22" customFormat="1" hidden="1" x14ac:dyDescent="0.2">
      <c r="A352" s="36" t="s">
        <v>15</v>
      </c>
      <c r="B352" s="36" t="s">
        <v>2</v>
      </c>
      <c r="C352" s="93">
        <v>46150</v>
      </c>
      <c r="D352" s="3">
        <v>46150</v>
      </c>
      <c r="E352" s="126">
        <v>46157</v>
      </c>
      <c r="F352" s="36" t="s">
        <v>82</v>
      </c>
      <c r="G352" s="281">
        <v>200</v>
      </c>
      <c r="H352" s="281">
        <v>0</v>
      </c>
      <c r="I352" s="281">
        <v>200</v>
      </c>
      <c r="J352" s="281">
        <v>49.401000000000003</v>
      </c>
      <c r="K352" t="s">
        <v>627</v>
      </c>
      <c r="L352" t="s">
        <v>627</v>
      </c>
      <c r="M352" t="s">
        <v>361</v>
      </c>
      <c r="N352" t="s">
        <v>356</v>
      </c>
      <c r="O352" t="s">
        <v>48</v>
      </c>
      <c r="P352" t="s">
        <v>333</v>
      </c>
      <c r="Q352" t="s">
        <v>62</v>
      </c>
      <c r="V352" s="36"/>
    </row>
    <row r="353" spans="1:22" customFormat="1" hidden="1" x14ac:dyDescent="0.2">
      <c r="A353" s="36" t="s">
        <v>15</v>
      </c>
      <c r="B353" s="36" t="s">
        <v>2</v>
      </c>
      <c r="C353" s="93">
        <v>46150</v>
      </c>
      <c r="D353" s="3">
        <v>46150</v>
      </c>
      <c r="E353" s="126">
        <v>46157</v>
      </c>
      <c r="F353" s="36" t="s">
        <v>82</v>
      </c>
      <c r="G353" s="281">
        <v>249.02</v>
      </c>
      <c r="H353" s="281">
        <v>0</v>
      </c>
      <c r="I353" s="281">
        <v>249.02</v>
      </c>
      <c r="J353" s="281">
        <v>61.509185100000003</v>
      </c>
      <c r="K353" t="s">
        <v>627</v>
      </c>
      <c r="L353" t="s">
        <v>627</v>
      </c>
      <c r="M353" t="s">
        <v>361</v>
      </c>
      <c r="N353" t="s">
        <v>356</v>
      </c>
      <c r="O353" t="s">
        <v>48</v>
      </c>
      <c r="P353" t="s">
        <v>45</v>
      </c>
      <c r="Q353" t="s">
        <v>45</v>
      </c>
      <c r="V353" s="36"/>
    </row>
    <row r="354" spans="1:22" customFormat="1" hidden="1" x14ac:dyDescent="0.2">
      <c r="A354" s="36" t="s">
        <v>15</v>
      </c>
      <c r="B354" s="36" t="s">
        <v>2</v>
      </c>
      <c r="C354" s="93">
        <v>46150</v>
      </c>
      <c r="D354" s="3">
        <v>46150</v>
      </c>
      <c r="E354" s="126">
        <v>46157</v>
      </c>
      <c r="F354" s="36" t="s">
        <v>82</v>
      </c>
      <c r="G354" s="281">
        <v>2332.46</v>
      </c>
      <c r="H354" s="281">
        <v>0</v>
      </c>
      <c r="I354" s="281">
        <v>2332.46</v>
      </c>
      <c r="J354" s="281">
        <v>576.1292823</v>
      </c>
      <c r="K354" t="s">
        <v>627</v>
      </c>
      <c r="L354" t="s">
        <v>627</v>
      </c>
      <c r="M354" t="s">
        <v>361</v>
      </c>
      <c r="N354" t="s">
        <v>356</v>
      </c>
      <c r="O354" t="s">
        <v>48</v>
      </c>
      <c r="P354" t="s">
        <v>333</v>
      </c>
      <c r="Q354" t="s">
        <v>62</v>
      </c>
      <c r="V354" s="36"/>
    </row>
    <row r="355" spans="1:22" customFormat="1" hidden="1" x14ac:dyDescent="0.2">
      <c r="A355" s="36" t="s">
        <v>15</v>
      </c>
      <c r="B355" s="36" t="s">
        <v>2</v>
      </c>
      <c r="C355" s="93">
        <v>46148</v>
      </c>
      <c r="D355" s="3">
        <v>46155</v>
      </c>
      <c r="E355" s="126">
        <v>46157</v>
      </c>
      <c r="F355" s="36" t="s">
        <v>82</v>
      </c>
      <c r="G355" s="281">
        <v>450</v>
      </c>
      <c r="H355" s="281">
        <v>0</v>
      </c>
      <c r="I355" s="281">
        <v>450</v>
      </c>
      <c r="J355" s="281">
        <v>111.15225</v>
      </c>
      <c r="K355" t="s">
        <v>614</v>
      </c>
      <c r="L355" t="s">
        <v>628</v>
      </c>
      <c r="M355" t="s">
        <v>629</v>
      </c>
      <c r="N355" t="s">
        <v>621</v>
      </c>
      <c r="O355" t="s">
        <v>618</v>
      </c>
      <c r="P355" t="s">
        <v>340</v>
      </c>
      <c r="Q355" t="s">
        <v>62</v>
      </c>
      <c r="V355" s="36"/>
    </row>
    <row r="356" spans="1:22" customFormat="1" hidden="1" x14ac:dyDescent="0.2">
      <c r="A356" s="36" t="s">
        <v>15</v>
      </c>
      <c r="B356" s="36" t="s">
        <v>2</v>
      </c>
      <c r="C356" s="93">
        <v>46157</v>
      </c>
      <c r="D356" s="3">
        <v>46157</v>
      </c>
      <c r="E356" s="126">
        <v>46157</v>
      </c>
      <c r="F356" s="36" t="s">
        <v>82</v>
      </c>
      <c r="G356" s="281">
        <v>16837</v>
      </c>
      <c r="H356" s="281">
        <v>0</v>
      </c>
      <c r="I356" s="281">
        <v>16837</v>
      </c>
      <c r="J356" s="281">
        <v>4158.8231850000002</v>
      </c>
      <c r="K356" t="s">
        <v>630</v>
      </c>
      <c r="M356" t="s">
        <v>631</v>
      </c>
      <c r="N356" t="s">
        <v>509</v>
      </c>
      <c r="O356" t="s">
        <v>510</v>
      </c>
      <c r="P356" t="s">
        <v>350</v>
      </c>
      <c r="Q356" t="s">
        <v>62</v>
      </c>
      <c r="V356" s="36"/>
    </row>
    <row r="357" spans="1:22" customFormat="1" hidden="1" x14ac:dyDescent="0.2">
      <c r="A357" s="36" t="s">
        <v>15</v>
      </c>
      <c r="B357" s="36" t="s">
        <v>2</v>
      </c>
      <c r="C357" s="93">
        <v>46157</v>
      </c>
      <c r="D357" s="3">
        <v>46157</v>
      </c>
      <c r="E357" s="126">
        <v>46157</v>
      </c>
      <c r="F357" s="36" t="s">
        <v>82</v>
      </c>
      <c r="G357" s="281">
        <v>0.5</v>
      </c>
      <c r="H357" s="281">
        <v>0</v>
      </c>
      <c r="I357" s="281">
        <v>0.5</v>
      </c>
      <c r="J357" s="281">
        <v>0.1235025</v>
      </c>
      <c r="K357" t="s">
        <v>448</v>
      </c>
      <c r="L357" s="4" t="s">
        <v>1843</v>
      </c>
      <c r="M357" t="s">
        <v>332</v>
      </c>
      <c r="N357" t="s">
        <v>332</v>
      </c>
      <c r="O357" t="s">
        <v>332</v>
      </c>
      <c r="P357" t="s">
        <v>350</v>
      </c>
      <c r="Q357" t="s">
        <v>62</v>
      </c>
      <c r="V357" s="36"/>
    </row>
    <row r="358" spans="1:22" customFormat="1" hidden="1" x14ac:dyDescent="0.2">
      <c r="A358" s="36" t="s">
        <v>15</v>
      </c>
      <c r="B358" s="36" t="s">
        <v>2</v>
      </c>
      <c r="C358" s="93">
        <v>46157</v>
      </c>
      <c r="D358" s="3">
        <v>46157</v>
      </c>
      <c r="E358" s="126">
        <v>46157</v>
      </c>
      <c r="F358" s="36" t="s">
        <v>82</v>
      </c>
      <c r="G358" s="281">
        <v>0.5</v>
      </c>
      <c r="H358" s="281">
        <v>0</v>
      </c>
      <c r="I358" s="281">
        <v>0.5</v>
      </c>
      <c r="J358" s="281">
        <v>0.1235025</v>
      </c>
      <c r="K358" t="s">
        <v>448</v>
      </c>
      <c r="L358" s="4" t="s">
        <v>1843</v>
      </c>
      <c r="M358" t="s">
        <v>332</v>
      </c>
      <c r="N358" t="s">
        <v>332</v>
      </c>
      <c r="O358" t="s">
        <v>332</v>
      </c>
      <c r="P358" t="s">
        <v>350</v>
      </c>
      <c r="Q358" t="s">
        <v>62</v>
      </c>
      <c r="V358" s="36"/>
    </row>
    <row r="359" spans="1:22" customFormat="1" hidden="1" x14ac:dyDescent="0.2">
      <c r="A359" s="36" t="s">
        <v>15</v>
      </c>
      <c r="B359" s="36" t="s">
        <v>2</v>
      </c>
      <c r="C359" s="93">
        <v>46163</v>
      </c>
      <c r="D359" s="159">
        <v>46163</v>
      </c>
      <c r="E359" s="93">
        <v>46163</v>
      </c>
      <c r="F359" s="36" t="s">
        <v>82</v>
      </c>
      <c r="G359" s="281">
        <v>0.5</v>
      </c>
      <c r="H359" s="281">
        <v>0</v>
      </c>
      <c r="I359" s="281">
        <v>0.5</v>
      </c>
      <c r="J359" s="281">
        <v>0.12</v>
      </c>
      <c r="K359" t="s">
        <v>448</v>
      </c>
      <c r="L359" s="4" t="s">
        <v>632</v>
      </c>
      <c r="M359" t="s">
        <v>332</v>
      </c>
      <c r="N359" t="s">
        <v>332</v>
      </c>
      <c r="O359" t="s">
        <v>332</v>
      </c>
      <c r="P359" t="s">
        <v>333</v>
      </c>
      <c r="Q359" t="s">
        <v>62</v>
      </c>
      <c r="R359" t="s">
        <v>448</v>
      </c>
      <c r="V359" s="36"/>
    </row>
    <row r="360" spans="1:22" customFormat="1" hidden="1" x14ac:dyDescent="0.2">
      <c r="A360" s="36" t="s">
        <v>15</v>
      </c>
      <c r="B360" s="36" t="s">
        <v>2</v>
      </c>
      <c r="C360" s="93">
        <v>46135</v>
      </c>
      <c r="D360" s="3">
        <v>46165</v>
      </c>
      <c r="E360" s="126">
        <v>46163</v>
      </c>
      <c r="F360" s="36" t="s">
        <v>82</v>
      </c>
      <c r="G360" s="281">
        <v>40107.839999999997</v>
      </c>
      <c r="H360" s="281">
        <v>3208.63</v>
      </c>
      <c r="I360" s="281">
        <v>43316.47</v>
      </c>
      <c r="J360" s="281">
        <v>10481.68</v>
      </c>
      <c r="K360" t="s">
        <v>592</v>
      </c>
      <c r="L360" t="s">
        <v>633</v>
      </c>
      <c r="M360" t="s">
        <v>634</v>
      </c>
      <c r="N360" t="s">
        <v>60</v>
      </c>
      <c r="O360" t="s">
        <v>60</v>
      </c>
      <c r="P360" t="s">
        <v>376</v>
      </c>
      <c r="Q360" t="s">
        <v>62</v>
      </c>
      <c r="R360" t="s">
        <v>1842</v>
      </c>
      <c r="S360" t="s">
        <v>635</v>
      </c>
      <c r="V360" s="36"/>
    </row>
    <row r="361" spans="1:22" customFormat="1" hidden="1" x14ac:dyDescent="0.2">
      <c r="A361" s="36" t="s">
        <v>15</v>
      </c>
      <c r="B361" s="36" t="s">
        <v>2</v>
      </c>
      <c r="C361" s="93">
        <v>46149</v>
      </c>
      <c r="D361" s="159">
        <v>46149</v>
      </c>
      <c r="E361" s="93">
        <v>46167</v>
      </c>
      <c r="F361" s="36" t="s">
        <v>82</v>
      </c>
      <c r="G361" s="281">
        <v>978.78</v>
      </c>
      <c r="H361" s="281">
        <v>0</v>
      </c>
      <c r="I361" s="281">
        <v>978.78</v>
      </c>
      <c r="J361" s="281">
        <v>236.84</v>
      </c>
      <c r="K361" t="s">
        <v>636</v>
      </c>
      <c r="L361" t="s">
        <v>637</v>
      </c>
      <c r="M361" t="s">
        <v>638</v>
      </c>
      <c r="N361" t="s">
        <v>349</v>
      </c>
      <c r="O361" t="s">
        <v>46</v>
      </c>
      <c r="P361" t="s">
        <v>340</v>
      </c>
      <c r="Q361" t="s">
        <v>62</v>
      </c>
      <c r="R361" t="s">
        <v>448</v>
      </c>
      <c r="S361" t="s">
        <v>639</v>
      </c>
      <c r="V361" s="36"/>
    </row>
    <row r="362" spans="1:22" customFormat="1" hidden="1" x14ac:dyDescent="0.2">
      <c r="A362" s="36" t="s">
        <v>15</v>
      </c>
      <c r="B362" s="36" t="s">
        <v>2</v>
      </c>
      <c r="C362" s="93">
        <v>46137</v>
      </c>
      <c r="D362" s="159">
        <v>46158</v>
      </c>
      <c r="E362" s="93">
        <v>46167</v>
      </c>
      <c r="F362" s="36" t="s">
        <v>82</v>
      </c>
      <c r="G362" s="281">
        <v>379</v>
      </c>
      <c r="H362" s="281">
        <v>22.75</v>
      </c>
      <c r="I362" s="281">
        <v>401.75</v>
      </c>
      <c r="J362" s="281">
        <v>97.22</v>
      </c>
      <c r="K362" t="s">
        <v>595</v>
      </c>
      <c r="L362" t="s">
        <v>640</v>
      </c>
      <c r="M362" t="s">
        <v>597</v>
      </c>
      <c r="N362" t="s">
        <v>58</v>
      </c>
      <c r="O362" t="s">
        <v>58</v>
      </c>
      <c r="P362" t="s">
        <v>376</v>
      </c>
      <c r="Q362" t="s">
        <v>62</v>
      </c>
      <c r="R362" t="s">
        <v>448</v>
      </c>
      <c r="S362" t="s">
        <v>641</v>
      </c>
      <c r="V362" s="36"/>
    </row>
    <row r="363" spans="1:22" customFormat="1" hidden="1" x14ac:dyDescent="0.2">
      <c r="A363" s="36" t="s">
        <v>15</v>
      </c>
      <c r="B363" s="36" t="s">
        <v>2</v>
      </c>
      <c r="C363" s="93">
        <v>46171</v>
      </c>
      <c r="D363" s="159">
        <v>46171</v>
      </c>
      <c r="E363" s="93">
        <v>46171</v>
      </c>
      <c r="F363" s="36" t="s">
        <v>82</v>
      </c>
      <c r="G363" s="281">
        <v>0.1</v>
      </c>
      <c r="H363" s="281">
        <v>0</v>
      </c>
      <c r="I363" s="281">
        <v>0.1</v>
      </c>
      <c r="J363" s="281">
        <v>2.51882968668674E-2</v>
      </c>
      <c r="K363" t="s">
        <v>607</v>
      </c>
      <c r="L363" s="4" t="s">
        <v>642</v>
      </c>
      <c r="M363" t="s">
        <v>609</v>
      </c>
      <c r="N363" t="s">
        <v>609</v>
      </c>
      <c r="O363" t="s">
        <v>332</v>
      </c>
      <c r="P363" t="s">
        <v>333</v>
      </c>
      <c r="Q363" t="s">
        <v>62</v>
      </c>
      <c r="V363" s="36"/>
    </row>
    <row r="364" spans="1:22" customFormat="1" hidden="1" x14ac:dyDescent="0.2">
      <c r="A364" s="36" t="s">
        <v>15</v>
      </c>
      <c r="B364" s="36" t="s">
        <v>2</v>
      </c>
      <c r="C364" s="93">
        <v>46171</v>
      </c>
      <c r="D364" s="159">
        <v>46171</v>
      </c>
      <c r="E364" s="93">
        <v>46171</v>
      </c>
      <c r="F364" s="36" t="s">
        <v>82</v>
      </c>
      <c r="G364" s="281">
        <v>1.2</v>
      </c>
      <c r="H364" s="281">
        <v>0</v>
      </c>
      <c r="I364" s="281">
        <v>1.2</v>
      </c>
      <c r="J364" s="281">
        <v>0.30225956240240875</v>
      </c>
      <c r="K364" t="s">
        <v>607</v>
      </c>
      <c r="L364" s="4" t="s">
        <v>642</v>
      </c>
      <c r="M364" t="s">
        <v>609</v>
      </c>
      <c r="N364" t="s">
        <v>609</v>
      </c>
      <c r="O364" t="s">
        <v>332</v>
      </c>
      <c r="P364" t="s">
        <v>333</v>
      </c>
      <c r="Q364" t="s">
        <v>62</v>
      </c>
      <c r="V364" s="36"/>
    </row>
    <row r="365" spans="1:22" customFormat="1" hidden="1" x14ac:dyDescent="0.2">
      <c r="A365" s="36" t="s">
        <v>15</v>
      </c>
      <c r="B365" s="36" t="s">
        <v>2</v>
      </c>
      <c r="C365" s="93">
        <v>46149</v>
      </c>
      <c r="D365" s="159">
        <v>46179</v>
      </c>
      <c r="E365" s="93">
        <v>46171</v>
      </c>
      <c r="F365" s="36" t="s">
        <v>82</v>
      </c>
      <c r="G365" s="281">
        <v>-4000</v>
      </c>
      <c r="H365" s="281">
        <v>0</v>
      </c>
      <c r="I365" s="281">
        <v>-4000</v>
      </c>
      <c r="J365" s="281">
        <v>-1007.5318746746959</v>
      </c>
      <c r="K365" t="s">
        <v>292</v>
      </c>
      <c r="L365" t="s">
        <v>195</v>
      </c>
      <c r="M365" t="s">
        <v>305</v>
      </c>
      <c r="N365" t="s">
        <v>382</v>
      </c>
      <c r="O365" t="s">
        <v>10</v>
      </c>
      <c r="P365" t="s">
        <v>438</v>
      </c>
      <c r="Q365" t="s">
        <v>61</v>
      </c>
      <c r="V365" s="36"/>
    </row>
    <row r="366" spans="1:22" customFormat="1" hidden="1" x14ac:dyDescent="0.2">
      <c r="A366" s="36" t="s">
        <v>15</v>
      </c>
      <c r="B366" s="36" t="s">
        <v>2</v>
      </c>
      <c r="C366" s="93">
        <v>46147</v>
      </c>
      <c r="D366" s="159">
        <v>46147</v>
      </c>
      <c r="E366" s="93">
        <v>46147</v>
      </c>
      <c r="F366" s="36" t="s">
        <v>82</v>
      </c>
      <c r="G366" s="281"/>
      <c r="H366" s="281"/>
      <c r="I366" s="281"/>
      <c r="J366" s="281">
        <v>368.83</v>
      </c>
      <c r="K366" t="s">
        <v>1803</v>
      </c>
      <c r="L366" t="s">
        <v>443</v>
      </c>
      <c r="M366" t="s">
        <v>443</v>
      </c>
      <c r="N366" t="s">
        <v>387</v>
      </c>
      <c r="O366" s="146" t="str">
        <f>_xlfn.XLOOKUP(N366,[1]!costcategory[Account Code],[1]!costcategory[Cost Category],"ERROR")</f>
        <v>Headcount Costs</v>
      </c>
      <c r="P366" t="s">
        <v>438</v>
      </c>
      <c r="Q366" s="147" t="str">
        <f>_xlfn.XLOOKUP(P366,[1]!Table2[Department],[1]!Table2[Group],"ERROR")</f>
        <v>Sales &amp; Marketing</v>
      </c>
      <c r="V366" s="36"/>
    </row>
    <row r="367" spans="1:22" customFormat="1" hidden="1" x14ac:dyDescent="0.2">
      <c r="A367" s="36" t="s">
        <v>15</v>
      </c>
      <c r="B367" s="36" t="s">
        <v>2</v>
      </c>
      <c r="C367" s="93">
        <v>46173</v>
      </c>
      <c r="D367" s="159">
        <v>46173</v>
      </c>
      <c r="E367" s="93">
        <v>46171</v>
      </c>
      <c r="F367" s="36" t="s">
        <v>82</v>
      </c>
      <c r="G367" s="281"/>
      <c r="H367" s="281"/>
      <c r="I367" s="281"/>
      <c r="J367" s="281">
        <v>3975.81</v>
      </c>
      <c r="K367" t="s">
        <v>1803</v>
      </c>
      <c r="L367" t="s">
        <v>443</v>
      </c>
      <c r="M367" t="s">
        <v>443</v>
      </c>
      <c r="N367" t="s">
        <v>387</v>
      </c>
      <c r="O367" s="146" t="str">
        <f>_xlfn.XLOOKUP(N367,[1]!costcategory[Account Code],[1]!costcategory[Cost Category],"ERROR")</f>
        <v>Headcount Costs</v>
      </c>
      <c r="P367" t="s">
        <v>354</v>
      </c>
      <c r="Q367" s="147" t="str">
        <f>_xlfn.XLOOKUP(P367,[1]!Table2[Department],[1]!Table2[Group],"ERROR")</f>
        <v>Sales &amp; Marketing</v>
      </c>
      <c r="V367" s="36"/>
    </row>
    <row r="368" spans="1:22" customFormat="1" hidden="1" x14ac:dyDescent="0.2">
      <c r="A368" s="36" t="s">
        <v>15</v>
      </c>
      <c r="B368" s="36" t="s">
        <v>2</v>
      </c>
      <c r="C368" s="93">
        <v>46173</v>
      </c>
      <c r="D368" s="159">
        <v>46173</v>
      </c>
      <c r="E368" s="93">
        <v>46171</v>
      </c>
      <c r="F368" s="36" t="s">
        <v>82</v>
      </c>
      <c r="G368" s="281"/>
      <c r="H368" s="281"/>
      <c r="I368" s="281"/>
      <c r="J368" s="281">
        <v>3935.74</v>
      </c>
      <c r="K368" t="s">
        <v>1803</v>
      </c>
      <c r="L368" t="s">
        <v>443</v>
      </c>
      <c r="M368" t="s">
        <v>443</v>
      </c>
      <c r="N368" t="s">
        <v>387</v>
      </c>
      <c r="O368" s="146" t="str">
        <f>_xlfn.XLOOKUP(N368,[1]!costcategory[Account Code],[1]!costcategory[Cost Category],"ERROR")</f>
        <v>Headcount Costs</v>
      </c>
      <c r="P368" t="s">
        <v>45</v>
      </c>
      <c r="Q368" s="147" t="str">
        <f>_xlfn.XLOOKUP(P368,[1]!Table2[Department],[1]!Table2[Group],"ERROR")</f>
        <v>DSC</v>
      </c>
      <c r="V368" s="36"/>
    </row>
    <row r="369" spans="1:23" customFormat="1" hidden="1" x14ac:dyDescent="0.2">
      <c r="A369" s="36" t="s">
        <v>15</v>
      </c>
      <c r="B369" s="36" t="s">
        <v>2</v>
      </c>
      <c r="C369" s="93">
        <v>46173</v>
      </c>
      <c r="D369" s="159">
        <v>46173</v>
      </c>
      <c r="E369" s="93">
        <v>46171</v>
      </c>
      <c r="F369" s="36" t="s">
        <v>82</v>
      </c>
      <c r="G369" s="281"/>
      <c r="H369" s="281"/>
      <c r="I369" s="281"/>
      <c r="J369" s="281">
        <v>2486.1799999999998</v>
      </c>
      <c r="K369" t="s">
        <v>1803</v>
      </c>
      <c r="L369" t="s">
        <v>443</v>
      </c>
      <c r="M369" t="s">
        <v>443</v>
      </c>
      <c r="N369" t="s">
        <v>387</v>
      </c>
      <c r="O369" s="146" t="str">
        <f>_xlfn.XLOOKUP(N369,[1]!costcategory[Account Code],[1]!costcategory[Cost Category],"ERROR")</f>
        <v>Headcount Costs</v>
      </c>
      <c r="P369" t="s">
        <v>333</v>
      </c>
      <c r="Q369" s="147" t="str">
        <f>_xlfn.XLOOKUP(P369,[1]!Table2[Department],[1]!Table2[Group],"ERROR")</f>
        <v>General &amp; Administrative</v>
      </c>
      <c r="V369" s="36"/>
    </row>
    <row r="370" spans="1:23" customFormat="1" x14ac:dyDescent="0.2">
      <c r="A370" s="36" t="s">
        <v>15</v>
      </c>
      <c r="B370" s="36" t="s">
        <v>2</v>
      </c>
      <c r="C370" s="93">
        <v>46173</v>
      </c>
      <c r="D370" s="159">
        <v>46173</v>
      </c>
      <c r="E370" s="93">
        <v>46171</v>
      </c>
      <c r="F370" s="36" t="s">
        <v>82</v>
      </c>
      <c r="G370" s="281"/>
      <c r="H370" s="281"/>
      <c r="I370" s="281"/>
      <c r="J370" s="281">
        <v>15742.95</v>
      </c>
      <c r="K370" t="s">
        <v>1803</v>
      </c>
      <c r="L370" t="s">
        <v>443</v>
      </c>
      <c r="M370" t="s">
        <v>443</v>
      </c>
      <c r="N370" t="s">
        <v>387</v>
      </c>
      <c r="O370" s="146" t="str">
        <f>_xlfn.XLOOKUP(N370,[1]!costcategory[Account Code],[1]!costcategory[Cost Category],"ERROR")</f>
        <v>Headcount Costs</v>
      </c>
      <c r="P370" t="s">
        <v>63</v>
      </c>
      <c r="Q370" s="147" t="str">
        <f>_xlfn.XLOOKUP(P370,[1]!Table2[Department],[1]!Table2[Group],"ERROR")</f>
        <v>Research &amp; Development</v>
      </c>
      <c r="V370" s="36"/>
    </row>
    <row r="371" spans="1:23" customFormat="1" hidden="1" x14ac:dyDescent="0.2">
      <c r="A371" s="36" t="s">
        <v>15</v>
      </c>
      <c r="B371" s="36" t="s">
        <v>2</v>
      </c>
      <c r="C371" s="93">
        <v>46173</v>
      </c>
      <c r="D371" s="159">
        <v>46173</v>
      </c>
      <c r="E371" s="93">
        <v>46171</v>
      </c>
      <c r="F371" s="36" t="s">
        <v>82</v>
      </c>
      <c r="G371" s="281"/>
      <c r="H371" s="281"/>
      <c r="I371" s="281"/>
      <c r="J371" s="281">
        <v>1084.06</v>
      </c>
      <c r="K371" t="s">
        <v>1803</v>
      </c>
      <c r="L371" t="s">
        <v>443</v>
      </c>
      <c r="M371" t="s">
        <v>443</v>
      </c>
      <c r="N371" t="s">
        <v>387</v>
      </c>
      <c r="O371" s="146" t="str">
        <f>_xlfn.XLOOKUP(N371,[1]!costcategory[Account Code],[1]!costcategory[Cost Category],"ERROR")</f>
        <v>Headcount Costs</v>
      </c>
      <c r="P371" t="s">
        <v>438</v>
      </c>
      <c r="Q371" s="147" t="str">
        <f>_xlfn.XLOOKUP(P371,[1]!Table2[Department],[1]!Table2[Group],"ERROR")</f>
        <v>Sales &amp; Marketing</v>
      </c>
      <c r="V371" s="36"/>
    </row>
    <row r="372" spans="1:23" customFormat="1" hidden="1" x14ac:dyDescent="0.2">
      <c r="A372" s="36" t="s">
        <v>15</v>
      </c>
      <c r="B372" s="36" t="s">
        <v>2</v>
      </c>
      <c r="C372" s="93">
        <v>46173</v>
      </c>
      <c r="D372" s="159">
        <v>46173</v>
      </c>
      <c r="E372" s="93">
        <v>46173</v>
      </c>
      <c r="F372" s="36" t="s">
        <v>82</v>
      </c>
      <c r="G372" s="281">
        <v>-134.93</v>
      </c>
      <c r="H372" s="281">
        <v>0</v>
      </c>
      <c r="I372" s="281">
        <v>-134.93</v>
      </c>
      <c r="J372" s="281">
        <v>-33.986568962464183</v>
      </c>
      <c r="K372" t="s">
        <v>448</v>
      </c>
      <c r="M372" t="s">
        <v>384</v>
      </c>
      <c r="N372" t="s">
        <v>384</v>
      </c>
      <c r="O372" t="s">
        <v>385</v>
      </c>
      <c r="P372" t="s">
        <v>333</v>
      </c>
      <c r="Q372" t="s">
        <v>62</v>
      </c>
      <c r="V372" s="36"/>
    </row>
    <row r="373" spans="1:23" customFormat="1" hidden="1" x14ac:dyDescent="0.2">
      <c r="A373" s="36" t="s">
        <v>15</v>
      </c>
      <c r="B373" s="36" t="s">
        <v>2</v>
      </c>
      <c r="C373" s="93">
        <v>46173</v>
      </c>
      <c r="D373" s="159">
        <v>46173</v>
      </c>
      <c r="E373" s="93">
        <v>46173</v>
      </c>
      <c r="F373" s="36" t="s">
        <v>82</v>
      </c>
      <c r="G373" s="281">
        <v>10</v>
      </c>
      <c r="H373" s="281">
        <v>0</v>
      </c>
      <c r="I373" s="281">
        <v>10</v>
      </c>
      <c r="J373" s="281">
        <v>0.30225956240240875</v>
      </c>
      <c r="K373" t="s">
        <v>448</v>
      </c>
      <c r="L373" s="4" t="s">
        <v>643</v>
      </c>
      <c r="M373" t="s">
        <v>332</v>
      </c>
      <c r="N373" t="s">
        <v>332</v>
      </c>
      <c r="O373" t="s">
        <v>332</v>
      </c>
      <c r="P373" t="s">
        <v>333</v>
      </c>
      <c r="Q373" t="s">
        <v>62</v>
      </c>
      <c r="V373" s="36"/>
    </row>
    <row r="374" spans="1:23" customFormat="1" hidden="1" x14ac:dyDescent="0.2">
      <c r="A374" s="2" t="s">
        <v>15</v>
      </c>
      <c r="B374" s="2" t="s">
        <v>2</v>
      </c>
      <c r="C374" s="93">
        <v>46117</v>
      </c>
      <c r="D374" s="3">
        <v>46087</v>
      </c>
      <c r="E374" s="126">
        <v>46175</v>
      </c>
      <c r="F374" s="2" t="s">
        <v>82</v>
      </c>
      <c r="G374" s="197">
        <v>5780</v>
      </c>
      <c r="H374" s="197">
        <v>0</v>
      </c>
      <c r="I374" s="301">
        <f t="shared" ref="I374:I384" si="0">SUM(G374:H374)</f>
        <v>5780</v>
      </c>
      <c r="J374" s="300">
        <v>1398.64</v>
      </c>
      <c r="K374" s="4" t="s">
        <v>444</v>
      </c>
      <c r="L374" s="135">
        <v>5150</v>
      </c>
      <c r="M374" s="4" t="s">
        <v>644</v>
      </c>
      <c r="N374" s="4" t="s">
        <v>50</v>
      </c>
      <c r="O374" s="148" t="str">
        <f>_xlfn.XLOOKUP(N374,[1]!costcategory[Account Code],[1]!costcategory[Cost Category],"ERROR")</f>
        <v>Office Supplies</v>
      </c>
      <c r="P374" s="4" t="s">
        <v>376</v>
      </c>
      <c r="Q374" s="147" t="str">
        <f>_xlfn.XLOOKUP(P374,[1]!Table2[Department],[1]!Table2[Group],"ERROR")</f>
        <v>General &amp; Administrative</v>
      </c>
      <c r="R374" s="31"/>
      <c r="S374" s="31"/>
      <c r="T374" s="31"/>
      <c r="U374" s="2"/>
      <c r="V374" s="2"/>
      <c r="W374" s="4"/>
    </row>
    <row r="375" spans="1:23" customFormat="1" hidden="1" x14ac:dyDescent="0.2">
      <c r="A375" s="2" t="s">
        <v>15</v>
      </c>
      <c r="B375" s="2" t="s">
        <v>2</v>
      </c>
      <c r="C375" s="93">
        <v>46174</v>
      </c>
      <c r="D375" s="3">
        <v>46174</v>
      </c>
      <c r="E375" s="126">
        <v>46175</v>
      </c>
      <c r="F375" s="2" t="s">
        <v>82</v>
      </c>
      <c r="G375" s="197">
        <v>9764.7999999999993</v>
      </c>
      <c r="H375" s="197">
        <v>585.89</v>
      </c>
      <c r="I375" s="301">
        <f t="shared" si="0"/>
        <v>10350.689999999999</v>
      </c>
      <c r="J375" s="300">
        <v>2504.65</v>
      </c>
      <c r="K375" s="4" t="s">
        <v>582</v>
      </c>
      <c r="L375" s="4" t="s">
        <v>645</v>
      </c>
      <c r="M375" s="4" t="s">
        <v>646</v>
      </c>
      <c r="N375" s="4" t="s">
        <v>409</v>
      </c>
      <c r="O375" s="148" t="str">
        <f>_xlfn.XLOOKUP(N375,[1]!costcategory[Account Code],[1]!costcategory[Cost Category],"ERROR")</f>
        <v>Rental</v>
      </c>
      <c r="P375" s="4" t="s">
        <v>340</v>
      </c>
      <c r="Q375" s="147" t="str">
        <f>_xlfn.XLOOKUP(P375,[1]!Table2[Department],[1]!Table2[Group],"ERROR")</f>
        <v>General &amp; Administrative</v>
      </c>
      <c r="R375" s="31"/>
      <c r="S375" s="31"/>
      <c r="T375" s="31"/>
      <c r="U375" s="2"/>
      <c r="V375" s="2"/>
      <c r="W375" s="4"/>
    </row>
    <row r="376" spans="1:23" customFormat="1" hidden="1" x14ac:dyDescent="0.2">
      <c r="A376" s="2" t="s">
        <v>15</v>
      </c>
      <c r="B376" s="2" t="s">
        <v>2</v>
      </c>
      <c r="C376" s="93">
        <v>46175</v>
      </c>
      <c r="D376" s="3">
        <v>46175</v>
      </c>
      <c r="E376" s="126">
        <v>46175</v>
      </c>
      <c r="F376" s="2" t="s">
        <v>82</v>
      </c>
      <c r="G376" s="197">
        <v>0.5</v>
      </c>
      <c r="H376" s="281">
        <v>0</v>
      </c>
      <c r="I376" s="301">
        <f t="shared" si="0"/>
        <v>0.5</v>
      </c>
      <c r="J376" s="281">
        <v>0.30225956240240875</v>
      </c>
      <c r="K376" s="318" t="s">
        <v>448</v>
      </c>
      <c r="L376" s="4" t="s">
        <v>647</v>
      </c>
      <c r="M376" s="4" t="s">
        <v>332</v>
      </c>
      <c r="N376" s="4" t="s">
        <v>332</v>
      </c>
      <c r="O376" s="148" t="str">
        <f>_xlfn.XLOOKUP(N376,[1]!costcategory[Account Code],[1]!costcategory[Cost Category],"ERROR")</f>
        <v>Bank Charges</v>
      </c>
      <c r="P376" s="4" t="s">
        <v>333</v>
      </c>
      <c r="Q376" s="147" t="str">
        <f>_xlfn.XLOOKUP(P376,[1]!Table2[Department],[1]!Table2[Group],"ERROR")</f>
        <v>General &amp; Administrative</v>
      </c>
      <c r="R376" s="31"/>
      <c r="S376" s="31"/>
      <c r="T376" s="31"/>
      <c r="U376" s="2"/>
      <c r="V376" s="2"/>
      <c r="W376" s="4"/>
    </row>
    <row r="377" spans="1:23" customFormat="1" hidden="1" x14ac:dyDescent="0.2">
      <c r="A377" s="2" t="s">
        <v>15</v>
      </c>
      <c r="B377" s="2" t="s">
        <v>2</v>
      </c>
      <c r="C377" s="93">
        <v>46175</v>
      </c>
      <c r="D377" s="3">
        <v>46175</v>
      </c>
      <c r="E377" s="126">
        <v>46175</v>
      </c>
      <c r="F377" s="2" t="s">
        <v>82</v>
      </c>
      <c r="G377" s="197">
        <v>0.5</v>
      </c>
      <c r="H377" s="281">
        <v>0</v>
      </c>
      <c r="I377" s="301">
        <f t="shared" si="0"/>
        <v>0.5</v>
      </c>
      <c r="J377" s="281">
        <v>0.30225956240240875</v>
      </c>
      <c r="K377" s="318" t="s">
        <v>448</v>
      </c>
      <c r="L377" s="4" t="s">
        <v>647</v>
      </c>
      <c r="M377" s="4" t="s">
        <v>332</v>
      </c>
      <c r="N377" s="4" t="s">
        <v>332</v>
      </c>
      <c r="O377" s="148" t="str">
        <f>_xlfn.XLOOKUP(N377,[1]!costcategory[Account Code],[1]!costcategory[Cost Category],"ERROR")</f>
        <v>Bank Charges</v>
      </c>
      <c r="P377" s="4" t="s">
        <v>333</v>
      </c>
      <c r="Q377" s="147" t="str">
        <f>_xlfn.XLOOKUP(P377,[1]!Table2[Department],[1]!Table2[Group],"ERROR")</f>
        <v>General &amp; Administrative</v>
      </c>
      <c r="R377" s="31"/>
      <c r="S377" s="31"/>
      <c r="T377" s="31"/>
      <c r="U377" s="2"/>
      <c r="V377" s="2"/>
      <c r="W377" s="4"/>
    </row>
    <row r="378" spans="1:23" customFormat="1" hidden="1" x14ac:dyDescent="0.2">
      <c r="A378" s="2" t="s">
        <v>15</v>
      </c>
      <c r="B378" s="2" t="s">
        <v>2</v>
      </c>
      <c r="C378" s="93">
        <v>46175</v>
      </c>
      <c r="D378" s="3">
        <v>46175</v>
      </c>
      <c r="E378" s="126">
        <v>46175</v>
      </c>
      <c r="F378" s="2" t="s">
        <v>82</v>
      </c>
      <c r="G378" s="197">
        <v>0.5</v>
      </c>
      <c r="H378" s="281">
        <v>0</v>
      </c>
      <c r="I378" s="301">
        <f t="shared" si="0"/>
        <v>0.5</v>
      </c>
      <c r="J378" s="281">
        <v>0.30225956240240875</v>
      </c>
      <c r="K378" s="318" t="s">
        <v>448</v>
      </c>
      <c r="L378" s="4" t="s">
        <v>647</v>
      </c>
      <c r="M378" s="4" t="s">
        <v>332</v>
      </c>
      <c r="N378" s="4" t="s">
        <v>332</v>
      </c>
      <c r="O378" s="148" t="str">
        <f>_xlfn.XLOOKUP(N378,[1]!costcategory[Account Code],[1]!costcategory[Cost Category],"ERROR")</f>
        <v>Bank Charges</v>
      </c>
      <c r="P378" s="4" t="s">
        <v>333</v>
      </c>
      <c r="Q378" s="147" t="str">
        <f>_xlfn.XLOOKUP(P378,[1]!Table2[Department],[1]!Table2[Group],"ERROR")</f>
        <v>General &amp; Administrative</v>
      </c>
      <c r="R378" s="31"/>
      <c r="S378" s="31"/>
      <c r="T378" s="31"/>
      <c r="U378" s="2"/>
      <c r="V378" s="2"/>
      <c r="W378" s="4"/>
    </row>
    <row r="379" spans="1:23" customFormat="1" hidden="1" x14ac:dyDescent="0.2">
      <c r="A379" s="2" t="s">
        <v>15</v>
      </c>
      <c r="B379" s="2" t="s">
        <v>2</v>
      </c>
      <c r="C379" s="93">
        <v>46331</v>
      </c>
      <c r="D379" s="3" t="s">
        <v>648</v>
      </c>
      <c r="E379" s="126">
        <v>46175</v>
      </c>
      <c r="F379" s="2" t="s">
        <v>82</v>
      </c>
      <c r="G379" s="197">
        <v>1647.07</v>
      </c>
      <c r="H379" s="197">
        <v>131.77000000000001</v>
      </c>
      <c r="I379" s="301">
        <f t="shared" si="0"/>
        <v>1778.84</v>
      </c>
      <c r="J379" s="300">
        <v>430.44</v>
      </c>
      <c r="K379" s="4" t="s">
        <v>592</v>
      </c>
      <c r="L379" s="4" t="s">
        <v>649</v>
      </c>
      <c r="M379" s="4" t="s">
        <v>650</v>
      </c>
      <c r="N379" s="4" t="s">
        <v>60</v>
      </c>
      <c r="O379" s="148" t="str">
        <f>_xlfn.XLOOKUP(N379,[1]!costcategory[Account Code],[1]!costcategory[Cost Category],"ERROR")</f>
        <v>Subscription Fee</v>
      </c>
      <c r="P379" s="4" t="s">
        <v>376</v>
      </c>
      <c r="Q379" s="147" t="str">
        <f>_xlfn.XLOOKUP(P379,[1]!Table2[Department],[1]!Table2[Group],"ERROR")</f>
        <v>General &amp; Administrative</v>
      </c>
      <c r="R379" s="31"/>
      <c r="S379" s="31"/>
      <c r="T379" s="31"/>
      <c r="U379" s="2"/>
      <c r="V379" s="2"/>
      <c r="W379" s="4"/>
    </row>
    <row r="380" spans="1:23" customFormat="1" hidden="1" x14ac:dyDescent="0.2">
      <c r="A380" s="2" t="s">
        <v>15</v>
      </c>
      <c r="B380" s="2" t="s">
        <v>2</v>
      </c>
      <c r="C380" s="93">
        <v>46027</v>
      </c>
      <c r="D380" s="3" t="s">
        <v>651</v>
      </c>
      <c r="E380" s="126">
        <v>46175</v>
      </c>
      <c r="F380" s="2" t="s">
        <v>82</v>
      </c>
      <c r="G380" s="197">
        <v>5764</v>
      </c>
      <c r="H380" s="197">
        <v>0</v>
      </c>
      <c r="I380" s="301">
        <f t="shared" si="0"/>
        <v>5764</v>
      </c>
      <c r="J380" s="301">
        <v>5764</v>
      </c>
      <c r="K380" s="4" t="s">
        <v>444</v>
      </c>
      <c r="L380" s="135">
        <v>5136</v>
      </c>
      <c r="M380" s="4" t="s">
        <v>652</v>
      </c>
      <c r="N380" s="4" t="s">
        <v>374</v>
      </c>
      <c r="O380" s="148" t="str">
        <f>_xlfn.XLOOKUP(N380,[1]!costcategory[Account Code],[1]!costcategory[Cost Category],"ERROR")</f>
        <v>Non-Current Liabilities</v>
      </c>
      <c r="P380" s="4" t="s">
        <v>376</v>
      </c>
      <c r="Q380" s="147" t="str">
        <f>_xlfn.XLOOKUP(P380,[1]!Table2[Department],[1]!Table2[Group],"ERROR")</f>
        <v>General &amp; Administrative</v>
      </c>
      <c r="R380" s="31"/>
      <c r="S380" s="31"/>
      <c r="T380" s="31"/>
      <c r="U380" s="2"/>
      <c r="V380" s="2"/>
      <c r="W380" s="4"/>
    </row>
    <row r="381" spans="1:23" hidden="1" x14ac:dyDescent="0.2">
      <c r="A381" s="2" t="s">
        <v>15</v>
      </c>
      <c r="B381" s="2" t="s">
        <v>2</v>
      </c>
      <c r="C381" s="93">
        <v>46175</v>
      </c>
      <c r="D381" s="3">
        <v>46175</v>
      </c>
      <c r="E381" s="126">
        <v>46175</v>
      </c>
      <c r="F381" s="2" t="s">
        <v>82</v>
      </c>
      <c r="G381" s="197">
        <v>0.5</v>
      </c>
      <c r="H381" s="281">
        <v>0</v>
      </c>
      <c r="I381" s="301">
        <f t="shared" si="0"/>
        <v>0.5</v>
      </c>
      <c r="J381" s="281">
        <v>0.30225956240240875</v>
      </c>
      <c r="K381" s="105" t="s">
        <v>448</v>
      </c>
      <c r="L381" s="4" t="s">
        <v>647</v>
      </c>
      <c r="M381" s="4" t="s">
        <v>332</v>
      </c>
      <c r="N381" s="4" t="s">
        <v>332</v>
      </c>
      <c r="O381" s="146" t="str">
        <f>_xlfn.XLOOKUP(N381,[1]!costcategory[Account Code],[1]!costcategory[Cost Category],"ERROR")</f>
        <v>Bank Charges</v>
      </c>
      <c r="P381" s="4" t="s">
        <v>333</v>
      </c>
      <c r="Q381" s="147" t="str">
        <f>_xlfn.XLOOKUP(P381,[1]!Table2[Department],[1]!Table2[Group],"ERROR")</f>
        <v>General &amp; Administrative</v>
      </c>
      <c r="R381" s="31"/>
      <c r="S381" s="31"/>
      <c r="T381" s="31"/>
      <c r="U381" s="2"/>
    </row>
    <row r="382" spans="1:23" hidden="1" x14ac:dyDescent="0.2">
      <c r="A382" s="2" t="s">
        <v>15</v>
      </c>
      <c r="B382" s="2" t="s">
        <v>2</v>
      </c>
      <c r="C382" s="93">
        <v>46117</v>
      </c>
      <c r="D382" s="3">
        <v>46087</v>
      </c>
      <c r="E382" s="126">
        <v>46175</v>
      </c>
      <c r="F382" s="2" t="s">
        <v>82</v>
      </c>
      <c r="G382" s="197">
        <v>5780</v>
      </c>
      <c r="H382" s="197">
        <v>0</v>
      </c>
      <c r="I382" s="220">
        <f t="shared" si="0"/>
        <v>5780</v>
      </c>
      <c r="J382" s="213">
        <v>1398.64</v>
      </c>
      <c r="K382" s="4" t="s">
        <v>444</v>
      </c>
      <c r="L382" s="135">
        <v>5150</v>
      </c>
      <c r="M382" s="4" t="s">
        <v>644</v>
      </c>
      <c r="N382" s="4" t="s">
        <v>50</v>
      </c>
      <c r="O382" s="146" t="str">
        <f>_xlfn.XLOOKUP(N382,[1]!costcategory[Account Code],[1]!costcategory[Cost Category],"ERROR")</f>
        <v>Office Supplies</v>
      </c>
      <c r="P382" s="4" t="s">
        <v>376</v>
      </c>
      <c r="Q382" s="147" t="str">
        <f>_xlfn.XLOOKUP(P382,[1]!Table2[Department],[1]!Table2[Group],"ERROR")</f>
        <v>General &amp; Administrative</v>
      </c>
      <c r="R382" s="31"/>
      <c r="S382" s="31"/>
      <c r="T382" s="31"/>
      <c r="U382" s="2"/>
    </row>
    <row r="383" spans="1:23" hidden="1" x14ac:dyDescent="0.2">
      <c r="A383" s="2" t="s">
        <v>15</v>
      </c>
      <c r="B383" s="2" t="s">
        <v>2</v>
      </c>
      <c r="C383" s="93">
        <v>46175</v>
      </c>
      <c r="D383" s="3">
        <v>46175</v>
      </c>
      <c r="E383" s="126">
        <v>46175</v>
      </c>
      <c r="F383" s="2" t="s">
        <v>82</v>
      </c>
      <c r="G383" s="197">
        <v>0.5</v>
      </c>
      <c r="H383" s="281">
        <v>0</v>
      </c>
      <c r="I383" s="301">
        <f t="shared" si="0"/>
        <v>0.5</v>
      </c>
      <c r="J383" s="281">
        <v>0.30225956240240875</v>
      </c>
      <c r="K383" s="105" t="s">
        <v>448</v>
      </c>
      <c r="L383" s="4" t="s">
        <v>647</v>
      </c>
      <c r="M383" s="4" t="s">
        <v>332</v>
      </c>
      <c r="N383" s="4" t="s">
        <v>332</v>
      </c>
      <c r="O383" s="146" t="str">
        <f>_xlfn.XLOOKUP(N383,[1]!costcategory[Account Code],[1]!costcategory[Cost Category],"ERROR")</f>
        <v>Bank Charges</v>
      </c>
      <c r="P383" s="4" t="s">
        <v>333</v>
      </c>
      <c r="Q383" s="147" t="str">
        <f>_xlfn.XLOOKUP(P383,[1]!Table2[Department],[1]!Table2[Group],"ERROR")</f>
        <v>General &amp; Administrative</v>
      </c>
      <c r="R383" s="31"/>
      <c r="S383" s="31"/>
      <c r="T383" s="31"/>
      <c r="U383" s="2"/>
    </row>
    <row r="384" spans="1:23" hidden="1" x14ac:dyDescent="0.2">
      <c r="A384" s="2" t="s">
        <v>15</v>
      </c>
      <c r="B384" s="2" t="s">
        <v>2</v>
      </c>
      <c r="C384" s="93">
        <v>46331</v>
      </c>
      <c r="D384" s="3" t="s">
        <v>648</v>
      </c>
      <c r="E384" s="126">
        <v>46175</v>
      </c>
      <c r="F384" s="2" t="s">
        <v>82</v>
      </c>
      <c r="G384" s="197">
        <v>1647.07</v>
      </c>
      <c r="H384" s="197">
        <v>131.77000000000001</v>
      </c>
      <c r="I384" s="220">
        <f t="shared" si="0"/>
        <v>1778.84</v>
      </c>
      <c r="J384" s="213">
        <v>430.44</v>
      </c>
      <c r="K384" s="4" t="s">
        <v>592</v>
      </c>
      <c r="L384" s="4" t="s">
        <v>649</v>
      </c>
      <c r="M384" s="4" t="s">
        <v>650</v>
      </c>
      <c r="N384" s="4" t="s">
        <v>60</v>
      </c>
      <c r="O384" s="146" t="str">
        <f>_xlfn.XLOOKUP(N384,[1]!costcategory[Account Code],[1]!costcategory[Cost Category],"ERROR")</f>
        <v>Subscription Fee</v>
      </c>
      <c r="P384" s="4" t="s">
        <v>376</v>
      </c>
      <c r="Q384" s="147" t="str">
        <f>_xlfn.XLOOKUP(P384,[1]!Table2[Department],[1]!Table2[Group],"ERROR")</f>
        <v>General &amp; Administrative</v>
      </c>
      <c r="R384" s="31"/>
      <c r="S384" s="31"/>
      <c r="T384" s="31"/>
      <c r="U384" s="2"/>
    </row>
    <row r="385" spans="1:21" hidden="1" x14ac:dyDescent="0.2">
      <c r="A385" s="2" t="s">
        <v>15</v>
      </c>
      <c r="B385" s="2" t="s">
        <v>2</v>
      </c>
      <c r="C385" s="93">
        <v>46188</v>
      </c>
      <c r="D385" s="3">
        <v>46188</v>
      </c>
      <c r="E385" s="126">
        <v>46188</v>
      </c>
      <c r="F385" s="2" t="s">
        <v>82</v>
      </c>
      <c r="G385" s="111">
        <v>700</v>
      </c>
      <c r="H385" s="197">
        <v>0</v>
      </c>
      <c r="I385" s="278">
        <v>700</v>
      </c>
      <c r="J385" s="111">
        <v>175</v>
      </c>
      <c r="K385" s="4" t="s">
        <v>627</v>
      </c>
      <c r="L385" s="4" t="s">
        <v>627</v>
      </c>
      <c r="M385" s="4" t="s">
        <v>476</v>
      </c>
      <c r="N385" s="4" t="s">
        <v>339</v>
      </c>
      <c r="O385" s="146" t="str">
        <f>_xlfn.XLOOKUP(N385,[1]!costcategory[Account Code],[1]!costcategory[Cost Category],"ERROR")</f>
        <v>Travelling Expenses</v>
      </c>
      <c r="P385" s="4" t="s">
        <v>45</v>
      </c>
      <c r="Q385" s="89" t="str">
        <f>_xlfn.XLOOKUP(P385,[1]!Table2[Department],[1]!Table2[Group],"ERROR")</f>
        <v>DSC</v>
      </c>
      <c r="R385" s="4"/>
      <c r="S385" s="4"/>
      <c r="T385" s="4"/>
      <c r="U385" s="2"/>
    </row>
    <row r="386" spans="1:21" hidden="1" x14ac:dyDescent="0.2">
      <c r="A386" s="2" t="s">
        <v>15</v>
      </c>
      <c r="B386" s="2" t="s">
        <v>2</v>
      </c>
      <c r="C386" s="93">
        <v>46188</v>
      </c>
      <c r="D386" s="3">
        <v>46188</v>
      </c>
      <c r="E386" s="126">
        <v>46188</v>
      </c>
      <c r="F386" s="2" t="s">
        <v>82</v>
      </c>
      <c r="G386" s="111">
        <v>1484.8</v>
      </c>
      <c r="H386" s="197">
        <v>0</v>
      </c>
      <c r="I386" s="282">
        <v>1484.8</v>
      </c>
      <c r="J386" s="111">
        <v>371.2</v>
      </c>
      <c r="K386" s="4" t="s">
        <v>627</v>
      </c>
      <c r="L386" s="4" t="s">
        <v>627</v>
      </c>
      <c r="M386" s="4" t="s">
        <v>526</v>
      </c>
      <c r="N386" s="4" t="s">
        <v>527</v>
      </c>
      <c r="O386" s="146" t="str">
        <f>_xlfn.XLOOKUP(N386,[1]!costcategory[Account Code],[1]!costcategory[Cost Category],"ERROR")</f>
        <v>Sales Expenses</v>
      </c>
      <c r="P386" s="4" t="s">
        <v>45</v>
      </c>
      <c r="Q386" s="89" t="str">
        <f>_xlfn.XLOOKUP(P386,[1]!Table2[Department],[1]!Table2[Group],"ERROR")</f>
        <v>DSC</v>
      </c>
      <c r="R386" s="4"/>
      <c r="S386" s="4"/>
      <c r="T386" s="4"/>
      <c r="U386" s="2"/>
    </row>
    <row r="387" spans="1:21" ht="13.5" hidden="1" customHeight="1" x14ac:dyDescent="0.2">
      <c r="A387" s="2" t="s">
        <v>15</v>
      </c>
      <c r="B387" s="2" t="s">
        <v>2</v>
      </c>
      <c r="C387" s="93">
        <v>46188</v>
      </c>
      <c r="D387" s="3">
        <v>46188</v>
      </c>
      <c r="E387" s="126">
        <v>46188</v>
      </c>
      <c r="F387" s="2" t="s">
        <v>82</v>
      </c>
      <c r="G387" s="111">
        <v>967.82</v>
      </c>
      <c r="H387" s="197">
        <v>0</v>
      </c>
      <c r="I387" s="282">
        <v>967.82</v>
      </c>
      <c r="J387" s="111">
        <v>241.95500000000001</v>
      </c>
      <c r="K387" s="4" t="s">
        <v>627</v>
      </c>
      <c r="L387" s="4" t="s">
        <v>627</v>
      </c>
      <c r="M387" s="4" t="s">
        <v>345</v>
      </c>
      <c r="N387" s="4" t="s">
        <v>346</v>
      </c>
      <c r="O387" s="146" t="str">
        <f>_xlfn.XLOOKUP(N387,[1]!costcategory[Account Code],[1]!costcategory[Cost Category],"ERROR")</f>
        <v>General Expenses</v>
      </c>
      <c r="P387" s="4" t="s">
        <v>340</v>
      </c>
      <c r="Q387" s="89" t="str">
        <f>_xlfn.XLOOKUP(P387,[1]!Table2[Department],[1]!Table2[Group],"ERROR")</f>
        <v>General &amp; Administrative</v>
      </c>
      <c r="R387" s="4"/>
      <c r="S387" s="4"/>
      <c r="T387" s="4"/>
      <c r="U387" s="2"/>
    </row>
    <row r="388" spans="1:21" hidden="1" x14ac:dyDescent="0.2">
      <c r="A388" s="2" t="s">
        <v>15</v>
      </c>
      <c r="B388" s="2" t="s">
        <v>2</v>
      </c>
      <c r="C388" s="93">
        <v>46188</v>
      </c>
      <c r="D388" s="3">
        <v>46188</v>
      </c>
      <c r="E388" s="126">
        <v>46188</v>
      </c>
      <c r="F388" s="2" t="s">
        <v>82</v>
      </c>
      <c r="G388" s="111">
        <v>29.74</v>
      </c>
      <c r="H388" s="197">
        <v>0</v>
      </c>
      <c r="I388" s="282">
        <v>29.74</v>
      </c>
      <c r="J388" s="111">
        <v>7.4349999999999996</v>
      </c>
      <c r="K388" s="4" t="s">
        <v>627</v>
      </c>
      <c r="L388" s="4" t="s">
        <v>627</v>
      </c>
      <c r="M388" s="4" t="s">
        <v>345</v>
      </c>
      <c r="N388" s="4" t="s">
        <v>346</v>
      </c>
      <c r="O388" s="146" t="str">
        <f>_xlfn.XLOOKUP(N388,[1]!costcategory[Account Code],[1]!costcategory[Cost Category],"ERROR")</f>
        <v>General Expenses</v>
      </c>
      <c r="P388" s="4" t="s">
        <v>45</v>
      </c>
      <c r="Q388" s="89" t="str">
        <f>_xlfn.XLOOKUP(P388,[1]!Table2[Department],[1]!Table2[Group],"ERROR")</f>
        <v>DSC</v>
      </c>
      <c r="R388" s="4"/>
      <c r="S388" s="4"/>
      <c r="T388" s="4"/>
      <c r="U388" s="2"/>
    </row>
    <row r="389" spans="1:21" hidden="1" x14ac:dyDescent="0.2">
      <c r="A389" s="2" t="s">
        <v>15</v>
      </c>
      <c r="B389" s="2" t="s">
        <v>2</v>
      </c>
      <c r="C389" s="93">
        <v>46188</v>
      </c>
      <c r="D389" s="3">
        <v>46188</v>
      </c>
      <c r="E389" s="126">
        <v>46188</v>
      </c>
      <c r="F389" s="2" t="s">
        <v>82</v>
      </c>
      <c r="G389" s="111">
        <v>40.99</v>
      </c>
      <c r="H389" s="197">
        <v>0</v>
      </c>
      <c r="I389" s="282">
        <v>40.99</v>
      </c>
      <c r="J389" s="111">
        <v>10.2475</v>
      </c>
      <c r="K389" s="4" t="s">
        <v>627</v>
      </c>
      <c r="L389" s="4" t="s">
        <v>627</v>
      </c>
      <c r="M389" s="4" t="s">
        <v>351</v>
      </c>
      <c r="N389" s="4" t="s">
        <v>50</v>
      </c>
      <c r="O389" s="146" t="str">
        <f>_xlfn.XLOOKUP(N389,[1]!costcategory[Account Code],[1]!costcategory[Cost Category],"ERROR")</f>
        <v>Office Supplies</v>
      </c>
      <c r="P389" s="4" t="s">
        <v>340</v>
      </c>
      <c r="Q389" s="89" t="str">
        <f>_xlfn.XLOOKUP(P389,[1]!Table2[Department],[1]!Table2[Group],"ERROR")</f>
        <v>General &amp; Administrative</v>
      </c>
      <c r="R389" s="4"/>
      <c r="S389" s="4"/>
      <c r="T389" s="4"/>
      <c r="U389" s="2"/>
    </row>
    <row r="390" spans="1:21" hidden="1" x14ac:dyDescent="0.2">
      <c r="A390" s="2" t="s">
        <v>15</v>
      </c>
      <c r="B390" s="2" t="s">
        <v>2</v>
      </c>
      <c r="C390" s="93">
        <v>46188</v>
      </c>
      <c r="D390" s="3">
        <v>46188</v>
      </c>
      <c r="E390" s="126">
        <v>46188</v>
      </c>
      <c r="F390" s="2" t="s">
        <v>82</v>
      </c>
      <c r="G390" s="111">
        <v>204.1</v>
      </c>
      <c r="H390" s="197">
        <v>0</v>
      </c>
      <c r="I390" s="282">
        <v>204.1</v>
      </c>
      <c r="J390" s="111">
        <v>51.024999999999999</v>
      </c>
      <c r="K390" s="4" t="s">
        <v>627</v>
      </c>
      <c r="L390" s="4" t="s">
        <v>627</v>
      </c>
      <c r="M390" s="4" t="s">
        <v>355</v>
      </c>
      <c r="N390" s="4" t="s">
        <v>402</v>
      </c>
      <c r="O390" s="146" t="str">
        <f>_xlfn.XLOOKUP(N390,[1]!costcategory[Account Code],[1]!costcategory[Cost Category],"ERROR")</f>
        <v>Travelling Expenses</v>
      </c>
      <c r="P390" s="4" t="s">
        <v>45</v>
      </c>
      <c r="Q390" s="89" t="str">
        <f>_xlfn.XLOOKUP(P390,[1]!Table2[Department],[1]!Table2[Group],"ERROR")</f>
        <v>DSC</v>
      </c>
      <c r="R390" s="4"/>
      <c r="S390" s="4"/>
      <c r="T390" s="4"/>
      <c r="U390" s="2"/>
    </row>
    <row r="391" spans="1:21" hidden="1" x14ac:dyDescent="0.2">
      <c r="A391" s="2" t="s">
        <v>15</v>
      </c>
      <c r="B391" s="2" t="s">
        <v>2</v>
      </c>
      <c r="C391" s="93">
        <v>46188</v>
      </c>
      <c r="D391" s="3">
        <v>46188</v>
      </c>
      <c r="E391" s="126">
        <v>46188</v>
      </c>
      <c r="F391" s="2" t="s">
        <v>82</v>
      </c>
      <c r="G391" s="111">
        <v>198</v>
      </c>
      <c r="H391" s="197">
        <v>0</v>
      </c>
      <c r="I391" s="282">
        <v>198</v>
      </c>
      <c r="J391" s="111">
        <v>49.5</v>
      </c>
      <c r="K391" s="4" t="s">
        <v>627</v>
      </c>
      <c r="L391" s="4" t="s">
        <v>627</v>
      </c>
      <c r="M391" s="4" t="s">
        <v>392</v>
      </c>
      <c r="N391" s="4" t="s">
        <v>393</v>
      </c>
      <c r="O391" s="146" t="str">
        <f>_xlfn.XLOOKUP(N391,[1]!costcategory[Account Code],[1]!costcategory[Cost Category],"ERROR")</f>
        <v>Employee Benefits</v>
      </c>
      <c r="P391" s="4" t="s">
        <v>354</v>
      </c>
      <c r="Q391" s="89" t="str">
        <f>_xlfn.XLOOKUP(P391,[1]!Table2[Department],[1]!Table2[Group],"ERROR")</f>
        <v>Sales &amp; Marketing</v>
      </c>
      <c r="R391" s="4"/>
      <c r="S391" s="4"/>
      <c r="T391" s="4"/>
      <c r="U391" s="2"/>
    </row>
    <row r="392" spans="1:21" hidden="1" x14ac:dyDescent="0.2">
      <c r="A392" s="2" t="s">
        <v>15</v>
      </c>
      <c r="B392" s="2" t="s">
        <v>2</v>
      </c>
      <c r="C392" s="93">
        <v>46188</v>
      </c>
      <c r="D392" s="3">
        <v>46188</v>
      </c>
      <c r="E392" s="126">
        <v>46188</v>
      </c>
      <c r="F392" s="2" t="s">
        <v>82</v>
      </c>
      <c r="G392" s="111">
        <v>198.25</v>
      </c>
      <c r="H392" s="197">
        <v>0</v>
      </c>
      <c r="I392" s="282">
        <v>198.25</v>
      </c>
      <c r="J392" s="111">
        <v>49.5625</v>
      </c>
      <c r="K392" s="4" t="s">
        <v>627</v>
      </c>
      <c r="L392" s="4" t="s">
        <v>627</v>
      </c>
      <c r="M392" s="4" t="s">
        <v>392</v>
      </c>
      <c r="N392" s="4" t="s">
        <v>393</v>
      </c>
      <c r="O392" s="146" t="str">
        <f>_xlfn.XLOOKUP(N392,[1]!costcategory[Account Code],[1]!costcategory[Cost Category],"ERROR")</f>
        <v>Employee Benefits</v>
      </c>
      <c r="P392" s="4" t="s">
        <v>45</v>
      </c>
      <c r="Q392" s="89" t="str">
        <f>_xlfn.XLOOKUP(P392,[1]!Table2[Department],[1]!Table2[Group],"ERROR")</f>
        <v>DSC</v>
      </c>
      <c r="R392" s="4"/>
      <c r="S392" s="4"/>
      <c r="T392" s="4"/>
      <c r="U392" s="2"/>
    </row>
    <row r="393" spans="1:21" hidden="1" x14ac:dyDescent="0.2">
      <c r="A393" s="2" t="s">
        <v>15</v>
      </c>
      <c r="B393" s="2" t="s">
        <v>2</v>
      </c>
      <c r="C393" s="93">
        <v>46188</v>
      </c>
      <c r="D393" s="3">
        <v>46188</v>
      </c>
      <c r="E393" s="126">
        <v>46188</v>
      </c>
      <c r="F393" s="2" t="s">
        <v>82</v>
      </c>
      <c r="G393" s="111">
        <v>364.45</v>
      </c>
      <c r="H393" s="197">
        <v>0</v>
      </c>
      <c r="I393" s="282">
        <v>364.45</v>
      </c>
      <c r="J393" s="111">
        <v>91.112499999999997</v>
      </c>
      <c r="K393" s="4" t="s">
        <v>627</v>
      </c>
      <c r="L393" s="4" t="s">
        <v>627</v>
      </c>
      <c r="M393" s="4" t="s">
        <v>416</v>
      </c>
      <c r="N393" s="4" t="s">
        <v>390</v>
      </c>
      <c r="O393" s="146" t="str">
        <f>_xlfn.XLOOKUP(N393,[1]!costcategory[Account Code],[1]!costcategory[Cost Category],"ERROR")</f>
        <v>Employee Benefits</v>
      </c>
      <c r="P393" s="4" t="s">
        <v>340</v>
      </c>
      <c r="Q393" s="89" t="str">
        <f>_xlfn.XLOOKUP(P393,[1]!Table2[Department],[1]!Table2[Group],"ERROR")</f>
        <v>General &amp; Administrative</v>
      </c>
      <c r="R393" s="4"/>
      <c r="S393" s="4"/>
      <c r="T393" s="4"/>
      <c r="U393" s="2"/>
    </row>
    <row r="394" spans="1:21" s="2" customFormat="1" hidden="1" x14ac:dyDescent="0.2">
      <c r="A394" s="2" t="s">
        <v>15</v>
      </c>
      <c r="B394" s="2" t="s">
        <v>2</v>
      </c>
      <c r="C394" s="93">
        <v>46188</v>
      </c>
      <c r="D394" s="3">
        <v>46188</v>
      </c>
      <c r="E394" s="126">
        <v>46188</v>
      </c>
      <c r="F394" s="2" t="s">
        <v>82</v>
      </c>
      <c r="G394" s="111">
        <v>6887</v>
      </c>
      <c r="H394" s="197">
        <v>0</v>
      </c>
      <c r="I394" s="282">
        <v>6887</v>
      </c>
      <c r="J394" s="111">
        <v>1721.75</v>
      </c>
      <c r="K394" s="4" t="s">
        <v>627</v>
      </c>
      <c r="L394" s="4" t="s">
        <v>627</v>
      </c>
      <c r="M394" s="4" t="s">
        <v>653</v>
      </c>
      <c r="N394" s="4" t="s">
        <v>654</v>
      </c>
      <c r="O394" s="146" t="str">
        <f>_xlfn.XLOOKUP(N394,[1]!costcategory[Account Code],[1]!costcategory[Cost Category],"ERROR")</f>
        <v>Employee Benefits</v>
      </c>
      <c r="P394" s="4" t="s">
        <v>350</v>
      </c>
      <c r="Q394" s="89" t="str">
        <f>_xlfn.XLOOKUP(P394,[1]!Table2[Department],[1]!Table2[Group],"ERROR")</f>
        <v>General &amp; Administrative</v>
      </c>
      <c r="R394" s="4"/>
      <c r="S394" s="4"/>
      <c r="T394" s="4"/>
    </row>
    <row r="395" spans="1:21" s="2" customFormat="1" hidden="1" x14ac:dyDescent="0.2">
      <c r="A395" s="2" t="s">
        <v>15</v>
      </c>
      <c r="B395" s="2" t="s">
        <v>2</v>
      </c>
      <c r="C395" s="93">
        <v>46188</v>
      </c>
      <c r="D395" s="3">
        <v>46188</v>
      </c>
      <c r="E395" s="126">
        <v>46188</v>
      </c>
      <c r="F395" s="2" t="s">
        <v>82</v>
      </c>
      <c r="G395" s="111">
        <v>28</v>
      </c>
      <c r="H395" s="197">
        <v>0</v>
      </c>
      <c r="I395" s="282">
        <v>28</v>
      </c>
      <c r="J395" s="111">
        <v>7</v>
      </c>
      <c r="K395" s="4" t="s">
        <v>627</v>
      </c>
      <c r="L395" s="4" t="s">
        <v>627</v>
      </c>
      <c r="M395" s="4" t="s">
        <v>359</v>
      </c>
      <c r="N395" s="4" t="s">
        <v>52</v>
      </c>
      <c r="O395" s="146" t="str">
        <f>_xlfn.XLOOKUP(N395,[1]!costcategory[Account Code],[1]!costcategory[Cost Category],"ERROR")</f>
        <v>Telecommunication</v>
      </c>
      <c r="P395" s="4" t="s">
        <v>45</v>
      </c>
      <c r="Q395" s="89" t="str">
        <f>_xlfn.XLOOKUP(P395,[1]!Table2[Department],[1]!Table2[Group],"ERROR")</f>
        <v>DSC</v>
      </c>
      <c r="R395" s="4"/>
      <c r="S395" s="4"/>
      <c r="T395" s="4"/>
    </row>
    <row r="396" spans="1:21" s="2" customFormat="1" hidden="1" x14ac:dyDescent="0.2">
      <c r="A396" s="2" t="s">
        <v>15</v>
      </c>
      <c r="B396" s="2" t="s">
        <v>2</v>
      </c>
      <c r="C396" s="93">
        <v>46188</v>
      </c>
      <c r="D396" s="3">
        <v>46188</v>
      </c>
      <c r="E396" s="126">
        <v>46188</v>
      </c>
      <c r="F396" s="2" t="s">
        <v>82</v>
      </c>
      <c r="G396" s="111">
        <v>905.55</v>
      </c>
      <c r="H396" s="197">
        <v>0</v>
      </c>
      <c r="I396" s="282">
        <v>905.55</v>
      </c>
      <c r="J396" s="111">
        <v>226.38749999999999</v>
      </c>
      <c r="K396" s="4" t="s">
        <v>627</v>
      </c>
      <c r="L396" s="4" t="s">
        <v>627</v>
      </c>
      <c r="M396" s="4" t="s">
        <v>360</v>
      </c>
      <c r="N396" s="4" t="s">
        <v>353</v>
      </c>
      <c r="O396" s="146" t="str">
        <f>_xlfn.XLOOKUP(N396,[1]!costcategory[Account Code],[1]!costcategory[Cost Category],"ERROR")</f>
        <v>Travelling Expenses</v>
      </c>
      <c r="P396" s="4" t="s">
        <v>45</v>
      </c>
      <c r="Q396" s="89" t="str">
        <f>_xlfn.XLOOKUP(P396,[1]!Table2[Department],[1]!Table2[Group],"ERROR")</f>
        <v>DSC</v>
      </c>
      <c r="R396" s="4"/>
      <c r="S396" s="4"/>
      <c r="T396" s="4"/>
    </row>
    <row r="397" spans="1:21" s="2" customFormat="1" hidden="1" x14ac:dyDescent="0.2">
      <c r="A397" s="2" t="s">
        <v>15</v>
      </c>
      <c r="B397" s="2" t="s">
        <v>2</v>
      </c>
      <c r="C397" s="93">
        <v>46188</v>
      </c>
      <c r="D397" s="3">
        <v>46188</v>
      </c>
      <c r="E397" s="126">
        <v>46188</v>
      </c>
      <c r="F397" s="2" t="s">
        <v>82</v>
      </c>
      <c r="G397" s="111">
        <v>395.3</v>
      </c>
      <c r="H397" s="197">
        <v>0</v>
      </c>
      <c r="I397" s="282">
        <v>395.3</v>
      </c>
      <c r="J397" s="111">
        <v>98.825000000000003</v>
      </c>
      <c r="K397" s="4" t="s">
        <v>627</v>
      </c>
      <c r="L397" s="4" t="s">
        <v>627</v>
      </c>
      <c r="M397" s="4" t="s">
        <v>361</v>
      </c>
      <c r="N397" s="4" t="s">
        <v>356</v>
      </c>
      <c r="O397" s="146" t="str">
        <f>_xlfn.XLOOKUP(N397,[1]!costcategory[Account Code],[1]!costcategory[Cost Category],"ERROR")</f>
        <v>Travelling Expenses</v>
      </c>
      <c r="P397" s="4" t="s">
        <v>354</v>
      </c>
      <c r="Q397" s="89" t="str">
        <f>_xlfn.XLOOKUP(P397,[1]!Table2[Department],[1]!Table2[Group],"ERROR")</f>
        <v>Sales &amp; Marketing</v>
      </c>
      <c r="R397" s="4"/>
      <c r="S397" s="4"/>
      <c r="T397" s="4"/>
    </row>
    <row r="398" spans="1:21" s="2" customFormat="1" ht="13.5" hidden="1" thickBot="1" x14ac:dyDescent="0.25">
      <c r="A398" s="2" t="s">
        <v>15</v>
      </c>
      <c r="B398" s="2" t="s">
        <v>2</v>
      </c>
      <c r="C398" s="93">
        <v>46188</v>
      </c>
      <c r="D398" s="3">
        <v>46188</v>
      </c>
      <c r="E398" s="126">
        <v>46188</v>
      </c>
      <c r="F398" s="2" t="s">
        <v>82</v>
      </c>
      <c r="G398" s="111">
        <f>2272.09-G397</f>
        <v>1876.7900000000002</v>
      </c>
      <c r="H398" s="197">
        <v>0</v>
      </c>
      <c r="I398" s="279">
        <v>1876.7900000000002</v>
      </c>
      <c r="J398" s="111">
        <v>469.19750000000005</v>
      </c>
      <c r="K398" s="4" t="s">
        <v>627</v>
      </c>
      <c r="L398" s="4" t="s">
        <v>627</v>
      </c>
      <c r="M398" s="4" t="s">
        <v>361</v>
      </c>
      <c r="N398" s="4" t="s">
        <v>356</v>
      </c>
      <c r="O398" s="146" t="str">
        <f>_xlfn.XLOOKUP(N398,[1]!costcategory[Account Code],[1]!costcategory[Cost Category],"ERROR")</f>
        <v>Travelling Expenses</v>
      </c>
      <c r="P398" s="4" t="s">
        <v>45</v>
      </c>
      <c r="Q398" s="89" t="str">
        <f>_xlfn.XLOOKUP(P398,[1]!Table2[Department],[1]!Table2[Group],"ERROR")</f>
        <v>DSC</v>
      </c>
      <c r="R398" s="4"/>
      <c r="S398" s="4"/>
      <c r="T398" s="4"/>
    </row>
    <row r="399" spans="1:21" s="2" customFormat="1" hidden="1" x14ac:dyDescent="0.2">
      <c r="A399" s="2" t="s">
        <v>15</v>
      </c>
      <c r="B399" s="2" t="s">
        <v>2</v>
      </c>
      <c r="C399" s="93">
        <v>46188</v>
      </c>
      <c r="D399" s="3">
        <v>46188</v>
      </c>
      <c r="E399" s="126">
        <v>46188</v>
      </c>
      <c r="F399" s="2" t="s">
        <v>82</v>
      </c>
      <c r="G399" s="197">
        <v>0.5</v>
      </c>
      <c r="H399" s="281">
        <v>0</v>
      </c>
      <c r="I399" s="301">
        <f>SUM(G399:H399)</f>
        <v>0.5</v>
      </c>
      <c r="J399" s="281">
        <v>0.30225956240240875</v>
      </c>
      <c r="K399" s="105" t="s">
        <v>448</v>
      </c>
      <c r="L399" s="4" t="s">
        <v>655</v>
      </c>
      <c r="M399" s="4" t="s">
        <v>332</v>
      </c>
      <c r="N399" s="4" t="s">
        <v>332</v>
      </c>
      <c r="O399" s="146" t="str">
        <f>_xlfn.XLOOKUP(N399,[1]!costcategory[Account Code],[1]!costcategory[Cost Category],"ERROR")</f>
        <v>Bank Charges</v>
      </c>
      <c r="P399" s="4" t="s">
        <v>333</v>
      </c>
      <c r="Q399" s="147" t="str">
        <f>_xlfn.XLOOKUP(P399,[1]!Table2[Department],[1]!Table2[Group],"ERROR")</f>
        <v>General &amp; Administrative</v>
      </c>
      <c r="R399" s="31"/>
      <c r="S399" s="31"/>
      <c r="T399" s="31"/>
    </row>
    <row r="400" spans="1:21" s="2" customFormat="1" hidden="1" x14ac:dyDescent="0.2">
      <c r="A400" s="36" t="s">
        <v>15</v>
      </c>
      <c r="B400" s="2" t="s">
        <v>2</v>
      </c>
      <c r="C400" s="93">
        <v>46173</v>
      </c>
      <c r="D400" s="3">
        <v>46173</v>
      </c>
      <c r="E400" s="126">
        <v>46188</v>
      </c>
      <c r="F400" s="2" t="s">
        <v>82</v>
      </c>
      <c r="G400" s="197"/>
      <c r="H400" s="281"/>
      <c r="I400" s="301"/>
      <c r="J400" s="281">
        <v>938.48</v>
      </c>
      <c r="K400" t="s">
        <v>1803</v>
      </c>
      <c r="L400" s="4" t="s">
        <v>443</v>
      </c>
      <c r="M400" s="4" t="s">
        <v>443</v>
      </c>
      <c r="N400" s="4" t="s">
        <v>387</v>
      </c>
      <c r="O400" s="146" t="str">
        <f>_xlfn.XLOOKUP(N400,[1]!costcategory[Account Code],[1]!costcategory[Cost Category],"ERROR")</f>
        <v>Headcount Costs</v>
      </c>
      <c r="P400" s="4" t="s">
        <v>354</v>
      </c>
      <c r="Q400" s="147" t="str">
        <f>_xlfn.XLOOKUP(P400,[1]!Table2[Department],[1]!Table2[Group],"ERROR")</f>
        <v>Sales &amp; Marketing</v>
      </c>
      <c r="R400" s="31"/>
      <c r="S400" s="31"/>
      <c r="T400" s="31"/>
    </row>
    <row r="401" spans="1:23" s="2" customFormat="1" hidden="1" x14ac:dyDescent="0.2">
      <c r="A401" s="2" t="s">
        <v>15</v>
      </c>
      <c r="B401" s="2" t="s">
        <v>2</v>
      </c>
      <c r="C401" s="93">
        <v>46173</v>
      </c>
      <c r="D401" s="3">
        <v>46173</v>
      </c>
      <c r="E401" s="126">
        <v>46188</v>
      </c>
      <c r="F401" s="2" t="s">
        <v>82</v>
      </c>
      <c r="G401" s="197"/>
      <c r="H401" s="281"/>
      <c r="I401" s="301"/>
      <c r="J401" s="281">
        <v>124.53</v>
      </c>
      <c r="K401" t="s">
        <v>1803</v>
      </c>
      <c r="L401" s="4" t="s">
        <v>1701</v>
      </c>
      <c r="M401" s="4" t="s">
        <v>1701</v>
      </c>
      <c r="N401" s="4" t="s">
        <v>364</v>
      </c>
      <c r="O401" s="146" t="str">
        <f>_xlfn.XLOOKUP(N401,[1]!costcategory[Account Code],[1]!costcategory[Cost Category],"ERROR")</f>
        <v>Headcount Costs</v>
      </c>
      <c r="P401" s="4" t="s">
        <v>354</v>
      </c>
      <c r="Q401" s="147" t="str">
        <f>_xlfn.XLOOKUP(P401,[1]!Table2[Department],[1]!Table2[Group],"ERROR")</f>
        <v>Sales &amp; Marketing</v>
      </c>
      <c r="R401" s="31"/>
      <c r="S401" s="31"/>
      <c r="T401" s="31"/>
    </row>
    <row r="402" spans="1:23" s="2" customFormat="1" hidden="1" x14ac:dyDescent="0.2">
      <c r="A402" s="2" t="s">
        <v>15</v>
      </c>
      <c r="B402" s="2" t="s">
        <v>2</v>
      </c>
      <c r="C402" s="93">
        <v>46173</v>
      </c>
      <c r="D402" s="3">
        <v>46173</v>
      </c>
      <c r="E402" s="126">
        <v>46188</v>
      </c>
      <c r="F402" s="2" t="s">
        <v>82</v>
      </c>
      <c r="G402" s="197"/>
      <c r="H402" s="281"/>
      <c r="I402" s="301"/>
      <c r="J402" s="281">
        <v>1363.63</v>
      </c>
      <c r="K402" t="s">
        <v>1803</v>
      </c>
      <c r="L402" s="4" t="s">
        <v>443</v>
      </c>
      <c r="M402" s="4" t="s">
        <v>443</v>
      </c>
      <c r="N402" s="4" t="s">
        <v>387</v>
      </c>
      <c r="O402" s="146" t="str">
        <f>_xlfn.XLOOKUP(N402,[1]!costcategory[Account Code],[1]!costcategory[Cost Category],"ERROR")</f>
        <v>Headcount Costs</v>
      </c>
      <c r="P402" s="4" t="s">
        <v>45</v>
      </c>
      <c r="Q402" s="147" t="str">
        <f>_xlfn.XLOOKUP(P402,[1]!Table2[Department],[1]!Table2[Group],"ERROR")</f>
        <v>DSC</v>
      </c>
      <c r="R402" s="31"/>
      <c r="S402" s="31"/>
      <c r="T402" s="31"/>
    </row>
    <row r="403" spans="1:23" s="2" customFormat="1" hidden="1" x14ac:dyDescent="0.2">
      <c r="A403" s="2" t="s">
        <v>15</v>
      </c>
      <c r="B403" s="2" t="s">
        <v>2</v>
      </c>
      <c r="C403" s="93">
        <v>46173</v>
      </c>
      <c r="D403" s="3">
        <v>46173</v>
      </c>
      <c r="E403" s="126">
        <v>46188</v>
      </c>
      <c r="F403" s="2" t="s">
        <v>82</v>
      </c>
      <c r="G403" s="197"/>
      <c r="H403" s="281"/>
      <c r="I403" s="301"/>
      <c r="J403" s="281">
        <v>784.89</v>
      </c>
      <c r="K403" t="s">
        <v>1803</v>
      </c>
      <c r="L403" s="4" t="s">
        <v>1701</v>
      </c>
      <c r="M403" s="4" t="s">
        <v>1701</v>
      </c>
      <c r="N403" s="4" t="s">
        <v>364</v>
      </c>
      <c r="O403" s="146" t="str">
        <f>_xlfn.XLOOKUP(N403,[1]!costcategory[Account Code],[1]!costcategory[Cost Category],"ERROR")</f>
        <v>Headcount Costs</v>
      </c>
      <c r="P403" s="4" t="s">
        <v>45</v>
      </c>
      <c r="Q403" s="147" t="str">
        <f>_xlfn.XLOOKUP(P403,[1]!Table2[Department],[1]!Table2[Group],"ERROR")</f>
        <v>DSC</v>
      </c>
      <c r="R403" s="31"/>
      <c r="S403" s="31"/>
      <c r="T403" s="31"/>
    </row>
    <row r="404" spans="1:23" s="2" customFormat="1" hidden="1" x14ac:dyDescent="0.2">
      <c r="A404" s="2" t="s">
        <v>15</v>
      </c>
      <c r="B404" s="2" t="s">
        <v>2</v>
      </c>
      <c r="C404" s="93">
        <v>46173</v>
      </c>
      <c r="D404" s="3">
        <v>46173</v>
      </c>
      <c r="E404" s="126">
        <v>46188</v>
      </c>
      <c r="F404" s="2" t="s">
        <v>82</v>
      </c>
      <c r="G404" s="197"/>
      <c r="H404" s="281"/>
      <c r="I404" s="301"/>
      <c r="J404" s="281">
        <v>799.09</v>
      </c>
      <c r="K404" t="s">
        <v>1803</v>
      </c>
      <c r="L404" s="4" t="s">
        <v>443</v>
      </c>
      <c r="M404" s="4" t="s">
        <v>443</v>
      </c>
      <c r="N404" s="4" t="s">
        <v>387</v>
      </c>
      <c r="O404" s="146" t="str">
        <f>_xlfn.XLOOKUP(N404,[1]!costcategory[Account Code],[1]!costcategory[Cost Category],"ERROR")</f>
        <v>Headcount Costs</v>
      </c>
      <c r="P404" s="4" t="s">
        <v>333</v>
      </c>
      <c r="Q404" s="147" t="str">
        <f>_xlfn.XLOOKUP(P404,[1]!Table2[Department],[1]!Table2[Group],"ERROR")</f>
        <v>General &amp; Administrative</v>
      </c>
      <c r="R404" s="31"/>
      <c r="S404" s="31"/>
      <c r="T404" s="31"/>
    </row>
    <row r="405" spans="1:23" s="2" customFormat="1" hidden="1" x14ac:dyDescent="0.2">
      <c r="A405" s="2" t="s">
        <v>15</v>
      </c>
      <c r="B405" s="2" t="s">
        <v>2</v>
      </c>
      <c r="C405" s="93">
        <v>46173</v>
      </c>
      <c r="D405" s="3">
        <v>46173</v>
      </c>
      <c r="E405" s="126">
        <v>46188</v>
      </c>
      <c r="F405" s="2" t="s">
        <v>82</v>
      </c>
      <c r="G405" s="197"/>
      <c r="H405" s="281"/>
      <c r="I405" s="301"/>
      <c r="J405" s="281">
        <v>489.26</v>
      </c>
      <c r="K405" t="s">
        <v>1803</v>
      </c>
      <c r="L405" s="4" t="s">
        <v>1701</v>
      </c>
      <c r="M405" s="4" t="s">
        <v>1701</v>
      </c>
      <c r="N405" s="4" t="s">
        <v>364</v>
      </c>
      <c r="O405" s="146" t="str">
        <f>_xlfn.XLOOKUP(N405,[1]!costcategory[Account Code],[1]!costcategory[Cost Category],"ERROR")</f>
        <v>Headcount Costs</v>
      </c>
      <c r="P405" s="4" t="s">
        <v>333</v>
      </c>
      <c r="Q405" s="147" t="str">
        <f>_xlfn.XLOOKUP(P405,[1]!Table2[Department],[1]!Table2[Group],"ERROR")</f>
        <v>General &amp; Administrative</v>
      </c>
      <c r="R405" s="31"/>
      <c r="S405" s="31"/>
      <c r="T405" s="31"/>
    </row>
    <row r="406" spans="1:23" s="2" customFormat="1" hidden="1" x14ac:dyDescent="0.2">
      <c r="A406" s="2" t="s">
        <v>15</v>
      </c>
      <c r="B406" s="2" t="s">
        <v>2</v>
      </c>
      <c r="C406" s="93">
        <v>46173</v>
      </c>
      <c r="D406" s="3">
        <v>46173</v>
      </c>
      <c r="E406" s="126">
        <v>46188</v>
      </c>
      <c r="F406" s="2" t="s">
        <v>82</v>
      </c>
      <c r="G406" s="197"/>
      <c r="H406" s="281"/>
      <c r="I406" s="301"/>
      <c r="J406" s="281">
        <v>1475.51</v>
      </c>
      <c r="K406" t="s">
        <v>1803</v>
      </c>
      <c r="L406" s="4" t="s">
        <v>443</v>
      </c>
      <c r="M406" s="4" t="s">
        <v>443</v>
      </c>
      <c r="N406" s="4" t="s">
        <v>387</v>
      </c>
      <c r="O406" s="146" t="str">
        <f>_xlfn.XLOOKUP(N406,[1]!costcategory[Account Code],[1]!costcategory[Cost Category],"ERROR")</f>
        <v>Headcount Costs</v>
      </c>
      <c r="P406" s="4" t="s">
        <v>350</v>
      </c>
      <c r="Q406" s="147" t="str">
        <f>_xlfn.XLOOKUP(P406,[1]!Table2[Department],[1]!Table2[Group],"ERROR")</f>
        <v>General &amp; Administrative</v>
      </c>
      <c r="R406" s="31"/>
      <c r="S406" s="31"/>
      <c r="T406" s="31"/>
    </row>
    <row r="407" spans="1:23" s="2" customFormat="1" hidden="1" x14ac:dyDescent="0.2">
      <c r="A407" s="2" t="s">
        <v>15</v>
      </c>
      <c r="B407" s="2" t="s">
        <v>2</v>
      </c>
      <c r="C407" s="93">
        <v>46173</v>
      </c>
      <c r="D407" s="3">
        <v>46173</v>
      </c>
      <c r="E407" s="126">
        <v>46188</v>
      </c>
      <c r="F407" s="2" t="s">
        <v>82</v>
      </c>
      <c r="G407" s="197"/>
      <c r="H407" s="281"/>
      <c r="I407" s="301"/>
      <c r="J407" s="281">
        <v>235.53</v>
      </c>
      <c r="K407" t="s">
        <v>1803</v>
      </c>
      <c r="L407" s="4" t="s">
        <v>1701</v>
      </c>
      <c r="M407" s="4" t="s">
        <v>1701</v>
      </c>
      <c r="N407" s="4" t="s">
        <v>364</v>
      </c>
      <c r="O407" s="146" t="str">
        <f>_xlfn.XLOOKUP(N407,[1]!costcategory[Account Code],[1]!costcategory[Cost Category],"ERROR")</f>
        <v>Headcount Costs</v>
      </c>
      <c r="P407" s="4" t="s">
        <v>350</v>
      </c>
      <c r="Q407" s="147" t="str">
        <f>_xlfn.XLOOKUP(P407,[1]!Table2[Department],[1]!Table2[Group],"ERROR")</f>
        <v>General &amp; Administrative</v>
      </c>
      <c r="R407" s="31"/>
      <c r="S407" s="31"/>
      <c r="T407" s="31"/>
    </row>
    <row r="408" spans="1:23" s="2" customFormat="1" hidden="1" x14ac:dyDescent="0.2">
      <c r="A408" s="2" t="s">
        <v>15</v>
      </c>
      <c r="B408" s="2" t="s">
        <v>2</v>
      </c>
      <c r="C408" s="93">
        <v>46173</v>
      </c>
      <c r="D408" s="3">
        <v>46173</v>
      </c>
      <c r="E408" s="126">
        <v>46188</v>
      </c>
      <c r="F408" s="2" t="s">
        <v>82</v>
      </c>
      <c r="G408" s="197"/>
      <c r="H408" s="281"/>
      <c r="I408" s="301"/>
      <c r="J408" s="281">
        <v>5454.54</v>
      </c>
      <c r="K408" t="s">
        <v>1803</v>
      </c>
      <c r="L408" s="4" t="s">
        <v>443</v>
      </c>
      <c r="M408" s="4" t="s">
        <v>443</v>
      </c>
      <c r="N408" s="4" t="s">
        <v>387</v>
      </c>
      <c r="O408" s="146" t="str">
        <f>_xlfn.XLOOKUP(N408,[1]!costcategory[Account Code],[1]!costcategory[Cost Category],"ERROR")</f>
        <v>Headcount Costs</v>
      </c>
      <c r="P408" s="4" t="s">
        <v>63</v>
      </c>
      <c r="Q408" s="147" t="str">
        <f>_xlfn.XLOOKUP(P408,[1]!Table2[Department],[1]!Table2[Group],"ERROR")</f>
        <v>Research &amp; Development</v>
      </c>
      <c r="R408" s="31"/>
      <c r="S408" s="31"/>
      <c r="T408" s="31"/>
    </row>
    <row r="409" spans="1:23" s="2" customFormat="1" hidden="1" x14ac:dyDescent="0.2">
      <c r="A409" s="2" t="s">
        <v>15</v>
      </c>
      <c r="B409" s="2" t="s">
        <v>2</v>
      </c>
      <c r="C409" s="93">
        <v>46173</v>
      </c>
      <c r="D409" s="3">
        <v>46173</v>
      </c>
      <c r="E409" s="126">
        <v>46188</v>
      </c>
      <c r="F409" s="2" t="s">
        <v>82</v>
      </c>
      <c r="G409" s="197"/>
      <c r="H409" s="281"/>
      <c r="I409" s="301"/>
      <c r="J409" s="281">
        <v>3139.55</v>
      </c>
      <c r="K409" t="s">
        <v>1803</v>
      </c>
      <c r="L409" s="4" t="s">
        <v>1701</v>
      </c>
      <c r="M409" s="4" t="s">
        <v>1701</v>
      </c>
      <c r="N409" s="4" t="s">
        <v>364</v>
      </c>
      <c r="O409" s="146" t="str">
        <f>_xlfn.XLOOKUP(N409,[1]!costcategory[Account Code],[1]!costcategory[Cost Category],"ERROR")</f>
        <v>Headcount Costs</v>
      </c>
      <c r="P409" s="4" t="s">
        <v>63</v>
      </c>
      <c r="Q409" s="147" t="str">
        <f>_xlfn.XLOOKUP(P409,[1]!Table2[Department],[1]!Table2[Group],"ERROR")</f>
        <v>Research &amp; Development</v>
      </c>
      <c r="R409" s="31"/>
      <c r="S409" s="31"/>
      <c r="T409" s="31"/>
    </row>
    <row r="410" spans="1:23" hidden="1" x14ac:dyDescent="0.2">
      <c r="A410" s="2" t="s">
        <v>15</v>
      </c>
      <c r="B410" s="2" t="s">
        <v>2</v>
      </c>
      <c r="C410" s="93">
        <v>46173</v>
      </c>
      <c r="D410" s="3">
        <v>46173</v>
      </c>
      <c r="E410" s="126">
        <v>46188</v>
      </c>
      <c r="F410" s="2" t="s">
        <v>82</v>
      </c>
      <c r="G410" s="197"/>
      <c r="H410" s="281"/>
      <c r="I410" s="301"/>
      <c r="J410" s="281">
        <v>224.04</v>
      </c>
      <c r="K410" t="s">
        <v>1803</v>
      </c>
      <c r="L410" s="4" t="s">
        <v>443</v>
      </c>
      <c r="M410" s="4" t="s">
        <v>443</v>
      </c>
      <c r="N410" s="4" t="s">
        <v>387</v>
      </c>
      <c r="O410" s="146" t="str">
        <f>_xlfn.XLOOKUP(N410,[1]!costcategory[Account Code],[1]!costcategory[Cost Category],"ERROR")</f>
        <v>Headcount Costs</v>
      </c>
      <c r="P410" s="4" t="s">
        <v>438</v>
      </c>
      <c r="Q410" s="147" t="str">
        <f>_xlfn.XLOOKUP(P410,[1]!Table2[Department],[1]!Table2[Group],"ERROR")</f>
        <v>Sales &amp; Marketing</v>
      </c>
      <c r="R410" s="31"/>
      <c r="S410" s="31"/>
      <c r="T410" s="31"/>
      <c r="U410" s="2"/>
    </row>
    <row r="411" spans="1:23" hidden="1" x14ac:dyDescent="0.2">
      <c r="A411" s="2" t="s">
        <v>15</v>
      </c>
      <c r="B411" s="2" t="s">
        <v>2</v>
      </c>
      <c r="C411" s="93">
        <v>46173</v>
      </c>
      <c r="D411" s="3">
        <v>46173</v>
      </c>
      <c r="E411" s="126">
        <v>46188</v>
      </c>
      <c r="F411" s="2" t="s">
        <v>82</v>
      </c>
      <c r="G411" s="197"/>
      <c r="H411" s="281"/>
      <c r="I411" s="301"/>
      <c r="J411" s="281">
        <v>271.55</v>
      </c>
      <c r="K411" t="s">
        <v>1803</v>
      </c>
      <c r="L411" s="4" t="s">
        <v>1701</v>
      </c>
      <c r="M411" s="4" t="s">
        <v>1701</v>
      </c>
      <c r="N411" s="4" t="s">
        <v>364</v>
      </c>
      <c r="O411" s="146" t="str">
        <f>_xlfn.XLOOKUP(N411,[1]!costcategory[Account Code],[1]!costcategory[Cost Category],"ERROR")</f>
        <v>Headcount Costs</v>
      </c>
      <c r="P411" s="4" t="s">
        <v>438</v>
      </c>
      <c r="Q411" s="147" t="str">
        <f>_xlfn.XLOOKUP(P411,[1]!Table2[Department],[1]!Table2[Group],"ERROR")</f>
        <v>Sales &amp; Marketing</v>
      </c>
      <c r="R411" s="31"/>
      <c r="S411" s="31"/>
      <c r="T411" s="31"/>
      <c r="U411" s="2"/>
    </row>
    <row r="412" spans="1:23" customFormat="1" hidden="1" x14ac:dyDescent="0.2">
      <c r="A412" s="2" t="s">
        <v>15</v>
      </c>
      <c r="B412" s="2" t="s">
        <v>2</v>
      </c>
      <c r="C412" s="93">
        <v>46191</v>
      </c>
      <c r="D412" s="3">
        <v>46191</v>
      </c>
      <c r="E412" s="126">
        <v>46191</v>
      </c>
      <c r="F412" s="2" t="s">
        <v>82</v>
      </c>
      <c r="G412" s="204">
        <v>16837</v>
      </c>
      <c r="H412" s="199">
        <v>0</v>
      </c>
      <c r="I412" s="205">
        <f>SUM(G412:H412)</f>
        <v>16837</v>
      </c>
      <c r="J412" s="213">
        <v>140998.82992800002</v>
      </c>
      <c r="K412" s="106" t="s">
        <v>630</v>
      </c>
      <c r="L412" s="4"/>
      <c r="M412" s="4" t="s">
        <v>656</v>
      </c>
      <c r="N412" s="106" t="s">
        <v>509</v>
      </c>
      <c r="O412" s="146" t="str">
        <f>_xlfn.XLOOKUP(N412,[1]!costcategory[Account Code],[1]!costcategory[Cost Category],"ERROR")</f>
        <v>Corporate Tax Expenses</v>
      </c>
      <c r="P412" s="4" t="s">
        <v>350</v>
      </c>
      <c r="Q412" s="147" t="str">
        <f>_xlfn.XLOOKUP(P412,[1]!Table2[Department],[1]!Table2[Group],"ERROR")</f>
        <v>General &amp; Administrative</v>
      </c>
      <c r="R412" s="31"/>
      <c r="S412" s="18"/>
      <c r="T412" s="18"/>
      <c r="U412" s="2"/>
      <c r="V412" s="2"/>
      <c r="W412" s="18"/>
    </row>
    <row r="413" spans="1:23" customFormat="1" hidden="1" x14ac:dyDescent="0.2">
      <c r="A413" s="36" t="s">
        <v>247</v>
      </c>
      <c r="B413" s="36" t="s">
        <v>2</v>
      </c>
      <c r="C413" s="93">
        <v>46203</v>
      </c>
      <c r="D413" s="3">
        <v>46203</v>
      </c>
      <c r="E413" s="126">
        <v>46203</v>
      </c>
      <c r="F413" s="36" t="s">
        <v>82</v>
      </c>
      <c r="G413" s="281"/>
      <c r="H413" s="281"/>
      <c r="I413" s="281"/>
      <c r="J413" s="281">
        <v>4000</v>
      </c>
      <c r="K413" t="s">
        <v>1803</v>
      </c>
      <c r="M413" t="s">
        <v>1839</v>
      </c>
      <c r="N413" t="s">
        <v>387</v>
      </c>
      <c r="O413" s="146" t="str">
        <f>_xlfn.XLOOKUP(N413,[1]!costcategory[Account Code],[1]!costcategory[Cost Category],"ERROR")</f>
        <v>Headcount Costs</v>
      </c>
      <c r="P413" t="s">
        <v>354</v>
      </c>
      <c r="Q413" s="147" t="str">
        <f>_xlfn.XLOOKUP(P413,[1]!Table2[Department],[1]!Table2[Group],"ERROR")</f>
        <v>Sales &amp; Marketing</v>
      </c>
      <c r="V413" s="36"/>
    </row>
    <row r="414" spans="1:23" customFormat="1" hidden="1" x14ac:dyDescent="0.2">
      <c r="A414" s="36" t="s">
        <v>247</v>
      </c>
      <c r="B414" s="36" t="s">
        <v>2</v>
      </c>
      <c r="C414" s="93">
        <v>46203</v>
      </c>
      <c r="D414" s="3">
        <v>46203</v>
      </c>
      <c r="E414" s="126">
        <v>46203</v>
      </c>
      <c r="F414" s="36" t="s">
        <v>82</v>
      </c>
      <c r="G414" s="281"/>
      <c r="H414" s="281"/>
      <c r="I414" s="281"/>
      <c r="J414" s="281">
        <v>1000</v>
      </c>
      <c r="K414" t="s">
        <v>1803</v>
      </c>
      <c r="M414" t="s">
        <v>1839</v>
      </c>
      <c r="N414" t="s">
        <v>387</v>
      </c>
      <c r="O414" s="146" t="str">
        <f>_xlfn.XLOOKUP(N414,[1]!costcategory[Account Code],[1]!costcategory[Cost Category],"ERROR")</f>
        <v>Headcount Costs</v>
      </c>
      <c r="P414" t="s">
        <v>354</v>
      </c>
      <c r="Q414" s="147" t="str">
        <f>_xlfn.XLOOKUP(P414,[1]!Table2[Department],[1]!Table2[Group],"ERROR")</f>
        <v>Sales &amp; Marketing</v>
      </c>
      <c r="V414" s="36"/>
    </row>
    <row r="415" spans="1:23" customFormat="1" hidden="1" x14ac:dyDescent="0.2">
      <c r="A415" s="36" t="s">
        <v>247</v>
      </c>
      <c r="B415" s="36" t="s">
        <v>2</v>
      </c>
      <c r="C415" s="93">
        <v>46203</v>
      </c>
      <c r="D415" s="3">
        <v>46203</v>
      </c>
      <c r="E415" s="126">
        <v>46203</v>
      </c>
      <c r="F415" s="36" t="s">
        <v>82</v>
      </c>
      <c r="G415" s="281"/>
      <c r="H415" s="281"/>
      <c r="I415" s="281"/>
      <c r="J415" s="281">
        <v>150</v>
      </c>
      <c r="K415" t="s">
        <v>1803</v>
      </c>
      <c r="M415" t="s">
        <v>1697</v>
      </c>
      <c r="N415" t="s">
        <v>364</v>
      </c>
      <c r="O415" s="146" t="str">
        <f>_xlfn.XLOOKUP(N415,[1]!costcategory[Account Code],[1]!costcategory[Cost Category],"ERROR")</f>
        <v>Headcount Costs</v>
      </c>
      <c r="P415" t="s">
        <v>354</v>
      </c>
      <c r="Q415" s="147" t="str">
        <f>_xlfn.XLOOKUP(P415,[1]!Table2[Department],[1]!Table2[Group],"ERROR")</f>
        <v>Sales &amp; Marketing</v>
      </c>
      <c r="V415" s="36"/>
    </row>
    <row r="416" spans="1:23" customFormat="1" hidden="1" x14ac:dyDescent="0.2">
      <c r="A416" s="36" t="s">
        <v>247</v>
      </c>
      <c r="B416" s="36" t="s">
        <v>2</v>
      </c>
      <c r="C416" s="93">
        <v>46203</v>
      </c>
      <c r="D416" s="3">
        <v>46203</v>
      </c>
      <c r="E416" s="126">
        <v>46203</v>
      </c>
      <c r="F416" s="36" t="s">
        <v>82</v>
      </c>
      <c r="G416" s="281"/>
      <c r="H416" s="281"/>
      <c r="I416" s="281"/>
      <c r="J416" s="281">
        <v>16000</v>
      </c>
      <c r="K416" t="s">
        <v>1803</v>
      </c>
      <c r="M416" t="s">
        <v>1839</v>
      </c>
      <c r="N416" t="s">
        <v>387</v>
      </c>
      <c r="O416" s="146" t="str">
        <f>_xlfn.XLOOKUP(N416,[1]!costcategory[Account Code],[1]!costcategory[Cost Category],"ERROR")</f>
        <v>Headcount Costs</v>
      </c>
      <c r="P416" t="s">
        <v>63</v>
      </c>
      <c r="Q416" s="147" t="str">
        <f>_xlfn.XLOOKUP(P416,[1]!Table2[Department],[1]!Table2[Group],"ERROR")</f>
        <v>Research &amp; Development</v>
      </c>
      <c r="V416" s="36"/>
    </row>
    <row r="417" spans="1:22" customFormat="1" hidden="1" x14ac:dyDescent="0.2">
      <c r="A417" s="36" t="s">
        <v>247</v>
      </c>
      <c r="B417" s="36" t="s">
        <v>2</v>
      </c>
      <c r="C417" s="93">
        <v>46203</v>
      </c>
      <c r="D417" s="3">
        <v>46203</v>
      </c>
      <c r="E417" s="126">
        <v>46203</v>
      </c>
      <c r="F417" s="36" t="s">
        <v>82</v>
      </c>
      <c r="G417" s="281"/>
      <c r="H417" s="281"/>
      <c r="I417" s="281"/>
      <c r="J417" s="281">
        <v>4000</v>
      </c>
      <c r="K417" t="s">
        <v>1803</v>
      </c>
      <c r="M417" t="s">
        <v>1839</v>
      </c>
      <c r="N417" t="s">
        <v>387</v>
      </c>
      <c r="O417" s="146" t="str">
        <f>_xlfn.XLOOKUP(N417,[1]!costcategory[Account Code],[1]!costcategory[Cost Category],"ERROR")</f>
        <v>Headcount Costs</v>
      </c>
      <c r="P417" t="s">
        <v>45</v>
      </c>
      <c r="Q417" s="147" t="str">
        <f>_xlfn.XLOOKUP(P417,[1]!Table2[Department],[1]!Table2[Group],"ERROR")</f>
        <v>DSC</v>
      </c>
      <c r="V417" s="36"/>
    </row>
    <row r="418" spans="1:22" customFormat="1" hidden="1" x14ac:dyDescent="0.2">
      <c r="A418" s="36" t="s">
        <v>247</v>
      </c>
      <c r="B418" s="36" t="s">
        <v>2</v>
      </c>
      <c r="C418" s="93">
        <v>46203</v>
      </c>
      <c r="D418" s="3">
        <v>46203</v>
      </c>
      <c r="E418" s="126">
        <v>46203</v>
      </c>
      <c r="F418" s="36" t="s">
        <v>82</v>
      </c>
      <c r="G418" s="281"/>
      <c r="H418" s="281"/>
      <c r="I418" s="281"/>
      <c r="J418" s="281">
        <v>5500</v>
      </c>
      <c r="K418" t="s">
        <v>1803</v>
      </c>
      <c r="M418" t="s">
        <v>1839</v>
      </c>
      <c r="N418" t="s">
        <v>387</v>
      </c>
      <c r="O418" s="146" t="str">
        <f>_xlfn.XLOOKUP(N418,[1]!costcategory[Account Code],[1]!costcategory[Cost Category],"ERROR")</f>
        <v>Headcount Costs</v>
      </c>
      <c r="P418" t="s">
        <v>63</v>
      </c>
      <c r="Q418" s="147" t="str">
        <f>_xlfn.XLOOKUP(P418,[1]!Table2[Department],[1]!Table2[Group],"ERROR")</f>
        <v>Research &amp; Development</v>
      </c>
      <c r="V418" s="36"/>
    </row>
    <row r="419" spans="1:22" customFormat="1" hidden="1" x14ac:dyDescent="0.2">
      <c r="A419" s="36" t="s">
        <v>247</v>
      </c>
      <c r="B419" s="36" t="s">
        <v>2</v>
      </c>
      <c r="C419" s="93">
        <v>46203</v>
      </c>
      <c r="D419" s="3">
        <v>46203</v>
      </c>
      <c r="E419" s="126">
        <v>46203</v>
      </c>
      <c r="F419" s="36" t="s">
        <v>82</v>
      </c>
      <c r="G419" s="281"/>
      <c r="H419" s="281"/>
      <c r="I419" s="281"/>
      <c r="J419" s="281">
        <v>1500</v>
      </c>
      <c r="K419" t="s">
        <v>1803</v>
      </c>
      <c r="M419" t="s">
        <v>1840</v>
      </c>
      <c r="N419" t="s">
        <v>387</v>
      </c>
      <c r="O419" s="146" t="str">
        <f>_xlfn.XLOOKUP(N419,[1]!costcategory[Account Code],[1]!costcategory[Cost Category],"ERROR")</f>
        <v>Headcount Costs</v>
      </c>
      <c r="P419" t="s">
        <v>45</v>
      </c>
      <c r="Q419" s="147" t="str">
        <f>_xlfn.XLOOKUP(P419,[1]!Table2[Department],[1]!Table2[Group],"ERROR")</f>
        <v>DSC</v>
      </c>
      <c r="V419" s="36"/>
    </row>
    <row r="420" spans="1:22" customFormat="1" hidden="1" x14ac:dyDescent="0.2">
      <c r="A420" s="36" t="s">
        <v>247</v>
      </c>
      <c r="B420" s="36" t="s">
        <v>2</v>
      </c>
      <c r="C420" s="93">
        <v>46203</v>
      </c>
      <c r="D420" s="3">
        <v>46203</v>
      </c>
      <c r="E420" s="126">
        <v>46203</v>
      </c>
      <c r="F420" s="36" t="s">
        <v>82</v>
      </c>
      <c r="G420" s="281"/>
      <c r="H420" s="281"/>
      <c r="I420" s="281"/>
      <c r="J420" s="281">
        <v>3000</v>
      </c>
      <c r="K420" t="s">
        <v>1803</v>
      </c>
      <c r="M420" t="s">
        <v>1697</v>
      </c>
      <c r="N420" t="s">
        <v>364</v>
      </c>
      <c r="O420" s="146" t="str">
        <f>_xlfn.XLOOKUP(N420,[1]!costcategory[Account Code],[1]!costcategory[Cost Category],"ERROR")</f>
        <v>Headcount Costs</v>
      </c>
      <c r="P420" t="s">
        <v>63</v>
      </c>
      <c r="Q420" s="147" t="str">
        <f>_xlfn.XLOOKUP(P420,[1]!Table2[Department],[1]!Table2[Group],"ERROR")</f>
        <v>Research &amp; Development</v>
      </c>
      <c r="V420" s="36"/>
    </row>
    <row r="421" spans="1:22" customFormat="1" hidden="1" x14ac:dyDescent="0.2">
      <c r="A421" s="36" t="s">
        <v>247</v>
      </c>
      <c r="B421" s="36" t="s">
        <v>2</v>
      </c>
      <c r="C421" s="93">
        <v>46203</v>
      </c>
      <c r="D421" s="3">
        <v>46203</v>
      </c>
      <c r="E421" s="126">
        <v>46203</v>
      </c>
      <c r="F421" s="36" t="s">
        <v>82</v>
      </c>
      <c r="G421" s="281"/>
      <c r="H421" s="281"/>
      <c r="I421" s="281"/>
      <c r="J421" s="281">
        <v>1000</v>
      </c>
      <c r="K421" t="s">
        <v>1803</v>
      </c>
      <c r="M421" t="s">
        <v>1697</v>
      </c>
      <c r="N421" t="s">
        <v>364</v>
      </c>
      <c r="O421" s="146" t="str">
        <f>_xlfn.XLOOKUP(N421,[1]!costcategory[Account Code],[1]!costcategory[Cost Category],"ERROR")</f>
        <v>Headcount Costs</v>
      </c>
      <c r="P421" t="s">
        <v>45</v>
      </c>
      <c r="Q421" s="147" t="str">
        <f>_xlfn.XLOOKUP(P421,[1]!Table2[Department],[1]!Table2[Group],"ERROR")</f>
        <v>DSC</v>
      </c>
      <c r="V421" s="36"/>
    </row>
    <row r="422" spans="1:22" customFormat="1" hidden="1" x14ac:dyDescent="0.2">
      <c r="A422" s="36" t="s">
        <v>247</v>
      </c>
      <c r="B422" s="36" t="s">
        <v>2</v>
      </c>
      <c r="C422" s="93">
        <v>46203</v>
      </c>
      <c r="D422" s="3">
        <v>46203</v>
      </c>
      <c r="E422" s="126">
        <v>46203</v>
      </c>
      <c r="F422" s="36" t="s">
        <v>82</v>
      </c>
      <c r="G422" s="281"/>
      <c r="H422" s="281"/>
      <c r="I422" s="281"/>
      <c r="J422" s="281">
        <v>2500</v>
      </c>
      <c r="K422" t="s">
        <v>1803</v>
      </c>
      <c r="M422" t="s">
        <v>1839</v>
      </c>
      <c r="N422" t="s">
        <v>387</v>
      </c>
      <c r="O422" s="146" t="str">
        <f>_xlfn.XLOOKUP(N422,[1]!costcategory[Account Code],[1]!costcategory[Cost Category],"ERROR")</f>
        <v>Headcount Costs</v>
      </c>
      <c r="P422" t="s">
        <v>333</v>
      </c>
      <c r="Q422" s="147" t="str">
        <f>_xlfn.XLOOKUP(P422,[1]!Table2[Department],[1]!Table2[Group],"ERROR")</f>
        <v>General &amp; Administrative</v>
      </c>
      <c r="V422" s="36"/>
    </row>
    <row r="423" spans="1:22" customFormat="1" hidden="1" x14ac:dyDescent="0.2">
      <c r="A423" s="36" t="s">
        <v>247</v>
      </c>
      <c r="B423" s="36" t="s">
        <v>2</v>
      </c>
      <c r="C423" s="93">
        <v>46203</v>
      </c>
      <c r="D423" s="3">
        <v>46203</v>
      </c>
      <c r="E423" s="126">
        <v>46203</v>
      </c>
      <c r="F423" s="36" t="s">
        <v>82</v>
      </c>
      <c r="G423" s="281"/>
      <c r="H423" s="281"/>
      <c r="I423" s="281"/>
      <c r="J423" s="281">
        <v>1000</v>
      </c>
      <c r="K423" t="s">
        <v>1803</v>
      </c>
      <c r="M423" t="s">
        <v>1839</v>
      </c>
      <c r="N423" t="s">
        <v>387</v>
      </c>
      <c r="O423" s="146" t="str">
        <f>_xlfn.XLOOKUP(N423,[1]!costcategory[Account Code],[1]!costcategory[Cost Category],"ERROR")</f>
        <v>Headcount Costs</v>
      </c>
      <c r="P423" t="s">
        <v>333</v>
      </c>
      <c r="Q423" s="147" t="str">
        <f>_xlfn.XLOOKUP(P423,[1]!Table2[Department],[1]!Table2[Group],"ERROR")</f>
        <v>General &amp; Administrative</v>
      </c>
      <c r="V423" s="36"/>
    </row>
    <row r="424" spans="1:22" customFormat="1" hidden="1" x14ac:dyDescent="0.2">
      <c r="A424" s="36" t="s">
        <v>247</v>
      </c>
      <c r="B424" s="36" t="s">
        <v>2</v>
      </c>
      <c r="C424" s="93">
        <v>46203</v>
      </c>
      <c r="D424" s="3">
        <v>46203</v>
      </c>
      <c r="E424" s="126">
        <v>46203</v>
      </c>
      <c r="F424" s="36" t="s">
        <v>82</v>
      </c>
      <c r="G424" s="281"/>
      <c r="H424" s="281"/>
      <c r="I424" s="281"/>
      <c r="J424" s="281">
        <v>500</v>
      </c>
      <c r="K424" t="s">
        <v>1803</v>
      </c>
      <c r="M424" t="s">
        <v>1697</v>
      </c>
      <c r="N424" t="s">
        <v>364</v>
      </c>
      <c r="O424" s="146" t="str">
        <f>_xlfn.XLOOKUP(N424,[1]!costcategory[Account Code],[1]!costcategory[Cost Category],"ERROR")</f>
        <v>Headcount Costs</v>
      </c>
      <c r="P424" t="s">
        <v>333</v>
      </c>
      <c r="Q424" s="147" t="str">
        <f>_xlfn.XLOOKUP(P424,[1]!Table2[Department],[1]!Table2[Group],"ERROR")</f>
        <v>General &amp; Administrative</v>
      </c>
      <c r="V424" s="36"/>
    </row>
    <row r="425" spans="1:22" customFormat="1" hidden="1" x14ac:dyDescent="0.2">
      <c r="A425" s="36" t="s">
        <v>247</v>
      </c>
      <c r="B425" s="36" t="s">
        <v>2</v>
      </c>
      <c r="C425" s="93">
        <v>46203</v>
      </c>
      <c r="D425" s="3">
        <v>46203</v>
      </c>
      <c r="E425" s="126">
        <v>46203</v>
      </c>
      <c r="F425" s="36" t="s">
        <v>82</v>
      </c>
      <c r="G425" s="281"/>
      <c r="H425" s="281"/>
      <c r="I425" s="281"/>
      <c r="J425" s="281">
        <v>2500</v>
      </c>
      <c r="K425" t="s">
        <v>1803</v>
      </c>
      <c r="M425" t="s">
        <v>1839</v>
      </c>
      <c r="N425" t="s">
        <v>387</v>
      </c>
      <c r="O425" s="146" t="str">
        <f>_xlfn.XLOOKUP(N425,[1]!costcategory[Account Code],[1]!costcategory[Cost Category],"ERROR")</f>
        <v>Headcount Costs</v>
      </c>
      <c r="P425" t="s">
        <v>350</v>
      </c>
      <c r="Q425" s="147" t="str">
        <f>_xlfn.XLOOKUP(P425,[1]!Table2[Department],[1]!Table2[Group],"ERROR")</f>
        <v>General &amp; Administrative</v>
      </c>
      <c r="V425" s="36"/>
    </row>
    <row r="426" spans="1:22" customFormat="1" hidden="1" x14ac:dyDescent="0.2">
      <c r="A426" s="36" t="s">
        <v>247</v>
      </c>
      <c r="B426" s="36" t="s">
        <v>2</v>
      </c>
      <c r="C426" s="93">
        <v>46203</v>
      </c>
      <c r="D426" s="3">
        <v>46203</v>
      </c>
      <c r="E426" s="126">
        <v>46203</v>
      </c>
      <c r="F426" s="36" t="s">
        <v>82</v>
      </c>
      <c r="G426" s="281"/>
      <c r="H426" s="281"/>
      <c r="I426" s="281"/>
      <c r="J426" s="281">
        <v>1000</v>
      </c>
      <c r="K426" t="s">
        <v>1803</v>
      </c>
      <c r="M426" t="s">
        <v>1839</v>
      </c>
      <c r="N426" t="s">
        <v>387</v>
      </c>
      <c r="O426" s="146" t="str">
        <f>_xlfn.XLOOKUP(N426,[1]!costcategory[Account Code],[1]!costcategory[Cost Category],"ERROR")</f>
        <v>Headcount Costs</v>
      </c>
      <c r="P426" t="s">
        <v>350</v>
      </c>
      <c r="Q426" s="147" t="str">
        <f>_xlfn.XLOOKUP(P426,[1]!Table2[Department],[1]!Table2[Group],"ERROR")</f>
        <v>General &amp; Administrative</v>
      </c>
      <c r="V426" s="36"/>
    </row>
    <row r="427" spans="1:22" customFormat="1" hidden="1" x14ac:dyDescent="0.2">
      <c r="A427" s="36" t="s">
        <v>247</v>
      </c>
      <c r="B427" s="36" t="s">
        <v>2</v>
      </c>
      <c r="C427" s="93">
        <v>46203</v>
      </c>
      <c r="D427" s="3">
        <v>46203</v>
      </c>
      <c r="E427" s="126">
        <v>46203</v>
      </c>
      <c r="F427" s="36" t="s">
        <v>82</v>
      </c>
      <c r="G427" s="281"/>
      <c r="H427" s="281"/>
      <c r="I427" s="281"/>
      <c r="J427" s="281">
        <v>500</v>
      </c>
      <c r="K427" t="s">
        <v>1803</v>
      </c>
      <c r="M427" t="s">
        <v>1697</v>
      </c>
      <c r="N427" t="s">
        <v>364</v>
      </c>
      <c r="O427" s="146" t="str">
        <f>_xlfn.XLOOKUP(N427,[1]!costcategory[Account Code],[1]!costcategory[Cost Category],"ERROR")</f>
        <v>Headcount Costs</v>
      </c>
      <c r="P427" t="s">
        <v>350</v>
      </c>
      <c r="Q427" s="147" t="str">
        <f>_xlfn.XLOOKUP(P427,[1]!Table2[Department],[1]!Table2[Group],"ERROR")</f>
        <v>General &amp; Administrative</v>
      </c>
      <c r="V427" s="36"/>
    </row>
    <row r="428" spans="1:22" customFormat="1" hidden="1" x14ac:dyDescent="0.2">
      <c r="A428" s="36" t="s">
        <v>247</v>
      </c>
      <c r="B428" s="36" t="s">
        <v>2</v>
      </c>
      <c r="C428" s="93">
        <v>46203</v>
      </c>
      <c r="D428" s="3">
        <v>46203</v>
      </c>
      <c r="E428" s="126">
        <v>46203</v>
      </c>
      <c r="F428" s="36" t="s">
        <v>82</v>
      </c>
      <c r="G428" s="281"/>
      <c r="H428" s="281"/>
      <c r="I428" s="281"/>
      <c r="J428" s="281">
        <v>5500</v>
      </c>
      <c r="K428" t="s">
        <v>1803</v>
      </c>
      <c r="M428" t="s">
        <v>1839</v>
      </c>
      <c r="N428" t="s">
        <v>387</v>
      </c>
      <c r="O428" s="146" t="str">
        <f>_xlfn.XLOOKUP(N428,[1]!costcategory[Account Code],[1]!costcategory[Cost Category],"ERROR")</f>
        <v>Headcount Costs</v>
      </c>
      <c r="P428" t="s">
        <v>438</v>
      </c>
      <c r="Q428" s="147" t="str">
        <f>_xlfn.XLOOKUP(P428,[1]!Table2[Department],[1]!Table2[Group],"ERROR")</f>
        <v>Sales &amp; Marketing</v>
      </c>
      <c r="V428" s="36"/>
    </row>
    <row r="429" spans="1:22" customFormat="1" hidden="1" x14ac:dyDescent="0.2">
      <c r="A429" s="36" t="s">
        <v>247</v>
      </c>
      <c r="B429" s="36" t="s">
        <v>2</v>
      </c>
      <c r="C429" s="93">
        <v>46203</v>
      </c>
      <c r="D429" s="3">
        <v>46203</v>
      </c>
      <c r="E429" s="126">
        <v>46203</v>
      </c>
      <c r="F429" s="36" t="s">
        <v>82</v>
      </c>
      <c r="G429" s="281"/>
      <c r="H429" s="281"/>
      <c r="I429" s="281"/>
      <c r="J429" s="281">
        <v>2000</v>
      </c>
      <c r="K429" t="s">
        <v>1803</v>
      </c>
      <c r="M429" t="s">
        <v>1839</v>
      </c>
      <c r="N429" t="s">
        <v>387</v>
      </c>
      <c r="O429" s="146" t="str">
        <f>_xlfn.XLOOKUP(N429,[1]!costcategory[Account Code],[1]!costcategory[Cost Category],"ERROR")</f>
        <v>Headcount Costs</v>
      </c>
      <c r="P429" t="s">
        <v>438</v>
      </c>
      <c r="Q429" s="147" t="str">
        <f>_xlfn.XLOOKUP(P429,[1]!Table2[Department],[1]!Table2[Group],"ERROR")</f>
        <v>Sales &amp; Marketing</v>
      </c>
      <c r="V429" s="36"/>
    </row>
    <row r="430" spans="1:22" customFormat="1" hidden="1" x14ac:dyDescent="0.2">
      <c r="A430" s="36" t="s">
        <v>247</v>
      </c>
      <c r="B430" s="36" t="s">
        <v>2</v>
      </c>
      <c r="C430" s="93">
        <v>46203</v>
      </c>
      <c r="D430" s="3">
        <v>46203</v>
      </c>
      <c r="E430" s="126">
        <v>46203</v>
      </c>
      <c r="F430" s="36" t="s">
        <v>82</v>
      </c>
      <c r="G430" s="281"/>
      <c r="H430" s="281"/>
      <c r="I430" s="281"/>
      <c r="J430" s="281">
        <v>1000</v>
      </c>
      <c r="K430" t="s">
        <v>1803</v>
      </c>
      <c r="M430" t="s">
        <v>1697</v>
      </c>
      <c r="N430" t="s">
        <v>364</v>
      </c>
      <c r="O430" s="146" t="str">
        <f>_xlfn.XLOOKUP(N430,[1]!costcategory[Account Code],[1]!costcategory[Cost Category],"ERROR")</f>
        <v>Headcount Costs</v>
      </c>
      <c r="P430" t="s">
        <v>438</v>
      </c>
      <c r="Q430" s="147" t="str">
        <f>_xlfn.XLOOKUP(P430,[1]!Table2[Department],[1]!Table2[Group],"ERROR")</f>
        <v>Sales &amp; Marketing</v>
      </c>
      <c r="V430" s="36"/>
    </row>
    <row r="431" spans="1:22" customFormat="1" hidden="1" x14ac:dyDescent="0.2">
      <c r="A431" s="36" t="s">
        <v>247</v>
      </c>
      <c r="B431" s="36" t="s">
        <v>2</v>
      </c>
      <c r="C431" s="93">
        <v>46203</v>
      </c>
      <c r="D431" s="3">
        <v>46203</v>
      </c>
      <c r="E431" s="126">
        <v>46203</v>
      </c>
      <c r="F431" s="36" t="s">
        <v>82</v>
      </c>
      <c r="G431" s="281"/>
      <c r="H431" s="281"/>
      <c r="I431" s="281"/>
      <c r="J431" s="281">
        <v>3500</v>
      </c>
      <c r="K431" t="s">
        <v>1803</v>
      </c>
      <c r="M431" t="s">
        <v>1839</v>
      </c>
      <c r="N431" t="s">
        <v>387</v>
      </c>
      <c r="O431" s="146" t="str">
        <f>_xlfn.XLOOKUP(N431,[1]!costcategory[Account Code],[1]!costcategory[Cost Category],"ERROR")</f>
        <v>Headcount Costs</v>
      </c>
      <c r="P431" t="s">
        <v>350</v>
      </c>
      <c r="Q431" s="147" t="str">
        <f>_xlfn.XLOOKUP(P431,[1]!Table2[Department],[1]!Table2[Group],"ERROR")</f>
        <v>General &amp; Administrative</v>
      </c>
      <c r="V431" s="36"/>
    </row>
    <row r="432" spans="1:22" customFormat="1" hidden="1" x14ac:dyDescent="0.2">
      <c r="A432" s="36" t="s">
        <v>247</v>
      </c>
      <c r="B432" s="36" t="s">
        <v>2</v>
      </c>
      <c r="C432" s="93">
        <v>46203</v>
      </c>
      <c r="D432" s="3">
        <v>46203</v>
      </c>
      <c r="E432" s="126">
        <v>46203</v>
      </c>
      <c r="F432" s="36" t="s">
        <v>82</v>
      </c>
      <c r="G432" s="281"/>
      <c r="H432" s="281"/>
      <c r="I432" s="281"/>
      <c r="J432" s="281">
        <v>1500</v>
      </c>
      <c r="K432" t="s">
        <v>1803</v>
      </c>
      <c r="M432" t="s">
        <v>1697</v>
      </c>
      <c r="N432" t="s">
        <v>364</v>
      </c>
      <c r="O432" s="146" t="str">
        <f>_xlfn.XLOOKUP(N432,[1]!costcategory[Account Code],[1]!costcategory[Cost Category],"ERROR")</f>
        <v>Headcount Costs</v>
      </c>
      <c r="P432" t="s">
        <v>350</v>
      </c>
      <c r="Q432" s="147" t="str">
        <f>_xlfn.XLOOKUP(P432,[1]!Table2[Department],[1]!Table2[Group],"ERROR")</f>
        <v>General &amp; Administrative</v>
      </c>
      <c r="V432" s="36"/>
    </row>
    <row r="433" spans="1:22" customFormat="1" hidden="1" x14ac:dyDescent="0.2">
      <c r="A433" s="36" t="s">
        <v>247</v>
      </c>
      <c r="B433" s="36" t="s">
        <v>2</v>
      </c>
      <c r="C433" s="93">
        <v>46218</v>
      </c>
      <c r="D433" s="3"/>
      <c r="E433" s="126">
        <v>46218</v>
      </c>
      <c r="F433" s="36" t="s">
        <v>82</v>
      </c>
      <c r="G433" s="281">
        <v>16837</v>
      </c>
      <c r="H433" s="281">
        <v>0</v>
      </c>
      <c r="I433" s="281">
        <v>16837</v>
      </c>
      <c r="J433" s="281">
        <v>4074.2002896419858</v>
      </c>
      <c r="K433" t="s">
        <v>630</v>
      </c>
      <c r="M433" t="s">
        <v>1838</v>
      </c>
      <c r="N433" t="s">
        <v>509</v>
      </c>
      <c r="O433" s="146" t="str">
        <f>_xlfn.XLOOKUP(N433,[1]!costcategory[Account Code],[1]!costcategory[Cost Category],"ERROR")</f>
        <v>Corporate Tax Expenses</v>
      </c>
      <c r="P433" t="s">
        <v>333</v>
      </c>
      <c r="Q433" s="147" t="str">
        <f>_xlfn.XLOOKUP(P433,[1]!Table2[Department],[1]!Table2[Group],"ERROR")</f>
        <v>General &amp; Administrative</v>
      </c>
      <c r="V433" s="36"/>
    </row>
    <row r="434" spans="1:22" customFormat="1" hidden="1" x14ac:dyDescent="0.2">
      <c r="A434" s="317" t="s">
        <v>1620</v>
      </c>
      <c r="B434" s="36" t="s">
        <v>2</v>
      </c>
      <c r="C434" s="93">
        <v>46204</v>
      </c>
      <c r="D434" s="3">
        <v>46204</v>
      </c>
      <c r="E434" s="126">
        <v>46203</v>
      </c>
      <c r="F434" s="36" t="s">
        <v>82</v>
      </c>
      <c r="G434" s="281">
        <v>9764.7999999999993</v>
      </c>
      <c r="H434" s="281">
        <v>585.89</v>
      </c>
      <c r="I434" s="281">
        <v>10350.69</v>
      </c>
      <c r="J434" s="281">
        <v>2504.65</v>
      </c>
      <c r="K434" s="4" t="s">
        <v>582</v>
      </c>
      <c r="L434" s="4" t="s">
        <v>1837</v>
      </c>
      <c r="M434" t="s">
        <v>1836</v>
      </c>
      <c r="N434" t="s">
        <v>409</v>
      </c>
      <c r="O434" s="146" t="str">
        <f>_xlfn.XLOOKUP(N434,[1]!costcategory[Account Code],[1]!costcategory[Cost Category],"ERROR")</f>
        <v>Rental</v>
      </c>
      <c r="P434" t="s">
        <v>340</v>
      </c>
      <c r="Q434" s="147" t="str">
        <f>_xlfn.XLOOKUP(P434,[1]!Table2[Department],[1]!Table2[Group],"ERROR")</f>
        <v>General &amp; Administrative</v>
      </c>
      <c r="V434" s="36"/>
    </row>
    <row r="435" spans="1:22" customFormat="1" hidden="1" x14ac:dyDescent="0.2">
      <c r="A435" s="317" t="s">
        <v>1620</v>
      </c>
      <c r="B435" s="36" t="s">
        <v>2</v>
      </c>
      <c r="C435" s="93">
        <v>46198</v>
      </c>
      <c r="D435" s="3">
        <v>46198</v>
      </c>
      <c r="E435" s="126">
        <v>46198</v>
      </c>
      <c r="F435" s="36" t="s">
        <v>82</v>
      </c>
      <c r="G435" s="281">
        <v>2096</v>
      </c>
      <c r="H435" s="281">
        <v>0</v>
      </c>
      <c r="I435" s="281">
        <v>2096</v>
      </c>
      <c r="J435" s="281">
        <v>524</v>
      </c>
      <c r="K435" s="4" t="s">
        <v>1832</v>
      </c>
      <c r="L435" s="4"/>
      <c r="M435" s="4" t="s">
        <v>1835</v>
      </c>
      <c r="N435" s="4" t="s">
        <v>353</v>
      </c>
      <c r="O435" s="146" t="str">
        <f>_xlfn.XLOOKUP(N435,[1]!costcategory[Account Code],[1]!costcategory[Cost Category],"ERROR")</f>
        <v>Travelling Expenses</v>
      </c>
      <c r="P435" t="s">
        <v>45</v>
      </c>
      <c r="Q435" s="147" t="str">
        <f>_xlfn.XLOOKUP(P435,[1]!Table2[Department],[1]!Table2[Group],"ERROR")</f>
        <v>DSC</v>
      </c>
      <c r="V435" s="36"/>
    </row>
    <row r="436" spans="1:22" customFormat="1" hidden="1" x14ac:dyDescent="0.2">
      <c r="A436" s="317" t="s">
        <v>1620</v>
      </c>
      <c r="B436" s="36" t="s">
        <v>2</v>
      </c>
      <c r="C436" s="93">
        <v>46198</v>
      </c>
      <c r="D436" s="3">
        <v>46198</v>
      </c>
      <c r="E436" s="126">
        <v>46198</v>
      </c>
      <c r="F436" s="36" t="s">
        <v>82</v>
      </c>
      <c r="G436" s="281">
        <v>2035</v>
      </c>
      <c r="H436" s="281">
        <v>0</v>
      </c>
      <c r="I436" s="281">
        <f>G436+H436</f>
        <v>2035</v>
      </c>
      <c r="J436" s="281">
        <v>508.75</v>
      </c>
      <c r="K436" s="4" t="s">
        <v>1832</v>
      </c>
      <c r="L436" s="4"/>
      <c r="M436" s="4" t="s">
        <v>1834</v>
      </c>
      <c r="N436" s="4" t="s">
        <v>353</v>
      </c>
      <c r="O436" s="146" t="str">
        <f>_xlfn.XLOOKUP(N436,[1]!costcategory[Account Code],[1]!costcategory[Cost Category],"ERROR")</f>
        <v>Travelling Expenses</v>
      </c>
      <c r="P436" t="s">
        <v>45</v>
      </c>
      <c r="Q436" s="147" t="str">
        <f>_xlfn.XLOOKUP(P436,[1]!Table2[Department],[1]!Table2[Group],"ERROR")</f>
        <v>DSC</v>
      </c>
      <c r="V436" s="36"/>
    </row>
    <row r="437" spans="1:22" customFormat="1" hidden="1" x14ac:dyDescent="0.2">
      <c r="A437" s="317" t="s">
        <v>1620</v>
      </c>
      <c r="B437" s="36" t="s">
        <v>2</v>
      </c>
      <c r="C437" s="93">
        <v>46198</v>
      </c>
      <c r="D437" s="3">
        <v>46198</v>
      </c>
      <c r="E437" s="126">
        <v>46198</v>
      </c>
      <c r="F437" s="36" t="s">
        <v>82</v>
      </c>
      <c r="G437" s="281">
        <v>2035</v>
      </c>
      <c r="H437" s="281">
        <v>0</v>
      </c>
      <c r="I437" s="281">
        <f>G437+H437</f>
        <v>2035</v>
      </c>
      <c r="J437" s="281">
        <v>508.75</v>
      </c>
      <c r="K437" s="4" t="s">
        <v>1832</v>
      </c>
      <c r="L437" s="4"/>
      <c r="M437" s="4" t="s">
        <v>1833</v>
      </c>
      <c r="N437" s="4" t="s">
        <v>353</v>
      </c>
      <c r="O437" s="146" t="str">
        <f>_xlfn.XLOOKUP(N437,[1]!costcategory[Account Code],[1]!costcategory[Cost Category],"ERROR")</f>
        <v>Travelling Expenses</v>
      </c>
      <c r="P437" t="s">
        <v>45</v>
      </c>
      <c r="Q437" s="147" t="str">
        <f>_xlfn.XLOOKUP(P437,[1]!Table2[Department],[1]!Table2[Group],"ERROR")</f>
        <v>DSC</v>
      </c>
      <c r="V437" s="36"/>
    </row>
    <row r="438" spans="1:22" customFormat="1" hidden="1" x14ac:dyDescent="0.2">
      <c r="A438" s="317" t="s">
        <v>1620</v>
      </c>
      <c r="B438" s="36" t="s">
        <v>2</v>
      </c>
      <c r="C438" s="93">
        <v>46198</v>
      </c>
      <c r="D438" s="3">
        <v>46198</v>
      </c>
      <c r="E438" s="126">
        <v>46198</v>
      </c>
      <c r="F438" s="36" t="s">
        <v>82</v>
      </c>
      <c r="G438" s="281">
        <v>1974</v>
      </c>
      <c r="H438" s="281">
        <v>0</v>
      </c>
      <c r="I438" s="281">
        <f>G438+H438</f>
        <v>1974</v>
      </c>
      <c r="J438" s="281">
        <v>493.5</v>
      </c>
      <c r="K438" s="4" t="s">
        <v>1832</v>
      </c>
      <c r="L438" s="4"/>
      <c r="M438" s="4" t="s">
        <v>1831</v>
      </c>
      <c r="N438" s="4" t="s">
        <v>353</v>
      </c>
      <c r="O438" s="146" t="str">
        <f>_xlfn.XLOOKUP(N438,[1]!costcategory[Account Code],[1]!costcategory[Cost Category],"ERROR")</f>
        <v>Travelling Expenses</v>
      </c>
      <c r="P438" t="s">
        <v>45</v>
      </c>
      <c r="Q438" s="147" t="str">
        <f>_xlfn.XLOOKUP(P438,[1]!Table2[Department],[1]!Table2[Group],"ERROR")</f>
        <v>DSC</v>
      </c>
      <c r="V438" s="36"/>
    </row>
    <row r="439" spans="1:22" customFormat="1" hidden="1" x14ac:dyDescent="0.2">
      <c r="A439" s="36" t="s">
        <v>247</v>
      </c>
      <c r="B439" s="36" t="s">
        <v>2</v>
      </c>
      <c r="C439" s="93">
        <v>46204</v>
      </c>
      <c r="D439" s="3">
        <v>46204</v>
      </c>
      <c r="E439" s="126">
        <v>46228</v>
      </c>
      <c r="F439" s="36" t="s">
        <v>82</v>
      </c>
      <c r="G439" s="281">
        <v>6000</v>
      </c>
      <c r="H439" s="281">
        <v>0</v>
      </c>
      <c r="I439" s="281">
        <v>6000</v>
      </c>
      <c r="J439" s="281">
        <v>1451.8739524768021</v>
      </c>
      <c r="K439" t="s">
        <v>444</v>
      </c>
      <c r="M439" t="s">
        <v>1830</v>
      </c>
      <c r="N439" t="s">
        <v>374</v>
      </c>
      <c r="O439" s="146" t="str">
        <f>_xlfn.XLOOKUP(N439,[1]!costcategory[Account Code],[1]!costcategory[Cost Category],"ERROR")</f>
        <v>Non-Current Liabilities</v>
      </c>
      <c r="P439" t="s">
        <v>376</v>
      </c>
      <c r="Q439" s="147" t="str">
        <f>_xlfn.XLOOKUP(P439,[1]!Table2[Department],[1]!Table2[Group],"ERROR")</f>
        <v>General &amp; Administrative</v>
      </c>
      <c r="V439" s="36"/>
    </row>
    <row r="440" spans="1:22" customFormat="1" hidden="1" x14ac:dyDescent="0.2">
      <c r="A440" s="36" t="s">
        <v>247</v>
      </c>
      <c r="B440" s="36" t="s">
        <v>2</v>
      </c>
      <c r="C440" s="93">
        <v>46228</v>
      </c>
      <c r="D440" s="3">
        <v>46228</v>
      </c>
      <c r="E440" s="126">
        <v>46228</v>
      </c>
      <c r="F440" s="36" t="s">
        <v>82</v>
      </c>
      <c r="G440" s="281">
        <v>450</v>
      </c>
      <c r="H440" s="281">
        <v>0</v>
      </c>
      <c r="I440" s="281">
        <v>450</v>
      </c>
      <c r="J440" s="281">
        <v>108.89054643576014</v>
      </c>
      <c r="K440" t="s">
        <v>445</v>
      </c>
      <c r="M440" t="s">
        <v>1829</v>
      </c>
      <c r="N440" t="s">
        <v>58</v>
      </c>
      <c r="O440" s="146" t="str">
        <f>_xlfn.XLOOKUP(N440,[1]!costcategory[Account Code],[1]!costcategory[Cost Category],"ERROR")</f>
        <v>Network &amp; Server</v>
      </c>
      <c r="P440" t="s">
        <v>376</v>
      </c>
      <c r="Q440" s="147" t="str">
        <f>_xlfn.XLOOKUP(P440,[1]!Table2[Department],[1]!Table2[Group],"ERROR")</f>
        <v>General &amp; Administrative</v>
      </c>
      <c r="V440" s="36"/>
    </row>
    <row r="441" spans="1:22" customFormat="1" hidden="1" x14ac:dyDescent="0.2">
      <c r="A441" s="36" t="s">
        <v>247</v>
      </c>
      <c r="B441" s="36" t="s">
        <v>2</v>
      </c>
      <c r="C441" s="93">
        <v>46234</v>
      </c>
      <c r="D441" s="3">
        <v>46234</v>
      </c>
      <c r="E441" s="126">
        <v>46234</v>
      </c>
      <c r="F441" s="36" t="s">
        <v>82</v>
      </c>
      <c r="G441" s="281"/>
      <c r="H441" s="281"/>
      <c r="I441" s="281"/>
      <c r="J441" s="281">
        <v>4000</v>
      </c>
      <c r="K441" t="s">
        <v>1803</v>
      </c>
      <c r="M441" t="s">
        <v>1828</v>
      </c>
      <c r="N441" t="s">
        <v>387</v>
      </c>
      <c r="O441" s="146" t="str">
        <f>_xlfn.XLOOKUP(N441,[1]!costcategory[Account Code],[1]!costcategory[Cost Category],"ERROR")</f>
        <v>Headcount Costs</v>
      </c>
      <c r="P441" t="s">
        <v>354</v>
      </c>
      <c r="Q441" s="147" t="str">
        <f>_xlfn.XLOOKUP(P441,[1]!Table2[Department],[1]!Table2[Group],"ERROR")</f>
        <v>Sales &amp; Marketing</v>
      </c>
      <c r="V441" s="36"/>
    </row>
    <row r="442" spans="1:22" customFormat="1" hidden="1" x14ac:dyDescent="0.2">
      <c r="A442" s="36" t="s">
        <v>247</v>
      </c>
      <c r="B442" s="36" t="s">
        <v>2</v>
      </c>
      <c r="C442" s="93">
        <v>46234</v>
      </c>
      <c r="D442" s="3">
        <v>46234</v>
      </c>
      <c r="E442" s="126">
        <v>46234</v>
      </c>
      <c r="F442" s="36" t="s">
        <v>82</v>
      </c>
      <c r="G442" s="281"/>
      <c r="H442" s="281"/>
      <c r="I442" s="281"/>
      <c r="J442" s="281">
        <v>1000</v>
      </c>
      <c r="K442" t="s">
        <v>1803</v>
      </c>
      <c r="M442" t="s">
        <v>1828</v>
      </c>
      <c r="N442" t="s">
        <v>387</v>
      </c>
      <c r="O442" s="146" t="str">
        <f>_xlfn.XLOOKUP(N442,[1]!costcategory[Account Code],[1]!costcategory[Cost Category],"ERROR")</f>
        <v>Headcount Costs</v>
      </c>
      <c r="P442" t="s">
        <v>354</v>
      </c>
      <c r="Q442" s="147" t="str">
        <f>_xlfn.XLOOKUP(P442,[1]!Table2[Department],[1]!Table2[Group],"ERROR")</f>
        <v>Sales &amp; Marketing</v>
      </c>
      <c r="V442" s="36"/>
    </row>
    <row r="443" spans="1:22" customFormat="1" hidden="1" x14ac:dyDescent="0.2">
      <c r="A443" s="36" t="s">
        <v>247</v>
      </c>
      <c r="B443" s="36" t="s">
        <v>2</v>
      </c>
      <c r="C443" s="93">
        <v>46234</v>
      </c>
      <c r="D443" s="3">
        <v>46234</v>
      </c>
      <c r="E443" s="126">
        <v>46234</v>
      </c>
      <c r="F443" s="36" t="s">
        <v>82</v>
      </c>
      <c r="G443" s="281"/>
      <c r="H443" s="281"/>
      <c r="I443" s="281"/>
      <c r="J443" s="281">
        <v>150</v>
      </c>
      <c r="K443" t="s">
        <v>1803</v>
      </c>
      <c r="M443" t="s">
        <v>1686</v>
      </c>
      <c r="N443" t="s">
        <v>364</v>
      </c>
      <c r="O443" s="146" t="str">
        <f>_xlfn.XLOOKUP(N443,[1]!costcategory[Account Code],[1]!costcategory[Cost Category],"ERROR")</f>
        <v>Headcount Costs</v>
      </c>
      <c r="P443" t="s">
        <v>354</v>
      </c>
      <c r="Q443" s="147" t="str">
        <f>_xlfn.XLOOKUP(P443,[1]!Table2[Department],[1]!Table2[Group],"ERROR")</f>
        <v>Sales &amp; Marketing</v>
      </c>
      <c r="V443" s="36"/>
    </row>
    <row r="444" spans="1:22" customFormat="1" hidden="1" x14ac:dyDescent="0.2">
      <c r="A444" s="36" t="s">
        <v>247</v>
      </c>
      <c r="B444" s="36" t="s">
        <v>2</v>
      </c>
      <c r="C444" s="93">
        <v>46234</v>
      </c>
      <c r="D444" s="3">
        <v>46234</v>
      </c>
      <c r="E444" s="126">
        <v>46234</v>
      </c>
      <c r="F444" s="36" t="s">
        <v>82</v>
      </c>
      <c r="G444" s="281"/>
      <c r="H444" s="281"/>
      <c r="I444" s="281"/>
      <c r="J444" s="281">
        <v>16000</v>
      </c>
      <c r="K444" t="s">
        <v>1803</v>
      </c>
      <c r="M444" t="s">
        <v>1828</v>
      </c>
      <c r="N444" t="s">
        <v>387</v>
      </c>
      <c r="O444" s="146" t="str">
        <f>_xlfn.XLOOKUP(N444,[1]!costcategory[Account Code],[1]!costcategory[Cost Category],"ERROR")</f>
        <v>Headcount Costs</v>
      </c>
      <c r="P444" t="s">
        <v>63</v>
      </c>
      <c r="Q444" s="147" t="str">
        <f>_xlfn.XLOOKUP(P444,[1]!Table2[Department],[1]!Table2[Group],"ERROR")</f>
        <v>Research &amp; Development</v>
      </c>
      <c r="V444" s="36"/>
    </row>
    <row r="445" spans="1:22" customFormat="1" hidden="1" x14ac:dyDescent="0.2">
      <c r="A445" s="36" t="s">
        <v>247</v>
      </c>
      <c r="B445" s="36" t="s">
        <v>2</v>
      </c>
      <c r="C445" s="93">
        <v>46234</v>
      </c>
      <c r="D445" s="3">
        <v>46234</v>
      </c>
      <c r="E445" s="126">
        <v>46234</v>
      </c>
      <c r="F445" s="36" t="s">
        <v>82</v>
      </c>
      <c r="G445" s="281"/>
      <c r="H445" s="281"/>
      <c r="I445" s="281"/>
      <c r="J445" s="281">
        <v>4000</v>
      </c>
      <c r="K445" t="s">
        <v>1803</v>
      </c>
      <c r="M445" t="s">
        <v>1828</v>
      </c>
      <c r="N445" t="s">
        <v>387</v>
      </c>
      <c r="O445" s="146" t="str">
        <f>_xlfn.XLOOKUP(N445,[1]!costcategory[Account Code],[1]!costcategory[Cost Category],"ERROR")</f>
        <v>Headcount Costs</v>
      </c>
      <c r="P445" t="s">
        <v>45</v>
      </c>
      <c r="Q445" s="147" t="str">
        <f>_xlfn.XLOOKUP(P445,[1]!Table2[Department],[1]!Table2[Group],"ERROR")</f>
        <v>DSC</v>
      </c>
      <c r="V445" s="36"/>
    </row>
    <row r="446" spans="1:22" customFormat="1" hidden="1" x14ac:dyDescent="0.2">
      <c r="A446" s="36" t="s">
        <v>247</v>
      </c>
      <c r="B446" s="36" t="s">
        <v>2</v>
      </c>
      <c r="C446" s="93">
        <v>46234</v>
      </c>
      <c r="D446" s="3">
        <v>46234</v>
      </c>
      <c r="E446" s="126">
        <v>46234</v>
      </c>
      <c r="F446" s="36" t="s">
        <v>82</v>
      </c>
      <c r="G446" s="281"/>
      <c r="H446" s="281"/>
      <c r="I446" s="281"/>
      <c r="J446" s="281">
        <v>5500</v>
      </c>
      <c r="K446" t="s">
        <v>1803</v>
      </c>
      <c r="M446" t="s">
        <v>1828</v>
      </c>
      <c r="N446" t="s">
        <v>387</v>
      </c>
      <c r="O446" s="146" t="str">
        <f>_xlfn.XLOOKUP(N446,[1]!costcategory[Account Code],[1]!costcategory[Cost Category],"ERROR")</f>
        <v>Headcount Costs</v>
      </c>
      <c r="P446" t="s">
        <v>63</v>
      </c>
      <c r="Q446" s="147" t="str">
        <f>_xlfn.XLOOKUP(P446,[1]!Table2[Department],[1]!Table2[Group],"ERROR")</f>
        <v>Research &amp; Development</v>
      </c>
      <c r="V446" s="36"/>
    </row>
    <row r="447" spans="1:22" customFormat="1" hidden="1" x14ac:dyDescent="0.2">
      <c r="A447" s="36" t="s">
        <v>247</v>
      </c>
      <c r="B447" s="36" t="s">
        <v>2</v>
      </c>
      <c r="C447" s="93">
        <v>46234</v>
      </c>
      <c r="D447" s="3">
        <v>46234</v>
      </c>
      <c r="E447" s="126">
        <v>46234</v>
      </c>
      <c r="F447" s="36" t="s">
        <v>82</v>
      </c>
      <c r="G447" s="281"/>
      <c r="H447" s="281"/>
      <c r="I447" s="281"/>
      <c r="J447" s="281">
        <v>1500</v>
      </c>
      <c r="K447" t="s">
        <v>1803</v>
      </c>
      <c r="M447" t="s">
        <v>1828</v>
      </c>
      <c r="N447" t="s">
        <v>387</v>
      </c>
      <c r="O447" s="146" t="str">
        <f>_xlfn.XLOOKUP(N447,[1]!costcategory[Account Code],[1]!costcategory[Cost Category],"ERROR")</f>
        <v>Headcount Costs</v>
      </c>
      <c r="P447" t="s">
        <v>45</v>
      </c>
      <c r="Q447" s="147" t="str">
        <f>_xlfn.XLOOKUP(P447,[1]!Table2[Department],[1]!Table2[Group],"ERROR")</f>
        <v>DSC</v>
      </c>
      <c r="V447" s="36"/>
    </row>
    <row r="448" spans="1:22" customFormat="1" hidden="1" x14ac:dyDescent="0.2">
      <c r="A448" s="36" t="s">
        <v>247</v>
      </c>
      <c r="B448" s="36" t="s">
        <v>2</v>
      </c>
      <c r="C448" s="93">
        <v>46234</v>
      </c>
      <c r="D448" s="3">
        <v>46234</v>
      </c>
      <c r="E448" s="126">
        <v>46234</v>
      </c>
      <c r="F448" s="36" t="s">
        <v>82</v>
      </c>
      <c r="G448" s="281"/>
      <c r="H448" s="281"/>
      <c r="I448" s="281"/>
      <c r="J448" s="281">
        <v>3000</v>
      </c>
      <c r="K448" t="s">
        <v>1803</v>
      </c>
      <c r="M448" t="s">
        <v>1686</v>
      </c>
      <c r="N448" t="s">
        <v>364</v>
      </c>
      <c r="O448" s="146" t="str">
        <f>_xlfn.XLOOKUP(N448,[1]!costcategory[Account Code],[1]!costcategory[Cost Category],"ERROR")</f>
        <v>Headcount Costs</v>
      </c>
      <c r="P448" t="s">
        <v>63</v>
      </c>
      <c r="Q448" s="147" t="str">
        <f>_xlfn.XLOOKUP(P448,[1]!Table2[Department],[1]!Table2[Group],"ERROR")</f>
        <v>Research &amp; Development</v>
      </c>
      <c r="V448" s="36"/>
    </row>
    <row r="449" spans="1:22" customFormat="1" hidden="1" x14ac:dyDescent="0.2">
      <c r="A449" s="36" t="s">
        <v>247</v>
      </c>
      <c r="B449" s="36" t="s">
        <v>2</v>
      </c>
      <c r="C449" s="93">
        <v>46234</v>
      </c>
      <c r="D449" s="3">
        <v>46234</v>
      </c>
      <c r="E449" s="126">
        <v>46234</v>
      </c>
      <c r="F449" s="36" t="s">
        <v>82</v>
      </c>
      <c r="G449" s="281"/>
      <c r="H449" s="281"/>
      <c r="I449" s="281"/>
      <c r="J449" s="281">
        <v>1000</v>
      </c>
      <c r="K449" t="s">
        <v>1803</v>
      </c>
      <c r="M449" t="s">
        <v>1686</v>
      </c>
      <c r="N449" t="s">
        <v>364</v>
      </c>
      <c r="O449" s="146" t="str">
        <f>_xlfn.XLOOKUP(N449,[1]!costcategory[Account Code],[1]!costcategory[Cost Category],"ERROR")</f>
        <v>Headcount Costs</v>
      </c>
      <c r="P449" t="s">
        <v>45</v>
      </c>
      <c r="Q449" s="147" t="str">
        <f>_xlfn.XLOOKUP(P449,[1]!Table2[Department],[1]!Table2[Group],"ERROR")</f>
        <v>DSC</v>
      </c>
      <c r="V449" s="36"/>
    </row>
    <row r="450" spans="1:22" customFormat="1" hidden="1" x14ac:dyDescent="0.2">
      <c r="A450" s="36" t="s">
        <v>247</v>
      </c>
      <c r="B450" s="36" t="s">
        <v>2</v>
      </c>
      <c r="C450" s="93">
        <v>46234</v>
      </c>
      <c r="D450" s="3">
        <v>46234</v>
      </c>
      <c r="E450" s="126">
        <v>46234</v>
      </c>
      <c r="F450" s="36" t="s">
        <v>82</v>
      </c>
      <c r="G450" s="281"/>
      <c r="H450" s="281"/>
      <c r="I450" s="281"/>
      <c r="J450" s="281">
        <v>2500</v>
      </c>
      <c r="K450" t="s">
        <v>1803</v>
      </c>
      <c r="M450" t="s">
        <v>1828</v>
      </c>
      <c r="N450" t="s">
        <v>387</v>
      </c>
      <c r="O450" s="146" t="str">
        <f>_xlfn.XLOOKUP(N450,[1]!costcategory[Account Code],[1]!costcategory[Cost Category],"ERROR")</f>
        <v>Headcount Costs</v>
      </c>
      <c r="P450" t="s">
        <v>333</v>
      </c>
      <c r="Q450" s="147" t="str">
        <f>_xlfn.XLOOKUP(P450,[1]!Table2[Department],[1]!Table2[Group],"ERROR")</f>
        <v>General &amp; Administrative</v>
      </c>
      <c r="V450" s="36"/>
    </row>
    <row r="451" spans="1:22" customFormat="1" hidden="1" x14ac:dyDescent="0.2">
      <c r="A451" s="36" t="s">
        <v>247</v>
      </c>
      <c r="B451" s="36" t="s">
        <v>2</v>
      </c>
      <c r="C451" s="93">
        <v>46234</v>
      </c>
      <c r="D451" s="3">
        <v>46234</v>
      </c>
      <c r="E451" s="126">
        <v>46234</v>
      </c>
      <c r="F451" s="36" t="s">
        <v>82</v>
      </c>
      <c r="G451" s="281"/>
      <c r="H451" s="281"/>
      <c r="I451" s="281"/>
      <c r="J451" s="281">
        <v>1000</v>
      </c>
      <c r="K451" t="s">
        <v>1803</v>
      </c>
      <c r="M451" t="s">
        <v>1828</v>
      </c>
      <c r="N451" t="s">
        <v>387</v>
      </c>
      <c r="O451" s="146" t="str">
        <f>_xlfn.XLOOKUP(N451,[1]!costcategory[Account Code],[1]!costcategory[Cost Category],"ERROR")</f>
        <v>Headcount Costs</v>
      </c>
      <c r="P451" t="s">
        <v>333</v>
      </c>
      <c r="Q451" s="147" t="str">
        <f>_xlfn.XLOOKUP(P451,[1]!Table2[Department],[1]!Table2[Group],"ERROR")</f>
        <v>General &amp; Administrative</v>
      </c>
      <c r="V451" s="36"/>
    </row>
    <row r="452" spans="1:22" customFormat="1" hidden="1" x14ac:dyDescent="0.2">
      <c r="A452" s="36" t="s">
        <v>247</v>
      </c>
      <c r="B452" s="36" t="s">
        <v>2</v>
      </c>
      <c r="C452" s="93">
        <v>46234</v>
      </c>
      <c r="D452" s="3">
        <v>46234</v>
      </c>
      <c r="E452" s="126">
        <v>46234</v>
      </c>
      <c r="F452" s="36" t="s">
        <v>82</v>
      </c>
      <c r="G452" s="281"/>
      <c r="H452" s="281"/>
      <c r="I452" s="281"/>
      <c r="J452" s="281">
        <v>500</v>
      </c>
      <c r="K452" t="s">
        <v>1803</v>
      </c>
      <c r="M452" t="s">
        <v>1686</v>
      </c>
      <c r="N452" t="s">
        <v>364</v>
      </c>
      <c r="O452" s="146" t="str">
        <f>_xlfn.XLOOKUP(N452,[1]!costcategory[Account Code],[1]!costcategory[Cost Category],"ERROR")</f>
        <v>Headcount Costs</v>
      </c>
      <c r="P452" t="s">
        <v>333</v>
      </c>
      <c r="Q452" s="147" t="str">
        <f>_xlfn.XLOOKUP(P452,[1]!Table2[Department],[1]!Table2[Group],"ERROR")</f>
        <v>General &amp; Administrative</v>
      </c>
      <c r="V452" s="36"/>
    </row>
    <row r="453" spans="1:22" customFormat="1" hidden="1" x14ac:dyDescent="0.2">
      <c r="A453" s="36" t="s">
        <v>247</v>
      </c>
      <c r="B453" s="36" t="s">
        <v>2</v>
      </c>
      <c r="C453" s="93">
        <v>46234</v>
      </c>
      <c r="D453" s="3">
        <v>46234</v>
      </c>
      <c r="E453" s="126">
        <v>46234</v>
      </c>
      <c r="F453" s="36" t="s">
        <v>82</v>
      </c>
      <c r="G453" s="281"/>
      <c r="H453" s="281"/>
      <c r="I453" s="281"/>
      <c r="J453" s="281">
        <v>2500</v>
      </c>
      <c r="K453" t="s">
        <v>1803</v>
      </c>
      <c r="M453" t="s">
        <v>1828</v>
      </c>
      <c r="N453" t="s">
        <v>387</v>
      </c>
      <c r="O453" s="146" t="str">
        <f>_xlfn.XLOOKUP(N453,[1]!costcategory[Account Code],[1]!costcategory[Cost Category],"ERROR")</f>
        <v>Headcount Costs</v>
      </c>
      <c r="P453" t="s">
        <v>350</v>
      </c>
      <c r="Q453" s="147" t="str">
        <f>_xlfn.XLOOKUP(P453,[1]!Table2[Department],[1]!Table2[Group],"ERROR")</f>
        <v>General &amp; Administrative</v>
      </c>
      <c r="V453" s="36"/>
    </row>
    <row r="454" spans="1:22" customFormat="1" hidden="1" x14ac:dyDescent="0.2">
      <c r="A454" s="36" t="s">
        <v>247</v>
      </c>
      <c r="B454" s="36" t="s">
        <v>2</v>
      </c>
      <c r="C454" s="93">
        <v>46234</v>
      </c>
      <c r="D454" s="3">
        <v>46234</v>
      </c>
      <c r="E454" s="126">
        <v>46234</v>
      </c>
      <c r="F454" s="36" t="s">
        <v>82</v>
      </c>
      <c r="G454" s="281"/>
      <c r="H454" s="281"/>
      <c r="I454" s="281"/>
      <c r="J454" s="281">
        <v>1000</v>
      </c>
      <c r="K454" t="s">
        <v>1803</v>
      </c>
      <c r="M454" t="s">
        <v>1828</v>
      </c>
      <c r="N454" t="s">
        <v>387</v>
      </c>
      <c r="O454" s="146" t="str">
        <f>_xlfn.XLOOKUP(N454,[1]!costcategory[Account Code],[1]!costcategory[Cost Category],"ERROR")</f>
        <v>Headcount Costs</v>
      </c>
      <c r="P454" t="s">
        <v>350</v>
      </c>
      <c r="Q454" s="147" t="str">
        <f>_xlfn.XLOOKUP(P454,[1]!Table2[Department],[1]!Table2[Group],"ERROR")</f>
        <v>General &amp; Administrative</v>
      </c>
      <c r="V454" s="36"/>
    </row>
    <row r="455" spans="1:22" customFormat="1" hidden="1" x14ac:dyDescent="0.2">
      <c r="A455" s="36" t="s">
        <v>247</v>
      </c>
      <c r="B455" s="36" t="s">
        <v>2</v>
      </c>
      <c r="C455" s="93">
        <v>46234</v>
      </c>
      <c r="D455" s="3">
        <v>46234</v>
      </c>
      <c r="E455" s="126">
        <v>46234</v>
      </c>
      <c r="F455" s="36" t="s">
        <v>82</v>
      </c>
      <c r="G455" s="281"/>
      <c r="H455" s="281"/>
      <c r="I455" s="281"/>
      <c r="J455" s="281">
        <v>500</v>
      </c>
      <c r="K455" t="s">
        <v>1803</v>
      </c>
      <c r="M455" t="s">
        <v>1686</v>
      </c>
      <c r="N455" t="s">
        <v>364</v>
      </c>
      <c r="O455" s="146" t="str">
        <f>_xlfn.XLOOKUP(N455,[1]!costcategory[Account Code],[1]!costcategory[Cost Category],"ERROR")</f>
        <v>Headcount Costs</v>
      </c>
      <c r="P455" t="s">
        <v>350</v>
      </c>
      <c r="Q455" s="147" t="str">
        <f>_xlfn.XLOOKUP(P455,[1]!Table2[Department],[1]!Table2[Group],"ERROR")</f>
        <v>General &amp; Administrative</v>
      </c>
      <c r="V455" s="36"/>
    </row>
    <row r="456" spans="1:22" customFormat="1" hidden="1" x14ac:dyDescent="0.2">
      <c r="A456" s="36" t="s">
        <v>247</v>
      </c>
      <c r="B456" s="36" t="s">
        <v>2</v>
      </c>
      <c r="C456" s="93">
        <v>46234</v>
      </c>
      <c r="D456" s="3">
        <v>46234</v>
      </c>
      <c r="E456" s="126">
        <v>46234</v>
      </c>
      <c r="F456" s="36" t="s">
        <v>82</v>
      </c>
      <c r="G456" s="281"/>
      <c r="H456" s="281"/>
      <c r="I456" s="281"/>
      <c r="J456" s="281">
        <v>5500</v>
      </c>
      <c r="K456" t="s">
        <v>1803</v>
      </c>
      <c r="M456" t="s">
        <v>1828</v>
      </c>
      <c r="N456" t="s">
        <v>387</v>
      </c>
      <c r="O456" s="146" t="str">
        <f>_xlfn.XLOOKUP(N456,[1]!costcategory[Account Code],[1]!costcategory[Cost Category],"ERROR")</f>
        <v>Headcount Costs</v>
      </c>
      <c r="P456" t="s">
        <v>438</v>
      </c>
      <c r="Q456" s="147" t="str">
        <f>_xlfn.XLOOKUP(P456,[1]!Table2[Department],[1]!Table2[Group],"ERROR")</f>
        <v>Sales &amp; Marketing</v>
      </c>
      <c r="V456" s="36"/>
    </row>
    <row r="457" spans="1:22" customFormat="1" hidden="1" x14ac:dyDescent="0.2">
      <c r="A457" s="36" t="s">
        <v>247</v>
      </c>
      <c r="B457" s="36" t="s">
        <v>2</v>
      </c>
      <c r="C457" s="93">
        <v>46234</v>
      </c>
      <c r="D457" s="3">
        <v>46234</v>
      </c>
      <c r="E457" s="126">
        <v>46234</v>
      </c>
      <c r="F457" s="36" t="s">
        <v>82</v>
      </c>
      <c r="G457" s="281"/>
      <c r="H457" s="281"/>
      <c r="I457" s="281"/>
      <c r="J457" s="281">
        <v>2000</v>
      </c>
      <c r="K457" t="s">
        <v>1803</v>
      </c>
      <c r="M457" t="s">
        <v>1828</v>
      </c>
      <c r="N457" t="s">
        <v>387</v>
      </c>
      <c r="O457" s="146" t="str">
        <f>_xlfn.XLOOKUP(N457,[1]!costcategory[Account Code],[1]!costcategory[Cost Category],"ERROR")</f>
        <v>Headcount Costs</v>
      </c>
      <c r="P457" t="s">
        <v>438</v>
      </c>
      <c r="Q457" s="147" t="str">
        <f>_xlfn.XLOOKUP(P457,[1]!Table2[Department],[1]!Table2[Group],"ERROR")</f>
        <v>Sales &amp; Marketing</v>
      </c>
      <c r="V457" s="36"/>
    </row>
    <row r="458" spans="1:22" customFormat="1" hidden="1" x14ac:dyDescent="0.2">
      <c r="A458" s="36" t="s">
        <v>247</v>
      </c>
      <c r="B458" s="36" t="s">
        <v>2</v>
      </c>
      <c r="C458" s="93">
        <v>46234</v>
      </c>
      <c r="D458" s="3">
        <v>46234</v>
      </c>
      <c r="E458" s="126">
        <v>46234</v>
      </c>
      <c r="F458" s="36" t="s">
        <v>82</v>
      </c>
      <c r="G458" s="281"/>
      <c r="H458" s="281"/>
      <c r="I458" s="281"/>
      <c r="J458" s="281">
        <v>1000</v>
      </c>
      <c r="K458" t="s">
        <v>1803</v>
      </c>
      <c r="M458" t="s">
        <v>1686</v>
      </c>
      <c r="N458" t="s">
        <v>364</v>
      </c>
      <c r="O458" s="146" t="str">
        <f>_xlfn.XLOOKUP(N458,[1]!costcategory[Account Code],[1]!costcategory[Cost Category],"ERROR")</f>
        <v>Headcount Costs</v>
      </c>
      <c r="P458" t="s">
        <v>438</v>
      </c>
      <c r="Q458" s="147" t="str">
        <f>_xlfn.XLOOKUP(P458,[1]!Table2[Department],[1]!Table2[Group],"ERROR")</f>
        <v>Sales &amp; Marketing</v>
      </c>
      <c r="V458" s="36"/>
    </row>
    <row r="459" spans="1:22" customFormat="1" hidden="1" x14ac:dyDescent="0.2">
      <c r="A459" s="36" t="s">
        <v>247</v>
      </c>
      <c r="B459" s="36" t="s">
        <v>2</v>
      </c>
      <c r="C459" s="93">
        <v>46234</v>
      </c>
      <c r="D459" s="3">
        <v>46234</v>
      </c>
      <c r="E459" s="126">
        <v>46234</v>
      </c>
      <c r="F459" s="36" t="s">
        <v>82</v>
      </c>
      <c r="G459" s="281"/>
      <c r="H459" s="281"/>
      <c r="I459" s="281"/>
      <c r="J459" s="281">
        <v>3500</v>
      </c>
      <c r="K459" t="s">
        <v>1803</v>
      </c>
      <c r="M459" t="s">
        <v>1828</v>
      </c>
      <c r="N459" t="s">
        <v>387</v>
      </c>
      <c r="O459" s="146" t="str">
        <f>_xlfn.XLOOKUP(N459,[1]!costcategory[Account Code],[1]!costcategory[Cost Category],"ERROR")</f>
        <v>Headcount Costs</v>
      </c>
      <c r="P459" t="s">
        <v>350</v>
      </c>
      <c r="Q459" s="147" t="str">
        <f>_xlfn.XLOOKUP(P459,[1]!Table2[Department],[1]!Table2[Group],"ERROR")</f>
        <v>General &amp; Administrative</v>
      </c>
      <c r="V459" s="36"/>
    </row>
    <row r="460" spans="1:22" customFormat="1" hidden="1" x14ac:dyDescent="0.2">
      <c r="A460" s="36" t="s">
        <v>247</v>
      </c>
      <c r="B460" s="36" t="s">
        <v>2</v>
      </c>
      <c r="C460" s="93">
        <v>46234</v>
      </c>
      <c r="D460" s="3">
        <v>46234</v>
      </c>
      <c r="E460" s="126">
        <v>46234</v>
      </c>
      <c r="F460" s="36" t="s">
        <v>82</v>
      </c>
      <c r="G460" s="281"/>
      <c r="H460" s="281"/>
      <c r="I460" s="281"/>
      <c r="J460" s="281">
        <v>1500</v>
      </c>
      <c r="K460" t="s">
        <v>1803</v>
      </c>
      <c r="M460" t="s">
        <v>1686</v>
      </c>
      <c r="N460" t="s">
        <v>364</v>
      </c>
      <c r="O460" s="146" t="str">
        <f>_xlfn.XLOOKUP(N460,[1]!costcategory[Account Code],[1]!costcategory[Cost Category],"ERROR")</f>
        <v>Headcount Costs</v>
      </c>
      <c r="P460" t="s">
        <v>350</v>
      </c>
      <c r="Q460" s="147" t="str">
        <f>_xlfn.XLOOKUP(P460,[1]!Table2[Department],[1]!Table2[Group],"ERROR")</f>
        <v>General &amp; Administrative</v>
      </c>
      <c r="V460" s="36"/>
    </row>
    <row r="461" spans="1:22" customFormat="1" hidden="1" x14ac:dyDescent="0.2">
      <c r="A461" s="36" t="s">
        <v>247</v>
      </c>
      <c r="B461" s="36" t="s">
        <v>2</v>
      </c>
      <c r="C461" s="93">
        <v>46249</v>
      </c>
      <c r="D461" s="3"/>
      <c r="E461" s="126">
        <v>46249</v>
      </c>
      <c r="F461" s="36" t="s">
        <v>82</v>
      </c>
      <c r="G461" s="281">
        <v>16837</v>
      </c>
      <c r="H461" s="281">
        <v>0</v>
      </c>
      <c r="I461" s="281">
        <v>16837</v>
      </c>
      <c r="J461" s="281">
        <v>4074.2002896419858</v>
      </c>
      <c r="K461" t="s">
        <v>630</v>
      </c>
      <c r="M461" t="s">
        <v>1827</v>
      </c>
      <c r="N461" t="s">
        <v>509</v>
      </c>
      <c r="O461" t="s">
        <v>510</v>
      </c>
      <c r="P461" t="s">
        <v>333</v>
      </c>
      <c r="Q461" t="s">
        <v>62</v>
      </c>
      <c r="V461" s="36"/>
    </row>
    <row r="462" spans="1:22" customFormat="1" hidden="1" x14ac:dyDescent="0.2">
      <c r="A462" s="36" t="s">
        <v>247</v>
      </c>
      <c r="B462" s="36" t="s">
        <v>2</v>
      </c>
      <c r="C462" s="93">
        <v>46235</v>
      </c>
      <c r="D462" s="3">
        <v>46235</v>
      </c>
      <c r="E462" s="126">
        <v>46259</v>
      </c>
      <c r="F462" s="36" t="s">
        <v>82</v>
      </c>
      <c r="G462" s="281">
        <v>9764.7999999999993</v>
      </c>
      <c r="H462" s="281">
        <v>585.89</v>
      </c>
      <c r="I462" s="281">
        <v>10350.69</v>
      </c>
      <c r="J462" s="281">
        <v>2504.65</v>
      </c>
      <c r="K462" s="4" t="s">
        <v>582</v>
      </c>
      <c r="M462" t="s">
        <v>1826</v>
      </c>
      <c r="N462" t="s">
        <v>409</v>
      </c>
      <c r="O462" t="s">
        <v>410</v>
      </c>
      <c r="P462" t="s">
        <v>340</v>
      </c>
      <c r="Q462" t="s">
        <v>62</v>
      </c>
      <c r="V462" s="36"/>
    </row>
    <row r="463" spans="1:22" customFormat="1" hidden="1" x14ac:dyDescent="0.2">
      <c r="A463" s="36" t="s">
        <v>247</v>
      </c>
      <c r="B463" s="36" t="s">
        <v>2</v>
      </c>
      <c r="C463" s="93">
        <v>46235</v>
      </c>
      <c r="D463" s="3">
        <v>46235</v>
      </c>
      <c r="E463" s="126">
        <v>46259</v>
      </c>
      <c r="F463" s="36" t="s">
        <v>82</v>
      </c>
      <c r="G463" s="281">
        <v>6000</v>
      </c>
      <c r="H463" s="281">
        <v>0</v>
      </c>
      <c r="I463" s="281">
        <v>6000</v>
      </c>
      <c r="J463" s="281">
        <v>1451.8739524768021</v>
      </c>
      <c r="K463" t="s">
        <v>444</v>
      </c>
      <c r="M463" t="s">
        <v>1825</v>
      </c>
      <c r="N463" t="s">
        <v>374</v>
      </c>
      <c r="O463" t="s">
        <v>375</v>
      </c>
      <c r="P463" t="s">
        <v>376</v>
      </c>
      <c r="Q463" t="s">
        <v>62</v>
      </c>
      <c r="V463" s="36"/>
    </row>
    <row r="464" spans="1:22" customFormat="1" hidden="1" x14ac:dyDescent="0.2">
      <c r="A464" s="36" t="s">
        <v>247</v>
      </c>
      <c r="B464" s="36" t="s">
        <v>2</v>
      </c>
      <c r="C464" s="93">
        <v>46259</v>
      </c>
      <c r="D464" s="3">
        <v>46259</v>
      </c>
      <c r="E464" s="126">
        <v>46259</v>
      </c>
      <c r="F464" s="36" t="s">
        <v>82</v>
      </c>
      <c r="G464" s="281">
        <v>450</v>
      </c>
      <c r="H464" s="281">
        <v>0</v>
      </c>
      <c r="I464" s="281">
        <v>450</v>
      </c>
      <c r="J464" s="281">
        <v>108.89054643576014</v>
      </c>
      <c r="K464" t="s">
        <v>445</v>
      </c>
      <c r="M464" t="s">
        <v>1824</v>
      </c>
      <c r="N464" t="s">
        <v>58</v>
      </c>
      <c r="O464" t="s">
        <v>58</v>
      </c>
      <c r="P464" t="s">
        <v>376</v>
      </c>
      <c r="Q464" t="s">
        <v>62</v>
      </c>
      <c r="V464" s="36"/>
    </row>
    <row r="465" spans="1:22" customFormat="1" hidden="1" x14ac:dyDescent="0.2">
      <c r="A465" s="36" t="s">
        <v>247</v>
      </c>
      <c r="B465" s="36" t="s">
        <v>2</v>
      </c>
      <c r="C465" s="93">
        <v>46265</v>
      </c>
      <c r="D465" s="3">
        <v>46265</v>
      </c>
      <c r="E465" s="126">
        <v>46265</v>
      </c>
      <c r="F465" s="36" t="s">
        <v>82</v>
      </c>
      <c r="G465" s="281"/>
      <c r="H465" s="281"/>
      <c r="I465" s="281"/>
      <c r="J465" s="281">
        <v>4000</v>
      </c>
      <c r="K465" t="s">
        <v>1803</v>
      </c>
      <c r="M465" t="s">
        <v>1823</v>
      </c>
      <c r="N465" t="s">
        <v>387</v>
      </c>
      <c r="O465" s="146" t="str">
        <f>_xlfn.XLOOKUP(N465,[1]!costcategory[Account Code],[1]!costcategory[Cost Category],"ERROR")</f>
        <v>Headcount Costs</v>
      </c>
      <c r="P465" t="s">
        <v>354</v>
      </c>
      <c r="Q465" s="147" t="str">
        <f>_xlfn.XLOOKUP(P465,[1]!Table2[Department],[1]!Table2[Group],"ERROR")</f>
        <v>Sales &amp; Marketing</v>
      </c>
      <c r="V465" s="36"/>
    </row>
    <row r="466" spans="1:22" customFormat="1" hidden="1" x14ac:dyDescent="0.2">
      <c r="A466" s="36" t="s">
        <v>247</v>
      </c>
      <c r="B466" s="36" t="s">
        <v>2</v>
      </c>
      <c r="C466" s="93">
        <v>46265</v>
      </c>
      <c r="D466" s="3">
        <v>46265</v>
      </c>
      <c r="E466" s="126">
        <v>46265</v>
      </c>
      <c r="F466" s="36" t="s">
        <v>82</v>
      </c>
      <c r="G466" s="281"/>
      <c r="H466" s="281"/>
      <c r="I466" s="281"/>
      <c r="J466" s="281">
        <v>1000</v>
      </c>
      <c r="K466" t="s">
        <v>1803</v>
      </c>
      <c r="M466" t="s">
        <v>1823</v>
      </c>
      <c r="N466" t="s">
        <v>387</v>
      </c>
      <c r="O466" s="146" t="str">
        <f>_xlfn.XLOOKUP(N466,[1]!costcategory[Account Code],[1]!costcategory[Cost Category],"ERROR")</f>
        <v>Headcount Costs</v>
      </c>
      <c r="P466" t="s">
        <v>354</v>
      </c>
      <c r="Q466" s="147" t="str">
        <f>_xlfn.XLOOKUP(P466,[1]!Table2[Department],[1]!Table2[Group],"ERROR")</f>
        <v>Sales &amp; Marketing</v>
      </c>
      <c r="V466" s="36"/>
    </row>
    <row r="467" spans="1:22" customFormat="1" hidden="1" x14ac:dyDescent="0.2">
      <c r="A467" s="36" t="s">
        <v>247</v>
      </c>
      <c r="B467" s="36" t="s">
        <v>2</v>
      </c>
      <c r="C467" s="93">
        <v>46265</v>
      </c>
      <c r="D467" s="3">
        <v>46265</v>
      </c>
      <c r="E467" s="126">
        <v>46265</v>
      </c>
      <c r="F467" s="36" t="s">
        <v>82</v>
      </c>
      <c r="G467" s="281"/>
      <c r="H467" s="281"/>
      <c r="I467" s="281"/>
      <c r="J467" s="281">
        <v>150</v>
      </c>
      <c r="K467" t="s">
        <v>1803</v>
      </c>
      <c r="M467" t="s">
        <v>1678</v>
      </c>
      <c r="N467" t="s">
        <v>364</v>
      </c>
      <c r="O467" s="146" t="str">
        <f>_xlfn.XLOOKUP(N467,[1]!costcategory[Account Code],[1]!costcategory[Cost Category],"ERROR")</f>
        <v>Headcount Costs</v>
      </c>
      <c r="P467" t="s">
        <v>354</v>
      </c>
      <c r="Q467" s="147" t="str">
        <f>_xlfn.XLOOKUP(P467,[1]!Table2[Department],[1]!Table2[Group],"ERROR")</f>
        <v>Sales &amp; Marketing</v>
      </c>
      <c r="V467" s="36"/>
    </row>
    <row r="468" spans="1:22" customFormat="1" hidden="1" x14ac:dyDescent="0.2">
      <c r="A468" s="36" t="s">
        <v>247</v>
      </c>
      <c r="B468" s="36" t="s">
        <v>2</v>
      </c>
      <c r="C468" s="93">
        <v>46265</v>
      </c>
      <c r="D468" s="3">
        <v>46265</v>
      </c>
      <c r="E468" s="126">
        <v>46265</v>
      </c>
      <c r="F468" s="36" t="s">
        <v>82</v>
      </c>
      <c r="G468" s="281"/>
      <c r="H468" s="281"/>
      <c r="I468" s="281"/>
      <c r="J468" s="281">
        <v>16000</v>
      </c>
      <c r="K468" t="s">
        <v>1803</v>
      </c>
      <c r="M468" t="s">
        <v>1823</v>
      </c>
      <c r="N468" t="s">
        <v>387</v>
      </c>
      <c r="O468" s="146" t="str">
        <f>_xlfn.XLOOKUP(N468,[1]!costcategory[Account Code],[1]!costcategory[Cost Category],"ERROR")</f>
        <v>Headcount Costs</v>
      </c>
      <c r="P468" t="s">
        <v>63</v>
      </c>
      <c r="Q468" s="147" t="str">
        <f>_xlfn.XLOOKUP(P468,[1]!Table2[Department],[1]!Table2[Group],"ERROR")</f>
        <v>Research &amp; Development</v>
      </c>
      <c r="V468" s="36"/>
    </row>
    <row r="469" spans="1:22" customFormat="1" hidden="1" x14ac:dyDescent="0.2">
      <c r="A469" s="36" t="s">
        <v>247</v>
      </c>
      <c r="B469" s="36" t="s">
        <v>2</v>
      </c>
      <c r="C469" s="93">
        <v>46265</v>
      </c>
      <c r="D469" s="3">
        <v>46265</v>
      </c>
      <c r="E469" s="126">
        <v>46265</v>
      </c>
      <c r="F469" s="36" t="s">
        <v>82</v>
      </c>
      <c r="G469" s="281"/>
      <c r="H469" s="281"/>
      <c r="I469" s="281"/>
      <c r="J469" s="281">
        <v>4000</v>
      </c>
      <c r="K469" t="s">
        <v>1803</v>
      </c>
      <c r="M469" t="s">
        <v>1823</v>
      </c>
      <c r="N469" t="s">
        <v>387</v>
      </c>
      <c r="O469" s="146" t="str">
        <f>_xlfn.XLOOKUP(N469,[1]!costcategory[Account Code],[1]!costcategory[Cost Category],"ERROR")</f>
        <v>Headcount Costs</v>
      </c>
      <c r="P469" t="s">
        <v>45</v>
      </c>
      <c r="Q469" s="147" t="str">
        <f>_xlfn.XLOOKUP(P469,[1]!Table2[Department],[1]!Table2[Group],"ERROR")</f>
        <v>DSC</v>
      </c>
      <c r="V469" s="36"/>
    </row>
    <row r="470" spans="1:22" customFormat="1" hidden="1" x14ac:dyDescent="0.2">
      <c r="A470" s="36" t="s">
        <v>247</v>
      </c>
      <c r="B470" s="36" t="s">
        <v>2</v>
      </c>
      <c r="C470" s="93">
        <v>46265</v>
      </c>
      <c r="D470" s="3">
        <v>46265</v>
      </c>
      <c r="E470" s="126">
        <v>46265</v>
      </c>
      <c r="F470" s="36" t="s">
        <v>82</v>
      </c>
      <c r="G470" s="281"/>
      <c r="H470" s="281"/>
      <c r="I470" s="281"/>
      <c r="J470" s="281">
        <v>5500</v>
      </c>
      <c r="K470" t="s">
        <v>1803</v>
      </c>
      <c r="M470" t="s">
        <v>1823</v>
      </c>
      <c r="N470" t="s">
        <v>387</v>
      </c>
      <c r="O470" s="146" t="str">
        <f>_xlfn.XLOOKUP(N470,[1]!costcategory[Account Code],[1]!costcategory[Cost Category],"ERROR")</f>
        <v>Headcount Costs</v>
      </c>
      <c r="P470" t="s">
        <v>63</v>
      </c>
      <c r="Q470" s="147" t="str">
        <f>_xlfn.XLOOKUP(P470,[1]!Table2[Department],[1]!Table2[Group],"ERROR")</f>
        <v>Research &amp; Development</v>
      </c>
      <c r="V470" s="36"/>
    </row>
    <row r="471" spans="1:22" customFormat="1" hidden="1" x14ac:dyDescent="0.2">
      <c r="A471" s="36" t="s">
        <v>247</v>
      </c>
      <c r="B471" s="36" t="s">
        <v>2</v>
      </c>
      <c r="C471" s="93">
        <v>46265</v>
      </c>
      <c r="D471" s="3">
        <v>46265</v>
      </c>
      <c r="E471" s="126">
        <v>46265</v>
      </c>
      <c r="F471" s="36" t="s">
        <v>82</v>
      </c>
      <c r="G471" s="281"/>
      <c r="H471" s="281"/>
      <c r="I471" s="281"/>
      <c r="J471" s="281">
        <v>1500</v>
      </c>
      <c r="K471" t="s">
        <v>1803</v>
      </c>
      <c r="M471" t="s">
        <v>1823</v>
      </c>
      <c r="N471" t="s">
        <v>387</v>
      </c>
      <c r="O471" s="146" t="str">
        <f>_xlfn.XLOOKUP(N471,[1]!costcategory[Account Code],[1]!costcategory[Cost Category],"ERROR")</f>
        <v>Headcount Costs</v>
      </c>
      <c r="P471" t="s">
        <v>45</v>
      </c>
      <c r="Q471" s="147" t="str">
        <f>_xlfn.XLOOKUP(P471,[1]!Table2[Department],[1]!Table2[Group],"ERROR")</f>
        <v>DSC</v>
      </c>
      <c r="V471" s="36"/>
    </row>
    <row r="472" spans="1:22" customFormat="1" hidden="1" x14ac:dyDescent="0.2">
      <c r="A472" s="36" t="s">
        <v>247</v>
      </c>
      <c r="B472" s="36" t="s">
        <v>2</v>
      </c>
      <c r="C472" s="93">
        <v>46265</v>
      </c>
      <c r="D472" s="3">
        <v>46265</v>
      </c>
      <c r="E472" s="126">
        <v>46265</v>
      </c>
      <c r="F472" s="36" t="s">
        <v>82</v>
      </c>
      <c r="G472" s="281"/>
      <c r="H472" s="281"/>
      <c r="I472" s="281"/>
      <c r="J472" s="281">
        <v>3000</v>
      </c>
      <c r="K472" t="s">
        <v>1803</v>
      </c>
      <c r="M472" t="s">
        <v>1678</v>
      </c>
      <c r="N472" t="s">
        <v>364</v>
      </c>
      <c r="O472" s="146" t="str">
        <f>_xlfn.XLOOKUP(N472,[1]!costcategory[Account Code],[1]!costcategory[Cost Category],"ERROR")</f>
        <v>Headcount Costs</v>
      </c>
      <c r="P472" t="s">
        <v>63</v>
      </c>
      <c r="Q472" s="147" t="str">
        <f>_xlfn.XLOOKUP(P472,[1]!Table2[Department],[1]!Table2[Group],"ERROR")</f>
        <v>Research &amp; Development</v>
      </c>
      <c r="V472" s="36"/>
    </row>
    <row r="473" spans="1:22" customFormat="1" hidden="1" x14ac:dyDescent="0.2">
      <c r="A473" s="36" t="s">
        <v>247</v>
      </c>
      <c r="B473" s="36" t="s">
        <v>2</v>
      </c>
      <c r="C473" s="93">
        <v>46265</v>
      </c>
      <c r="D473" s="3">
        <v>46265</v>
      </c>
      <c r="E473" s="126">
        <v>46265</v>
      </c>
      <c r="F473" s="36" t="s">
        <v>82</v>
      </c>
      <c r="G473" s="281"/>
      <c r="H473" s="281"/>
      <c r="I473" s="281"/>
      <c r="J473" s="281">
        <v>1000</v>
      </c>
      <c r="K473" t="s">
        <v>1803</v>
      </c>
      <c r="M473" t="s">
        <v>1678</v>
      </c>
      <c r="N473" t="s">
        <v>364</v>
      </c>
      <c r="O473" s="146" t="str">
        <f>_xlfn.XLOOKUP(N473,[1]!costcategory[Account Code],[1]!costcategory[Cost Category],"ERROR")</f>
        <v>Headcount Costs</v>
      </c>
      <c r="P473" t="s">
        <v>45</v>
      </c>
      <c r="Q473" s="147" t="str">
        <f>_xlfn.XLOOKUP(P473,[1]!Table2[Department],[1]!Table2[Group],"ERROR")</f>
        <v>DSC</v>
      </c>
      <c r="V473" s="36"/>
    </row>
    <row r="474" spans="1:22" customFormat="1" hidden="1" x14ac:dyDescent="0.2">
      <c r="A474" s="36" t="s">
        <v>247</v>
      </c>
      <c r="B474" s="36" t="s">
        <v>2</v>
      </c>
      <c r="C474" s="93">
        <v>46265</v>
      </c>
      <c r="D474" s="3">
        <v>46265</v>
      </c>
      <c r="E474" s="126">
        <v>46265</v>
      </c>
      <c r="F474" s="36" t="s">
        <v>82</v>
      </c>
      <c r="G474" s="281"/>
      <c r="H474" s="281"/>
      <c r="I474" s="281"/>
      <c r="J474" s="281">
        <v>2500</v>
      </c>
      <c r="K474" t="s">
        <v>1803</v>
      </c>
      <c r="M474" t="s">
        <v>1823</v>
      </c>
      <c r="N474" t="s">
        <v>387</v>
      </c>
      <c r="O474" s="146" t="str">
        <f>_xlfn.XLOOKUP(N474,[1]!costcategory[Account Code],[1]!costcategory[Cost Category],"ERROR")</f>
        <v>Headcount Costs</v>
      </c>
      <c r="P474" t="s">
        <v>333</v>
      </c>
      <c r="Q474" s="147" t="str">
        <f>_xlfn.XLOOKUP(P474,[1]!Table2[Department],[1]!Table2[Group],"ERROR")</f>
        <v>General &amp; Administrative</v>
      </c>
      <c r="V474" s="36"/>
    </row>
    <row r="475" spans="1:22" customFormat="1" hidden="1" x14ac:dyDescent="0.2">
      <c r="A475" s="36" t="s">
        <v>247</v>
      </c>
      <c r="B475" s="36" t="s">
        <v>2</v>
      </c>
      <c r="C475" s="93">
        <v>46265</v>
      </c>
      <c r="D475" s="3">
        <v>46265</v>
      </c>
      <c r="E475" s="126">
        <v>46265</v>
      </c>
      <c r="F475" s="36" t="s">
        <v>82</v>
      </c>
      <c r="G475" s="281"/>
      <c r="H475" s="281"/>
      <c r="I475" s="281"/>
      <c r="J475" s="281">
        <v>1000</v>
      </c>
      <c r="K475" t="s">
        <v>1803</v>
      </c>
      <c r="M475" t="s">
        <v>1823</v>
      </c>
      <c r="N475" t="s">
        <v>387</v>
      </c>
      <c r="O475" s="146" t="str">
        <f>_xlfn.XLOOKUP(N475,[1]!costcategory[Account Code],[1]!costcategory[Cost Category],"ERROR")</f>
        <v>Headcount Costs</v>
      </c>
      <c r="P475" t="s">
        <v>333</v>
      </c>
      <c r="Q475" s="147" t="str">
        <f>_xlfn.XLOOKUP(P475,[1]!Table2[Department],[1]!Table2[Group],"ERROR")</f>
        <v>General &amp; Administrative</v>
      </c>
      <c r="V475" s="36"/>
    </row>
    <row r="476" spans="1:22" customFormat="1" hidden="1" x14ac:dyDescent="0.2">
      <c r="A476" s="36" t="s">
        <v>247</v>
      </c>
      <c r="B476" s="36" t="s">
        <v>2</v>
      </c>
      <c r="C476" s="93">
        <v>46265</v>
      </c>
      <c r="D476" s="3">
        <v>46265</v>
      </c>
      <c r="E476" s="126">
        <v>46265</v>
      </c>
      <c r="F476" s="36" t="s">
        <v>82</v>
      </c>
      <c r="G476" s="281"/>
      <c r="H476" s="281"/>
      <c r="I476" s="281"/>
      <c r="J476" s="281">
        <v>500</v>
      </c>
      <c r="K476" t="s">
        <v>1803</v>
      </c>
      <c r="M476" t="s">
        <v>1678</v>
      </c>
      <c r="N476" t="s">
        <v>364</v>
      </c>
      <c r="O476" s="146" t="str">
        <f>_xlfn.XLOOKUP(N476,[1]!costcategory[Account Code],[1]!costcategory[Cost Category],"ERROR")</f>
        <v>Headcount Costs</v>
      </c>
      <c r="P476" t="s">
        <v>333</v>
      </c>
      <c r="Q476" s="147" t="str">
        <f>_xlfn.XLOOKUP(P476,[1]!Table2[Department],[1]!Table2[Group],"ERROR")</f>
        <v>General &amp; Administrative</v>
      </c>
      <c r="V476" s="36"/>
    </row>
    <row r="477" spans="1:22" customFormat="1" hidden="1" x14ac:dyDescent="0.2">
      <c r="A477" s="36" t="s">
        <v>247</v>
      </c>
      <c r="B477" s="36" t="s">
        <v>2</v>
      </c>
      <c r="C477" s="93">
        <v>46265</v>
      </c>
      <c r="D477" s="3">
        <v>46265</v>
      </c>
      <c r="E477" s="126">
        <v>46265</v>
      </c>
      <c r="F477" s="36" t="s">
        <v>82</v>
      </c>
      <c r="G477" s="281"/>
      <c r="H477" s="281"/>
      <c r="I477" s="281"/>
      <c r="J477" s="281">
        <v>2500</v>
      </c>
      <c r="K477" t="s">
        <v>1803</v>
      </c>
      <c r="M477" t="s">
        <v>1823</v>
      </c>
      <c r="N477" t="s">
        <v>387</v>
      </c>
      <c r="O477" s="146" t="str">
        <f>_xlfn.XLOOKUP(N477,[1]!costcategory[Account Code],[1]!costcategory[Cost Category],"ERROR")</f>
        <v>Headcount Costs</v>
      </c>
      <c r="P477" t="s">
        <v>350</v>
      </c>
      <c r="Q477" s="147" t="str">
        <f>_xlfn.XLOOKUP(P477,[1]!Table2[Department],[1]!Table2[Group],"ERROR")</f>
        <v>General &amp; Administrative</v>
      </c>
      <c r="V477" s="36"/>
    </row>
    <row r="478" spans="1:22" customFormat="1" hidden="1" x14ac:dyDescent="0.2">
      <c r="A478" s="36" t="s">
        <v>247</v>
      </c>
      <c r="B478" s="36" t="s">
        <v>2</v>
      </c>
      <c r="C478" s="93">
        <v>46265</v>
      </c>
      <c r="D478" s="3">
        <v>46265</v>
      </c>
      <c r="E478" s="126">
        <v>46265</v>
      </c>
      <c r="F478" s="36" t="s">
        <v>82</v>
      </c>
      <c r="G478" s="281"/>
      <c r="H478" s="281"/>
      <c r="I478" s="281"/>
      <c r="J478" s="281">
        <v>1000</v>
      </c>
      <c r="K478" t="s">
        <v>1803</v>
      </c>
      <c r="M478" t="s">
        <v>1823</v>
      </c>
      <c r="N478" t="s">
        <v>387</v>
      </c>
      <c r="O478" s="146" t="str">
        <f>_xlfn.XLOOKUP(N478,[1]!costcategory[Account Code],[1]!costcategory[Cost Category],"ERROR")</f>
        <v>Headcount Costs</v>
      </c>
      <c r="P478" t="s">
        <v>350</v>
      </c>
      <c r="Q478" s="147" t="str">
        <f>_xlfn.XLOOKUP(P478,[1]!Table2[Department],[1]!Table2[Group],"ERROR")</f>
        <v>General &amp; Administrative</v>
      </c>
      <c r="V478" s="36"/>
    </row>
    <row r="479" spans="1:22" customFormat="1" hidden="1" x14ac:dyDescent="0.2">
      <c r="A479" s="36" t="s">
        <v>247</v>
      </c>
      <c r="B479" s="36" t="s">
        <v>2</v>
      </c>
      <c r="C479" s="93">
        <v>46265</v>
      </c>
      <c r="D479" s="3">
        <v>46265</v>
      </c>
      <c r="E479" s="126">
        <v>46265</v>
      </c>
      <c r="F479" s="36" t="s">
        <v>82</v>
      </c>
      <c r="G479" s="281"/>
      <c r="H479" s="281"/>
      <c r="I479" s="281"/>
      <c r="J479" s="281">
        <v>500</v>
      </c>
      <c r="K479" t="s">
        <v>1803</v>
      </c>
      <c r="M479" t="s">
        <v>1678</v>
      </c>
      <c r="N479" t="s">
        <v>364</v>
      </c>
      <c r="O479" s="146" t="str">
        <f>_xlfn.XLOOKUP(N479,[1]!costcategory[Account Code],[1]!costcategory[Cost Category],"ERROR")</f>
        <v>Headcount Costs</v>
      </c>
      <c r="P479" t="s">
        <v>350</v>
      </c>
      <c r="Q479" s="147" t="str">
        <f>_xlfn.XLOOKUP(P479,[1]!Table2[Department],[1]!Table2[Group],"ERROR")</f>
        <v>General &amp; Administrative</v>
      </c>
      <c r="V479" s="36"/>
    </row>
    <row r="480" spans="1:22" customFormat="1" hidden="1" x14ac:dyDescent="0.2">
      <c r="A480" s="36" t="s">
        <v>247</v>
      </c>
      <c r="B480" s="36" t="s">
        <v>2</v>
      </c>
      <c r="C480" s="93">
        <v>46265</v>
      </c>
      <c r="D480" s="3">
        <v>46265</v>
      </c>
      <c r="E480" s="126">
        <v>46265</v>
      </c>
      <c r="F480" s="36" t="s">
        <v>82</v>
      </c>
      <c r="G480" s="281"/>
      <c r="H480" s="281"/>
      <c r="I480" s="281"/>
      <c r="J480" s="281">
        <v>5500</v>
      </c>
      <c r="K480" t="s">
        <v>1803</v>
      </c>
      <c r="M480" t="s">
        <v>1823</v>
      </c>
      <c r="N480" t="s">
        <v>387</v>
      </c>
      <c r="O480" s="146" t="str">
        <f>_xlfn.XLOOKUP(N480,[1]!costcategory[Account Code],[1]!costcategory[Cost Category],"ERROR")</f>
        <v>Headcount Costs</v>
      </c>
      <c r="P480" t="s">
        <v>438</v>
      </c>
      <c r="Q480" s="147" t="str">
        <f>_xlfn.XLOOKUP(P480,[1]!Table2[Department],[1]!Table2[Group],"ERROR")</f>
        <v>Sales &amp; Marketing</v>
      </c>
      <c r="V480" s="36"/>
    </row>
    <row r="481" spans="1:23" customFormat="1" hidden="1" x14ac:dyDescent="0.2">
      <c r="A481" s="36" t="s">
        <v>247</v>
      </c>
      <c r="B481" s="36" t="s">
        <v>2</v>
      </c>
      <c r="C481" s="93">
        <v>46265</v>
      </c>
      <c r="D481" s="3">
        <v>46265</v>
      </c>
      <c r="E481" s="126">
        <v>46265</v>
      </c>
      <c r="F481" s="36" t="s">
        <v>82</v>
      </c>
      <c r="G481" s="281"/>
      <c r="H481" s="281"/>
      <c r="I481" s="281"/>
      <c r="J481" s="281">
        <v>2000</v>
      </c>
      <c r="K481" t="s">
        <v>1803</v>
      </c>
      <c r="M481" t="s">
        <v>1823</v>
      </c>
      <c r="N481" t="s">
        <v>387</v>
      </c>
      <c r="O481" s="146" t="str">
        <f>_xlfn.XLOOKUP(N481,[1]!costcategory[Account Code],[1]!costcategory[Cost Category],"ERROR")</f>
        <v>Headcount Costs</v>
      </c>
      <c r="P481" t="s">
        <v>438</v>
      </c>
      <c r="Q481" s="147" t="str">
        <f>_xlfn.XLOOKUP(P481,[1]!Table2[Department],[1]!Table2[Group],"ERROR")</f>
        <v>Sales &amp; Marketing</v>
      </c>
      <c r="V481" s="36"/>
    </row>
    <row r="482" spans="1:23" customFormat="1" hidden="1" x14ac:dyDescent="0.2">
      <c r="A482" s="36" t="s">
        <v>247</v>
      </c>
      <c r="B482" s="36" t="s">
        <v>2</v>
      </c>
      <c r="C482" s="93">
        <v>46265</v>
      </c>
      <c r="D482" s="3">
        <v>46265</v>
      </c>
      <c r="E482" s="126">
        <v>46265</v>
      </c>
      <c r="F482" s="36" t="s">
        <v>82</v>
      </c>
      <c r="G482" s="281"/>
      <c r="H482" s="281"/>
      <c r="I482" s="281"/>
      <c r="J482" s="281">
        <v>1000</v>
      </c>
      <c r="K482" t="s">
        <v>1803</v>
      </c>
      <c r="M482" t="s">
        <v>1678</v>
      </c>
      <c r="N482" t="s">
        <v>364</v>
      </c>
      <c r="O482" s="146" t="str">
        <f>_xlfn.XLOOKUP(N482,[1]!costcategory[Account Code],[1]!costcategory[Cost Category],"ERROR")</f>
        <v>Headcount Costs</v>
      </c>
      <c r="P482" t="s">
        <v>438</v>
      </c>
      <c r="Q482" s="147" t="str">
        <f>_xlfn.XLOOKUP(P482,[1]!Table2[Department],[1]!Table2[Group],"ERROR")</f>
        <v>Sales &amp; Marketing</v>
      </c>
      <c r="V482" s="36"/>
    </row>
    <row r="483" spans="1:23" customFormat="1" hidden="1" x14ac:dyDescent="0.2">
      <c r="A483" s="36" t="s">
        <v>247</v>
      </c>
      <c r="B483" s="36" t="s">
        <v>2</v>
      </c>
      <c r="C483" s="93">
        <v>46265</v>
      </c>
      <c r="D483" s="3">
        <v>46265</v>
      </c>
      <c r="E483" s="126">
        <v>46265</v>
      </c>
      <c r="F483" s="36" t="s">
        <v>82</v>
      </c>
      <c r="G483" s="281"/>
      <c r="H483" s="281"/>
      <c r="I483" s="281"/>
      <c r="J483" s="281">
        <v>3500</v>
      </c>
      <c r="K483" t="s">
        <v>1803</v>
      </c>
      <c r="M483" t="s">
        <v>1823</v>
      </c>
      <c r="N483" t="s">
        <v>387</v>
      </c>
      <c r="O483" s="146" t="str">
        <f>_xlfn.XLOOKUP(N483,[1]!costcategory[Account Code],[1]!costcategory[Cost Category],"ERROR")</f>
        <v>Headcount Costs</v>
      </c>
      <c r="P483" t="s">
        <v>350</v>
      </c>
      <c r="Q483" s="147" t="str">
        <f>_xlfn.XLOOKUP(P483,[1]!Table2[Department],[1]!Table2[Group],"ERROR")</f>
        <v>General &amp; Administrative</v>
      </c>
      <c r="V483" s="36"/>
    </row>
    <row r="484" spans="1:23" customFormat="1" hidden="1" x14ac:dyDescent="0.2">
      <c r="A484" s="36" t="s">
        <v>247</v>
      </c>
      <c r="B484" s="36" t="s">
        <v>2</v>
      </c>
      <c r="C484" s="93">
        <v>46265</v>
      </c>
      <c r="D484" s="3">
        <v>46265</v>
      </c>
      <c r="E484" s="126">
        <v>46265</v>
      </c>
      <c r="F484" s="36" t="s">
        <v>82</v>
      </c>
      <c r="G484" s="281"/>
      <c r="H484" s="281"/>
      <c r="I484" s="281"/>
      <c r="J484" s="281">
        <v>1500</v>
      </c>
      <c r="K484" t="s">
        <v>1803</v>
      </c>
      <c r="M484" t="s">
        <v>1678</v>
      </c>
      <c r="N484" t="s">
        <v>364</v>
      </c>
      <c r="O484" s="146" t="str">
        <f>_xlfn.XLOOKUP(N484,[1]!costcategory[Account Code],[1]!costcategory[Cost Category],"ERROR")</f>
        <v>Headcount Costs</v>
      </c>
      <c r="P484" t="s">
        <v>350</v>
      </c>
      <c r="Q484" s="147" t="str">
        <f>_xlfn.XLOOKUP(P484,[1]!Table2[Department],[1]!Table2[Group],"ERROR")</f>
        <v>General &amp; Administrative</v>
      </c>
      <c r="V484" s="36"/>
    </row>
    <row r="485" spans="1:23" customFormat="1" hidden="1" x14ac:dyDescent="0.2">
      <c r="A485" s="36" t="s">
        <v>247</v>
      </c>
      <c r="B485" s="36" t="s">
        <v>2</v>
      </c>
      <c r="C485" s="93">
        <v>46265</v>
      </c>
      <c r="D485" s="3">
        <v>46265</v>
      </c>
      <c r="E485" s="126">
        <v>46265</v>
      </c>
      <c r="F485" s="36" t="s">
        <v>82</v>
      </c>
      <c r="G485" s="281"/>
      <c r="H485" s="281"/>
      <c r="I485" s="281"/>
      <c r="J485" s="281">
        <v>16000</v>
      </c>
      <c r="K485" t="s">
        <v>1803</v>
      </c>
      <c r="M485" t="s">
        <v>1823</v>
      </c>
      <c r="N485" t="s">
        <v>387</v>
      </c>
      <c r="O485" s="146" t="str">
        <f>_xlfn.XLOOKUP(N485,[1]!costcategory[Account Code],[1]!costcategory[Cost Category],"ERROR")</f>
        <v>Headcount Costs</v>
      </c>
      <c r="P485" t="s">
        <v>63</v>
      </c>
      <c r="Q485" s="147" t="str">
        <f>_xlfn.XLOOKUP(P485,[1]!Table2[Department],[1]!Table2[Group],"ERROR")</f>
        <v>Research &amp; Development</v>
      </c>
      <c r="V485" s="36"/>
    </row>
    <row r="486" spans="1:23" customFormat="1" hidden="1" x14ac:dyDescent="0.2">
      <c r="A486" s="36" t="s">
        <v>247</v>
      </c>
      <c r="B486" s="36" t="s">
        <v>2</v>
      </c>
      <c r="C486" s="93">
        <v>46265</v>
      </c>
      <c r="D486" s="3">
        <v>46265</v>
      </c>
      <c r="E486" s="126">
        <v>46265</v>
      </c>
      <c r="F486" s="36" t="s">
        <v>82</v>
      </c>
      <c r="G486" s="281"/>
      <c r="H486" s="281"/>
      <c r="I486" s="281"/>
      <c r="J486" s="281">
        <v>1000</v>
      </c>
      <c r="K486" t="s">
        <v>1803</v>
      </c>
      <c r="M486" t="s">
        <v>1678</v>
      </c>
      <c r="N486" t="s">
        <v>364</v>
      </c>
      <c r="O486" s="146" t="str">
        <f>_xlfn.XLOOKUP(N486,[1]!costcategory[Account Code],[1]!costcategory[Cost Category],"ERROR")</f>
        <v>Headcount Costs</v>
      </c>
      <c r="P486" t="s">
        <v>45</v>
      </c>
      <c r="Q486" s="147" t="str">
        <f>_xlfn.XLOOKUP(P486,[1]!Table2[Department],[1]!Table2[Group],"ERROR")</f>
        <v>DSC</v>
      </c>
      <c r="V486" s="36"/>
    </row>
    <row r="487" spans="1:23" customFormat="1" hidden="1" x14ac:dyDescent="0.2">
      <c r="A487" s="36" t="s">
        <v>247</v>
      </c>
      <c r="B487" s="36" t="s">
        <v>2</v>
      </c>
      <c r="C487" s="93">
        <v>46265</v>
      </c>
      <c r="D487" s="3">
        <v>46265</v>
      </c>
      <c r="E487" s="126">
        <v>46265</v>
      </c>
      <c r="F487" s="36" t="s">
        <v>82</v>
      </c>
      <c r="G487" s="281"/>
      <c r="H487" s="281"/>
      <c r="I487" s="281"/>
      <c r="J487" s="281">
        <v>1000</v>
      </c>
      <c r="K487" t="s">
        <v>1803</v>
      </c>
      <c r="M487" t="s">
        <v>1823</v>
      </c>
      <c r="N487" t="s">
        <v>387</v>
      </c>
      <c r="O487" s="146" t="str">
        <f>_xlfn.XLOOKUP(N487,[1]!costcategory[Account Code],[1]!costcategory[Cost Category],"ERROR")</f>
        <v>Headcount Costs</v>
      </c>
      <c r="P487" t="s">
        <v>350</v>
      </c>
      <c r="Q487" s="147" t="str">
        <f>_xlfn.XLOOKUP(P487,[1]!Table2[Department],[1]!Table2[Group],"ERROR")</f>
        <v>General &amp; Administrative</v>
      </c>
      <c r="V487" s="36"/>
    </row>
    <row r="488" spans="1:23" customFormat="1" hidden="1" x14ac:dyDescent="0.2">
      <c r="A488" s="36" t="s">
        <v>247</v>
      </c>
      <c r="B488" s="36" t="s">
        <v>2</v>
      </c>
      <c r="C488" s="93">
        <v>46265</v>
      </c>
      <c r="D488" s="3">
        <v>46265</v>
      </c>
      <c r="E488" s="126">
        <v>46265</v>
      </c>
      <c r="F488" s="36" t="s">
        <v>82</v>
      </c>
      <c r="G488" s="281"/>
      <c r="H488" s="281"/>
      <c r="I488" s="281"/>
      <c r="J488" s="281">
        <v>3500</v>
      </c>
      <c r="K488" t="s">
        <v>1803</v>
      </c>
      <c r="M488" t="s">
        <v>1823</v>
      </c>
      <c r="N488" t="s">
        <v>387</v>
      </c>
      <c r="O488" s="146" t="str">
        <f>_xlfn.XLOOKUP(N488,[1]!costcategory[Account Code],[1]!costcategory[Cost Category],"ERROR")</f>
        <v>Headcount Costs</v>
      </c>
      <c r="P488" t="s">
        <v>350</v>
      </c>
      <c r="Q488" s="147" t="str">
        <f>_xlfn.XLOOKUP(P488,[1]!Table2[Department],[1]!Table2[Group],"ERROR")</f>
        <v>General &amp; Administrative</v>
      </c>
      <c r="V488" s="36"/>
    </row>
    <row r="489" spans="1:23" customFormat="1" hidden="1" x14ac:dyDescent="0.2">
      <c r="A489" s="36" t="s">
        <v>247</v>
      </c>
      <c r="B489" s="36" t="s">
        <v>2</v>
      </c>
      <c r="C489" s="93">
        <v>46280</v>
      </c>
      <c r="D489" s="3"/>
      <c r="E489" s="126">
        <v>46280</v>
      </c>
      <c r="F489" s="36" t="s">
        <v>82</v>
      </c>
      <c r="G489" s="281">
        <v>16837</v>
      </c>
      <c r="H489" s="281">
        <v>0</v>
      </c>
      <c r="I489" s="281">
        <v>16837</v>
      </c>
      <c r="J489" s="281">
        <v>4074.2002896419858</v>
      </c>
      <c r="K489" t="s">
        <v>630</v>
      </c>
      <c r="M489" t="s">
        <v>1822</v>
      </c>
      <c r="N489" t="s">
        <v>509</v>
      </c>
      <c r="O489" t="s">
        <v>510</v>
      </c>
      <c r="P489" t="s">
        <v>333</v>
      </c>
      <c r="Q489" t="s">
        <v>62</v>
      </c>
      <c r="V489" s="36"/>
    </row>
    <row r="490" spans="1:23" customFormat="1" hidden="1" x14ac:dyDescent="0.2">
      <c r="A490" s="36" t="s">
        <v>247</v>
      </c>
      <c r="B490" s="36" t="s">
        <v>2</v>
      </c>
      <c r="C490" s="93">
        <v>46266</v>
      </c>
      <c r="D490" s="3">
        <v>46266</v>
      </c>
      <c r="E490" s="126">
        <v>46290</v>
      </c>
      <c r="F490" s="36" t="s">
        <v>82</v>
      </c>
      <c r="G490" s="281">
        <v>9764.7999999999993</v>
      </c>
      <c r="H490" s="281">
        <v>585.89</v>
      </c>
      <c r="I490" s="281">
        <v>10350.69</v>
      </c>
      <c r="J490" s="281">
        <v>2504.65</v>
      </c>
      <c r="K490" s="4" t="s">
        <v>582</v>
      </c>
      <c r="M490" t="s">
        <v>1821</v>
      </c>
      <c r="N490" t="s">
        <v>409</v>
      </c>
      <c r="O490" t="s">
        <v>410</v>
      </c>
      <c r="P490" t="s">
        <v>340</v>
      </c>
      <c r="Q490" t="s">
        <v>62</v>
      </c>
      <c r="V490" s="36"/>
    </row>
    <row r="491" spans="1:23" customFormat="1" hidden="1" x14ac:dyDescent="0.2">
      <c r="A491" s="36" t="s">
        <v>247</v>
      </c>
      <c r="B491" s="36" t="s">
        <v>2</v>
      </c>
      <c r="C491" s="93">
        <v>46266</v>
      </c>
      <c r="D491" s="3">
        <v>46266</v>
      </c>
      <c r="E491" s="126">
        <v>46290</v>
      </c>
      <c r="F491" s="36" t="s">
        <v>82</v>
      </c>
      <c r="G491" s="281">
        <v>6000</v>
      </c>
      <c r="H491" s="281">
        <v>0</v>
      </c>
      <c r="I491" s="281">
        <v>6000</v>
      </c>
      <c r="J491" s="281">
        <v>1451.8739524768021</v>
      </c>
      <c r="K491" t="s">
        <v>444</v>
      </c>
      <c r="M491" t="s">
        <v>1820</v>
      </c>
      <c r="N491" t="s">
        <v>374</v>
      </c>
      <c r="O491" t="s">
        <v>375</v>
      </c>
      <c r="P491" t="s">
        <v>376</v>
      </c>
      <c r="Q491" t="s">
        <v>62</v>
      </c>
      <c r="V491" s="36"/>
    </row>
    <row r="492" spans="1:23" customFormat="1" hidden="1" x14ac:dyDescent="0.2">
      <c r="A492" s="36" t="s">
        <v>247</v>
      </c>
      <c r="B492" s="36" t="s">
        <v>2</v>
      </c>
      <c r="C492" s="93">
        <v>46290</v>
      </c>
      <c r="D492" s="3">
        <v>46290</v>
      </c>
      <c r="E492" s="126">
        <v>46290</v>
      </c>
      <c r="F492" s="36" t="s">
        <v>82</v>
      </c>
      <c r="G492" s="281">
        <v>450</v>
      </c>
      <c r="H492" s="281">
        <v>0</v>
      </c>
      <c r="I492" s="281">
        <v>450</v>
      </c>
      <c r="J492" s="281">
        <v>108.89054643576014</v>
      </c>
      <c r="K492" t="s">
        <v>445</v>
      </c>
      <c r="M492" t="s">
        <v>1819</v>
      </c>
      <c r="N492" t="s">
        <v>58</v>
      </c>
      <c r="O492" t="s">
        <v>58</v>
      </c>
      <c r="P492" t="s">
        <v>376</v>
      </c>
      <c r="Q492" t="s">
        <v>62</v>
      </c>
      <c r="V492" s="36"/>
    </row>
    <row r="493" spans="1:23" customFormat="1" hidden="1" x14ac:dyDescent="0.2">
      <c r="A493" s="36" t="s">
        <v>247</v>
      </c>
      <c r="B493" s="36" t="s">
        <v>2</v>
      </c>
      <c r="C493" s="93">
        <v>46295</v>
      </c>
      <c r="D493" s="3">
        <v>46295</v>
      </c>
      <c r="E493" s="126">
        <v>46295</v>
      </c>
      <c r="F493" s="36" t="s">
        <v>82</v>
      </c>
      <c r="G493" s="281"/>
      <c r="H493" s="281"/>
      <c r="I493" s="281"/>
      <c r="J493" s="281">
        <v>4000</v>
      </c>
      <c r="K493" t="s">
        <v>1803</v>
      </c>
      <c r="M493" t="s">
        <v>1818</v>
      </c>
      <c r="N493" t="s">
        <v>387</v>
      </c>
      <c r="O493" s="146" t="str">
        <f>_xlfn.XLOOKUP(N493,[1]!costcategory[Account Code],[1]!costcategory[Cost Category],"ERROR")</f>
        <v>Headcount Costs</v>
      </c>
      <c r="P493" t="s">
        <v>354</v>
      </c>
      <c r="Q493" s="147" t="str">
        <f>_xlfn.XLOOKUP(P493,[1]!Table2[Department],[1]!Table2[Group],"ERROR")</f>
        <v>Sales &amp; Marketing</v>
      </c>
      <c r="V493" s="36"/>
    </row>
    <row r="494" spans="1:23" customFormat="1" hidden="1" x14ac:dyDescent="0.2">
      <c r="A494" s="36" t="s">
        <v>247</v>
      </c>
      <c r="B494" s="36" t="s">
        <v>2</v>
      </c>
      <c r="C494" s="93">
        <v>46295</v>
      </c>
      <c r="D494" s="3">
        <v>46295</v>
      </c>
      <c r="E494" s="126">
        <v>46295</v>
      </c>
      <c r="F494" s="36" t="s">
        <v>82</v>
      </c>
      <c r="G494" s="281"/>
      <c r="H494" s="281"/>
      <c r="I494" s="281"/>
      <c r="J494" s="281">
        <v>1000</v>
      </c>
      <c r="K494" t="s">
        <v>1803</v>
      </c>
      <c r="M494" t="s">
        <v>1818</v>
      </c>
      <c r="N494" t="s">
        <v>387</v>
      </c>
      <c r="O494" s="146" t="str">
        <f>_xlfn.XLOOKUP(N494,[1]!costcategory[Account Code],[1]!costcategory[Cost Category],"ERROR")</f>
        <v>Headcount Costs</v>
      </c>
      <c r="P494" t="s">
        <v>354</v>
      </c>
      <c r="Q494" s="147" t="str">
        <f>_xlfn.XLOOKUP(P494,[1]!Table2[Department],[1]!Table2[Group],"ERROR")</f>
        <v>Sales &amp; Marketing</v>
      </c>
      <c r="V494" s="36"/>
    </row>
    <row r="495" spans="1:23" customFormat="1" hidden="1" x14ac:dyDescent="0.2">
      <c r="A495" s="36" t="s">
        <v>247</v>
      </c>
      <c r="B495" s="36" t="s">
        <v>2</v>
      </c>
      <c r="C495" s="93">
        <v>46295</v>
      </c>
      <c r="D495" s="3">
        <v>46295</v>
      </c>
      <c r="E495" s="126">
        <v>46295</v>
      </c>
      <c r="F495" s="36" t="s">
        <v>82</v>
      </c>
      <c r="G495" s="281"/>
      <c r="H495" s="281"/>
      <c r="I495" s="281"/>
      <c r="J495" s="281">
        <v>150</v>
      </c>
      <c r="K495" t="s">
        <v>1803</v>
      </c>
      <c r="M495" t="s">
        <v>1670</v>
      </c>
      <c r="N495" t="s">
        <v>364</v>
      </c>
      <c r="O495" s="146" t="str">
        <f>_xlfn.XLOOKUP(N495,[1]!costcategory[Account Code],[1]!costcategory[Cost Category],"ERROR")</f>
        <v>Headcount Costs</v>
      </c>
      <c r="P495" t="s">
        <v>354</v>
      </c>
      <c r="Q495" s="147" t="str">
        <f>_xlfn.XLOOKUP(P495,[1]!Table2[Department],[1]!Table2[Group],"ERROR")</f>
        <v>Sales &amp; Marketing</v>
      </c>
      <c r="V495" s="36"/>
    </row>
    <row r="496" spans="1:23" s="116" customFormat="1" hidden="1" x14ac:dyDescent="0.2">
      <c r="A496" s="36" t="s">
        <v>247</v>
      </c>
      <c r="B496" s="36" t="s">
        <v>2</v>
      </c>
      <c r="C496" s="93">
        <v>46295</v>
      </c>
      <c r="D496" s="3">
        <v>46295</v>
      </c>
      <c r="E496" s="126">
        <v>46295</v>
      </c>
      <c r="F496" s="36" t="s">
        <v>82</v>
      </c>
      <c r="G496" s="281"/>
      <c r="H496" s="281"/>
      <c r="I496" s="281"/>
      <c r="J496" s="281">
        <v>4000</v>
      </c>
      <c r="K496" t="s">
        <v>1803</v>
      </c>
      <c r="L496"/>
      <c r="M496" t="s">
        <v>1818</v>
      </c>
      <c r="N496" t="s">
        <v>387</v>
      </c>
      <c r="O496" s="146" t="str">
        <f>_xlfn.XLOOKUP(N496,[1]!costcategory[Account Code],[1]!costcategory[Cost Category],"ERROR")</f>
        <v>Headcount Costs</v>
      </c>
      <c r="P496" t="s">
        <v>45</v>
      </c>
      <c r="Q496" s="147" t="str">
        <f>_xlfn.XLOOKUP(P496,[1]!Table2[Department],[1]!Table2[Group],"ERROR")</f>
        <v>DSC</v>
      </c>
      <c r="R496"/>
      <c r="S496"/>
      <c r="T496"/>
      <c r="U496"/>
      <c r="V496" s="36"/>
      <c r="W496"/>
    </row>
    <row r="497" spans="1:23" s="116" customFormat="1" hidden="1" x14ac:dyDescent="0.2">
      <c r="A497" s="36" t="s">
        <v>247</v>
      </c>
      <c r="B497" s="36" t="s">
        <v>2</v>
      </c>
      <c r="C497" s="93">
        <v>46295</v>
      </c>
      <c r="D497" s="3">
        <v>46295</v>
      </c>
      <c r="E497" s="126">
        <v>46295</v>
      </c>
      <c r="F497" s="36" t="s">
        <v>82</v>
      </c>
      <c r="G497" s="281"/>
      <c r="H497" s="281"/>
      <c r="I497" s="281"/>
      <c r="J497" s="281">
        <v>5500</v>
      </c>
      <c r="K497" t="s">
        <v>1803</v>
      </c>
      <c r="L497"/>
      <c r="M497" t="s">
        <v>1818</v>
      </c>
      <c r="N497" t="s">
        <v>387</v>
      </c>
      <c r="O497" s="146" t="str">
        <f>_xlfn.XLOOKUP(N497,[1]!costcategory[Account Code],[1]!costcategory[Cost Category],"ERROR")</f>
        <v>Headcount Costs</v>
      </c>
      <c r="P497" t="s">
        <v>63</v>
      </c>
      <c r="Q497" s="147" t="str">
        <f>_xlfn.XLOOKUP(P497,[1]!Table2[Department],[1]!Table2[Group],"ERROR")</f>
        <v>Research &amp; Development</v>
      </c>
      <c r="R497"/>
      <c r="S497"/>
      <c r="T497"/>
      <c r="U497"/>
      <c r="V497" s="36"/>
      <c r="W497"/>
    </row>
    <row r="498" spans="1:23" customFormat="1" hidden="1" x14ac:dyDescent="0.2">
      <c r="A498" s="36" t="s">
        <v>247</v>
      </c>
      <c r="B498" s="36" t="s">
        <v>2</v>
      </c>
      <c r="C498" s="93">
        <v>46295</v>
      </c>
      <c r="D498" s="3">
        <v>46295</v>
      </c>
      <c r="E498" s="126">
        <v>46295</v>
      </c>
      <c r="F498" s="36" t="s">
        <v>82</v>
      </c>
      <c r="G498" s="281"/>
      <c r="H498" s="281"/>
      <c r="I498" s="281"/>
      <c r="J498" s="281">
        <v>1500</v>
      </c>
      <c r="K498" t="s">
        <v>1803</v>
      </c>
      <c r="M498" t="s">
        <v>1818</v>
      </c>
      <c r="N498" t="s">
        <v>387</v>
      </c>
      <c r="O498" s="146" t="str">
        <f>_xlfn.XLOOKUP(N498,[1]!costcategory[Account Code],[1]!costcategory[Cost Category],"ERROR")</f>
        <v>Headcount Costs</v>
      </c>
      <c r="P498" t="s">
        <v>45</v>
      </c>
      <c r="Q498" s="147" t="str">
        <f>_xlfn.XLOOKUP(P498,[1]!Table2[Department],[1]!Table2[Group],"ERROR")</f>
        <v>DSC</v>
      </c>
      <c r="V498" s="36"/>
    </row>
    <row r="499" spans="1:23" s="116" customFormat="1" hidden="1" x14ac:dyDescent="0.2">
      <c r="A499" s="36" t="s">
        <v>247</v>
      </c>
      <c r="B499" s="36" t="s">
        <v>2</v>
      </c>
      <c r="C499" s="93">
        <v>46295</v>
      </c>
      <c r="D499" s="3">
        <v>46295</v>
      </c>
      <c r="E499" s="126">
        <v>46295</v>
      </c>
      <c r="F499" s="36" t="s">
        <v>82</v>
      </c>
      <c r="G499" s="281"/>
      <c r="H499" s="281"/>
      <c r="I499" s="281"/>
      <c r="J499" s="281">
        <v>3000</v>
      </c>
      <c r="K499" t="s">
        <v>1803</v>
      </c>
      <c r="L499"/>
      <c r="M499" t="s">
        <v>1670</v>
      </c>
      <c r="N499" t="s">
        <v>364</v>
      </c>
      <c r="O499" s="146" t="str">
        <f>_xlfn.XLOOKUP(N499,[1]!costcategory[Account Code],[1]!costcategory[Cost Category],"ERROR")</f>
        <v>Headcount Costs</v>
      </c>
      <c r="P499" t="s">
        <v>63</v>
      </c>
      <c r="Q499" s="147" t="str">
        <f>_xlfn.XLOOKUP(P499,[1]!Table2[Department],[1]!Table2[Group],"ERROR")</f>
        <v>Research &amp; Development</v>
      </c>
      <c r="R499"/>
      <c r="S499"/>
      <c r="T499"/>
      <c r="U499"/>
      <c r="V499" s="36"/>
      <c r="W499"/>
    </row>
    <row r="500" spans="1:23" customFormat="1" hidden="1" x14ac:dyDescent="0.2">
      <c r="A500" s="36" t="s">
        <v>247</v>
      </c>
      <c r="B500" s="36" t="s">
        <v>2</v>
      </c>
      <c r="C500" s="93">
        <v>46295</v>
      </c>
      <c r="D500" s="3">
        <v>46295</v>
      </c>
      <c r="E500" s="126">
        <v>46295</v>
      </c>
      <c r="F500" s="36" t="s">
        <v>82</v>
      </c>
      <c r="G500" s="281"/>
      <c r="H500" s="281"/>
      <c r="I500" s="281"/>
      <c r="J500" s="281">
        <v>2500</v>
      </c>
      <c r="K500" t="s">
        <v>1803</v>
      </c>
      <c r="M500" t="s">
        <v>1818</v>
      </c>
      <c r="N500" t="s">
        <v>387</v>
      </c>
      <c r="O500" s="146" t="str">
        <f>_xlfn.XLOOKUP(N500,[1]!costcategory[Account Code],[1]!costcategory[Cost Category],"ERROR")</f>
        <v>Headcount Costs</v>
      </c>
      <c r="P500" t="s">
        <v>333</v>
      </c>
      <c r="Q500" s="147" t="str">
        <f>_xlfn.XLOOKUP(P500,[1]!Table2[Department],[1]!Table2[Group],"ERROR")</f>
        <v>General &amp; Administrative</v>
      </c>
      <c r="V500" s="36"/>
    </row>
    <row r="501" spans="1:23" s="116" customFormat="1" hidden="1" x14ac:dyDescent="0.2">
      <c r="A501" s="36" t="s">
        <v>247</v>
      </c>
      <c r="B501" s="36" t="s">
        <v>2</v>
      </c>
      <c r="C501" s="93">
        <v>46295</v>
      </c>
      <c r="D501" s="3">
        <v>46295</v>
      </c>
      <c r="E501" s="126">
        <v>46295</v>
      </c>
      <c r="F501" s="36" t="s">
        <v>82</v>
      </c>
      <c r="G501" s="281"/>
      <c r="H501" s="281"/>
      <c r="I501" s="281"/>
      <c r="J501" s="281">
        <v>1000</v>
      </c>
      <c r="K501" t="s">
        <v>1803</v>
      </c>
      <c r="L501"/>
      <c r="M501" t="s">
        <v>1818</v>
      </c>
      <c r="N501" t="s">
        <v>387</v>
      </c>
      <c r="O501" s="146" t="str">
        <f>_xlfn.XLOOKUP(N501,[1]!costcategory[Account Code],[1]!costcategory[Cost Category],"ERROR")</f>
        <v>Headcount Costs</v>
      </c>
      <c r="P501" t="s">
        <v>333</v>
      </c>
      <c r="Q501" s="147" t="str">
        <f>_xlfn.XLOOKUP(P501,[1]!Table2[Department],[1]!Table2[Group],"ERROR")</f>
        <v>General &amp; Administrative</v>
      </c>
      <c r="R501"/>
      <c r="S501"/>
      <c r="T501"/>
      <c r="U501"/>
      <c r="V501" s="36"/>
      <c r="W501"/>
    </row>
    <row r="502" spans="1:23" customFormat="1" hidden="1" x14ac:dyDescent="0.2">
      <c r="A502" s="36" t="s">
        <v>247</v>
      </c>
      <c r="B502" s="36" t="s">
        <v>2</v>
      </c>
      <c r="C502" s="93">
        <v>46295</v>
      </c>
      <c r="D502" s="3">
        <v>46295</v>
      </c>
      <c r="E502" s="126">
        <v>46295</v>
      </c>
      <c r="F502" s="36" t="s">
        <v>82</v>
      </c>
      <c r="G502" s="281"/>
      <c r="H502" s="281"/>
      <c r="I502" s="281"/>
      <c r="J502" s="281">
        <v>500</v>
      </c>
      <c r="K502" t="s">
        <v>1803</v>
      </c>
      <c r="M502" t="s">
        <v>1670</v>
      </c>
      <c r="N502" t="s">
        <v>364</v>
      </c>
      <c r="O502" s="146" t="str">
        <f>_xlfn.XLOOKUP(N502,[1]!costcategory[Account Code],[1]!costcategory[Cost Category],"ERROR")</f>
        <v>Headcount Costs</v>
      </c>
      <c r="P502" t="s">
        <v>333</v>
      </c>
      <c r="Q502" s="147" t="str">
        <f>_xlfn.XLOOKUP(P502,[1]!Table2[Department],[1]!Table2[Group],"ERROR")</f>
        <v>General &amp; Administrative</v>
      </c>
      <c r="V502" s="36"/>
    </row>
    <row r="503" spans="1:23" s="116" customFormat="1" hidden="1" x14ac:dyDescent="0.2">
      <c r="A503" s="36" t="s">
        <v>247</v>
      </c>
      <c r="B503" s="36" t="s">
        <v>2</v>
      </c>
      <c r="C503" s="93">
        <v>46295</v>
      </c>
      <c r="D503" s="3">
        <v>46295</v>
      </c>
      <c r="E503" s="126">
        <v>46295</v>
      </c>
      <c r="F503" s="36" t="s">
        <v>82</v>
      </c>
      <c r="G503" s="281"/>
      <c r="H503" s="281"/>
      <c r="I503" s="281"/>
      <c r="J503" s="281">
        <v>2500</v>
      </c>
      <c r="K503" t="s">
        <v>1803</v>
      </c>
      <c r="L503"/>
      <c r="M503" t="s">
        <v>1818</v>
      </c>
      <c r="N503" t="s">
        <v>387</v>
      </c>
      <c r="O503" s="146" t="str">
        <f>_xlfn.XLOOKUP(N503,[1]!costcategory[Account Code],[1]!costcategory[Cost Category],"ERROR")</f>
        <v>Headcount Costs</v>
      </c>
      <c r="P503" t="s">
        <v>350</v>
      </c>
      <c r="Q503" s="147" t="str">
        <f>_xlfn.XLOOKUP(P503,[1]!Table2[Department],[1]!Table2[Group],"ERROR")</f>
        <v>General &amp; Administrative</v>
      </c>
      <c r="R503"/>
      <c r="S503"/>
      <c r="T503"/>
      <c r="U503"/>
      <c r="V503" s="36"/>
      <c r="W503"/>
    </row>
    <row r="504" spans="1:23" s="116" customFormat="1" hidden="1" x14ac:dyDescent="0.2">
      <c r="A504" s="36" t="s">
        <v>247</v>
      </c>
      <c r="B504" s="36" t="s">
        <v>2</v>
      </c>
      <c r="C504" s="93">
        <v>46295</v>
      </c>
      <c r="D504" s="3">
        <v>46295</v>
      </c>
      <c r="E504" s="126">
        <v>46295</v>
      </c>
      <c r="F504" s="36" t="s">
        <v>82</v>
      </c>
      <c r="G504" s="281"/>
      <c r="H504" s="281"/>
      <c r="I504" s="281"/>
      <c r="J504" s="281">
        <v>500</v>
      </c>
      <c r="K504" t="s">
        <v>1803</v>
      </c>
      <c r="L504"/>
      <c r="M504" t="s">
        <v>1670</v>
      </c>
      <c r="N504" t="s">
        <v>364</v>
      </c>
      <c r="O504" s="146" t="str">
        <f>_xlfn.XLOOKUP(N504,[1]!costcategory[Account Code],[1]!costcategory[Cost Category],"ERROR")</f>
        <v>Headcount Costs</v>
      </c>
      <c r="P504" t="s">
        <v>350</v>
      </c>
      <c r="Q504" s="147" t="str">
        <f>_xlfn.XLOOKUP(P504,[1]!Table2[Department],[1]!Table2[Group],"ERROR")</f>
        <v>General &amp; Administrative</v>
      </c>
      <c r="R504"/>
      <c r="S504"/>
      <c r="T504"/>
      <c r="U504"/>
      <c r="V504" s="36"/>
      <c r="W504"/>
    </row>
    <row r="505" spans="1:23" customFormat="1" hidden="1" x14ac:dyDescent="0.2">
      <c r="A505" s="36" t="s">
        <v>247</v>
      </c>
      <c r="B505" s="36" t="s">
        <v>2</v>
      </c>
      <c r="C505" s="93">
        <v>46295</v>
      </c>
      <c r="D505" s="3">
        <v>46295</v>
      </c>
      <c r="E505" s="126">
        <v>46295</v>
      </c>
      <c r="F505" s="36" t="s">
        <v>82</v>
      </c>
      <c r="G505" s="281"/>
      <c r="H505" s="281"/>
      <c r="I505" s="281"/>
      <c r="J505" s="281">
        <v>5500</v>
      </c>
      <c r="K505" t="s">
        <v>1803</v>
      </c>
      <c r="M505" t="s">
        <v>1818</v>
      </c>
      <c r="N505" t="s">
        <v>387</v>
      </c>
      <c r="O505" s="146" t="str">
        <f>_xlfn.XLOOKUP(N505,[1]!costcategory[Account Code],[1]!costcategory[Cost Category],"ERROR")</f>
        <v>Headcount Costs</v>
      </c>
      <c r="P505" t="s">
        <v>438</v>
      </c>
      <c r="Q505" s="147" t="str">
        <f>_xlfn.XLOOKUP(P505,[1]!Table2[Department],[1]!Table2[Group],"ERROR")</f>
        <v>Sales &amp; Marketing</v>
      </c>
      <c r="V505" s="36"/>
    </row>
    <row r="506" spans="1:23" customFormat="1" hidden="1" x14ac:dyDescent="0.2">
      <c r="A506" s="36" t="s">
        <v>247</v>
      </c>
      <c r="B506" s="36" t="s">
        <v>2</v>
      </c>
      <c r="C506" s="93">
        <v>46295</v>
      </c>
      <c r="D506" s="3">
        <v>46295</v>
      </c>
      <c r="E506" s="126">
        <v>46295</v>
      </c>
      <c r="F506" s="36" t="s">
        <v>82</v>
      </c>
      <c r="G506" s="281"/>
      <c r="H506" s="281"/>
      <c r="I506" s="281"/>
      <c r="J506" s="281">
        <v>2000</v>
      </c>
      <c r="K506" t="s">
        <v>1803</v>
      </c>
      <c r="M506" t="s">
        <v>1818</v>
      </c>
      <c r="N506" t="s">
        <v>387</v>
      </c>
      <c r="O506" s="146" t="str">
        <f>_xlfn.XLOOKUP(N506,[1]!costcategory[Account Code],[1]!costcategory[Cost Category],"ERROR")</f>
        <v>Headcount Costs</v>
      </c>
      <c r="P506" t="s">
        <v>438</v>
      </c>
      <c r="Q506" s="147" t="str">
        <f>_xlfn.XLOOKUP(P506,[1]!Table2[Department],[1]!Table2[Group],"ERROR")</f>
        <v>Sales &amp; Marketing</v>
      </c>
      <c r="V506" s="36"/>
    </row>
    <row r="507" spans="1:23" customFormat="1" hidden="1" x14ac:dyDescent="0.2">
      <c r="A507" s="36" t="s">
        <v>247</v>
      </c>
      <c r="B507" s="36" t="s">
        <v>2</v>
      </c>
      <c r="C507" s="93">
        <v>46295</v>
      </c>
      <c r="D507" s="3">
        <v>46295</v>
      </c>
      <c r="E507" s="126">
        <v>46295</v>
      </c>
      <c r="F507" s="36" t="s">
        <v>82</v>
      </c>
      <c r="G507" s="281"/>
      <c r="H507" s="281"/>
      <c r="I507" s="281"/>
      <c r="J507" s="281">
        <v>1000</v>
      </c>
      <c r="K507" t="s">
        <v>1803</v>
      </c>
      <c r="M507" t="s">
        <v>1670</v>
      </c>
      <c r="N507" t="s">
        <v>364</v>
      </c>
      <c r="O507" s="146" t="str">
        <f>_xlfn.XLOOKUP(N507,[1]!costcategory[Account Code],[1]!costcategory[Cost Category],"ERROR")</f>
        <v>Headcount Costs</v>
      </c>
      <c r="P507" t="s">
        <v>438</v>
      </c>
      <c r="Q507" s="147" t="str">
        <f>_xlfn.XLOOKUP(P507,[1]!Table2[Department],[1]!Table2[Group],"ERROR")</f>
        <v>Sales &amp; Marketing</v>
      </c>
      <c r="V507" s="36"/>
    </row>
    <row r="508" spans="1:23" customFormat="1" hidden="1" x14ac:dyDescent="0.2">
      <c r="A508" s="36" t="s">
        <v>247</v>
      </c>
      <c r="B508" s="36" t="s">
        <v>2</v>
      </c>
      <c r="C508" s="93">
        <v>46295</v>
      </c>
      <c r="D508" s="3">
        <v>46295</v>
      </c>
      <c r="E508" s="126">
        <v>46295</v>
      </c>
      <c r="F508" s="36" t="s">
        <v>82</v>
      </c>
      <c r="G508" s="281"/>
      <c r="H508" s="281"/>
      <c r="I508" s="281"/>
      <c r="J508" s="281">
        <v>1500</v>
      </c>
      <c r="K508" t="s">
        <v>1803</v>
      </c>
      <c r="M508" t="s">
        <v>1670</v>
      </c>
      <c r="N508" t="s">
        <v>364</v>
      </c>
      <c r="O508" s="146" t="str">
        <f>_xlfn.XLOOKUP(N508,[1]!costcategory[Account Code],[1]!costcategory[Cost Category],"ERROR")</f>
        <v>Headcount Costs</v>
      </c>
      <c r="P508" t="s">
        <v>350</v>
      </c>
      <c r="Q508" s="147" t="str">
        <f>_xlfn.XLOOKUP(P508,[1]!Table2[Department],[1]!Table2[Group],"ERROR")</f>
        <v>General &amp; Administrative</v>
      </c>
      <c r="V508" s="36"/>
    </row>
    <row r="509" spans="1:23" customFormat="1" hidden="1" x14ac:dyDescent="0.2">
      <c r="A509" s="36" t="s">
        <v>247</v>
      </c>
      <c r="B509" s="36" t="s">
        <v>2</v>
      </c>
      <c r="C509" s="93">
        <v>46310</v>
      </c>
      <c r="D509" s="3"/>
      <c r="E509" s="126">
        <v>46310</v>
      </c>
      <c r="F509" s="36" t="s">
        <v>82</v>
      </c>
      <c r="G509" s="281">
        <v>16837</v>
      </c>
      <c r="H509" s="281">
        <v>0</v>
      </c>
      <c r="I509" s="281">
        <v>16837</v>
      </c>
      <c r="J509" s="281">
        <v>4074.2002896419858</v>
      </c>
      <c r="K509" t="s">
        <v>630</v>
      </c>
      <c r="M509" t="s">
        <v>1817</v>
      </c>
      <c r="N509" t="s">
        <v>509</v>
      </c>
      <c r="O509" t="s">
        <v>510</v>
      </c>
      <c r="P509" t="s">
        <v>333</v>
      </c>
      <c r="Q509" t="s">
        <v>62</v>
      </c>
      <c r="V509" s="36"/>
    </row>
    <row r="510" spans="1:23" customFormat="1" hidden="1" x14ac:dyDescent="0.2">
      <c r="A510" s="36" t="s">
        <v>247</v>
      </c>
      <c r="B510" s="36" t="s">
        <v>2</v>
      </c>
      <c r="C510" s="93">
        <v>46296</v>
      </c>
      <c r="D510" s="3">
        <v>46296</v>
      </c>
      <c r="E510" s="126">
        <v>46320</v>
      </c>
      <c r="F510" s="36" t="s">
        <v>82</v>
      </c>
      <c r="G510" s="281">
        <v>9764.7999999999993</v>
      </c>
      <c r="H510" s="281">
        <v>585.89</v>
      </c>
      <c r="I510" s="281">
        <v>10350.69</v>
      </c>
      <c r="J510" s="281">
        <v>2504.65</v>
      </c>
      <c r="K510" s="4" t="s">
        <v>582</v>
      </c>
      <c r="M510" t="s">
        <v>1816</v>
      </c>
      <c r="N510" t="s">
        <v>409</v>
      </c>
      <c r="O510" t="s">
        <v>410</v>
      </c>
      <c r="P510" t="s">
        <v>340</v>
      </c>
      <c r="Q510" t="s">
        <v>62</v>
      </c>
      <c r="V510" s="36"/>
    </row>
    <row r="511" spans="1:23" customFormat="1" hidden="1" x14ac:dyDescent="0.2">
      <c r="A511" s="36" t="s">
        <v>247</v>
      </c>
      <c r="B511" s="36" t="s">
        <v>2</v>
      </c>
      <c r="C511" s="93">
        <v>46296</v>
      </c>
      <c r="D511" s="3">
        <v>46296</v>
      </c>
      <c r="E511" s="126">
        <v>46320</v>
      </c>
      <c r="F511" s="36" t="s">
        <v>82</v>
      </c>
      <c r="G511" s="281">
        <v>6000</v>
      </c>
      <c r="H511" s="281">
        <v>0</v>
      </c>
      <c r="I511" s="281">
        <v>6000</v>
      </c>
      <c r="J511" s="281">
        <v>1451.8739524768021</v>
      </c>
      <c r="K511" t="s">
        <v>444</v>
      </c>
      <c r="M511" t="s">
        <v>1815</v>
      </c>
      <c r="N511" t="s">
        <v>374</v>
      </c>
      <c r="O511" t="s">
        <v>375</v>
      </c>
      <c r="P511" t="s">
        <v>376</v>
      </c>
      <c r="Q511" t="s">
        <v>62</v>
      </c>
      <c r="V511" s="36"/>
    </row>
    <row r="512" spans="1:23" customFormat="1" hidden="1" x14ac:dyDescent="0.2">
      <c r="A512" s="36" t="s">
        <v>247</v>
      </c>
      <c r="B512" s="36" t="s">
        <v>2</v>
      </c>
      <c r="C512" s="93">
        <v>46320</v>
      </c>
      <c r="D512" s="3">
        <v>46320</v>
      </c>
      <c r="E512" s="126">
        <v>46320</v>
      </c>
      <c r="F512" s="36" t="s">
        <v>82</v>
      </c>
      <c r="G512" s="281">
        <v>450</v>
      </c>
      <c r="H512" s="281">
        <v>0</v>
      </c>
      <c r="I512" s="281">
        <v>450</v>
      </c>
      <c r="J512" s="281">
        <v>108.89054643576014</v>
      </c>
      <c r="K512" t="s">
        <v>445</v>
      </c>
      <c r="M512" t="s">
        <v>1814</v>
      </c>
      <c r="N512" t="s">
        <v>58</v>
      </c>
      <c r="O512" t="s">
        <v>58</v>
      </c>
      <c r="P512" t="s">
        <v>376</v>
      </c>
      <c r="Q512" t="s">
        <v>62</v>
      </c>
      <c r="V512" s="36"/>
    </row>
    <row r="513" spans="1:22" customFormat="1" hidden="1" x14ac:dyDescent="0.2">
      <c r="A513" s="36" t="s">
        <v>247</v>
      </c>
      <c r="B513" s="36" t="s">
        <v>2</v>
      </c>
      <c r="C513" s="93">
        <v>46326</v>
      </c>
      <c r="D513" s="3">
        <v>46326</v>
      </c>
      <c r="E513" s="126">
        <v>46326</v>
      </c>
      <c r="F513" s="36" t="s">
        <v>82</v>
      </c>
      <c r="G513" s="281"/>
      <c r="H513" s="281"/>
      <c r="I513" s="281"/>
      <c r="J513" s="281">
        <v>4000</v>
      </c>
      <c r="K513" t="s">
        <v>1803</v>
      </c>
      <c r="M513" t="s">
        <v>1813</v>
      </c>
      <c r="N513" t="s">
        <v>387</v>
      </c>
      <c r="O513" s="146" t="str">
        <f>_xlfn.XLOOKUP(N513,[1]!costcategory[Account Code],[1]!costcategory[Cost Category],"ERROR")</f>
        <v>Headcount Costs</v>
      </c>
      <c r="P513" t="s">
        <v>354</v>
      </c>
      <c r="Q513" s="147" t="str">
        <f>_xlfn.XLOOKUP(P513,[1]!Table2[Department],[1]!Table2[Group],"ERROR")</f>
        <v>Sales &amp; Marketing</v>
      </c>
      <c r="V513" s="36"/>
    </row>
    <row r="514" spans="1:22" customFormat="1" hidden="1" x14ac:dyDescent="0.2">
      <c r="A514" s="36" t="s">
        <v>247</v>
      </c>
      <c r="B514" s="36" t="s">
        <v>2</v>
      </c>
      <c r="C514" s="93">
        <v>46326</v>
      </c>
      <c r="D514" s="3">
        <v>46326</v>
      </c>
      <c r="E514" s="126">
        <v>46326</v>
      </c>
      <c r="F514" s="36" t="s">
        <v>82</v>
      </c>
      <c r="G514" s="281"/>
      <c r="H514" s="281"/>
      <c r="I514" s="281"/>
      <c r="J514" s="281">
        <v>1000</v>
      </c>
      <c r="K514" t="s">
        <v>1803</v>
      </c>
      <c r="M514" t="s">
        <v>1813</v>
      </c>
      <c r="N514" t="s">
        <v>387</v>
      </c>
      <c r="O514" s="146" t="str">
        <f>_xlfn.XLOOKUP(N514,[1]!costcategory[Account Code],[1]!costcategory[Cost Category],"ERROR")</f>
        <v>Headcount Costs</v>
      </c>
      <c r="P514" t="s">
        <v>354</v>
      </c>
      <c r="Q514" s="147" t="str">
        <f>_xlfn.XLOOKUP(P514,[1]!Table2[Department],[1]!Table2[Group],"ERROR")</f>
        <v>Sales &amp; Marketing</v>
      </c>
      <c r="V514" s="36"/>
    </row>
    <row r="515" spans="1:22" customFormat="1" hidden="1" x14ac:dyDescent="0.2">
      <c r="A515" s="36" t="s">
        <v>247</v>
      </c>
      <c r="B515" s="36" t="s">
        <v>2</v>
      </c>
      <c r="C515" s="93">
        <v>46326</v>
      </c>
      <c r="D515" s="3">
        <v>46326</v>
      </c>
      <c r="E515" s="126">
        <v>46326</v>
      </c>
      <c r="F515" s="36" t="s">
        <v>82</v>
      </c>
      <c r="G515" s="281"/>
      <c r="H515" s="281"/>
      <c r="I515" s="281"/>
      <c r="J515" s="281">
        <v>150</v>
      </c>
      <c r="K515" t="s">
        <v>1803</v>
      </c>
      <c r="M515" t="s">
        <v>1661</v>
      </c>
      <c r="N515" t="s">
        <v>364</v>
      </c>
      <c r="O515" s="146" t="str">
        <f>_xlfn.XLOOKUP(N515,[1]!costcategory[Account Code],[1]!costcategory[Cost Category],"ERROR")</f>
        <v>Headcount Costs</v>
      </c>
      <c r="P515" t="s">
        <v>354</v>
      </c>
      <c r="Q515" s="147" t="str">
        <f>_xlfn.XLOOKUP(P515,[1]!Table2[Department],[1]!Table2[Group],"ERROR")</f>
        <v>Sales &amp; Marketing</v>
      </c>
      <c r="V515" s="36"/>
    </row>
    <row r="516" spans="1:22" customFormat="1" hidden="1" x14ac:dyDescent="0.2">
      <c r="A516" s="36" t="s">
        <v>247</v>
      </c>
      <c r="B516" s="36" t="s">
        <v>2</v>
      </c>
      <c r="C516" s="93">
        <v>46326</v>
      </c>
      <c r="D516" s="3">
        <v>46326</v>
      </c>
      <c r="E516" s="126">
        <v>46326</v>
      </c>
      <c r="F516" s="36" t="s">
        <v>82</v>
      </c>
      <c r="G516" s="281"/>
      <c r="H516" s="281"/>
      <c r="I516" s="281"/>
      <c r="J516" s="281">
        <v>16000</v>
      </c>
      <c r="K516" t="s">
        <v>1803</v>
      </c>
      <c r="M516" t="s">
        <v>1813</v>
      </c>
      <c r="N516" t="s">
        <v>387</v>
      </c>
      <c r="O516" s="146" t="str">
        <f>_xlfn.XLOOKUP(N516,[1]!costcategory[Account Code],[1]!costcategory[Cost Category],"ERROR")</f>
        <v>Headcount Costs</v>
      </c>
      <c r="P516" t="s">
        <v>63</v>
      </c>
      <c r="Q516" s="147" t="str">
        <f>_xlfn.XLOOKUP(P516,[1]!Table2[Department],[1]!Table2[Group],"ERROR")</f>
        <v>Research &amp; Development</v>
      </c>
      <c r="V516" s="36"/>
    </row>
    <row r="517" spans="1:22" customFormat="1" hidden="1" x14ac:dyDescent="0.2">
      <c r="A517" s="36" t="s">
        <v>247</v>
      </c>
      <c r="B517" s="36" t="s">
        <v>2</v>
      </c>
      <c r="C517" s="93">
        <v>46326</v>
      </c>
      <c r="D517" s="3">
        <v>46326</v>
      </c>
      <c r="E517" s="126">
        <v>46326</v>
      </c>
      <c r="F517" s="36" t="s">
        <v>82</v>
      </c>
      <c r="G517" s="281"/>
      <c r="H517" s="281"/>
      <c r="I517" s="281"/>
      <c r="J517" s="281">
        <v>4000</v>
      </c>
      <c r="K517" t="s">
        <v>1803</v>
      </c>
      <c r="M517" t="s">
        <v>1813</v>
      </c>
      <c r="N517" t="s">
        <v>387</v>
      </c>
      <c r="O517" s="146" t="str">
        <f>_xlfn.XLOOKUP(N517,[1]!costcategory[Account Code],[1]!costcategory[Cost Category],"ERROR")</f>
        <v>Headcount Costs</v>
      </c>
      <c r="P517" t="s">
        <v>45</v>
      </c>
      <c r="Q517" s="147" t="str">
        <f>_xlfn.XLOOKUP(P517,[1]!Table2[Department],[1]!Table2[Group],"ERROR")</f>
        <v>DSC</v>
      </c>
      <c r="V517" s="36"/>
    </row>
    <row r="518" spans="1:22" customFormat="1" hidden="1" x14ac:dyDescent="0.2">
      <c r="A518" s="36" t="s">
        <v>247</v>
      </c>
      <c r="B518" s="36" t="s">
        <v>2</v>
      </c>
      <c r="C518" s="93">
        <v>46326</v>
      </c>
      <c r="D518" s="3">
        <v>46326</v>
      </c>
      <c r="E518" s="126">
        <v>46326</v>
      </c>
      <c r="F518" s="36" t="s">
        <v>82</v>
      </c>
      <c r="G518" s="281"/>
      <c r="H518" s="281"/>
      <c r="I518" s="281"/>
      <c r="J518" s="281">
        <v>5500</v>
      </c>
      <c r="K518" t="s">
        <v>1803</v>
      </c>
      <c r="M518" t="s">
        <v>1813</v>
      </c>
      <c r="N518" t="s">
        <v>387</v>
      </c>
      <c r="O518" s="146" t="str">
        <f>_xlfn.XLOOKUP(N518,[1]!costcategory[Account Code],[1]!costcategory[Cost Category],"ERROR")</f>
        <v>Headcount Costs</v>
      </c>
      <c r="P518" t="s">
        <v>63</v>
      </c>
      <c r="Q518" s="147" t="str">
        <f>_xlfn.XLOOKUP(P518,[1]!Table2[Department],[1]!Table2[Group],"ERROR")</f>
        <v>Research &amp; Development</v>
      </c>
      <c r="V518" s="36"/>
    </row>
    <row r="519" spans="1:22" customFormat="1" hidden="1" x14ac:dyDescent="0.2">
      <c r="A519" s="36" t="s">
        <v>247</v>
      </c>
      <c r="B519" s="36" t="s">
        <v>2</v>
      </c>
      <c r="C519" s="93">
        <v>46326</v>
      </c>
      <c r="D519" s="3">
        <v>46326</v>
      </c>
      <c r="E519" s="126">
        <v>46326</v>
      </c>
      <c r="F519" s="36" t="s">
        <v>82</v>
      </c>
      <c r="G519" s="281"/>
      <c r="H519" s="281"/>
      <c r="I519" s="281"/>
      <c r="J519" s="281">
        <v>1500</v>
      </c>
      <c r="K519" t="s">
        <v>1803</v>
      </c>
      <c r="M519" t="s">
        <v>1813</v>
      </c>
      <c r="N519" t="s">
        <v>387</v>
      </c>
      <c r="O519" s="146" t="str">
        <f>_xlfn.XLOOKUP(N519,[1]!costcategory[Account Code],[1]!costcategory[Cost Category],"ERROR")</f>
        <v>Headcount Costs</v>
      </c>
      <c r="P519" t="s">
        <v>45</v>
      </c>
      <c r="Q519" s="147" t="str">
        <f>_xlfn.XLOOKUP(P519,[1]!Table2[Department],[1]!Table2[Group],"ERROR")</f>
        <v>DSC</v>
      </c>
      <c r="V519" s="36"/>
    </row>
    <row r="520" spans="1:22" customFormat="1" hidden="1" x14ac:dyDescent="0.2">
      <c r="A520" s="36" t="s">
        <v>247</v>
      </c>
      <c r="B520" s="36" t="s">
        <v>2</v>
      </c>
      <c r="C520" s="93">
        <v>46326</v>
      </c>
      <c r="D520" s="3">
        <v>46326</v>
      </c>
      <c r="E520" s="126">
        <v>46326</v>
      </c>
      <c r="F520" s="36" t="s">
        <v>82</v>
      </c>
      <c r="G520" s="281"/>
      <c r="H520" s="281"/>
      <c r="I520" s="281"/>
      <c r="J520" s="281">
        <v>3000</v>
      </c>
      <c r="K520" t="s">
        <v>1803</v>
      </c>
      <c r="M520" t="s">
        <v>1661</v>
      </c>
      <c r="N520" t="s">
        <v>364</v>
      </c>
      <c r="O520" s="146" t="str">
        <f>_xlfn.XLOOKUP(N520,[1]!costcategory[Account Code],[1]!costcategory[Cost Category],"ERROR")</f>
        <v>Headcount Costs</v>
      </c>
      <c r="P520" t="s">
        <v>63</v>
      </c>
      <c r="Q520" s="147" t="str">
        <f>_xlfn.XLOOKUP(P520,[1]!Table2[Department],[1]!Table2[Group],"ERROR")</f>
        <v>Research &amp; Development</v>
      </c>
      <c r="V520" s="36"/>
    </row>
    <row r="521" spans="1:22" customFormat="1" hidden="1" x14ac:dyDescent="0.2">
      <c r="A521" s="36" t="s">
        <v>247</v>
      </c>
      <c r="B521" s="36" t="s">
        <v>2</v>
      </c>
      <c r="C521" s="93">
        <v>46326</v>
      </c>
      <c r="D521" s="3">
        <v>46326</v>
      </c>
      <c r="E521" s="126">
        <v>46326</v>
      </c>
      <c r="F521" s="36" t="s">
        <v>82</v>
      </c>
      <c r="G521" s="281"/>
      <c r="H521" s="281"/>
      <c r="I521" s="281"/>
      <c r="J521" s="281">
        <v>1000</v>
      </c>
      <c r="K521" t="s">
        <v>1803</v>
      </c>
      <c r="M521" t="s">
        <v>1661</v>
      </c>
      <c r="N521" t="s">
        <v>364</v>
      </c>
      <c r="O521" s="146" t="str">
        <f>_xlfn.XLOOKUP(N521,[1]!costcategory[Account Code],[1]!costcategory[Cost Category],"ERROR")</f>
        <v>Headcount Costs</v>
      </c>
      <c r="P521" t="s">
        <v>45</v>
      </c>
      <c r="Q521" s="147" t="str">
        <f>_xlfn.XLOOKUP(P521,[1]!Table2[Department],[1]!Table2[Group],"ERROR")</f>
        <v>DSC</v>
      </c>
      <c r="V521" s="36"/>
    </row>
    <row r="522" spans="1:22" customFormat="1" hidden="1" x14ac:dyDescent="0.2">
      <c r="A522" s="36" t="s">
        <v>247</v>
      </c>
      <c r="B522" s="36" t="s">
        <v>2</v>
      </c>
      <c r="C522" s="93">
        <v>46326</v>
      </c>
      <c r="D522" s="3">
        <v>46326</v>
      </c>
      <c r="E522" s="126">
        <v>46326</v>
      </c>
      <c r="F522" s="36" t="s">
        <v>82</v>
      </c>
      <c r="G522" s="281"/>
      <c r="H522" s="281"/>
      <c r="I522" s="281"/>
      <c r="J522" s="281">
        <v>2500</v>
      </c>
      <c r="K522" t="s">
        <v>1803</v>
      </c>
      <c r="M522" t="s">
        <v>1813</v>
      </c>
      <c r="N522" t="s">
        <v>387</v>
      </c>
      <c r="O522" s="146" t="str">
        <f>_xlfn.XLOOKUP(N522,[1]!costcategory[Account Code],[1]!costcategory[Cost Category],"ERROR")</f>
        <v>Headcount Costs</v>
      </c>
      <c r="P522" t="s">
        <v>333</v>
      </c>
      <c r="Q522" s="147" t="str">
        <f>_xlfn.XLOOKUP(P522,[1]!Table2[Department],[1]!Table2[Group],"ERROR")</f>
        <v>General &amp; Administrative</v>
      </c>
      <c r="V522" s="36"/>
    </row>
    <row r="523" spans="1:22" customFormat="1" hidden="1" x14ac:dyDescent="0.2">
      <c r="A523" s="36" t="s">
        <v>247</v>
      </c>
      <c r="B523" s="36" t="s">
        <v>2</v>
      </c>
      <c r="C523" s="93">
        <v>46326</v>
      </c>
      <c r="D523" s="3">
        <v>46326</v>
      </c>
      <c r="E523" s="126">
        <v>46326</v>
      </c>
      <c r="F523" s="36" t="s">
        <v>82</v>
      </c>
      <c r="G523" s="281"/>
      <c r="H523" s="281"/>
      <c r="I523" s="281"/>
      <c r="J523" s="281">
        <v>1000</v>
      </c>
      <c r="K523" t="s">
        <v>1803</v>
      </c>
      <c r="M523" t="s">
        <v>1813</v>
      </c>
      <c r="N523" t="s">
        <v>387</v>
      </c>
      <c r="O523" s="146" t="str">
        <f>_xlfn.XLOOKUP(N523,[1]!costcategory[Account Code],[1]!costcategory[Cost Category],"ERROR")</f>
        <v>Headcount Costs</v>
      </c>
      <c r="P523" t="s">
        <v>333</v>
      </c>
      <c r="Q523" s="147" t="str">
        <f>_xlfn.XLOOKUP(P523,[1]!Table2[Department],[1]!Table2[Group],"ERROR")</f>
        <v>General &amp; Administrative</v>
      </c>
      <c r="V523" s="36"/>
    </row>
    <row r="524" spans="1:22" customFormat="1" hidden="1" x14ac:dyDescent="0.2">
      <c r="A524" s="36" t="s">
        <v>247</v>
      </c>
      <c r="B524" s="36" t="s">
        <v>2</v>
      </c>
      <c r="C524" s="93">
        <v>46326</v>
      </c>
      <c r="D524" s="3">
        <v>46326</v>
      </c>
      <c r="E524" s="126">
        <v>46326</v>
      </c>
      <c r="F524" s="36" t="s">
        <v>82</v>
      </c>
      <c r="G524" s="281"/>
      <c r="H524" s="281"/>
      <c r="I524" s="281"/>
      <c r="J524" s="281">
        <v>500</v>
      </c>
      <c r="K524" t="s">
        <v>1803</v>
      </c>
      <c r="M524" t="s">
        <v>1661</v>
      </c>
      <c r="N524" t="s">
        <v>364</v>
      </c>
      <c r="O524" s="146" t="str">
        <f>_xlfn.XLOOKUP(N524,[1]!costcategory[Account Code],[1]!costcategory[Cost Category],"ERROR")</f>
        <v>Headcount Costs</v>
      </c>
      <c r="P524" t="s">
        <v>333</v>
      </c>
      <c r="Q524" s="147" t="str">
        <f>_xlfn.XLOOKUP(P524,[1]!Table2[Department],[1]!Table2[Group],"ERROR")</f>
        <v>General &amp; Administrative</v>
      </c>
      <c r="V524" s="36"/>
    </row>
    <row r="525" spans="1:22" customFormat="1" hidden="1" x14ac:dyDescent="0.2">
      <c r="A525" s="36" t="s">
        <v>247</v>
      </c>
      <c r="B525" s="36" t="s">
        <v>2</v>
      </c>
      <c r="C525" s="93">
        <v>46326</v>
      </c>
      <c r="D525" s="3">
        <v>46326</v>
      </c>
      <c r="E525" s="126">
        <v>46326</v>
      </c>
      <c r="F525" s="36" t="s">
        <v>82</v>
      </c>
      <c r="G525" s="281"/>
      <c r="H525" s="281"/>
      <c r="I525" s="281"/>
      <c r="J525" s="281">
        <v>2500</v>
      </c>
      <c r="K525" t="s">
        <v>1803</v>
      </c>
      <c r="M525" t="s">
        <v>1813</v>
      </c>
      <c r="N525" t="s">
        <v>387</v>
      </c>
      <c r="O525" s="146" t="str">
        <f>_xlfn.XLOOKUP(N525,[1]!costcategory[Account Code],[1]!costcategory[Cost Category],"ERROR")</f>
        <v>Headcount Costs</v>
      </c>
      <c r="P525" t="s">
        <v>350</v>
      </c>
      <c r="Q525" s="147" t="str">
        <f>_xlfn.XLOOKUP(P525,[1]!Table2[Department],[1]!Table2[Group],"ERROR")</f>
        <v>General &amp; Administrative</v>
      </c>
      <c r="V525" s="36"/>
    </row>
    <row r="526" spans="1:22" customFormat="1" hidden="1" x14ac:dyDescent="0.2">
      <c r="A526" s="36" t="s">
        <v>247</v>
      </c>
      <c r="B526" s="36" t="s">
        <v>2</v>
      </c>
      <c r="C526" s="93">
        <v>46326</v>
      </c>
      <c r="D526" s="3">
        <v>46326</v>
      </c>
      <c r="E526" s="126">
        <v>46326</v>
      </c>
      <c r="F526" s="36" t="s">
        <v>82</v>
      </c>
      <c r="G526" s="281"/>
      <c r="H526" s="281"/>
      <c r="I526" s="281"/>
      <c r="J526" s="281">
        <v>1000</v>
      </c>
      <c r="K526" t="s">
        <v>1803</v>
      </c>
      <c r="M526" t="s">
        <v>1813</v>
      </c>
      <c r="N526" t="s">
        <v>387</v>
      </c>
      <c r="O526" s="146" t="str">
        <f>_xlfn.XLOOKUP(N526,[1]!costcategory[Account Code],[1]!costcategory[Cost Category],"ERROR")</f>
        <v>Headcount Costs</v>
      </c>
      <c r="P526" t="s">
        <v>350</v>
      </c>
      <c r="Q526" s="147" t="str">
        <f>_xlfn.XLOOKUP(P526,[1]!Table2[Department],[1]!Table2[Group],"ERROR")</f>
        <v>General &amp; Administrative</v>
      </c>
      <c r="V526" s="36"/>
    </row>
    <row r="527" spans="1:22" customFormat="1" hidden="1" x14ac:dyDescent="0.2">
      <c r="A527" s="36" t="s">
        <v>247</v>
      </c>
      <c r="B527" s="36" t="s">
        <v>2</v>
      </c>
      <c r="C527" s="93">
        <v>46326</v>
      </c>
      <c r="D527" s="3">
        <v>46326</v>
      </c>
      <c r="E527" s="126">
        <v>46326</v>
      </c>
      <c r="F527" s="36" t="s">
        <v>82</v>
      </c>
      <c r="G527" s="281"/>
      <c r="H527" s="281"/>
      <c r="I527" s="281"/>
      <c r="J527" s="281">
        <v>500</v>
      </c>
      <c r="K527" t="s">
        <v>1803</v>
      </c>
      <c r="M527" t="s">
        <v>1661</v>
      </c>
      <c r="N527" t="s">
        <v>364</v>
      </c>
      <c r="O527" s="146" t="str">
        <f>_xlfn.XLOOKUP(N527,[1]!costcategory[Account Code],[1]!costcategory[Cost Category],"ERROR")</f>
        <v>Headcount Costs</v>
      </c>
      <c r="P527" t="s">
        <v>350</v>
      </c>
      <c r="Q527" s="147" t="str">
        <f>_xlfn.XLOOKUP(P527,[1]!Table2[Department],[1]!Table2[Group],"ERROR")</f>
        <v>General &amp; Administrative</v>
      </c>
      <c r="V527" s="36"/>
    </row>
    <row r="528" spans="1:22" customFormat="1" hidden="1" x14ac:dyDescent="0.2">
      <c r="A528" s="36" t="s">
        <v>247</v>
      </c>
      <c r="B528" s="36" t="s">
        <v>2</v>
      </c>
      <c r="C528" s="93">
        <v>46326</v>
      </c>
      <c r="D528" s="3">
        <v>46326</v>
      </c>
      <c r="E528" s="126">
        <v>46326</v>
      </c>
      <c r="F528" s="36" t="s">
        <v>82</v>
      </c>
      <c r="G528" s="281"/>
      <c r="H528" s="281"/>
      <c r="I528" s="281"/>
      <c r="J528" s="281">
        <v>5500</v>
      </c>
      <c r="K528" t="s">
        <v>1803</v>
      </c>
      <c r="M528" t="s">
        <v>1813</v>
      </c>
      <c r="N528" t="s">
        <v>387</v>
      </c>
      <c r="O528" s="146" t="str">
        <f>_xlfn.XLOOKUP(N528,[1]!costcategory[Account Code],[1]!costcategory[Cost Category],"ERROR")</f>
        <v>Headcount Costs</v>
      </c>
      <c r="P528" t="s">
        <v>438</v>
      </c>
      <c r="Q528" s="147" t="str">
        <f>_xlfn.XLOOKUP(P528,[1]!Table2[Department],[1]!Table2[Group],"ERROR")</f>
        <v>Sales &amp; Marketing</v>
      </c>
      <c r="V528" s="36"/>
    </row>
    <row r="529" spans="1:22" customFormat="1" hidden="1" x14ac:dyDescent="0.2">
      <c r="A529" s="36" t="s">
        <v>247</v>
      </c>
      <c r="B529" s="36" t="s">
        <v>2</v>
      </c>
      <c r="C529" s="93">
        <v>46326</v>
      </c>
      <c r="D529" s="3">
        <v>46326</v>
      </c>
      <c r="E529" s="126">
        <v>46326</v>
      </c>
      <c r="F529" s="36" t="s">
        <v>82</v>
      </c>
      <c r="G529" s="281"/>
      <c r="H529" s="281"/>
      <c r="I529" s="281"/>
      <c r="J529" s="281">
        <v>2000</v>
      </c>
      <c r="K529" t="s">
        <v>1803</v>
      </c>
      <c r="M529" t="s">
        <v>1813</v>
      </c>
      <c r="N529" t="s">
        <v>387</v>
      </c>
      <c r="O529" s="146" t="str">
        <f>_xlfn.XLOOKUP(N529,[1]!costcategory[Account Code],[1]!costcategory[Cost Category],"ERROR")</f>
        <v>Headcount Costs</v>
      </c>
      <c r="P529" t="s">
        <v>438</v>
      </c>
      <c r="Q529" s="147" t="str">
        <f>_xlfn.XLOOKUP(P529,[1]!Table2[Department],[1]!Table2[Group],"ERROR")</f>
        <v>Sales &amp; Marketing</v>
      </c>
      <c r="V529" s="36"/>
    </row>
    <row r="530" spans="1:22" customFormat="1" hidden="1" x14ac:dyDescent="0.2">
      <c r="A530" s="36" t="s">
        <v>247</v>
      </c>
      <c r="B530" s="36" t="s">
        <v>2</v>
      </c>
      <c r="C530" s="93">
        <v>46326</v>
      </c>
      <c r="D530" s="3">
        <v>46326</v>
      </c>
      <c r="E530" s="126">
        <v>46326</v>
      </c>
      <c r="F530" s="36" t="s">
        <v>82</v>
      </c>
      <c r="G530" s="281"/>
      <c r="H530" s="281"/>
      <c r="I530" s="281"/>
      <c r="J530" s="281">
        <v>1000</v>
      </c>
      <c r="K530" t="s">
        <v>1803</v>
      </c>
      <c r="M530" t="s">
        <v>1661</v>
      </c>
      <c r="N530" t="s">
        <v>364</v>
      </c>
      <c r="O530" s="146" t="str">
        <f>_xlfn.XLOOKUP(N530,[1]!costcategory[Account Code],[1]!costcategory[Cost Category],"ERROR")</f>
        <v>Headcount Costs</v>
      </c>
      <c r="P530" t="s">
        <v>438</v>
      </c>
      <c r="Q530" s="147" t="str">
        <f>_xlfn.XLOOKUP(P530,[1]!Table2[Department],[1]!Table2[Group],"ERROR")</f>
        <v>Sales &amp; Marketing</v>
      </c>
      <c r="V530" s="36"/>
    </row>
    <row r="531" spans="1:22" customFormat="1" hidden="1" x14ac:dyDescent="0.2">
      <c r="A531" s="36" t="s">
        <v>247</v>
      </c>
      <c r="B531" s="36" t="s">
        <v>2</v>
      </c>
      <c r="C531" s="93">
        <v>46326</v>
      </c>
      <c r="D531" s="3">
        <v>46326</v>
      </c>
      <c r="E531" s="126">
        <v>46326</v>
      </c>
      <c r="F531" s="36" t="s">
        <v>82</v>
      </c>
      <c r="G531" s="281"/>
      <c r="H531" s="281"/>
      <c r="I531" s="281"/>
      <c r="J531" s="281">
        <v>3500</v>
      </c>
      <c r="K531" t="s">
        <v>1803</v>
      </c>
      <c r="M531" t="s">
        <v>1813</v>
      </c>
      <c r="N531" t="s">
        <v>387</v>
      </c>
      <c r="O531" s="146" t="str">
        <f>_xlfn.XLOOKUP(N531,[1]!costcategory[Account Code],[1]!costcategory[Cost Category],"ERROR")</f>
        <v>Headcount Costs</v>
      </c>
      <c r="P531" t="s">
        <v>350</v>
      </c>
      <c r="Q531" s="147" t="str">
        <f>_xlfn.XLOOKUP(P531,[1]!Table2[Department],[1]!Table2[Group],"ERROR")</f>
        <v>General &amp; Administrative</v>
      </c>
      <c r="V531" s="36"/>
    </row>
    <row r="532" spans="1:22" customFormat="1" hidden="1" x14ac:dyDescent="0.2">
      <c r="A532" s="36" t="s">
        <v>247</v>
      </c>
      <c r="B532" s="36" t="s">
        <v>2</v>
      </c>
      <c r="C532" s="93">
        <v>46326</v>
      </c>
      <c r="D532" s="3">
        <v>46326</v>
      </c>
      <c r="E532" s="126">
        <v>46326</v>
      </c>
      <c r="F532" s="36" t="s">
        <v>82</v>
      </c>
      <c r="G532" s="281"/>
      <c r="H532" s="281"/>
      <c r="I532" s="281"/>
      <c r="J532" s="281">
        <v>1500</v>
      </c>
      <c r="K532" t="s">
        <v>1803</v>
      </c>
      <c r="M532" t="s">
        <v>1661</v>
      </c>
      <c r="N532" t="s">
        <v>364</v>
      </c>
      <c r="O532" s="146" t="str">
        <f>_xlfn.XLOOKUP(N532,[1]!costcategory[Account Code],[1]!costcategory[Cost Category],"ERROR")</f>
        <v>Headcount Costs</v>
      </c>
      <c r="P532" t="s">
        <v>350</v>
      </c>
      <c r="Q532" s="147" t="str">
        <f>_xlfn.XLOOKUP(P532,[1]!Table2[Department],[1]!Table2[Group],"ERROR")</f>
        <v>General &amp; Administrative</v>
      </c>
      <c r="V532" s="36"/>
    </row>
    <row r="533" spans="1:22" customFormat="1" hidden="1" x14ac:dyDescent="0.2">
      <c r="A533" s="36" t="s">
        <v>247</v>
      </c>
      <c r="B533" s="36" t="s">
        <v>2</v>
      </c>
      <c r="C533" s="93">
        <v>46341</v>
      </c>
      <c r="D533" s="3"/>
      <c r="E533" s="126">
        <v>46341</v>
      </c>
      <c r="F533" s="36" t="s">
        <v>82</v>
      </c>
      <c r="G533" s="281">
        <v>16837</v>
      </c>
      <c r="H533" s="281">
        <v>0</v>
      </c>
      <c r="I533" s="281">
        <v>16837</v>
      </c>
      <c r="J533" s="281">
        <v>4074.2002896419858</v>
      </c>
      <c r="K533" t="s">
        <v>630</v>
      </c>
      <c r="M533" t="s">
        <v>1812</v>
      </c>
      <c r="N533" t="s">
        <v>509</v>
      </c>
      <c r="O533" t="s">
        <v>510</v>
      </c>
      <c r="P533" t="s">
        <v>333</v>
      </c>
      <c r="Q533" t="s">
        <v>62</v>
      </c>
      <c r="V533" s="36"/>
    </row>
    <row r="534" spans="1:22" customFormat="1" hidden="1" x14ac:dyDescent="0.2">
      <c r="A534" s="36" t="s">
        <v>247</v>
      </c>
      <c r="B534" s="36" t="s">
        <v>2</v>
      </c>
      <c r="C534" s="93">
        <v>46327</v>
      </c>
      <c r="D534" s="3">
        <v>46327</v>
      </c>
      <c r="E534" s="126">
        <v>46351</v>
      </c>
      <c r="F534" s="36" t="s">
        <v>82</v>
      </c>
      <c r="G534" s="281">
        <v>9764.7999999999993</v>
      </c>
      <c r="H534" s="281">
        <v>585.89</v>
      </c>
      <c r="I534" s="281">
        <v>10350.69</v>
      </c>
      <c r="J534" s="281">
        <v>2504.65</v>
      </c>
      <c r="K534" s="4" t="s">
        <v>582</v>
      </c>
      <c r="M534" t="s">
        <v>1811</v>
      </c>
      <c r="N534" t="s">
        <v>409</v>
      </c>
      <c r="O534" t="s">
        <v>410</v>
      </c>
      <c r="P534" t="s">
        <v>340</v>
      </c>
      <c r="Q534" t="s">
        <v>62</v>
      </c>
      <c r="V534" s="36"/>
    </row>
    <row r="535" spans="1:22" customFormat="1" hidden="1" x14ac:dyDescent="0.2">
      <c r="A535" s="36" t="s">
        <v>247</v>
      </c>
      <c r="B535" s="36" t="s">
        <v>2</v>
      </c>
      <c r="C535" s="93">
        <v>46327</v>
      </c>
      <c r="D535" s="3">
        <v>46327</v>
      </c>
      <c r="E535" s="126">
        <v>46351</v>
      </c>
      <c r="F535" s="36" t="s">
        <v>82</v>
      </c>
      <c r="G535" s="281">
        <v>6000</v>
      </c>
      <c r="H535" s="281">
        <v>0</v>
      </c>
      <c r="I535" s="281">
        <v>6000</v>
      </c>
      <c r="J535" s="281">
        <v>1451.8739524768021</v>
      </c>
      <c r="K535" t="s">
        <v>444</v>
      </c>
      <c r="M535" t="s">
        <v>1810</v>
      </c>
      <c r="N535" t="s">
        <v>374</v>
      </c>
      <c r="O535" t="s">
        <v>375</v>
      </c>
      <c r="P535" t="s">
        <v>376</v>
      </c>
      <c r="Q535" t="s">
        <v>62</v>
      </c>
      <c r="V535" s="36"/>
    </row>
    <row r="536" spans="1:22" customFormat="1" hidden="1" x14ac:dyDescent="0.2">
      <c r="A536" s="36" t="s">
        <v>247</v>
      </c>
      <c r="B536" s="36" t="s">
        <v>2</v>
      </c>
      <c r="C536" s="93">
        <v>46351</v>
      </c>
      <c r="D536" s="3">
        <v>46351</v>
      </c>
      <c r="E536" s="126">
        <v>46351</v>
      </c>
      <c r="F536" s="36" t="s">
        <v>82</v>
      </c>
      <c r="G536" s="281">
        <v>450</v>
      </c>
      <c r="H536" s="281">
        <v>0</v>
      </c>
      <c r="I536" s="281">
        <v>450</v>
      </c>
      <c r="J536" s="281">
        <v>108.89054643576014</v>
      </c>
      <c r="K536" t="s">
        <v>445</v>
      </c>
      <c r="M536" t="s">
        <v>1809</v>
      </c>
      <c r="N536" t="s">
        <v>58</v>
      </c>
      <c r="O536" t="s">
        <v>58</v>
      </c>
      <c r="P536" t="s">
        <v>376</v>
      </c>
      <c r="Q536" t="s">
        <v>62</v>
      </c>
      <c r="V536" s="36"/>
    </row>
    <row r="537" spans="1:22" customFormat="1" hidden="1" x14ac:dyDescent="0.2">
      <c r="A537" s="36" t="s">
        <v>247</v>
      </c>
      <c r="B537" s="36" t="s">
        <v>2</v>
      </c>
      <c r="C537" s="93">
        <v>46356</v>
      </c>
      <c r="D537" s="3">
        <v>46356</v>
      </c>
      <c r="E537" s="126">
        <v>46356</v>
      </c>
      <c r="F537" s="36" t="s">
        <v>82</v>
      </c>
      <c r="G537" s="281"/>
      <c r="H537" s="281"/>
      <c r="I537" s="281"/>
      <c r="J537" s="281">
        <v>4000</v>
      </c>
      <c r="K537" t="s">
        <v>1803</v>
      </c>
      <c r="M537" t="s">
        <v>1808</v>
      </c>
      <c r="N537" t="s">
        <v>387</v>
      </c>
      <c r="O537" s="146" t="str">
        <f>_xlfn.XLOOKUP(N537,[1]!costcategory[Account Code],[1]!costcategory[Cost Category],"ERROR")</f>
        <v>Headcount Costs</v>
      </c>
      <c r="P537" t="s">
        <v>354</v>
      </c>
      <c r="Q537" s="147" t="str">
        <f>_xlfn.XLOOKUP(P537,[1]!Table2[Department],[1]!Table2[Group],"ERROR")</f>
        <v>Sales &amp; Marketing</v>
      </c>
      <c r="V537" s="36"/>
    </row>
    <row r="538" spans="1:22" customFormat="1" hidden="1" x14ac:dyDescent="0.2">
      <c r="A538" s="36" t="s">
        <v>247</v>
      </c>
      <c r="B538" s="36" t="s">
        <v>2</v>
      </c>
      <c r="C538" s="93">
        <v>46356</v>
      </c>
      <c r="D538" s="3">
        <v>46356</v>
      </c>
      <c r="E538" s="126">
        <v>46356</v>
      </c>
      <c r="F538" s="36" t="s">
        <v>82</v>
      </c>
      <c r="G538" s="281"/>
      <c r="H538" s="281"/>
      <c r="I538" s="281"/>
      <c r="J538" s="281">
        <v>1000</v>
      </c>
      <c r="K538" t="s">
        <v>1803</v>
      </c>
      <c r="M538" t="s">
        <v>1808</v>
      </c>
      <c r="N538" t="s">
        <v>387</v>
      </c>
      <c r="O538" s="146" t="str">
        <f>_xlfn.XLOOKUP(N538,[1]!costcategory[Account Code],[1]!costcategory[Cost Category],"ERROR")</f>
        <v>Headcount Costs</v>
      </c>
      <c r="P538" t="s">
        <v>354</v>
      </c>
      <c r="Q538" s="147" t="str">
        <f>_xlfn.XLOOKUP(P538,[1]!Table2[Department],[1]!Table2[Group],"ERROR")</f>
        <v>Sales &amp; Marketing</v>
      </c>
      <c r="V538" s="36"/>
    </row>
    <row r="539" spans="1:22" customFormat="1" hidden="1" x14ac:dyDescent="0.2">
      <c r="A539" s="36" t="s">
        <v>247</v>
      </c>
      <c r="B539" s="36" t="s">
        <v>2</v>
      </c>
      <c r="C539" s="93">
        <v>46356</v>
      </c>
      <c r="D539" s="3">
        <v>46356</v>
      </c>
      <c r="E539" s="126">
        <v>46356</v>
      </c>
      <c r="F539" s="36" t="s">
        <v>82</v>
      </c>
      <c r="G539" s="281"/>
      <c r="H539" s="281"/>
      <c r="I539" s="281"/>
      <c r="J539" s="281">
        <v>150</v>
      </c>
      <c r="K539" t="s">
        <v>1803</v>
      </c>
      <c r="M539" t="s">
        <v>1652</v>
      </c>
      <c r="N539" t="s">
        <v>364</v>
      </c>
      <c r="O539" s="146" t="str">
        <f>_xlfn.XLOOKUP(N539,[1]!costcategory[Account Code],[1]!costcategory[Cost Category],"ERROR")</f>
        <v>Headcount Costs</v>
      </c>
      <c r="P539" t="s">
        <v>354</v>
      </c>
      <c r="Q539" s="147" t="str">
        <f>_xlfn.XLOOKUP(P539,[1]!Table2[Department],[1]!Table2[Group],"ERROR")</f>
        <v>Sales &amp; Marketing</v>
      </c>
      <c r="V539" s="36"/>
    </row>
    <row r="540" spans="1:22" customFormat="1" hidden="1" x14ac:dyDescent="0.2">
      <c r="A540" s="36" t="s">
        <v>247</v>
      </c>
      <c r="B540" s="36" t="s">
        <v>2</v>
      </c>
      <c r="C540" s="93">
        <v>46356</v>
      </c>
      <c r="D540" s="3">
        <v>46356</v>
      </c>
      <c r="E540" s="126">
        <v>46356</v>
      </c>
      <c r="F540" s="36" t="s">
        <v>82</v>
      </c>
      <c r="G540" s="281"/>
      <c r="H540" s="281"/>
      <c r="I540" s="281"/>
      <c r="J540" s="281">
        <v>16000</v>
      </c>
      <c r="K540" t="s">
        <v>1803</v>
      </c>
      <c r="M540" t="s">
        <v>1808</v>
      </c>
      <c r="N540" t="s">
        <v>387</v>
      </c>
      <c r="O540" s="146" t="str">
        <f>_xlfn.XLOOKUP(N540,[1]!costcategory[Account Code],[1]!costcategory[Cost Category],"ERROR")</f>
        <v>Headcount Costs</v>
      </c>
      <c r="P540" t="s">
        <v>63</v>
      </c>
      <c r="Q540" s="147" t="str">
        <f>_xlfn.XLOOKUP(P540,[1]!Table2[Department],[1]!Table2[Group],"ERROR")</f>
        <v>Research &amp; Development</v>
      </c>
      <c r="V540" s="36"/>
    </row>
    <row r="541" spans="1:22" customFormat="1" hidden="1" x14ac:dyDescent="0.2">
      <c r="A541" s="36" t="s">
        <v>247</v>
      </c>
      <c r="B541" s="36" t="s">
        <v>2</v>
      </c>
      <c r="C541" s="93">
        <v>46356</v>
      </c>
      <c r="D541" s="3">
        <v>46356</v>
      </c>
      <c r="E541" s="126">
        <v>46356</v>
      </c>
      <c r="F541" s="36" t="s">
        <v>82</v>
      </c>
      <c r="G541" s="281"/>
      <c r="H541" s="281"/>
      <c r="I541" s="281"/>
      <c r="J541" s="281">
        <v>4000</v>
      </c>
      <c r="K541" t="s">
        <v>1803</v>
      </c>
      <c r="M541" t="s">
        <v>1808</v>
      </c>
      <c r="N541" t="s">
        <v>387</v>
      </c>
      <c r="O541" s="146" t="str">
        <f>_xlfn.XLOOKUP(N541,[1]!costcategory[Account Code],[1]!costcategory[Cost Category],"ERROR")</f>
        <v>Headcount Costs</v>
      </c>
      <c r="P541" t="s">
        <v>45</v>
      </c>
      <c r="Q541" s="147" t="str">
        <f>_xlfn.XLOOKUP(P541,[1]!Table2[Department],[1]!Table2[Group],"ERROR")</f>
        <v>DSC</v>
      </c>
      <c r="V541" s="36"/>
    </row>
    <row r="542" spans="1:22" customFormat="1" hidden="1" x14ac:dyDescent="0.2">
      <c r="A542" s="36" t="s">
        <v>247</v>
      </c>
      <c r="B542" s="36" t="s">
        <v>2</v>
      </c>
      <c r="C542" s="93">
        <v>46356</v>
      </c>
      <c r="D542" s="3">
        <v>46356</v>
      </c>
      <c r="E542" s="126">
        <v>46356</v>
      </c>
      <c r="F542" s="36" t="s">
        <v>82</v>
      </c>
      <c r="G542" s="281"/>
      <c r="H542" s="281"/>
      <c r="I542" s="281"/>
      <c r="J542" s="281">
        <v>5500</v>
      </c>
      <c r="K542" t="s">
        <v>1803</v>
      </c>
      <c r="M542" t="s">
        <v>1808</v>
      </c>
      <c r="N542" t="s">
        <v>387</v>
      </c>
      <c r="O542" s="146" t="str">
        <f>_xlfn.XLOOKUP(N542,[1]!costcategory[Account Code],[1]!costcategory[Cost Category],"ERROR")</f>
        <v>Headcount Costs</v>
      </c>
      <c r="P542" t="s">
        <v>63</v>
      </c>
      <c r="Q542" s="147" t="str">
        <f>_xlfn.XLOOKUP(P542,[1]!Table2[Department],[1]!Table2[Group],"ERROR")</f>
        <v>Research &amp; Development</v>
      </c>
      <c r="V542" s="36"/>
    </row>
    <row r="543" spans="1:22" customFormat="1" hidden="1" x14ac:dyDescent="0.2">
      <c r="A543" s="36" t="s">
        <v>247</v>
      </c>
      <c r="B543" s="36" t="s">
        <v>2</v>
      </c>
      <c r="C543" s="93">
        <v>46356</v>
      </c>
      <c r="D543" s="3">
        <v>46356</v>
      </c>
      <c r="E543" s="126">
        <v>46356</v>
      </c>
      <c r="F543" s="36" t="s">
        <v>82</v>
      </c>
      <c r="G543" s="281"/>
      <c r="H543" s="281"/>
      <c r="I543" s="281"/>
      <c r="J543" s="281">
        <v>1500</v>
      </c>
      <c r="K543" t="s">
        <v>1803</v>
      </c>
      <c r="M543" t="s">
        <v>1808</v>
      </c>
      <c r="N543" t="s">
        <v>387</v>
      </c>
      <c r="O543" s="146" t="str">
        <f>_xlfn.XLOOKUP(N543,[1]!costcategory[Account Code],[1]!costcategory[Cost Category],"ERROR")</f>
        <v>Headcount Costs</v>
      </c>
      <c r="P543" t="s">
        <v>45</v>
      </c>
      <c r="Q543" s="147" t="str">
        <f>_xlfn.XLOOKUP(P543,[1]!Table2[Department],[1]!Table2[Group],"ERROR")</f>
        <v>DSC</v>
      </c>
      <c r="V543" s="36"/>
    </row>
    <row r="544" spans="1:22" customFormat="1" hidden="1" x14ac:dyDescent="0.2">
      <c r="A544" s="36" t="s">
        <v>247</v>
      </c>
      <c r="B544" s="36" t="s">
        <v>2</v>
      </c>
      <c r="C544" s="93">
        <v>46356</v>
      </c>
      <c r="D544" s="3">
        <v>46356</v>
      </c>
      <c r="E544" s="126">
        <v>46356</v>
      </c>
      <c r="F544" s="36" t="s">
        <v>82</v>
      </c>
      <c r="G544" s="281"/>
      <c r="H544" s="281"/>
      <c r="I544" s="281"/>
      <c r="J544" s="281">
        <v>3000</v>
      </c>
      <c r="K544" t="s">
        <v>1803</v>
      </c>
      <c r="M544" t="s">
        <v>1652</v>
      </c>
      <c r="N544" t="s">
        <v>364</v>
      </c>
      <c r="O544" s="146" t="str">
        <f>_xlfn.XLOOKUP(N544,[1]!costcategory[Account Code],[1]!costcategory[Cost Category],"ERROR")</f>
        <v>Headcount Costs</v>
      </c>
      <c r="P544" t="s">
        <v>63</v>
      </c>
      <c r="Q544" s="147" t="str">
        <f>_xlfn.XLOOKUP(P544,[1]!Table2[Department],[1]!Table2[Group],"ERROR")</f>
        <v>Research &amp; Development</v>
      </c>
      <c r="V544" s="36"/>
    </row>
    <row r="545" spans="1:22" customFormat="1" hidden="1" x14ac:dyDescent="0.2">
      <c r="A545" s="36" t="s">
        <v>247</v>
      </c>
      <c r="B545" s="36" t="s">
        <v>2</v>
      </c>
      <c r="C545" s="93">
        <v>46356</v>
      </c>
      <c r="D545" s="3">
        <v>46356</v>
      </c>
      <c r="E545" s="126">
        <v>46356</v>
      </c>
      <c r="F545" s="36" t="s">
        <v>82</v>
      </c>
      <c r="G545" s="281"/>
      <c r="H545" s="281"/>
      <c r="I545" s="281"/>
      <c r="J545" s="281">
        <v>1000</v>
      </c>
      <c r="K545" t="s">
        <v>1803</v>
      </c>
      <c r="M545" t="s">
        <v>1652</v>
      </c>
      <c r="N545" t="s">
        <v>364</v>
      </c>
      <c r="O545" s="146" t="str">
        <f>_xlfn.XLOOKUP(N545,[1]!costcategory[Account Code],[1]!costcategory[Cost Category],"ERROR")</f>
        <v>Headcount Costs</v>
      </c>
      <c r="P545" t="s">
        <v>45</v>
      </c>
      <c r="Q545" s="147" t="str">
        <f>_xlfn.XLOOKUP(P545,[1]!Table2[Department],[1]!Table2[Group],"ERROR")</f>
        <v>DSC</v>
      </c>
      <c r="V545" s="36"/>
    </row>
    <row r="546" spans="1:22" customFormat="1" hidden="1" x14ac:dyDescent="0.2">
      <c r="A546" s="36" t="s">
        <v>247</v>
      </c>
      <c r="B546" s="36" t="s">
        <v>2</v>
      </c>
      <c r="C546" s="93">
        <v>46356</v>
      </c>
      <c r="D546" s="3">
        <v>46356</v>
      </c>
      <c r="E546" s="126">
        <v>46356</v>
      </c>
      <c r="F546" s="36" t="s">
        <v>82</v>
      </c>
      <c r="G546" s="281"/>
      <c r="H546" s="281"/>
      <c r="I546" s="281"/>
      <c r="J546" s="281">
        <v>2500</v>
      </c>
      <c r="K546" t="s">
        <v>1803</v>
      </c>
      <c r="M546" t="s">
        <v>1808</v>
      </c>
      <c r="N546" t="s">
        <v>387</v>
      </c>
      <c r="O546" s="146" t="str">
        <f>_xlfn.XLOOKUP(N546,[1]!costcategory[Account Code],[1]!costcategory[Cost Category],"ERROR")</f>
        <v>Headcount Costs</v>
      </c>
      <c r="P546" t="s">
        <v>333</v>
      </c>
      <c r="Q546" s="147" t="str">
        <f>_xlfn.XLOOKUP(P546,[1]!Table2[Department],[1]!Table2[Group],"ERROR")</f>
        <v>General &amp; Administrative</v>
      </c>
      <c r="V546" s="36"/>
    </row>
    <row r="547" spans="1:22" customFormat="1" hidden="1" x14ac:dyDescent="0.2">
      <c r="A547" s="36" t="s">
        <v>247</v>
      </c>
      <c r="B547" s="36" t="s">
        <v>2</v>
      </c>
      <c r="C547" s="93">
        <v>46356</v>
      </c>
      <c r="D547" s="3">
        <v>46356</v>
      </c>
      <c r="E547" s="126">
        <v>46356</v>
      </c>
      <c r="F547" s="36" t="s">
        <v>82</v>
      </c>
      <c r="G547" s="281"/>
      <c r="H547" s="281"/>
      <c r="I547" s="281"/>
      <c r="J547" s="281">
        <v>1000</v>
      </c>
      <c r="K547" t="s">
        <v>1803</v>
      </c>
      <c r="M547" t="s">
        <v>1808</v>
      </c>
      <c r="N547" t="s">
        <v>387</v>
      </c>
      <c r="O547" s="146" t="str">
        <f>_xlfn.XLOOKUP(N547,[1]!costcategory[Account Code],[1]!costcategory[Cost Category],"ERROR")</f>
        <v>Headcount Costs</v>
      </c>
      <c r="P547" t="s">
        <v>333</v>
      </c>
      <c r="Q547" s="147" t="str">
        <f>_xlfn.XLOOKUP(P547,[1]!Table2[Department],[1]!Table2[Group],"ERROR")</f>
        <v>General &amp; Administrative</v>
      </c>
      <c r="V547" s="36"/>
    </row>
    <row r="548" spans="1:22" customFormat="1" hidden="1" x14ac:dyDescent="0.2">
      <c r="A548" s="36" t="s">
        <v>247</v>
      </c>
      <c r="B548" s="36" t="s">
        <v>2</v>
      </c>
      <c r="C548" s="93">
        <v>46356</v>
      </c>
      <c r="D548" s="3">
        <v>46356</v>
      </c>
      <c r="E548" s="126">
        <v>46356</v>
      </c>
      <c r="F548" s="36" t="s">
        <v>82</v>
      </c>
      <c r="G548" s="281"/>
      <c r="H548" s="281"/>
      <c r="I548" s="281"/>
      <c r="J548" s="281">
        <v>500</v>
      </c>
      <c r="K548" t="s">
        <v>1803</v>
      </c>
      <c r="M548" t="s">
        <v>1652</v>
      </c>
      <c r="N548" t="s">
        <v>364</v>
      </c>
      <c r="O548" s="146" t="str">
        <f>_xlfn.XLOOKUP(N548,[1]!costcategory[Account Code],[1]!costcategory[Cost Category],"ERROR")</f>
        <v>Headcount Costs</v>
      </c>
      <c r="P548" t="s">
        <v>333</v>
      </c>
      <c r="Q548" s="147" t="str">
        <f>_xlfn.XLOOKUP(P548,[1]!Table2[Department],[1]!Table2[Group],"ERROR")</f>
        <v>General &amp; Administrative</v>
      </c>
      <c r="V548" s="36"/>
    </row>
    <row r="549" spans="1:22" customFormat="1" hidden="1" x14ac:dyDescent="0.2">
      <c r="A549" s="36" t="s">
        <v>247</v>
      </c>
      <c r="B549" s="36" t="s">
        <v>2</v>
      </c>
      <c r="C549" s="93">
        <v>46356</v>
      </c>
      <c r="D549" s="3">
        <v>46356</v>
      </c>
      <c r="E549" s="126">
        <v>46356</v>
      </c>
      <c r="F549" s="36" t="s">
        <v>82</v>
      </c>
      <c r="G549" s="281"/>
      <c r="H549" s="281"/>
      <c r="I549" s="281"/>
      <c r="J549" s="281">
        <v>2500</v>
      </c>
      <c r="K549" t="s">
        <v>1803</v>
      </c>
      <c r="M549" t="s">
        <v>1808</v>
      </c>
      <c r="N549" t="s">
        <v>387</v>
      </c>
      <c r="O549" s="146" t="str">
        <f>_xlfn.XLOOKUP(N549,[1]!costcategory[Account Code],[1]!costcategory[Cost Category],"ERROR")</f>
        <v>Headcount Costs</v>
      </c>
      <c r="P549" t="s">
        <v>350</v>
      </c>
      <c r="Q549" s="147" t="str">
        <f>_xlfn.XLOOKUP(P549,[1]!Table2[Department],[1]!Table2[Group],"ERROR")</f>
        <v>General &amp; Administrative</v>
      </c>
      <c r="V549" s="36"/>
    </row>
    <row r="550" spans="1:22" customFormat="1" hidden="1" x14ac:dyDescent="0.2">
      <c r="A550" s="36" t="s">
        <v>247</v>
      </c>
      <c r="B550" s="36" t="s">
        <v>2</v>
      </c>
      <c r="C550" s="93">
        <v>46356</v>
      </c>
      <c r="D550" s="3">
        <v>46356</v>
      </c>
      <c r="E550" s="126">
        <v>46356</v>
      </c>
      <c r="F550" s="36" t="s">
        <v>82</v>
      </c>
      <c r="G550" s="281"/>
      <c r="H550" s="281"/>
      <c r="I550" s="281"/>
      <c r="J550" s="281">
        <v>1000</v>
      </c>
      <c r="K550" t="s">
        <v>1803</v>
      </c>
      <c r="M550" t="s">
        <v>1808</v>
      </c>
      <c r="N550" t="s">
        <v>387</v>
      </c>
      <c r="O550" s="146" t="str">
        <f>_xlfn.XLOOKUP(N550,[1]!costcategory[Account Code],[1]!costcategory[Cost Category],"ERROR")</f>
        <v>Headcount Costs</v>
      </c>
      <c r="P550" t="s">
        <v>350</v>
      </c>
      <c r="Q550" s="147" t="str">
        <f>_xlfn.XLOOKUP(P550,[1]!Table2[Department],[1]!Table2[Group],"ERROR")</f>
        <v>General &amp; Administrative</v>
      </c>
      <c r="V550" s="36"/>
    </row>
    <row r="551" spans="1:22" customFormat="1" hidden="1" x14ac:dyDescent="0.2">
      <c r="A551" s="36" t="s">
        <v>247</v>
      </c>
      <c r="B551" s="36" t="s">
        <v>2</v>
      </c>
      <c r="C551" s="93">
        <v>46356</v>
      </c>
      <c r="D551" s="3">
        <v>46356</v>
      </c>
      <c r="E551" s="126">
        <v>46356</v>
      </c>
      <c r="F551" s="36" t="s">
        <v>82</v>
      </c>
      <c r="G551" s="281"/>
      <c r="H551" s="281"/>
      <c r="I551" s="281"/>
      <c r="J551" s="281">
        <v>500</v>
      </c>
      <c r="K551" t="s">
        <v>1803</v>
      </c>
      <c r="M551" t="s">
        <v>1652</v>
      </c>
      <c r="N551" t="s">
        <v>364</v>
      </c>
      <c r="O551" s="146" t="str">
        <f>_xlfn.XLOOKUP(N551,[1]!costcategory[Account Code],[1]!costcategory[Cost Category],"ERROR")</f>
        <v>Headcount Costs</v>
      </c>
      <c r="P551" t="s">
        <v>350</v>
      </c>
      <c r="Q551" s="147" t="str">
        <f>_xlfn.XLOOKUP(P551,[1]!Table2[Department],[1]!Table2[Group],"ERROR")</f>
        <v>General &amp; Administrative</v>
      </c>
      <c r="V551" s="36"/>
    </row>
    <row r="552" spans="1:22" customFormat="1" hidden="1" x14ac:dyDescent="0.2">
      <c r="A552" s="36" t="s">
        <v>247</v>
      </c>
      <c r="B552" s="36" t="s">
        <v>2</v>
      </c>
      <c r="C552" s="93">
        <v>46356</v>
      </c>
      <c r="D552" s="3">
        <v>46356</v>
      </c>
      <c r="E552" s="126">
        <v>46356</v>
      </c>
      <c r="F552" s="36" t="s">
        <v>82</v>
      </c>
      <c r="G552" s="281"/>
      <c r="H552" s="281"/>
      <c r="I552" s="281"/>
      <c r="J552" s="281">
        <v>5500</v>
      </c>
      <c r="K552" t="s">
        <v>1803</v>
      </c>
      <c r="M552" t="s">
        <v>1808</v>
      </c>
      <c r="N552" t="s">
        <v>387</v>
      </c>
      <c r="O552" s="146" t="str">
        <f>_xlfn.XLOOKUP(N552,[1]!costcategory[Account Code],[1]!costcategory[Cost Category],"ERROR")</f>
        <v>Headcount Costs</v>
      </c>
      <c r="P552" t="s">
        <v>438</v>
      </c>
      <c r="Q552" s="147" t="str">
        <f>_xlfn.XLOOKUP(P552,[1]!Table2[Department],[1]!Table2[Group],"ERROR")</f>
        <v>Sales &amp; Marketing</v>
      </c>
      <c r="V552" s="36"/>
    </row>
    <row r="553" spans="1:22" customFormat="1" hidden="1" x14ac:dyDescent="0.2">
      <c r="A553" s="36" t="s">
        <v>247</v>
      </c>
      <c r="B553" s="36" t="s">
        <v>2</v>
      </c>
      <c r="C553" s="93">
        <v>46356</v>
      </c>
      <c r="D553" s="3">
        <v>46356</v>
      </c>
      <c r="E553" s="126">
        <v>46356</v>
      </c>
      <c r="F553" s="36" t="s">
        <v>82</v>
      </c>
      <c r="G553" s="281"/>
      <c r="H553" s="281"/>
      <c r="I553" s="281"/>
      <c r="J553" s="281">
        <v>2000</v>
      </c>
      <c r="K553" t="s">
        <v>1803</v>
      </c>
      <c r="M553" t="s">
        <v>1808</v>
      </c>
      <c r="N553" t="s">
        <v>387</v>
      </c>
      <c r="O553" s="146" t="str">
        <f>_xlfn.XLOOKUP(N553,[1]!costcategory[Account Code],[1]!costcategory[Cost Category],"ERROR")</f>
        <v>Headcount Costs</v>
      </c>
      <c r="P553" t="s">
        <v>438</v>
      </c>
      <c r="Q553" s="147" t="str">
        <f>_xlfn.XLOOKUP(P553,[1]!Table2[Department],[1]!Table2[Group],"ERROR")</f>
        <v>Sales &amp; Marketing</v>
      </c>
      <c r="V553" s="36"/>
    </row>
    <row r="554" spans="1:22" customFormat="1" hidden="1" x14ac:dyDescent="0.2">
      <c r="A554" s="36" t="s">
        <v>247</v>
      </c>
      <c r="B554" s="36" t="s">
        <v>2</v>
      </c>
      <c r="C554" s="93">
        <v>46356</v>
      </c>
      <c r="D554" s="3">
        <v>46356</v>
      </c>
      <c r="E554" s="126">
        <v>46356</v>
      </c>
      <c r="F554" s="36" t="s">
        <v>82</v>
      </c>
      <c r="G554" s="281"/>
      <c r="H554" s="281"/>
      <c r="I554" s="281"/>
      <c r="J554" s="281">
        <v>1000</v>
      </c>
      <c r="K554" t="s">
        <v>1803</v>
      </c>
      <c r="M554" t="s">
        <v>1652</v>
      </c>
      <c r="N554" t="s">
        <v>364</v>
      </c>
      <c r="O554" s="146" t="str">
        <f>_xlfn.XLOOKUP(N554,[1]!costcategory[Account Code],[1]!costcategory[Cost Category],"ERROR")</f>
        <v>Headcount Costs</v>
      </c>
      <c r="P554" t="s">
        <v>438</v>
      </c>
      <c r="Q554" s="147" t="str">
        <f>_xlfn.XLOOKUP(P554,[1]!Table2[Department],[1]!Table2[Group],"ERROR")</f>
        <v>Sales &amp; Marketing</v>
      </c>
      <c r="V554" s="36"/>
    </row>
    <row r="555" spans="1:22" customFormat="1" hidden="1" x14ac:dyDescent="0.2">
      <c r="A555" s="36" t="s">
        <v>247</v>
      </c>
      <c r="B555" s="36" t="s">
        <v>2</v>
      </c>
      <c r="C555" s="93">
        <v>46356</v>
      </c>
      <c r="D555" s="3">
        <v>46356</v>
      </c>
      <c r="E555" s="126">
        <v>46356</v>
      </c>
      <c r="F555" s="36" t="s">
        <v>82</v>
      </c>
      <c r="G555" s="281"/>
      <c r="H555" s="281"/>
      <c r="I555" s="281"/>
      <c r="J555" s="281">
        <v>3500</v>
      </c>
      <c r="K555" t="s">
        <v>1803</v>
      </c>
      <c r="M555" t="s">
        <v>1808</v>
      </c>
      <c r="N555" t="s">
        <v>387</v>
      </c>
      <c r="O555" s="146" t="str">
        <f>_xlfn.XLOOKUP(N555,[1]!costcategory[Account Code],[1]!costcategory[Cost Category],"ERROR")</f>
        <v>Headcount Costs</v>
      </c>
      <c r="P555" t="s">
        <v>350</v>
      </c>
      <c r="Q555" s="147" t="str">
        <f>_xlfn.XLOOKUP(P555,[1]!Table2[Department],[1]!Table2[Group],"ERROR")</f>
        <v>General &amp; Administrative</v>
      </c>
      <c r="V555" s="36"/>
    </row>
    <row r="556" spans="1:22" customFormat="1" hidden="1" x14ac:dyDescent="0.2">
      <c r="A556" s="36" t="s">
        <v>247</v>
      </c>
      <c r="B556" s="36" t="s">
        <v>2</v>
      </c>
      <c r="C556" s="93">
        <v>46356</v>
      </c>
      <c r="D556" s="3">
        <v>46356</v>
      </c>
      <c r="E556" s="126">
        <v>46356</v>
      </c>
      <c r="F556" s="36" t="s">
        <v>82</v>
      </c>
      <c r="G556" s="281"/>
      <c r="H556" s="281"/>
      <c r="I556" s="281"/>
      <c r="J556" s="281">
        <v>1500</v>
      </c>
      <c r="K556" t="s">
        <v>1803</v>
      </c>
      <c r="M556" t="s">
        <v>1652</v>
      </c>
      <c r="N556" t="s">
        <v>364</v>
      </c>
      <c r="O556" s="146" t="str">
        <f>_xlfn.XLOOKUP(N556,[1]!costcategory[Account Code],[1]!costcategory[Cost Category],"ERROR")</f>
        <v>Headcount Costs</v>
      </c>
      <c r="P556" t="s">
        <v>350</v>
      </c>
      <c r="Q556" s="147" t="str">
        <f>_xlfn.XLOOKUP(P556,[1]!Table2[Department],[1]!Table2[Group],"ERROR")</f>
        <v>General &amp; Administrative</v>
      </c>
      <c r="V556" s="36"/>
    </row>
    <row r="557" spans="1:22" customFormat="1" hidden="1" x14ac:dyDescent="0.2">
      <c r="A557" s="36" t="s">
        <v>247</v>
      </c>
      <c r="B557" s="36" t="s">
        <v>2</v>
      </c>
      <c r="C557" s="93">
        <v>46371</v>
      </c>
      <c r="D557" s="3"/>
      <c r="E557" s="126">
        <v>46371</v>
      </c>
      <c r="F557" s="36" t="s">
        <v>82</v>
      </c>
      <c r="G557" s="281">
        <v>16837</v>
      </c>
      <c r="H557" s="281">
        <v>0</v>
      </c>
      <c r="I557" s="281">
        <v>16837</v>
      </c>
      <c r="J557" s="281">
        <v>4074.2002896419858</v>
      </c>
      <c r="K557" t="s">
        <v>630</v>
      </c>
      <c r="M557" t="s">
        <v>1807</v>
      </c>
      <c r="N557" t="s">
        <v>509</v>
      </c>
      <c r="O557" t="s">
        <v>510</v>
      </c>
      <c r="P557" t="s">
        <v>333</v>
      </c>
      <c r="Q557" t="s">
        <v>62</v>
      </c>
      <c r="V557" s="36"/>
    </row>
    <row r="558" spans="1:22" customFormat="1" hidden="1" x14ac:dyDescent="0.2">
      <c r="A558" s="36" t="s">
        <v>247</v>
      </c>
      <c r="B558" s="36" t="s">
        <v>2</v>
      </c>
      <c r="C558" s="93">
        <v>46357</v>
      </c>
      <c r="D558" s="3">
        <v>46357</v>
      </c>
      <c r="E558" s="126">
        <v>46381</v>
      </c>
      <c r="F558" s="36" t="s">
        <v>82</v>
      </c>
      <c r="G558" s="281">
        <v>9764.7999999999993</v>
      </c>
      <c r="H558" s="281">
        <v>585.89</v>
      </c>
      <c r="I558" s="281">
        <v>10350.69</v>
      </c>
      <c r="J558" s="281">
        <v>2504.65</v>
      </c>
      <c r="K558" s="4" t="s">
        <v>582</v>
      </c>
      <c r="M558" t="s">
        <v>1806</v>
      </c>
      <c r="N558" t="s">
        <v>409</v>
      </c>
      <c r="O558" t="s">
        <v>410</v>
      </c>
      <c r="P558" t="s">
        <v>340</v>
      </c>
      <c r="Q558" t="s">
        <v>62</v>
      </c>
      <c r="V558" s="36"/>
    </row>
    <row r="559" spans="1:22" customFormat="1" hidden="1" x14ac:dyDescent="0.2">
      <c r="A559" s="36" t="s">
        <v>247</v>
      </c>
      <c r="B559" s="36" t="s">
        <v>2</v>
      </c>
      <c r="C559" s="93">
        <v>46357</v>
      </c>
      <c r="D559" s="3">
        <v>46357</v>
      </c>
      <c r="E559" s="126">
        <v>46381</v>
      </c>
      <c r="F559" s="36" t="s">
        <v>82</v>
      </c>
      <c r="G559" s="281">
        <v>6000</v>
      </c>
      <c r="H559" s="281">
        <v>0</v>
      </c>
      <c r="I559" s="281">
        <v>6000</v>
      </c>
      <c r="J559" s="281">
        <v>1451.8739524768021</v>
      </c>
      <c r="K559" t="s">
        <v>444</v>
      </c>
      <c r="M559" t="s">
        <v>1805</v>
      </c>
      <c r="N559" t="s">
        <v>374</v>
      </c>
      <c r="O559" t="s">
        <v>375</v>
      </c>
      <c r="P559" t="s">
        <v>376</v>
      </c>
      <c r="Q559" t="s">
        <v>62</v>
      </c>
      <c r="V559" s="36"/>
    </row>
    <row r="560" spans="1:22" customFormat="1" hidden="1" x14ac:dyDescent="0.2">
      <c r="A560" s="36" t="s">
        <v>247</v>
      </c>
      <c r="B560" s="36" t="s">
        <v>2</v>
      </c>
      <c r="C560" s="93">
        <v>46381</v>
      </c>
      <c r="D560" s="3">
        <v>46381</v>
      </c>
      <c r="E560" s="126">
        <v>46381</v>
      </c>
      <c r="F560" s="36" t="s">
        <v>82</v>
      </c>
      <c r="G560" s="281">
        <v>450</v>
      </c>
      <c r="H560" s="281">
        <v>0</v>
      </c>
      <c r="I560" s="281">
        <v>450</v>
      </c>
      <c r="J560" s="281">
        <v>108.89054643576014</v>
      </c>
      <c r="K560" t="s">
        <v>445</v>
      </c>
      <c r="M560" t="s">
        <v>1804</v>
      </c>
      <c r="N560" t="s">
        <v>58</v>
      </c>
      <c r="O560" t="s">
        <v>58</v>
      </c>
      <c r="P560" t="s">
        <v>376</v>
      </c>
      <c r="Q560" t="s">
        <v>62</v>
      </c>
      <c r="V560" s="36"/>
    </row>
    <row r="561" spans="1:22" customFormat="1" hidden="1" x14ac:dyDescent="0.2">
      <c r="A561" s="36" t="s">
        <v>247</v>
      </c>
      <c r="B561" s="36" t="s">
        <v>2</v>
      </c>
      <c r="C561" s="93">
        <v>46387</v>
      </c>
      <c r="D561" s="3">
        <v>46387</v>
      </c>
      <c r="E561" s="126">
        <v>46387</v>
      </c>
      <c r="F561" s="36" t="s">
        <v>82</v>
      </c>
      <c r="G561" s="281"/>
      <c r="H561" s="281"/>
      <c r="I561" s="281"/>
      <c r="J561" s="281">
        <v>4000</v>
      </c>
      <c r="K561" t="s">
        <v>1803</v>
      </c>
      <c r="M561" t="s">
        <v>1802</v>
      </c>
      <c r="N561" t="s">
        <v>387</v>
      </c>
      <c r="O561" s="146" t="str">
        <f>_xlfn.XLOOKUP(N561,[1]!costcategory[Account Code],[1]!costcategory[Cost Category],"ERROR")</f>
        <v>Headcount Costs</v>
      </c>
      <c r="P561" t="s">
        <v>354</v>
      </c>
      <c r="Q561" s="147" t="str">
        <f>_xlfn.XLOOKUP(P561,[1]!Table2[Department],[1]!Table2[Group],"ERROR")</f>
        <v>Sales &amp; Marketing</v>
      </c>
      <c r="V561" s="36"/>
    </row>
    <row r="562" spans="1:22" customFormat="1" hidden="1" x14ac:dyDescent="0.2">
      <c r="A562" s="36" t="s">
        <v>247</v>
      </c>
      <c r="B562" s="36" t="s">
        <v>2</v>
      </c>
      <c r="C562" s="93">
        <v>46387</v>
      </c>
      <c r="D562" s="3">
        <v>46387</v>
      </c>
      <c r="E562" s="126">
        <v>46387</v>
      </c>
      <c r="F562" s="36" t="s">
        <v>82</v>
      </c>
      <c r="G562" s="281"/>
      <c r="H562" s="281"/>
      <c r="I562" s="281"/>
      <c r="J562" s="281">
        <v>1000</v>
      </c>
      <c r="K562" t="s">
        <v>1803</v>
      </c>
      <c r="M562" t="s">
        <v>1802</v>
      </c>
      <c r="N562" t="s">
        <v>387</v>
      </c>
      <c r="O562" s="146" t="str">
        <f>_xlfn.XLOOKUP(N562,[1]!costcategory[Account Code],[1]!costcategory[Cost Category],"ERROR")</f>
        <v>Headcount Costs</v>
      </c>
      <c r="P562" t="s">
        <v>354</v>
      </c>
      <c r="Q562" s="147" t="str">
        <f>_xlfn.XLOOKUP(P562,[1]!Table2[Department],[1]!Table2[Group],"ERROR")</f>
        <v>Sales &amp; Marketing</v>
      </c>
      <c r="V562" s="36"/>
    </row>
    <row r="563" spans="1:22" customFormat="1" hidden="1" x14ac:dyDescent="0.2">
      <c r="A563" s="36" t="s">
        <v>247</v>
      </c>
      <c r="B563" s="36" t="s">
        <v>2</v>
      </c>
      <c r="C563" s="93">
        <v>46387</v>
      </c>
      <c r="D563" s="3">
        <v>46387</v>
      </c>
      <c r="E563" s="126">
        <v>46387</v>
      </c>
      <c r="F563" s="36" t="s">
        <v>82</v>
      </c>
      <c r="G563" s="281"/>
      <c r="H563" s="281"/>
      <c r="I563" s="281"/>
      <c r="J563" s="281">
        <v>150</v>
      </c>
      <c r="K563" t="s">
        <v>1803</v>
      </c>
      <c r="M563" t="s">
        <v>1640</v>
      </c>
      <c r="N563" t="s">
        <v>364</v>
      </c>
      <c r="O563" s="146" t="str">
        <f>_xlfn.XLOOKUP(N563,[1]!costcategory[Account Code],[1]!costcategory[Cost Category],"ERROR")</f>
        <v>Headcount Costs</v>
      </c>
      <c r="P563" t="s">
        <v>354</v>
      </c>
      <c r="Q563" s="147" t="str">
        <f>_xlfn.XLOOKUP(P563,[1]!Table2[Department],[1]!Table2[Group],"ERROR")</f>
        <v>Sales &amp; Marketing</v>
      </c>
      <c r="V563" s="36"/>
    </row>
    <row r="564" spans="1:22" customFormat="1" hidden="1" x14ac:dyDescent="0.2">
      <c r="A564" s="36" t="s">
        <v>247</v>
      </c>
      <c r="B564" s="36" t="s">
        <v>2</v>
      </c>
      <c r="C564" s="93">
        <v>46387</v>
      </c>
      <c r="D564" s="3">
        <v>46387</v>
      </c>
      <c r="E564" s="126">
        <v>46387</v>
      </c>
      <c r="F564" s="36" t="s">
        <v>82</v>
      </c>
      <c r="G564" s="281"/>
      <c r="H564" s="281"/>
      <c r="I564" s="281"/>
      <c r="J564" s="281">
        <v>16000</v>
      </c>
      <c r="K564" t="s">
        <v>1803</v>
      </c>
      <c r="M564" t="s">
        <v>1802</v>
      </c>
      <c r="N564" t="s">
        <v>387</v>
      </c>
      <c r="O564" s="146" t="str">
        <f>_xlfn.XLOOKUP(N564,[1]!costcategory[Account Code],[1]!costcategory[Cost Category],"ERROR")</f>
        <v>Headcount Costs</v>
      </c>
      <c r="P564" t="s">
        <v>63</v>
      </c>
      <c r="Q564" s="147" t="str">
        <f>_xlfn.XLOOKUP(P564,[1]!Table2[Department],[1]!Table2[Group],"ERROR")</f>
        <v>Research &amp; Development</v>
      </c>
      <c r="V564" s="36"/>
    </row>
    <row r="565" spans="1:22" customFormat="1" hidden="1" x14ac:dyDescent="0.2">
      <c r="A565" s="36" t="s">
        <v>247</v>
      </c>
      <c r="B565" s="36" t="s">
        <v>2</v>
      </c>
      <c r="C565" s="93">
        <v>46387</v>
      </c>
      <c r="D565" s="3">
        <v>46387</v>
      </c>
      <c r="E565" s="126">
        <v>46387</v>
      </c>
      <c r="F565" s="36" t="s">
        <v>82</v>
      </c>
      <c r="G565" s="281"/>
      <c r="H565" s="281"/>
      <c r="I565" s="281"/>
      <c r="J565" s="281">
        <v>4000</v>
      </c>
      <c r="K565" t="s">
        <v>1803</v>
      </c>
      <c r="M565" t="s">
        <v>1802</v>
      </c>
      <c r="N565" t="s">
        <v>387</v>
      </c>
      <c r="O565" s="146" t="str">
        <f>_xlfn.XLOOKUP(N565,[1]!costcategory[Account Code],[1]!costcategory[Cost Category],"ERROR")</f>
        <v>Headcount Costs</v>
      </c>
      <c r="P565" t="s">
        <v>45</v>
      </c>
      <c r="Q565" s="147" t="str">
        <f>_xlfn.XLOOKUP(P565,[1]!Table2[Department],[1]!Table2[Group],"ERROR")</f>
        <v>DSC</v>
      </c>
      <c r="V565" s="36"/>
    </row>
    <row r="566" spans="1:22" customFormat="1" hidden="1" x14ac:dyDescent="0.2">
      <c r="A566" s="36" t="s">
        <v>247</v>
      </c>
      <c r="B566" s="36" t="s">
        <v>2</v>
      </c>
      <c r="C566" s="93">
        <v>46387</v>
      </c>
      <c r="D566" s="3">
        <v>46387</v>
      </c>
      <c r="E566" s="126">
        <v>46387</v>
      </c>
      <c r="F566" s="36" t="s">
        <v>82</v>
      </c>
      <c r="G566" s="281"/>
      <c r="H566" s="281"/>
      <c r="I566" s="281"/>
      <c r="J566" s="281">
        <v>5500</v>
      </c>
      <c r="K566" t="s">
        <v>1803</v>
      </c>
      <c r="M566" t="s">
        <v>1802</v>
      </c>
      <c r="N566" t="s">
        <v>387</v>
      </c>
      <c r="O566" s="146" t="str">
        <f>_xlfn.XLOOKUP(N566,[1]!costcategory[Account Code],[1]!costcategory[Cost Category],"ERROR")</f>
        <v>Headcount Costs</v>
      </c>
      <c r="P566" t="s">
        <v>63</v>
      </c>
      <c r="Q566" s="147" t="str">
        <f>_xlfn.XLOOKUP(P566,[1]!Table2[Department],[1]!Table2[Group],"ERROR")</f>
        <v>Research &amp; Development</v>
      </c>
      <c r="V566" s="36"/>
    </row>
    <row r="567" spans="1:22" customFormat="1" hidden="1" x14ac:dyDescent="0.2">
      <c r="A567" s="36" t="s">
        <v>247</v>
      </c>
      <c r="B567" s="36" t="s">
        <v>2</v>
      </c>
      <c r="C567" s="93">
        <v>46387</v>
      </c>
      <c r="D567" s="3">
        <v>46387</v>
      </c>
      <c r="E567" s="126">
        <v>46387</v>
      </c>
      <c r="F567" s="36" t="s">
        <v>82</v>
      </c>
      <c r="G567" s="281"/>
      <c r="H567" s="281"/>
      <c r="I567" s="281"/>
      <c r="J567" s="281">
        <v>1500</v>
      </c>
      <c r="K567" t="s">
        <v>1803</v>
      </c>
      <c r="M567" t="s">
        <v>1802</v>
      </c>
      <c r="N567" t="s">
        <v>387</v>
      </c>
      <c r="O567" s="146" t="str">
        <f>_xlfn.XLOOKUP(N567,[1]!costcategory[Account Code],[1]!costcategory[Cost Category],"ERROR")</f>
        <v>Headcount Costs</v>
      </c>
      <c r="P567" t="s">
        <v>45</v>
      </c>
      <c r="Q567" s="147" t="str">
        <f>_xlfn.XLOOKUP(P567,[1]!Table2[Department],[1]!Table2[Group],"ERROR")</f>
        <v>DSC</v>
      </c>
      <c r="V567" s="36"/>
    </row>
    <row r="568" spans="1:22" customFormat="1" hidden="1" x14ac:dyDescent="0.2">
      <c r="A568" s="36" t="s">
        <v>247</v>
      </c>
      <c r="B568" s="36" t="s">
        <v>2</v>
      </c>
      <c r="C568" s="93">
        <v>46387</v>
      </c>
      <c r="D568" s="3">
        <v>46387</v>
      </c>
      <c r="E568" s="126">
        <v>46387</v>
      </c>
      <c r="F568" s="36" t="s">
        <v>82</v>
      </c>
      <c r="G568" s="281"/>
      <c r="H568" s="281"/>
      <c r="I568" s="281"/>
      <c r="J568" s="281">
        <v>3000</v>
      </c>
      <c r="K568" t="s">
        <v>1803</v>
      </c>
      <c r="M568" t="s">
        <v>1640</v>
      </c>
      <c r="N568" t="s">
        <v>364</v>
      </c>
      <c r="O568" s="146" t="str">
        <f>_xlfn.XLOOKUP(N568,[1]!costcategory[Account Code],[1]!costcategory[Cost Category],"ERROR")</f>
        <v>Headcount Costs</v>
      </c>
      <c r="P568" t="s">
        <v>63</v>
      </c>
      <c r="Q568" s="147" t="str">
        <f>_xlfn.XLOOKUP(P568,[1]!Table2[Department],[1]!Table2[Group],"ERROR")</f>
        <v>Research &amp; Development</v>
      </c>
      <c r="V568" s="36"/>
    </row>
    <row r="569" spans="1:22" customFormat="1" hidden="1" x14ac:dyDescent="0.2">
      <c r="A569" s="36" t="s">
        <v>247</v>
      </c>
      <c r="B569" s="36" t="s">
        <v>2</v>
      </c>
      <c r="C569" s="93">
        <v>46387</v>
      </c>
      <c r="D569" s="3">
        <v>46387</v>
      </c>
      <c r="E569" s="126">
        <v>46387</v>
      </c>
      <c r="F569" s="36" t="s">
        <v>82</v>
      </c>
      <c r="G569" s="281"/>
      <c r="H569" s="281"/>
      <c r="I569" s="281"/>
      <c r="J569" s="281">
        <v>1000</v>
      </c>
      <c r="K569" t="s">
        <v>1803</v>
      </c>
      <c r="M569" t="s">
        <v>1640</v>
      </c>
      <c r="N569" t="s">
        <v>364</v>
      </c>
      <c r="O569" s="146" t="str">
        <f>_xlfn.XLOOKUP(N569,[1]!costcategory[Account Code],[1]!costcategory[Cost Category],"ERROR")</f>
        <v>Headcount Costs</v>
      </c>
      <c r="P569" t="s">
        <v>45</v>
      </c>
      <c r="Q569" s="147" t="str">
        <f>_xlfn.XLOOKUP(P569,[1]!Table2[Department],[1]!Table2[Group],"ERROR")</f>
        <v>DSC</v>
      </c>
      <c r="V569" s="36"/>
    </row>
    <row r="570" spans="1:22" customFormat="1" hidden="1" x14ac:dyDescent="0.2">
      <c r="A570" s="36" t="s">
        <v>247</v>
      </c>
      <c r="B570" s="36" t="s">
        <v>2</v>
      </c>
      <c r="C570" s="93">
        <v>46387</v>
      </c>
      <c r="D570" s="3">
        <v>46387</v>
      </c>
      <c r="E570" s="126">
        <v>46387</v>
      </c>
      <c r="F570" s="36" t="s">
        <v>82</v>
      </c>
      <c r="G570" s="281"/>
      <c r="H570" s="281"/>
      <c r="I570" s="281"/>
      <c r="J570" s="281">
        <v>2500</v>
      </c>
      <c r="K570" t="s">
        <v>1803</v>
      </c>
      <c r="M570" t="s">
        <v>1802</v>
      </c>
      <c r="N570" t="s">
        <v>387</v>
      </c>
      <c r="O570" s="146" t="str">
        <f>_xlfn.XLOOKUP(N570,[1]!costcategory[Account Code],[1]!costcategory[Cost Category],"ERROR")</f>
        <v>Headcount Costs</v>
      </c>
      <c r="P570" t="s">
        <v>333</v>
      </c>
      <c r="Q570" s="147" t="str">
        <f>_xlfn.XLOOKUP(P570,[1]!Table2[Department],[1]!Table2[Group],"ERROR")</f>
        <v>General &amp; Administrative</v>
      </c>
      <c r="V570" s="36"/>
    </row>
    <row r="571" spans="1:22" customFormat="1" hidden="1" x14ac:dyDescent="0.2">
      <c r="A571" s="36" t="s">
        <v>247</v>
      </c>
      <c r="B571" s="36" t="s">
        <v>2</v>
      </c>
      <c r="C571" s="93">
        <v>46387</v>
      </c>
      <c r="D571" s="3">
        <v>46387</v>
      </c>
      <c r="E571" s="126">
        <v>46387</v>
      </c>
      <c r="F571" s="36" t="s">
        <v>82</v>
      </c>
      <c r="G571" s="281"/>
      <c r="H571" s="281"/>
      <c r="I571" s="281"/>
      <c r="J571" s="281">
        <v>1000</v>
      </c>
      <c r="K571" t="s">
        <v>1803</v>
      </c>
      <c r="M571" t="s">
        <v>1802</v>
      </c>
      <c r="N571" t="s">
        <v>387</v>
      </c>
      <c r="O571" s="146" t="str">
        <f>_xlfn.XLOOKUP(N571,[1]!costcategory[Account Code],[1]!costcategory[Cost Category],"ERROR")</f>
        <v>Headcount Costs</v>
      </c>
      <c r="P571" t="s">
        <v>333</v>
      </c>
      <c r="Q571" s="147" t="str">
        <f>_xlfn.XLOOKUP(P571,[1]!Table2[Department],[1]!Table2[Group],"ERROR")</f>
        <v>General &amp; Administrative</v>
      </c>
      <c r="V571" s="36"/>
    </row>
    <row r="572" spans="1:22" customFormat="1" hidden="1" x14ac:dyDescent="0.2">
      <c r="A572" s="36" t="s">
        <v>247</v>
      </c>
      <c r="B572" s="36" t="s">
        <v>2</v>
      </c>
      <c r="C572" s="93">
        <v>46387</v>
      </c>
      <c r="D572" s="3">
        <v>46387</v>
      </c>
      <c r="E572" s="126">
        <v>46387</v>
      </c>
      <c r="F572" s="36" t="s">
        <v>82</v>
      </c>
      <c r="G572" s="281"/>
      <c r="H572" s="281"/>
      <c r="I572" s="281"/>
      <c r="J572" s="281">
        <v>500</v>
      </c>
      <c r="K572" t="s">
        <v>1803</v>
      </c>
      <c r="M572" t="s">
        <v>1640</v>
      </c>
      <c r="N572" t="s">
        <v>364</v>
      </c>
      <c r="O572" s="146" t="str">
        <f>_xlfn.XLOOKUP(N572,[1]!costcategory[Account Code],[1]!costcategory[Cost Category],"ERROR")</f>
        <v>Headcount Costs</v>
      </c>
      <c r="P572" t="s">
        <v>333</v>
      </c>
      <c r="Q572" s="147" t="str">
        <f>_xlfn.XLOOKUP(P572,[1]!Table2[Department],[1]!Table2[Group],"ERROR")</f>
        <v>General &amp; Administrative</v>
      </c>
      <c r="V572" s="36"/>
    </row>
    <row r="573" spans="1:22" customFormat="1" hidden="1" x14ac:dyDescent="0.2">
      <c r="A573" s="36" t="s">
        <v>247</v>
      </c>
      <c r="B573" s="36" t="s">
        <v>2</v>
      </c>
      <c r="C573" s="93">
        <v>46387</v>
      </c>
      <c r="D573" s="3">
        <v>46387</v>
      </c>
      <c r="E573" s="126">
        <v>46387</v>
      </c>
      <c r="F573" s="36" t="s">
        <v>82</v>
      </c>
      <c r="G573" s="281"/>
      <c r="H573" s="281"/>
      <c r="I573" s="281"/>
      <c r="J573" s="281">
        <v>2500</v>
      </c>
      <c r="K573" t="s">
        <v>1803</v>
      </c>
      <c r="M573" t="s">
        <v>1802</v>
      </c>
      <c r="N573" t="s">
        <v>387</v>
      </c>
      <c r="O573" s="146" t="str">
        <f>_xlfn.XLOOKUP(N573,[1]!costcategory[Account Code],[1]!costcategory[Cost Category],"ERROR")</f>
        <v>Headcount Costs</v>
      </c>
      <c r="P573" t="s">
        <v>350</v>
      </c>
      <c r="Q573" s="147" t="str">
        <f>_xlfn.XLOOKUP(P573,[1]!Table2[Department],[1]!Table2[Group],"ERROR")</f>
        <v>General &amp; Administrative</v>
      </c>
      <c r="V573" s="36"/>
    </row>
    <row r="574" spans="1:22" customFormat="1" hidden="1" x14ac:dyDescent="0.2">
      <c r="A574" s="36" t="s">
        <v>247</v>
      </c>
      <c r="B574" s="36" t="s">
        <v>2</v>
      </c>
      <c r="C574" s="93">
        <v>46387</v>
      </c>
      <c r="D574" s="3">
        <v>46387</v>
      </c>
      <c r="E574" s="126">
        <v>46387</v>
      </c>
      <c r="F574" s="36" t="s">
        <v>82</v>
      </c>
      <c r="G574" s="281"/>
      <c r="H574" s="281"/>
      <c r="I574" s="281"/>
      <c r="J574" s="281">
        <v>1000</v>
      </c>
      <c r="K574" t="s">
        <v>1803</v>
      </c>
      <c r="M574" t="s">
        <v>1802</v>
      </c>
      <c r="N574" t="s">
        <v>387</v>
      </c>
      <c r="O574" s="146" t="str">
        <f>_xlfn.XLOOKUP(N574,[1]!costcategory[Account Code],[1]!costcategory[Cost Category],"ERROR")</f>
        <v>Headcount Costs</v>
      </c>
      <c r="P574" t="s">
        <v>350</v>
      </c>
      <c r="Q574" s="147" t="str">
        <f>_xlfn.XLOOKUP(P574,[1]!Table2[Department],[1]!Table2[Group],"ERROR")</f>
        <v>General &amp; Administrative</v>
      </c>
      <c r="V574" s="36"/>
    </row>
    <row r="575" spans="1:22" customFormat="1" hidden="1" x14ac:dyDescent="0.2">
      <c r="A575" s="36" t="s">
        <v>247</v>
      </c>
      <c r="B575" s="36" t="s">
        <v>2</v>
      </c>
      <c r="C575" s="93">
        <v>46387</v>
      </c>
      <c r="D575" s="3">
        <v>46387</v>
      </c>
      <c r="E575" s="126">
        <v>46387</v>
      </c>
      <c r="F575" s="36" t="s">
        <v>82</v>
      </c>
      <c r="G575" s="281"/>
      <c r="H575" s="281"/>
      <c r="I575" s="281"/>
      <c r="J575" s="281">
        <v>500</v>
      </c>
      <c r="K575" t="s">
        <v>1803</v>
      </c>
      <c r="M575" t="s">
        <v>1640</v>
      </c>
      <c r="N575" t="s">
        <v>364</v>
      </c>
      <c r="O575" s="146" t="str">
        <f>_xlfn.XLOOKUP(N575,[1]!costcategory[Account Code],[1]!costcategory[Cost Category],"ERROR")</f>
        <v>Headcount Costs</v>
      </c>
      <c r="P575" t="s">
        <v>350</v>
      </c>
      <c r="Q575" s="147" t="str">
        <f>_xlfn.XLOOKUP(P575,[1]!Table2[Department],[1]!Table2[Group],"ERROR")</f>
        <v>General &amp; Administrative</v>
      </c>
      <c r="V575" s="36"/>
    </row>
    <row r="576" spans="1:22" customFormat="1" hidden="1" x14ac:dyDescent="0.2">
      <c r="A576" s="36" t="s">
        <v>247</v>
      </c>
      <c r="B576" s="36" t="s">
        <v>2</v>
      </c>
      <c r="C576" s="93">
        <v>46387</v>
      </c>
      <c r="D576" s="3">
        <v>46387</v>
      </c>
      <c r="E576" s="126">
        <v>46387</v>
      </c>
      <c r="F576" s="36" t="s">
        <v>82</v>
      </c>
      <c r="G576" s="281"/>
      <c r="H576" s="281"/>
      <c r="I576" s="281"/>
      <c r="J576" s="281">
        <v>5500</v>
      </c>
      <c r="K576" t="s">
        <v>1803</v>
      </c>
      <c r="M576" t="s">
        <v>1802</v>
      </c>
      <c r="N576" t="s">
        <v>387</v>
      </c>
      <c r="O576" s="146" t="str">
        <f>_xlfn.XLOOKUP(N576,[1]!costcategory[Account Code],[1]!costcategory[Cost Category],"ERROR")</f>
        <v>Headcount Costs</v>
      </c>
      <c r="P576" t="s">
        <v>438</v>
      </c>
      <c r="Q576" s="147" t="str">
        <f>_xlfn.XLOOKUP(P576,[1]!Table2[Department],[1]!Table2[Group],"ERROR")</f>
        <v>Sales &amp; Marketing</v>
      </c>
      <c r="V576" s="36"/>
    </row>
    <row r="577" spans="1:23" customFormat="1" hidden="1" x14ac:dyDescent="0.2">
      <c r="A577" s="36" t="s">
        <v>247</v>
      </c>
      <c r="B577" s="36" t="s">
        <v>2</v>
      </c>
      <c r="C577" s="93">
        <v>46387</v>
      </c>
      <c r="D577" s="3">
        <v>46387</v>
      </c>
      <c r="E577" s="126">
        <v>46387</v>
      </c>
      <c r="F577" s="36" t="s">
        <v>82</v>
      </c>
      <c r="G577" s="281"/>
      <c r="H577" s="281"/>
      <c r="I577" s="281"/>
      <c r="J577" s="281">
        <v>2000</v>
      </c>
      <c r="K577" t="s">
        <v>1803</v>
      </c>
      <c r="M577" t="s">
        <v>1802</v>
      </c>
      <c r="N577" t="s">
        <v>387</v>
      </c>
      <c r="O577" s="146" t="str">
        <f>_xlfn.XLOOKUP(N577,[1]!costcategory[Account Code],[1]!costcategory[Cost Category],"ERROR")</f>
        <v>Headcount Costs</v>
      </c>
      <c r="P577" t="s">
        <v>438</v>
      </c>
      <c r="Q577" s="147" t="str">
        <f>_xlfn.XLOOKUP(P577,[1]!Table2[Department],[1]!Table2[Group],"ERROR")</f>
        <v>Sales &amp; Marketing</v>
      </c>
      <c r="V577" s="36"/>
    </row>
    <row r="578" spans="1:23" customFormat="1" hidden="1" x14ac:dyDescent="0.2">
      <c r="A578" s="36" t="s">
        <v>247</v>
      </c>
      <c r="B578" s="36" t="s">
        <v>2</v>
      </c>
      <c r="C578" s="93">
        <v>46387</v>
      </c>
      <c r="D578" s="3">
        <v>46387</v>
      </c>
      <c r="E578" s="126">
        <v>46387</v>
      </c>
      <c r="F578" s="36" t="s">
        <v>82</v>
      </c>
      <c r="G578" s="281"/>
      <c r="H578" s="281"/>
      <c r="I578" s="281"/>
      <c r="J578" s="281">
        <v>1000</v>
      </c>
      <c r="K578" t="s">
        <v>1803</v>
      </c>
      <c r="M578" t="s">
        <v>1640</v>
      </c>
      <c r="N578" t="s">
        <v>364</v>
      </c>
      <c r="O578" s="146" t="str">
        <f>_xlfn.XLOOKUP(N578,[1]!costcategory[Account Code],[1]!costcategory[Cost Category],"ERROR")</f>
        <v>Headcount Costs</v>
      </c>
      <c r="P578" t="s">
        <v>438</v>
      </c>
      <c r="Q578" s="147" t="str">
        <f>_xlfn.XLOOKUP(P578,[1]!Table2[Department],[1]!Table2[Group],"ERROR")</f>
        <v>Sales &amp; Marketing</v>
      </c>
      <c r="V578" s="36"/>
    </row>
    <row r="579" spans="1:23" customFormat="1" hidden="1" x14ac:dyDescent="0.2">
      <c r="A579" s="36" t="s">
        <v>247</v>
      </c>
      <c r="B579" s="36" t="s">
        <v>2</v>
      </c>
      <c r="C579" s="93">
        <v>46387</v>
      </c>
      <c r="D579" s="3">
        <v>46387</v>
      </c>
      <c r="E579" s="126">
        <v>46387</v>
      </c>
      <c r="F579" s="36" t="s">
        <v>82</v>
      </c>
      <c r="G579" s="281"/>
      <c r="H579" s="281"/>
      <c r="I579" s="281"/>
      <c r="J579" s="281">
        <v>3500</v>
      </c>
      <c r="K579" t="s">
        <v>1803</v>
      </c>
      <c r="M579" t="s">
        <v>1802</v>
      </c>
      <c r="N579" t="s">
        <v>387</v>
      </c>
      <c r="O579" s="146" t="str">
        <f>_xlfn.XLOOKUP(N579,[1]!costcategory[Account Code],[1]!costcategory[Cost Category],"ERROR")</f>
        <v>Headcount Costs</v>
      </c>
      <c r="P579" t="s">
        <v>350</v>
      </c>
      <c r="Q579" s="147" t="str">
        <f>_xlfn.XLOOKUP(P579,[1]!Table2[Department],[1]!Table2[Group],"ERROR")</f>
        <v>General &amp; Administrative</v>
      </c>
      <c r="V579" s="36"/>
    </row>
    <row r="580" spans="1:23" customFormat="1" hidden="1" x14ac:dyDescent="0.2">
      <c r="A580" s="36" t="s">
        <v>247</v>
      </c>
      <c r="B580" s="36" t="s">
        <v>2</v>
      </c>
      <c r="C580" s="93">
        <v>46387</v>
      </c>
      <c r="D580" s="3">
        <v>46387</v>
      </c>
      <c r="E580" s="126">
        <v>46387</v>
      </c>
      <c r="F580" s="36" t="s">
        <v>82</v>
      </c>
      <c r="G580" s="281"/>
      <c r="H580" s="281"/>
      <c r="I580" s="281"/>
      <c r="J580" s="281">
        <v>1000</v>
      </c>
      <c r="K580" t="s">
        <v>1803</v>
      </c>
      <c r="M580" t="s">
        <v>1802</v>
      </c>
      <c r="N580" t="s">
        <v>387</v>
      </c>
      <c r="O580" s="146" t="str">
        <f>_xlfn.XLOOKUP(N580,[1]!costcategory[Account Code],[1]!costcategory[Cost Category],"ERROR")</f>
        <v>Headcount Costs</v>
      </c>
      <c r="P580" t="s">
        <v>354</v>
      </c>
      <c r="Q580" s="147" t="str">
        <f>_xlfn.XLOOKUP(P580,[1]!Table2[Department],[1]!Table2[Group],"ERROR")</f>
        <v>Sales &amp; Marketing</v>
      </c>
      <c r="V580" s="36"/>
    </row>
    <row r="581" spans="1:23" hidden="1" x14ac:dyDescent="0.2">
      <c r="A581" s="310" t="s">
        <v>1620</v>
      </c>
      <c r="B581" s="2" t="s">
        <v>2</v>
      </c>
      <c r="C581" s="93">
        <v>46192</v>
      </c>
      <c r="D581" s="3">
        <v>46192</v>
      </c>
      <c r="E581" s="126">
        <v>46203</v>
      </c>
      <c r="F581" s="2" t="s">
        <v>82</v>
      </c>
      <c r="G581" s="314">
        <v>6100</v>
      </c>
      <c r="H581" s="314">
        <f>G581*0.08</f>
        <v>488</v>
      </c>
      <c r="I581" s="316">
        <f>G581+H581</f>
        <v>6588</v>
      </c>
      <c r="J581" s="314">
        <v>1647</v>
      </c>
      <c r="K581" t="s">
        <v>1800</v>
      </c>
      <c r="L581" s="4" t="s">
        <v>1799</v>
      </c>
      <c r="M581" t="s">
        <v>1801</v>
      </c>
      <c r="N581" s="4" t="s">
        <v>367</v>
      </c>
      <c r="O581" s="146" t="str">
        <f>_xlfn.XLOOKUP(N581,[1]!costcategory[Account Code],[1]!costcategory[Cost Category],"ERROR")</f>
        <v>Professional &amp; Consultancy Fees</v>
      </c>
      <c r="P581" s="4" t="s">
        <v>340</v>
      </c>
      <c r="Q581" s="89" t="str">
        <f>_xlfn.XLOOKUP(P581,[1]!Table2[Department],[1]!Table2[Group],"ERROR")</f>
        <v>General &amp; Administrative</v>
      </c>
      <c r="U581"/>
      <c r="V581"/>
      <c r="W581"/>
    </row>
    <row r="582" spans="1:23" ht="13.5" hidden="1" thickBot="1" x14ac:dyDescent="0.25">
      <c r="A582" s="310" t="s">
        <v>1620</v>
      </c>
      <c r="B582" s="2" t="s">
        <v>2</v>
      </c>
      <c r="C582" s="93">
        <v>46192</v>
      </c>
      <c r="D582" s="3">
        <v>46192</v>
      </c>
      <c r="E582" s="126">
        <v>46203</v>
      </c>
      <c r="F582" s="2" t="s">
        <v>82</v>
      </c>
      <c r="G582" s="314">
        <v>250</v>
      </c>
      <c r="H582" s="314">
        <f>G582*0.08</f>
        <v>20</v>
      </c>
      <c r="I582" s="315">
        <f>G582+H582</f>
        <v>270</v>
      </c>
      <c r="J582" s="314">
        <v>67.5</v>
      </c>
      <c r="K582" t="s">
        <v>1800</v>
      </c>
      <c r="L582" s="4" t="s">
        <v>1799</v>
      </c>
      <c r="M582" t="s">
        <v>1798</v>
      </c>
      <c r="N582" s="4" t="s">
        <v>470</v>
      </c>
      <c r="O582" s="146" t="str">
        <f>_xlfn.XLOOKUP(N582,[1]!costcategory[Account Code],[1]!costcategory[Cost Category],"ERROR")</f>
        <v>Office Supplies</v>
      </c>
      <c r="P582" s="4" t="s">
        <v>340</v>
      </c>
      <c r="Q582" s="89" t="str">
        <f>_xlfn.XLOOKUP(P582,[1]!Table2[Department],[1]!Table2[Group],"ERROR")</f>
        <v>General &amp; Administrative</v>
      </c>
      <c r="U582"/>
      <c r="V582"/>
      <c r="W582"/>
    </row>
    <row r="583" spans="1:23" customFormat="1" hidden="1" x14ac:dyDescent="0.2">
      <c r="A583" s="36" t="s">
        <v>247</v>
      </c>
      <c r="B583" s="36" t="s">
        <v>2</v>
      </c>
      <c r="C583" s="93">
        <v>46402</v>
      </c>
      <c r="D583" s="3"/>
      <c r="E583" s="126">
        <v>46402</v>
      </c>
      <c r="F583" s="36" t="s">
        <v>82</v>
      </c>
      <c r="G583" s="281">
        <v>16837</v>
      </c>
      <c r="H583" s="281">
        <v>0</v>
      </c>
      <c r="I583" s="281">
        <v>16837</v>
      </c>
      <c r="J583" s="281">
        <v>4074.2002896419858</v>
      </c>
      <c r="K583" t="s">
        <v>630</v>
      </c>
      <c r="M583" t="s">
        <v>1797</v>
      </c>
      <c r="N583" t="s">
        <v>509</v>
      </c>
      <c r="O583" s="146" t="str">
        <f>_xlfn.XLOOKUP(N583,[1]!costcategory[Account Code],[1]!costcategory[Cost Category],"ERROR")</f>
        <v>Corporate Tax Expenses</v>
      </c>
      <c r="P583" t="s">
        <v>333</v>
      </c>
      <c r="Q583" s="147" t="str">
        <f>_xlfn.XLOOKUP(P583,[1]!Table2[Department],[1]!Table2[Group],"ERROR")</f>
        <v>General &amp; Administrative</v>
      </c>
      <c r="V583" s="36"/>
    </row>
    <row r="584" spans="1:23" customFormat="1" hidden="1" x14ac:dyDescent="0.2">
      <c r="A584" s="36" t="s">
        <v>247</v>
      </c>
      <c r="B584" s="36" t="s">
        <v>2</v>
      </c>
      <c r="C584" s="93">
        <v>46412</v>
      </c>
      <c r="D584" s="3">
        <v>46412</v>
      </c>
      <c r="E584" s="126">
        <v>46412</v>
      </c>
      <c r="F584" s="36" t="s">
        <v>82</v>
      </c>
      <c r="G584" s="281">
        <v>450</v>
      </c>
      <c r="H584" s="281">
        <v>0</v>
      </c>
      <c r="I584" s="281">
        <v>450</v>
      </c>
      <c r="J584" s="281">
        <v>108.89054643576014</v>
      </c>
      <c r="K584" t="s">
        <v>445</v>
      </c>
      <c r="M584" t="s">
        <v>1796</v>
      </c>
      <c r="N584" t="s">
        <v>58</v>
      </c>
      <c r="O584" s="146" t="str">
        <f>_xlfn.XLOOKUP(N584,[1]!costcategory[Account Code],[1]!costcategory[Cost Category],"ERROR")</f>
        <v>Network &amp; Server</v>
      </c>
      <c r="P584" t="s">
        <v>376</v>
      </c>
      <c r="Q584" s="147" t="str">
        <f>_xlfn.XLOOKUP(P584,[1]!Table2[Department],[1]!Table2[Group],"ERROR")</f>
        <v>General &amp; Administrative</v>
      </c>
      <c r="V584" s="36"/>
    </row>
    <row r="585" spans="1:23" hidden="1" x14ac:dyDescent="0.2">
      <c r="A585" s="310" t="s">
        <v>1620</v>
      </c>
      <c r="B585" s="2" t="s">
        <v>2</v>
      </c>
      <c r="C585" s="93">
        <v>46173</v>
      </c>
      <c r="D585" s="3">
        <v>46203</v>
      </c>
      <c r="E585" s="126">
        <v>46203</v>
      </c>
      <c r="F585" s="2" t="s">
        <v>82</v>
      </c>
      <c r="G585" s="309">
        <v>470</v>
      </c>
      <c r="H585" s="309">
        <v>0</v>
      </c>
      <c r="I585" s="312">
        <f t="shared" ref="I585:I600" si="1">G585+H585</f>
        <v>470</v>
      </c>
      <c r="J585" s="309">
        <v>117.5</v>
      </c>
      <c r="K585" s="4" t="s">
        <v>1779</v>
      </c>
      <c r="L585" s="150" t="s">
        <v>1794</v>
      </c>
      <c r="M585" s="4" t="s">
        <v>1795</v>
      </c>
      <c r="N585" s="4" t="s">
        <v>621</v>
      </c>
      <c r="O585" s="146" t="str">
        <f>_xlfn.XLOOKUP(N585,[1]!costcategory[Account Code],[1]!costcategory[Cost Category],"ERROR")</f>
        <v>Upkeep of Office</v>
      </c>
      <c r="P585" s="4" t="s">
        <v>340</v>
      </c>
      <c r="Q585" s="89" t="str">
        <f>_xlfn.XLOOKUP(P585,[1]!Table2[Department],[1]!Table2[Group],"ERROR")</f>
        <v>General &amp; Administrative</v>
      </c>
      <c r="R585" s="4"/>
      <c r="S585" s="4"/>
      <c r="T585" s="4"/>
      <c r="V585" s="4"/>
    </row>
    <row r="586" spans="1:23" hidden="1" x14ac:dyDescent="0.2">
      <c r="A586" s="310" t="s">
        <v>1620</v>
      </c>
      <c r="B586" s="2" t="s">
        <v>2</v>
      </c>
      <c r="C586" s="93">
        <v>46173</v>
      </c>
      <c r="D586" s="3">
        <v>46203</v>
      </c>
      <c r="E586" s="126">
        <v>46203</v>
      </c>
      <c r="F586" s="2" t="s">
        <v>82</v>
      </c>
      <c r="G586" s="309">
        <v>120</v>
      </c>
      <c r="H586" s="309">
        <v>0</v>
      </c>
      <c r="I586" s="313">
        <f t="shared" si="1"/>
        <v>120</v>
      </c>
      <c r="J586" s="309">
        <v>30</v>
      </c>
      <c r="K586" s="4" t="s">
        <v>1779</v>
      </c>
      <c r="L586" s="150" t="s">
        <v>1794</v>
      </c>
      <c r="M586" s="4" t="s">
        <v>1793</v>
      </c>
      <c r="N586" s="4" t="s">
        <v>50</v>
      </c>
      <c r="O586" s="146" t="str">
        <f>_xlfn.XLOOKUP(N586,[1]!costcategory[Account Code],[1]!costcategory[Cost Category],"ERROR")</f>
        <v>Office Supplies</v>
      </c>
      <c r="P586" s="4" t="s">
        <v>340</v>
      </c>
      <c r="Q586" s="89" t="str">
        <f>_xlfn.XLOOKUP(P586,[1]!Table2[Department],[1]!Table2[Group],"ERROR")</f>
        <v>General &amp; Administrative</v>
      </c>
      <c r="R586" s="4"/>
      <c r="S586" s="4"/>
      <c r="T586" s="4"/>
      <c r="V586" s="4"/>
    </row>
    <row r="587" spans="1:23" hidden="1" x14ac:dyDescent="0.2">
      <c r="A587" s="310" t="s">
        <v>1620</v>
      </c>
      <c r="B587" s="2" t="s">
        <v>2</v>
      </c>
      <c r="C587" s="93">
        <v>46196</v>
      </c>
      <c r="D587" s="3">
        <v>46225</v>
      </c>
      <c r="E587" s="126">
        <v>46228</v>
      </c>
      <c r="F587" s="2" t="s">
        <v>82</v>
      </c>
      <c r="G587" s="309">
        <v>470</v>
      </c>
      <c r="H587" s="309"/>
      <c r="I587" s="312">
        <f t="shared" si="1"/>
        <v>470</v>
      </c>
      <c r="J587" s="309">
        <v>117.5</v>
      </c>
      <c r="K587" s="4" t="s">
        <v>1779</v>
      </c>
      <c r="L587" s="135">
        <v>2606005</v>
      </c>
      <c r="M587" s="4" t="s">
        <v>1792</v>
      </c>
      <c r="N587" s="4" t="s">
        <v>621</v>
      </c>
      <c r="O587" s="146" t="str">
        <f>_xlfn.XLOOKUP(N587,[1]!costcategory[Account Code],[1]!costcategory[Cost Category],"ERROR")</f>
        <v>Upkeep of Office</v>
      </c>
      <c r="P587" s="4" t="s">
        <v>340</v>
      </c>
      <c r="Q587" s="89" t="str">
        <f>_xlfn.XLOOKUP(P587,[1]!Table2[Department],[1]!Table2[Group],"ERROR")</f>
        <v>General &amp; Administrative</v>
      </c>
      <c r="R587" s="4"/>
      <c r="S587" s="4"/>
      <c r="T587" s="4"/>
      <c r="V587" s="4"/>
    </row>
    <row r="588" spans="1:23" ht="13.5" hidden="1" thickBot="1" x14ac:dyDescent="0.25">
      <c r="A588" s="310" t="s">
        <v>1620</v>
      </c>
      <c r="B588" s="2" t="s">
        <v>2</v>
      </c>
      <c r="C588" s="93">
        <v>46196</v>
      </c>
      <c r="D588" s="3">
        <v>46225</v>
      </c>
      <c r="E588" s="126">
        <v>46228</v>
      </c>
      <c r="F588" s="2" t="s">
        <v>82</v>
      </c>
      <c r="G588" s="309">
        <f>120+192</f>
        <v>312</v>
      </c>
      <c r="H588" s="309"/>
      <c r="I588" s="311">
        <f t="shared" si="1"/>
        <v>312</v>
      </c>
      <c r="J588" s="309">
        <v>78</v>
      </c>
      <c r="K588" s="4" t="s">
        <v>1779</v>
      </c>
      <c r="L588" s="135">
        <v>2606005</v>
      </c>
      <c r="M588" s="4" t="s">
        <v>1791</v>
      </c>
      <c r="N588" s="4" t="s">
        <v>50</v>
      </c>
      <c r="O588" s="146" t="str">
        <f>_xlfn.XLOOKUP(N588,[1]!costcategory[Account Code],[1]!costcategory[Cost Category],"ERROR")</f>
        <v>Office Supplies</v>
      </c>
      <c r="P588" s="4" t="s">
        <v>340</v>
      </c>
      <c r="Q588" s="89" t="str">
        <f>_xlfn.XLOOKUP(P588,[1]!Table2[Department],[1]!Table2[Group],"ERROR")</f>
        <v>General &amp; Administrative</v>
      </c>
      <c r="R588" s="4"/>
      <c r="S588" s="4"/>
      <c r="T588" s="4"/>
      <c r="V588" s="4"/>
    </row>
    <row r="589" spans="1:23" hidden="1" x14ac:dyDescent="0.2">
      <c r="A589" s="2" t="s">
        <v>247</v>
      </c>
      <c r="B589" s="2" t="s">
        <v>2</v>
      </c>
      <c r="C589" s="93">
        <v>46234</v>
      </c>
      <c r="D589" s="3">
        <v>46265</v>
      </c>
      <c r="E589" s="126">
        <v>46259</v>
      </c>
      <c r="F589" s="2" t="s">
        <v>82</v>
      </c>
      <c r="G589" s="309">
        <v>470</v>
      </c>
      <c r="H589" s="309">
        <v>0</v>
      </c>
      <c r="I589" s="309">
        <f t="shared" si="1"/>
        <v>470</v>
      </c>
      <c r="J589" s="309">
        <v>117.5</v>
      </c>
      <c r="K589" s="4" t="s">
        <v>1779</v>
      </c>
      <c r="L589" s="135"/>
      <c r="M589" s="4" t="s">
        <v>1790</v>
      </c>
      <c r="N589" s="4" t="s">
        <v>621</v>
      </c>
      <c r="O589" s="146" t="str">
        <f>_xlfn.XLOOKUP(N589,[1]!costcategory[Account Code],[1]!costcategory[Cost Category],"ERROR")</f>
        <v>Upkeep of Office</v>
      </c>
      <c r="P589" s="4" t="s">
        <v>340</v>
      </c>
      <c r="Q589" s="89" t="str">
        <f>_xlfn.XLOOKUP(P589,[1]!Table2[Department],[1]!Table2[Group],"ERROR")</f>
        <v>General &amp; Administrative</v>
      </c>
      <c r="R589" s="4"/>
      <c r="S589" s="4"/>
      <c r="T589" s="4"/>
      <c r="V589" s="4"/>
    </row>
    <row r="590" spans="1:23" hidden="1" x14ac:dyDescent="0.2">
      <c r="A590" s="2" t="s">
        <v>247</v>
      </c>
      <c r="B590" s="2" t="s">
        <v>2</v>
      </c>
      <c r="C590" s="93">
        <v>46234</v>
      </c>
      <c r="D590" s="3">
        <v>46265</v>
      </c>
      <c r="E590" s="126">
        <v>46259</v>
      </c>
      <c r="F590" s="2" t="s">
        <v>82</v>
      </c>
      <c r="G590" s="309">
        <v>120</v>
      </c>
      <c r="H590" s="309">
        <v>0</v>
      </c>
      <c r="I590" s="309">
        <f t="shared" si="1"/>
        <v>120</v>
      </c>
      <c r="J590" s="309">
        <v>30</v>
      </c>
      <c r="K590" s="4" t="s">
        <v>1779</v>
      </c>
      <c r="L590" s="135"/>
      <c r="M590" s="116" t="s">
        <v>1789</v>
      </c>
      <c r="N590" s="4" t="s">
        <v>50</v>
      </c>
      <c r="O590" s="146" t="str">
        <f>_xlfn.XLOOKUP(N590,[1]!costcategory[Account Code],[1]!costcategory[Cost Category],"ERROR")</f>
        <v>Office Supplies</v>
      </c>
      <c r="P590" s="4" t="s">
        <v>340</v>
      </c>
      <c r="Q590" s="89" t="str">
        <f>_xlfn.XLOOKUP(P590,[1]!Table2[Department],[1]!Table2[Group],"ERROR")</f>
        <v>General &amp; Administrative</v>
      </c>
      <c r="R590" s="4"/>
      <c r="S590" s="4"/>
      <c r="T590" s="4"/>
      <c r="V590" s="4"/>
    </row>
    <row r="591" spans="1:23" hidden="1" x14ac:dyDescent="0.2">
      <c r="A591" s="2" t="s">
        <v>247</v>
      </c>
      <c r="B591" s="2" t="s">
        <v>2</v>
      </c>
      <c r="C591" s="93">
        <v>46265</v>
      </c>
      <c r="D591" s="3">
        <v>46295</v>
      </c>
      <c r="E591" s="126">
        <v>46290</v>
      </c>
      <c r="F591" s="2" t="s">
        <v>82</v>
      </c>
      <c r="G591" s="309">
        <v>470</v>
      </c>
      <c r="H591" s="309">
        <v>0</v>
      </c>
      <c r="I591" s="309">
        <f t="shared" si="1"/>
        <v>470</v>
      </c>
      <c r="J591" s="309">
        <v>117.5</v>
      </c>
      <c r="K591" s="4" t="s">
        <v>1779</v>
      </c>
      <c r="L591" s="135"/>
      <c r="M591" s="4" t="s">
        <v>1788</v>
      </c>
      <c r="N591" s="4" t="s">
        <v>621</v>
      </c>
      <c r="O591" s="146" t="str">
        <f>_xlfn.XLOOKUP(N591,[1]!costcategory[Account Code],[1]!costcategory[Cost Category],"ERROR")</f>
        <v>Upkeep of Office</v>
      </c>
      <c r="P591" s="4" t="s">
        <v>340</v>
      </c>
      <c r="Q591" s="89" t="str">
        <f>_xlfn.XLOOKUP(P591,[1]!Table2[Department],[1]!Table2[Group],"ERROR")</f>
        <v>General &amp; Administrative</v>
      </c>
      <c r="R591" s="4"/>
      <c r="S591" s="4"/>
      <c r="T591" s="4"/>
      <c r="V591" s="4"/>
    </row>
    <row r="592" spans="1:23" hidden="1" x14ac:dyDescent="0.2">
      <c r="A592" s="2" t="s">
        <v>247</v>
      </c>
      <c r="B592" s="2" t="s">
        <v>2</v>
      </c>
      <c r="C592" s="93">
        <v>46265</v>
      </c>
      <c r="D592" s="3">
        <v>46295</v>
      </c>
      <c r="E592" s="126">
        <v>46290</v>
      </c>
      <c r="F592" s="2" t="s">
        <v>82</v>
      </c>
      <c r="G592" s="309">
        <v>120</v>
      </c>
      <c r="H592" s="309">
        <v>0</v>
      </c>
      <c r="I592" s="309">
        <f t="shared" si="1"/>
        <v>120</v>
      </c>
      <c r="J592" s="309">
        <v>30</v>
      </c>
      <c r="K592" s="4" t="s">
        <v>1779</v>
      </c>
      <c r="L592" s="135"/>
      <c r="M592" s="116" t="s">
        <v>1787</v>
      </c>
      <c r="N592" s="4" t="s">
        <v>50</v>
      </c>
      <c r="O592" s="146" t="str">
        <f>_xlfn.XLOOKUP(N592,[1]!costcategory[Account Code],[1]!costcategory[Cost Category],"ERROR")</f>
        <v>Office Supplies</v>
      </c>
      <c r="P592" s="4" t="s">
        <v>340</v>
      </c>
      <c r="Q592" s="89" t="str">
        <f>_xlfn.XLOOKUP(P592,[1]!Table2[Department],[1]!Table2[Group],"ERROR")</f>
        <v>General &amp; Administrative</v>
      </c>
      <c r="R592" s="4"/>
      <c r="S592" s="4"/>
      <c r="T592" s="4"/>
      <c r="V592" s="4"/>
    </row>
    <row r="593" spans="1:23" hidden="1" x14ac:dyDescent="0.2">
      <c r="A593" s="2" t="s">
        <v>247</v>
      </c>
      <c r="B593" s="2" t="s">
        <v>2</v>
      </c>
      <c r="C593" s="93">
        <v>46295</v>
      </c>
      <c r="D593" s="3">
        <v>46326</v>
      </c>
      <c r="E593" s="126">
        <v>46320</v>
      </c>
      <c r="F593" s="2" t="s">
        <v>82</v>
      </c>
      <c r="G593" s="309">
        <v>470</v>
      </c>
      <c r="H593" s="309">
        <v>0</v>
      </c>
      <c r="I593" s="309">
        <f t="shared" si="1"/>
        <v>470</v>
      </c>
      <c r="J593" s="309">
        <v>117.5</v>
      </c>
      <c r="K593" s="4" t="s">
        <v>1779</v>
      </c>
      <c r="L593" s="135"/>
      <c r="M593" s="4" t="s">
        <v>1786</v>
      </c>
      <c r="N593" s="4" t="s">
        <v>621</v>
      </c>
      <c r="O593" s="146" t="str">
        <f>_xlfn.XLOOKUP(N593,[1]!costcategory[Account Code],[1]!costcategory[Cost Category],"ERROR")</f>
        <v>Upkeep of Office</v>
      </c>
      <c r="P593" s="4" t="s">
        <v>340</v>
      </c>
      <c r="Q593" s="89" t="str">
        <f>_xlfn.XLOOKUP(P593,[1]!Table2[Department],[1]!Table2[Group],"ERROR")</f>
        <v>General &amp; Administrative</v>
      </c>
      <c r="R593" s="4"/>
      <c r="S593" s="4"/>
      <c r="T593" s="4"/>
      <c r="V593" s="4"/>
    </row>
    <row r="594" spans="1:23" hidden="1" x14ac:dyDescent="0.2">
      <c r="A594" s="2" t="s">
        <v>247</v>
      </c>
      <c r="B594" s="2" t="s">
        <v>2</v>
      </c>
      <c r="C594" s="93">
        <v>46295</v>
      </c>
      <c r="D594" s="3">
        <v>46326</v>
      </c>
      <c r="E594" s="126">
        <v>46320</v>
      </c>
      <c r="F594" s="2" t="s">
        <v>82</v>
      </c>
      <c r="G594" s="309">
        <v>120</v>
      </c>
      <c r="H594" s="309">
        <v>0</v>
      </c>
      <c r="I594" s="309">
        <f t="shared" si="1"/>
        <v>120</v>
      </c>
      <c r="J594" s="309">
        <v>30</v>
      </c>
      <c r="K594" s="4" t="s">
        <v>1779</v>
      </c>
      <c r="L594" s="135"/>
      <c r="M594" s="116" t="s">
        <v>1785</v>
      </c>
      <c r="N594" s="4" t="s">
        <v>50</v>
      </c>
      <c r="O594" s="146" t="str">
        <f>_xlfn.XLOOKUP(N594,[1]!costcategory[Account Code],[1]!costcategory[Cost Category],"ERROR")</f>
        <v>Office Supplies</v>
      </c>
      <c r="P594" s="4" t="s">
        <v>340</v>
      </c>
      <c r="Q594" s="89" t="str">
        <f>_xlfn.XLOOKUP(P594,[1]!Table2[Department],[1]!Table2[Group],"ERROR")</f>
        <v>General &amp; Administrative</v>
      </c>
      <c r="R594" s="4"/>
      <c r="S594" s="4"/>
      <c r="T594" s="4"/>
      <c r="V594" s="4"/>
    </row>
    <row r="595" spans="1:23" hidden="1" x14ac:dyDescent="0.2">
      <c r="A595" s="2" t="s">
        <v>247</v>
      </c>
      <c r="B595" s="2" t="s">
        <v>2</v>
      </c>
      <c r="C595" s="93">
        <v>46326</v>
      </c>
      <c r="D595" s="3">
        <v>46356</v>
      </c>
      <c r="E595" s="126">
        <v>46351</v>
      </c>
      <c r="F595" s="2" t="s">
        <v>82</v>
      </c>
      <c r="G595" s="309">
        <v>470</v>
      </c>
      <c r="H595" s="309">
        <v>0</v>
      </c>
      <c r="I595" s="309">
        <f t="shared" si="1"/>
        <v>470</v>
      </c>
      <c r="J595" s="309">
        <v>117.5</v>
      </c>
      <c r="K595" s="4" t="s">
        <v>1779</v>
      </c>
      <c r="L595" s="135"/>
      <c r="M595" s="4" t="s">
        <v>1784</v>
      </c>
      <c r="N595" s="4" t="s">
        <v>621</v>
      </c>
      <c r="O595" s="146" t="str">
        <f>_xlfn.XLOOKUP(N595,[1]!costcategory[Account Code],[1]!costcategory[Cost Category],"ERROR")</f>
        <v>Upkeep of Office</v>
      </c>
      <c r="P595" s="4" t="s">
        <v>340</v>
      </c>
      <c r="Q595" s="89" t="str">
        <f>_xlfn.XLOOKUP(P595,[1]!Table2[Department],[1]!Table2[Group],"ERROR")</f>
        <v>General &amp; Administrative</v>
      </c>
      <c r="R595" s="4"/>
      <c r="S595" s="4"/>
      <c r="T595" s="4"/>
      <c r="V595" s="4"/>
    </row>
    <row r="596" spans="1:23" hidden="1" x14ac:dyDescent="0.2">
      <c r="A596" s="2" t="s">
        <v>247</v>
      </c>
      <c r="B596" s="2" t="s">
        <v>2</v>
      </c>
      <c r="C596" s="93">
        <v>46326</v>
      </c>
      <c r="D596" s="3">
        <v>46356</v>
      </c>
      <c r="E596" s="126">
        <v>46351</v>
      </c>
      <c r="F596" s="2" t="s">
        <v>82</v>
      </c>
      <c r="G596" s="309">
        <v>120</v>
      </c>
      <c r="H596" s="309">
        <v>0</v>
      </c>
      <c r="I596" s="309">
        <f t="shared" si="1"/>
        <v>120</v>
      </c>
      <c r="J596" s="309">
        <v>30</v>
      </c>
      <c r="K596" s="4" t="s">
        <v>1779</v>
      </c>
      <c r="L596" s="135"/>
      <c r="M596" s="116" t="s">
        <v>1783</v>
      </c>
      <c r="N596" s="4" t="s">
        <v>50</v>
      </c>
      <c r="O596" s="146" t="str">
        <f>_xlfn.XLOOKUP(N596,[1]!costcategory[Account Code],[1]!costcategory[Cost Category],"ERROR")</f>
        <v>Office Supplies</v>
      </c>
      <c r="P596" s="4" t="s">
        <v>340</v>
      </c>
      <c r="Q596" s="89" t="str">
        <f>_xlfn.XLOOKUP(P596,[1]!Table2[Department],[1]!Table2[Group],"ERROR")</f>
        <v>General &amp; Administrative</v>
      </c>
      <c r="R596" s="4"/>
      <c r="S596" s="4"/>
      <c r="T596" s="4"/>
      <c r="V596" s="4"/>
    </row>
    <row r="597" spans="1:23" hidden="1" x14ac:dyDescent="0.2">
      <c r="A597" s="2" t="s">
        <v>247</v>
      </c>
      <c r="B597" s="2" t="s">
        <v>2</v>
      </c>
      <c r="C597" s="93">
        <v>46356</v>
      </c>
      <c r="D597" s="3">
        <v>46387</v>
      </c>
      <c r="E597" s="126">
        <v>46381</v>
      </c>
      <c r="F597" s="2" t="s">
        <v>82</v>
      </c>
      <c r="G597" s="309">
        <v>470</v>
      </c>
      <c r="H597" s="309">
        <v>0</v>
      </c>
      <c r="I597" s="309">
        <f t="shared" si="1"/>
        <v>470</v>
      </c>
      <c r="J597" s="309">
        <v>117.5</v>
      </c>
      <c r="K597" s="4" t="s">
        <v>1779</v>
      </c>
      <c r="L597" s="135"/>
      <c r="M597" s="4" t="s">
        <v>1782</v>
      </c>
      <c r="N597" s="4" t="s">
        <v>621</v>
      </c>
      <c r="O597" s="146" t="str">
        <f>_xlfn.XLOOKUP(N597,[1]!costcategory[Account Code],[1]!costcategory[Cost Category],"ERROR")</f>
        <v>Upkeep of Office</v>
      </c>
      <c r="P597" s="4" t="s">
        <v>340</v>
      </c>
      <c r="Q597" s="89" t="str">
        <f>_xlfn.XLOOKUP(P597,[1]!Table2[Department],[1]!Table2[Group],"ERROR")</f>
        <v>General &amp; Administrative</v>
      </c>
      <c r="R597" s="4"/>
      <c r="S597" s="4"/>
      <c r="T597" s="4"/>
      <c r="V597" s="4"/>
    </row>
    <row r="598" spans="1:23" hidden="1" x14ac:dyDescent="0.2">
      <c r="A598" s="2" t="s">
        <v>247</v>
      </c>
      <c r="B598" s="2" t="s">
        <v>2</v>
      </c>
      <c r="C598" s="93">
        <v>46356</v>
      </c>
      <c r="D598" s="3">
        <v>46387</v>
      </c>
      <c r="E598" s="126">
        <v>46381</v>
      </c>
      <c r="F598" s="2" t="s">
        <v>82</v>
      </c>
      <c r="G598" s="309">
        <v>120</v>
      </c>
      <c r="H598" s="309">
        <v>0</v>
      </c>
      <c r="I598" s="309">
        <f t="shared" si="1"/>
        <v>120</v>
      </c>
      <c r="J598" s="309">
        <v>30</v>
      </c>
      <c r="K598" s="4" t="s">
        <v>1779</v>
      </c>
      <c r="L598" s="135"/>
      <c r="M598" s="116" t="s">
        <v>1781</v>
      </c>
      <c r="N598" s="4" t="s">
        <v>50</v>
      </c>
      <c r="O598" s="146" t="str">
        <f>_xlfn.XLOOKUP(N598,[1]!costcategory[Account Code],[1]!costcategory[Cost Category],"ERROR")</f>
        <v>Office Supplies</v>
      </c>
      <c r="P598" s="4" t="s">
        <v>340</v>
      </c>
      <c r="Q598" s="89" t="str">
        <f>_xlfn.XLOOKUP(P598,[1]!Table2[Department],[1]!Table2[Group],"ERROR")</f>
        <v>General &amp; Administrative</v>
      </c>
      <c r="R598" s="4"/>
      <c r="S598" s="4"/>
      <c r="T598" s="4"/>
      <c r="V598" s="4"/>
    </row>
    <row r="599" spans="1:23" hidden="1" x14ac:dyDescent="0.2">
      <c r="A599" s="2" t="s">
        <v>247</v>
      </c>
      <c r="B599" s="2" t="s">
        <v>2</v>
      </c>
      <c r="C599" s="93">
        <v>46387</v>
      </c>
      <c r="D599" s="3">
        <v>46418</v>
      </c>
      <c r="E599" s="126">
        <v>46412</v>
      </c>
      <c r="F599" s="2" t="s">
        <v>82</v>
      </c>
      <c r="G599" s="309">
        <v>470</v>
      </c>
      <c r="H599" s="309">
        <v>0</v>
      </c>
      <c r="I599" s="309">
        <f t="shared" si="1"/>
        <v>470</v>
      </c>
      <c r="J599" s="309">
        <v>117.5</v>
      </c>
      <c r="K599" s="4" t="s">
        <v>1779</v>
      </c>
      <c r="L599" s="135"/>
      <c r="M599" s="4" t="s">
        <v>1780</v>
      </c>
      <c r="N599" s="4" t="s">
        <v>621</v>
      </c>
      <c r="O599" s="146" t="str">
        <f>_xlfn.XLOOKUP(N599,[1]!costcategory[Account Code],[1]!costcategory[Cost Category],"ERROR")</f>
        <v>Upkeep of Office</v>
      </c>
      <c r="P599" s="4" t="s">
        <v>340</v>
      </c>
      <c r="Q599" s="89" t="str">
        <f>_xlfn.XLOOKUP(P599,[1]!Table2[Department],[1]!Table2[Group],"ERROR")</f>
        <v>General &amp; Administrative</v>
      </c>
      <c r="R599" s="4"/>
      <c r="S599" s="4"/>
      <c r="T599" s="4"/>
      <c r="V599" s="4"/>
    </row>
    <row r="600" spans="1:23" hidden="1" x14ac:dyDescent="0.2">
      <c r="A600" s="2" t="s">
        <v>247</v>
      </c>
      <c r="B600" s="2" t="s">
        <v>2</v>
      </c>
      <c r="C600" s="93">
        <v>46387</v>
      </c>
      <c r="D600" s="3">
        <v>46418</v>
      </c>
      <c r="E600" s="126">
        <v>46412</v>
      </c>
      <c r="F600" s="2" t="s">
        <v>82</v>
      </c>
      <c r="G600" s="309">
        <v>120</v>
      </c>
      <c r="H600" s="309">
        <v>0</v>
      </c>
      <c r="I600" s="309">
        <f t="shared" si="1"/>
        <v>120</v>
      </c>
      <c r="J600" s="309">
        <v>30</v>
      </c>
      <c r="K600" s="4" t="s">
        <v>1779</v>
      </c>
      <c r="L600" s="135"/>
      <c r="M600" s="116" t="s">
        <v>1778</v>
      </c>
      <c r="N600" s="4" t="s">
        <v>50</v>
      </c>
      <c r="O600" s="146" t="str">
        <f>_xlfn.XLOOKUP(N600,[1]!costcategory[Account Code],[1]!costcategory[Cost Category],"ERROR")</f>
        <v>Office Supplies</v>
      </c>
      <c r="P600" s="4" t="s">
        <v>340</v>
      </c>
      <c r="Q600" s="89" t="str">
        <f>_xlfn.XLOOKUP(P600,[1]!Table2[Department],[1]!Table2[Group],"ERROR")</f>
        <v>General &amp; Administrative</v>
      </c>
      <c r="R600" s="4"/>
      <c r="S600" s="4"/>
      <c r="T600" s="4"/>
      <c r="V600" s="4"/>
    </row>
    <row r="601" spans="1:23" customFormat="1" hidden="1" x14ac:dyDescent="0.2">
      <c r="A601" s="310" t="s">
        <v>1620</v>
      </c>
      <c r="B601" s="2" t="s">
        <v>1</v>
      </c>
      <c r="C601" s="93">
        <v>46181</v>
      </c>
      <c r="D601" s="3">
        <v>46181</v>
      </c>
      <c r="E601" s="126">
        <v>46203</v>
      </c>
      <c r="F601" s="2" t="s">
        <v>4</v>
      </c>
      <c r="G601" s="309">
        <v>440</v>
      </c>
      <c r="H601" s="309">
        <v>0</v>
      </c>
      <c r="I601" s="309">
        <v>440</v>
      </c>
      <c r="J601" s="309">
        <v>440</v>
      </c>
      <c r="K601" s="4" t="s">
        <v>1777</v>
      </c>
      <c r="L601" s="135">
        <v>12026270034</v>
      </c>
      <c r="M601" s="4" t="s">
        <v>1776</v>
      </c>
      <c r="N601" s="4" t="s">
        <v>657</v>
      </c>
      <c r="O601" s="146" t="str">
        <f>_xlfn.XLOOKUP(N601,[1]!costcategory[Account Code],[1]!costcategory[Cost Category],"ERROR")</f>
        <v>Intercompany</v>
      </c>
      <c r="P601" s="4" t="s">
        <v>45</v>
      </c>
      <c r="Q601" s="147" t="str">
        <f>_xlfn.XLOOKUP(P601,[1]!Table2[Department],[1]!Table2[Group],"ERROR")</f>
        <v>DSC</v>
      </c>
      <c r="R601" s="4"/>
      <c r="S601" s="4"/>
      <c r="T601" s="4"/>
      <c r="U601" s="4"/>
      <c r="V601" s="4"/>
    </row>
    <row r="602" spans="1:23" customFormat="1" hidden="1" x14ac:dyDescent="0.2">
      <c r="A602" s="310" t="s">
        <v>1620</v>
      </c>
      <c r="B602" s="2" t="s">
        <v>1</v>
      </c>
      <c r="C602" s="93">
        <v>46173</v>
      </c>
      <c r="D602" s="3">
        <v>46173</v>
      </c>
      <c r="E602" s="126">
        <v>46203</v>
      </c>
      <c r="F602" s="2" t="s">
        <v>77</v>
      </c>
      <c r="G602" s="309">
        <v>436</v>
      </c>
      <c r="H602" s="309">
        <v>0</v>
      </c>
      <c r="I602" s="309">
        <f>G602+H602</f>
        <v>436</v>
      </c>
      <c r="J602" s="309">
        <v>335.72</v>
      </c>
      <c r="K602" s="4" t="s">
        <v>1775</v>
      </c>
      <c r="L602" s="135">
        <v>26022687</v>
      </c>
      <c r="M602" s="4" t="s">
        <v>1774</v>
      </c>
      <c r="N602" s="4" t="s">
        <v>60</v>
      </c>
      <c r="O602" s="146" t="str">
        <f>_xlfn.XLOOKUP(N602,[1]!costcategory[Account Code],[1]!costcategory[Cost Category],"ERROR")</f>
        <v>Subscription Fee</v>
      </c>
      <c r="P602" s="4" t="s">
        <v>658</v>
      </c>
      <c r="Q602" s="147" t="str">
        <f>_xlfn.XLOOKUP(P602,[1]!Table2[Department],[1]!Table2[Group],"ERROR")</f>
        <v>Sales &amp; Marketing</v>
      </c>
      <c r="R602" s="4"/>
      <c r="S602" s="4"/>
      <c r="T602" s="4"/>
      <c r="U602" s="4"/>
      <c r="V602" s="4"/>
    </row>
    <row r="603" spans="1:23" customFormat="1" hidden="1" x14ac:dyDescent="0.2">
      <c r="A603" s="310" t="s">
        <v>1620</v>
      </c>
      <c r="B603" s="2" t="s">
        <v>1</v>
      </c>
      <c r="C603" s="93">
        <v>46113</v>
      </c>
      <c r="D603" s="3">
        <v>46174</v>
      </c>
      <c r="E603" s="126">
        <v>46387</v>
      </c>
      <c r="F603" s="2" t="s">
        <v>77</v>
      </c>
      <c r="G603" s="309">
        <v>154.13999999999999</v>
      </c>
      <c r="H603" s="309">
        <v>13.87</v>
      </c>
      <c r="I603" s="309">
        <v>168.01</v>
      </c>
      <c r="J603" s="309">
        <v>129.36769999999999</v>
      </c>
      <c r="K603" s="4" t="s">
        <v>659</v>
      </c>
      <c r="L603" s="4" t="s">
        <v>1773</v>
      </c>
      <c r="M603" s="4" t="s">
        <v>1772</v>
      </c>
      <c r="N603" s="106" t="s">
        <v>370</v>
      </c>
      <c r="O603" s="146" t="str">
        <f>_xlfn.XLOOKUP(N603,[1]!costcategory[Account Code],[1]!costcategory[Cost Category],"ERROR")</f>
        <v>Utilities</v>
      </c>
      <c r="P603" s="4" t="s">
        <v>340</v>
      </c>
      <c r="Q603" s="147" t="str">
        <f>_xlfn.XLOOKUP(P603,[1]!Table2[Department],[1]!Table2[Group],"ERROR")</f>
        <v>General &amp; Administrative</v>
      </c>
      <c r="R603" s="4"/>
      <c r="S603" s="4"/>
      <c r="T603" s="4"/>
      <c r="U603" s="4"/>
      <c r="V603" s="4"/>
    </row>
    <row r="604" spans="1:23" customFormat="1" hidden="1" x14ac:dyDescent="0.2">
      <c r="A604" s="310" t="s">
        <v>1620</v>
      </c>
      <c r="B604" s="2" t="s">
        <v>1</v>
      </c>
      <c r="C604" s="93">
        <v>46126</v>
      </c>
      <c r="D604" s="3" t="s">
        <v>1771</v>
      </c>
      <c r="E604" s="126">
        <v>46387</v>
      </c>
      <c r="F604" s="2" t="s">
        <v>77</v>
      </c>
      <c r="G604" s="309">
        <v>4426.57</v>
      </c>
      <c r="H604" s="112">
        <f>G604*0.09</f>
        <v>398.39129999999994</v>
      </c>
      <c r="I604" s="112">
        <f>SUM(G604:H604)</f>
        <v>4824.9612999999999</v>
      </c>
      <c r="J604" s="309">
        <v>2047.12</v>
      </c>
      <c r="K604" s="4" t="s">
        <v>145</v>
      </c>
      <c r="L604" s="135" t="s">
        <v>1770</v>
      </c>
      <c r="M604" s="4" t="s">
        <v>1769</v>
      </c>
      <c r="N604" s="106" t="s">
        <v>356</v>
      </c>
      <c r="O604" s="146" t="str">
        <f>_xlfn.XLOOKUP(N604,[1]!costcategory[Account Code],[1]!costcategory[Cost Category],"ERROR")</f>
        <v>Travelling Expenses</v>
      </c>
      <c r="P604" s="4" t="s">
        <v>45</v>
      </c>
      <c r="Q604" s="147" t="str">
        <f>_xlfn.XLOOKUP(P604,[1]!Table2[Department],[1]!Table2[Group],"ERROR")</f>
        <v>DSC</v>
      </c>
      <c r="R604" s="18"/>
      <c r="S604" s="4"/>
      <c r="T604" s="4"/>
      <c r="U604" s="4"/>
      <c r="V604" s="4"/>
    </row>
    <row r="605" spans="1:23" customFormat="1" hidden="1" x14ac:dyDescent="0.2">
      <c r="A605" s="310" t="s">
        <v>1620</v>
      </c>
      <c r="B605" s="2" t="s">
        <v>1</v>
      </c>
      <c r="C605" s="93">
        <v>46174</v>
      </c>
      <c r="D605" s="3">
        <v>46174</v>
      </c>
      <c r="E605" s="126">
        <v>46203</v>
      </c>
      <c r="F605" s="2" t="s">
        <v>77</v>
      </c>
      <c r="G605" s="309">
        <v>788.26</v>
      </c>
      <c r="H605" s="112">
        <v>70.94</v>
      </c>
      <c r="I605" s="111">
        <v>859.2</v>
      </c>
      <c r="J605" s="309">
        <v>661.69</v>
      </c>
      <c r="K605" s="4" t="s">
        <v>145</v>
      </c>
      <c r="L605" s="135" t="s">
        <v>1768</v>
      </c>
      <c r="M605" s="4" t="s">
        <v>1767</v>
      </c>
      <c r="N605" s="105" t="s">
        <v>356</v>
      </c>
      <c r="O605" s="146" t="str">
        <f>_xlfn.XLOOKUP(N605,[1]!costcategory[Account Code],[1]!costcategory[Cost Category],"ERROR")</f>
        <v>Travelling Expenses</v>
      </c>
      <c r="P605" s="4" t="s">
        <v>45</v>
      </c>
      <c r="Q605" s="147" t="str">
        <f>_xlfn.XLOOKUP(P605,[1]!Table2[Department],[1]!Table2[Group],"ERROR")</f>
        <v>DSC</v>
      </c>
      <c r="R605" s="18"/>
      <c r="S605" s="4"/>
      <c r="T605" s="4"/>
      <c r="U605" s="4"/>
      <c r="V605" s="4"/>
    </row>
    <row r="606" spans="1:23" customFormat="1" hidden="1" x14ac:dyDescent="0.2">
      <c r="A606" s="310" t="s">
        <v>1620</v>
      </c>
      <c r="B606" s="2" t="s">
        <v>1</v>
      </c>
      <c r="C606" s="93">
        <v>46113</v>
      </c>
      <c r="D606" s="3">
        <v>46143</v>
      </c>
      <c r="E606" s="126">
        <v>46203</v>
      </c>
      <c r="F606" s="2" t="s">
        <v>77</v>
      </c>
      <c r="G606" s="309">
        <v>23892</v>
      </c>
      <c r="H606" s="309">
        <v>2150.2800000000002</v>
      </c>
      <c r="I606" s="309">
        <v>26042.28</v>
      </c>
      <c r="J606" s="309">
        <v>20055.811686892401</v>
      </c>
      <c r="K606" s="4" t="s">
        <v>660</v>
      </c>
      <c r="L606" s="4" t="s">
        <v>1766</v>
      </c>
      <c r="M606" s="4" t="s">
        <v>1765</v>
      </c>
      <c r="N606" s="4" t="s">
        <v>409</v>
      </c>
      <c r="O606" s="146" t="str">
        <f>_xlfn.XLOOKUP(N606,[1]!costcategory[Account Code],[1]!costcategory[Cost Category],"ERROR")</f>
        <v>Rental</v>
      </c>
      <c r="P606" s="4" t="s">
        <v>340</v>
      </c>
      <c r="Q606" s="147" t="str">
        <f>_xlfn.XLOOKUP(P606,[1]!Table2[Department],[1]!Table2[Group],"ERROR")</f>
        <v>General &amp; Administrative</v>
      </c>
      <c r="R606" s="4"/>
      <c r="S606" s="4"/>
      <c r="T606" s="4"/>
      <c r="U606" s="4"/>
      <c r="V606" s="4"/>
    </row>
    <row r="607" spans="1:23" customFormat="1" hidden="1" x14ac:dyDescent="0.2">
      <c r="A607" s="310" t="s">
        <v>1620</v>
      </c>
      <c r="B607" s="2" t="s">
        <v>1</v>
      </c>
      <c r="C607" s="93">
        <v>46113</v>
      </c>
      <c r="D607" s="3">
        <v>46143</v>
      </c>
      <c r="E607" s="126">
        <v>46203</v>
      </c>
      <c r="F607" s="2" t="s">
        <v>77</v>
      </c>
      <c r="G607" s="309">
        <v>158</v>
      </c>
      <c r="H607" s="112">
        <v>14.22</v>
      </c>
      <c r="I607" s="111">
        <v>172.22</v>
      </c>
      <c r="J607" s="309">
        <v>132.63</v>
      </c>
      <c r="K607" s="4" t="s">
        <v>661</v>
      </c>
      <c r="L607" s="4" t="s">
        <v>1764</v>
      </c>
      <c r="M607" s="4" t="s">
        <v>1761</v>
      </c>
      <c r="N607" s="105" t="s">
        <v>374</v>
      </c>
      <c r="O607" s="146" t="s">
        <v>375</v>
      </c>
      <c r="P607" s="4" t="s">
        <v>376</v>
      </c>
      <c r="Q607" s="89" t="str">
        <f>_xlfn.XLOOKUP(P607,[1]!Table2[Department],[1]!Table2[Group],"ERROR")</f>
        <v>General &amp; Administrative</v>
      </c>
      <c r="R607" s="4"/>
      <c r="S607" s="4"/>
      <c r="T607" s="4"/>
      <c r="U607" s="4"/>
      <c r="V607" s="4"/>
      <c r="W607" s="4"/>
    </row>
    <row r="608" spans="1:23" customFormat="1" hidden="1" x14ac:dyDescent="0.2">
      <c r="A608" s="310" t="s">
        <v>1620</v>
      </c>
      <c r="B608" s="2" t="s">
        <v>1</v>
      </c>
      <c r="C608" s="93">
        <v>46113</v>
      </c>
      <c r="D608" s="3">
        <v>46143</v>
      </c>
      <c r="E608" s="126">
        <v>46203</v>
      </c>
      <c r="F608" s="2" t="s">
        <v>77</v>
      </c>
      <c r="G608" s="309">
        <v>70</v>
      </c>
      <c r="H608" s="112">
        <v>6.3</v>
      </c>
      <c r="I608" s="111">
        <v>76.3</v>
      </c>
      <c r="J608" s="309">
        <v>58.76</v>
      </c>
      <c r="K608" s="4" t="s">
        <v>661</v>
      </c>
      <c r="L608" s="4" t="s">
        <v>1763</v>
      </c>
      <c r="M608" s="4" t="s">
        <v>1761</v>
      </c>
      <c r="N608" s="105" t="s">
        <v>374</v>
      </c>
      <c r="O608" s="146" t="s">
        <v>375</v>
      </c>
      <c r="P608" s="4" t="s">
        <v>376</v>
      </c>
      <c r="Q608" s="89" t="str">
        <f>_xlfn.XLOOKUP(P608,[1]!Table2[Department],[1]!Table2[Group],"ERROR")</f>
        <v>General &amp; Administrative</v>
      </c>
      <c r="R608" s="4"/>
      <c r="S608" s="4"/>
      <c r="T608" s="4"/>
      <c r="U608" s="4"/>
      <c r="V608" s="4"/>
      <c r="W608" s="4"/>
    </row>
    <row r="609" spans="1:23" customFormat="1" hidden="1" x14ac:dyDescent="0.2">
      <c r="A609" s="310" t="s">
        <v>1620</v>
      </c>
      <c r="B609" s="2" t="s">
        <v>1</v>
      </c>
      <c r="C609" s="93">
        <v>46079</v>
      </c>
      <c r="D609" s="3">
        <v>46106</v>
      </c>
      <c r="E609" s="126">
        <v>46203</v>
      </c>
      <c r="F609" s="2" t="s">
        <v>77</v>
      </c>
      <c r="G609" s="309">
        <v>584.1</v>
      </c>
      <c r="H609" s="112">
        <v>52.57</v>
      </c>
      <c r="I609" s="111">
        <v>636.66999999999996</v>
      </c>
      <c r="J609" s="309">
        <v>490.32</v>
      </c>
      <c r="K609" s="4" t="s">
        <v>661</v>
      </c>
      <c r="L609" s="4" t="s">
        <v>1762</v>
      </c>
      <c r="M609" s="4" t="s">
        <v>1761</v>
      </c>
      <c r="N609" s="105" t="s">
        <v>374</v>
      </c>
      <c r="O609" s="146" t="s">
        <v>375</v>
      </c>
      <c r="P609" s="4" t="s">
        <v>376</v>
      </c>
      <c r="Q609" s="89" t="str">
        <f>_xlfn.XLOOKUP(P609,[1]!Table2[Department],[1]!Table2[Group],"ERROR")</f>
        <v>General &amp; Administrative</v>
      </c>
      <c r="R609" s="4"/>
      <c r="S609" s="4"/>
      <c r="T609" s="4"/>
      <c r="U609" s="4"/>
      <c r="V609" s="4"/>
      <c r="W609" s="4"/>
    </row>
    <row r="610" spans="1:23" customFormat="1" hidden="1" x14ac:dyDescent="0.2">
      <c r="A610" s="310" t="s">
        <v>1620</v>
      </c>
      <c r="B610" s="2" t="s">
        <v>1</v>
      </c>
      <c r="C610" s="93">
        <v>46175</v>
      </c>
      <c r="D610" s="3">
        <v>46205</v>
      </c>
      <c r="E610" s="126">
        <v>46228</v>
      </c>
      <c r="F610" s="2" t="s">
        <v>77</v>
      </c>
      <c r="G610" s="309">
        <v>316</v>
      </c>
      <c r="H610" s="309">
        <v>28.44</v>
      </c>
      <c r="I610" s="309">
        <f>G610+H610</f>
        <v>344.44</v>
      </c>
      <c r="J610" s="309">
        <v>265.21879999999999</v>
      </c>
      <c r="K610" s="4" t="s">
        <v>661</v>
      </c>
      <c r="L610" s="4" t="s">
        <v>1760</v>
      </c>
      <c r="M610" s="4" t="s">
        <v>1759</v>
      </c>
      <c r="N610" s="105" t="s">
        <v>374</v>
      </c>
      <c r="O610" s="146" t="s">
        <v>375</v>
      </c>
      <c r="P610" s="4" t="s">
        <v>376</v>
      </c>
      <c r="Q610" s="89" t="str">
        <f>_xlfn.XLOOKUP(P610,[1]!Table2[Department],[1]!Table2[Group],"ERROR")</f>
        <v>General &amp; Administrative</v>
      </c>
      <c r="R610" s="4"/>
      <c r="S610" s="4"/>
      <c r="T610" s="4"/>
      <c r="U610" s="4"/>
      <c r="V610" s="4"/>
      <c r="W610" s="4"/>
    </row>
    <row r="611" spans="1:23" customFormat="1" hidden="1" x14ac:dyDescent="0.2">
      <c r="A611" s="310" t="s">
        <v>1620</v>
      </c>
      <c r="B611" s="2" t="s">
        <v>1</v>
      </c>
      <c r="C611" s="93">
        <v>46175</v>
      </c>
      <c r="D611" s="3">
        <v>46205</v>
      </c>
      <c r="E611" s="126">
        <v>46228</v>
      </c>
      <c r="F611" s="2" t="s">
        <v>77</v>
      </c>
      <c r="G611" s="309">
        <v>158</v>
      </c>
      <c r="H611" s="112">
        <v>14.22</v>
      </c>
      <c r="I611" s="111">
        <v>172.22</v>
      </c>
      <c r="J611" s="309">
        <v>132.63</v>
      </c>
      <c r="K611" s="4" t="s">
        <v>661</v>
      </c>
      <c r="L611" s="135" t="s">
        <v>1758</v>
      </c>
      <c r="M611" s="4" t="s">
        <v>1755</v>
      </c>
      <c r="N611" s="105" t="s">
        <v>374</v>
      </c>
      <c r="O611" s="146" t="s">
        <v>375</v>
      </c>
      <c r="P611" s="4" t="s">
        <v>376</v>
      </c>
      <c r="Q611" s="89" t="str">
        <f>_xlfn.XLOOKUP(P611,[1]!Table2[Department],[1]!Table2[Group],"ERROR")</f>
        <v>General &amp; Administrative</v>
      </c>
      <c r="R611" s="18"/>
      <c r="S611" s="4"/>
      <c r="T611" s="4"/>
      <c r="U611" s="4"/>
      <c r="V611" s="4"/>
      <c r="W611" s="4"/>
    </row>
    <row r="612" spans="1:23" customFormat="1" hidden="1" x14ac:dyDescent="0.2">
      <c r="A612" s="310" t="s">
        <v>1620</v>
      </c>
      <c r="B612" s="2" t="s">
        <v>1</v>
      </c>
      <c r="C612" s="93">
        <v>46175</v>
      </c>
      <c r="D612" s="3">
        <v>46205</v>
      </c>
      <c r="E612" s="126">
        <v>46228</v>
      </c>
      <c r="F612" s="2" t="s">
        <v>77</v>
      </c>
      <c r="G612" s="309">
        <v>70</v>
      </c>
      <c r="H612" s="112">
        <v>6.3</v>
      </c>
      <c r="I612" s="111">
        <v>76.3</v>
      </c>
      <c r="J612" s="309">
        <v>58.76</v>
      </c>
      <c r="K612" s="4" t="s">
        <v>661</v>
      </c>
      <c r="L612" s="135" t="s">
        <v>1757</v>
      </c>
      <c r="M612" s="4" t="s">
        <v>1755</v>
      </c>
      <c r="N612" s="105" t="s">
        <v>374</v>
      </c>
      <c r="O612" s="146" t="s">
        <v>375</v>
      </c>
      <c r="P612" s="4" t="s">
        <v>376</v>
      </c>
      <c r="Q612" s="89" t="str">
        <f>_xlfn.XLOOKUP(P612,[1]!Table2[Department],[1]!Table2[Group],"ERROR")</f>
        <v>General &amp; Administrative</v>
      </c>
      <c r="R612" s="18"/>
      <c r="S612" s="4"/>
      <c r="T612" s="4"/>
      <c r="U612" s="4"/>
      <c r="V612" s="4"/>
      <c r="W612" s="4"/>
    </row>
    <row r="613" spans="1:23" customFormat="1" hidden="1" x14ac:dyDescent="0.2">
      <c r="A613" s="310" t="s">
        <v>1620</v>
      </c>
      <c r="B613" s="2" t="s">
        <v>1</v>
      </c>
      <c r="C613" s="93">
        <v>46170</v>
      </c>
      <c r="D613" s="3">
        <v>46201</v>
      </c>
      <c r="E613" s="126">
        <v>46203</v>
      </c>
      <c r="F613" s="2" t="s">
        <v>77</v>
      </c>
      <c r="G613" s="309">
        <v>584.1</v>
      </c>
      <c r="H613" s="112">
        <v>52.57</v>
      </c>
      <c r="I613" s="111">
        <v>636.66999999999996</v>
      </c>
      <c r="J613" s="309">
        <v>490.32</v>
      </c>
      <c r="K613" s="4" t="s">
        <v>661</v>
      </c>
      <c r="L613" s="135" t="s">
        <v>1756</v>
      </c>
      <c r="M613" s="4" t="s">
        <v>1755</v>
      </c>
      <c r="N613" s="105" t="s">
        <v>374</v>
      </c>
      <c r="O613" s="146" t="s">
        <v>375</v>
      </c>
      <c r="P613" s="4" t="s">
        <v>376</v>
      </c>
      <c r="Q613" s="89" t="str">
        <f>_xlfn.XLOOKUP(P613,[1]!Table2[Department],[1]!Table2[Group],"ERROR")</f>
        <v>General &amp; Administrative</v>
      </c>
      <c r="R613" s="18"/>
      <c r="S613" s="4"/>
      <c r="T613" s="4"/>
      <c r="U613" s="4"/>
      <c r="V613" s="4"/>
      <c r="W613" s="4"/>
    </row>
    <row r="614" spans="1:23" customFormat="1" hidden="1" x14ac:dyDescent="0.2">
      <c r="A614" s="310" t="s">
        <v>1620</v>
      </c>
      <c r="B614" s="2" t="s">
        <v>1</v>
      </c>
      <c r="C614" s="93">
        <v>46170</v>
      </c>
      <c r="D614" s="3">
        <v>46201</v>
      </c>
      <c r="E614" s="126">
        <v>46203</v>
      </c>
      <c r="F614" s="2" t="s">
        <v>77</v>
      </c>
      <c r="G614" s="309">
        <v>6145.67</v>
      </c>
      <c r="H614" s="309">
        <f t="shared" ref="H614:H619" si="2">G614*0.09</f>
        <v>553.11029999999994</v>
      </c>
      <c r="I614" s="312">
        <f t="shared" ref="I614:I619" si="3">G614+H614</f>
        <v>6698.7803000000004</v>
      </c>
      <c r="J614" s="309">
        <v>5158.0608310000007</v>
      </c>
      <c r="K614" s="4" t="s">
        <v>661</v>
      </c>
      <c r="L614" s="4" t="s">
        <v>1754</v>
      </c>
      <c r="M614" s="4" t="s">
        <v>1753</v>
      </c>
      <c r="N614" s="4" t="s">
        <v>58</v>
      </c>
      <c r="O614" s="146" t="str">
        <f>_xlfn.XLOOKUP(N614,[1]!costcategory[Account Code],[1]!costcategory[Cost Category],"ERROR")</f>
        <v>Network &amp; Server</v>
      </c>
      <c r="P614" s="4" t="s">
        <v>59</v>
      </c>
      <c r="Q614" s="89" t="str">
        <f>_xlfn.XLOOKUP(P614,[1]!Table2[Department],[1]!Table2[Group],"ERROR")</f>
        <v>Research &amp; Development</v>
      </c>
      <c r="R614" s="4"/>
      <c r="S614" s="4"/>
      <c r="T614" s="4"/>
      <c r="U614" s="4"/>
      <c r="V614" s="4"/>
    </row>
    <row r="615" spans="1:23" customFormat="1" hidden="1" x14ac:dyDescent="0.2">
      <c r="A615" s="310" t="s">
        <v>1620</v>
      </c>
      <c r="B615" s="2" t="s">
        <v>1</v>
      </c>
      <c r="C615" s="93">
        <v>46170</v>
      </c>
      <c r="D615" s="3">
        <v>46201</v>
      </c>
      <c r="E615" s="126">
        <v>46203</v>
      </c>
      <c r="F615" s="2" t="s">
        <v>77</v>
      </c>
      <c r="G615" s="309">
        <v>186.49</v>
      </c>
      <c r="H615" s="309">
        <f t="shared" si="2"/>
        <v>16.784099999999999</v>
      </c>
      <c r="I615" s="313">
        <f t="shared" si="3"/>
        <v>203.2741</v>
      </c>
      <c r="J615" s="309">
        <v>156.52105700000001</v>
      </c>
      <c r="K615" s="4" t="s">
        <v>661</v>
      </c>
      <c r="L615" s="4" t="s">
        <v>1754</v>
      </c>
      <c r="M615" s="4" t="s">
        <v>1753</v>
      </c>
      <c r="N615" s="4" t="s">
        <v>58</v>
      </c>
      <c r="O615" s="146" t="str">
        <f>_xlfn.XLOOKUP(N615,[1]!costcategory[Account Code],[1]!costcategory[Cost Category],"ERROR")</f>
        <v>Network &amp; Server</v>
      </c>
      <c r="P615" s="4" t="s">
        <v>56</v>
      </c>
      <c r="Q615" s="89" t="str">
        <f>_xlfn.XLOOKUP(P615,[1]!Table2[Department],[1]!Table2[Group],"ERROR")</f>
        <v>Research &amp; Development</v>
      </c>
      <c r="R615" s="4"/>
      <c r="S615" s="4"/>
      <c r="T615" s="4"/>
      <c r="U615" s="4"/>
      <c r="V615" s="4"/>
    </row>
    <row r="616" spans="1:23" customFormat="1" ht="13.5" hidden="1" thickBot="1" x14ac:dyDescent="0.25">
      <c r="A616" s="310" t="s">
        <v>1620</v>
      </c>
      <c r="B616" s="2" t="s">
        <v>1</v>
      </c>
      <c r="C616" s="93">
        <v>46167</v>
      </c>
      <c r="D616" s="3">
        <v>46167</v>
      </c>
      <c r="E616" s="126">
        <v>46228</v>
      </c>
      <c r="F616" s="2" t="s">
        <v>77</v>
      </c>
      <c r="G616" s="309">
        <v>150.84</v>
      </c>
      <c r="H616" s="309">
        <f t="shared" si="2"/>
        <v>13.5756</v>
      </c>
      <c r="I616" s="311">
        <f t="shared" si="3"/>
        <v>164.41560000000001</v>
      </c>
      <c r="J616" s="309">
        <v>126.60001200000001</v>
      </c>
      <c r="K616" s="4" t="s">
        <v>661</v>
      </c>
      <c r="L616" s="4" t="s">
        <v>1754</v>
      </c>
      <c r="M616" s="4" t="s">
        <v>1753</v>
      </c>
      <c r="N616" s="4" t="s">
        <v>58</v>
      </c>
      <c r="O616" s="146" t="str">
        <f>_xlfn.XLOOKUP(N616,[1]!costcategory[Account Code],[1]!costcategory[Cost Category],"ERROR")</f>
        <v>Network &amp; Server</v>
      </c>
      <c r="P616" s="4" t="s">
        <v>57</v>
      </c>
      <c r="Q616" s="89" t="str">
        <f>_xlfn.XLOOKUP(P616,[1]!Table2[Department],[1]!Table2[Group],"ERROR")</f>
        <v>Research &amp; Development</v>
      </c>
      <c r="R616" s="4"/>
      <c r="S616" s="4"/>
      <c r="T616" s="4"/>
      <c r="U616" s="4"/>
      <c r="V616" s="4"/>
    </row>
    <row r="617" spans="1:23" hidden="1" x14ac:dyDescent="0.2">
      <c r="A617" s="310" t="s">
        <v>1620</v>
      </c>
      <c r="B617" s="2" t="s">
        <v>1</v>
      </c>
      <c r="C617" s="93">
        <v>46167</v>
      </c>
      <c r="D617" s="3">
        <v>46167</v>
      </c>
      <c r="E617" s="126">
        <v>46228</v>
      </c>
      <c r="F617" s="2" t="s">
        <v>77</v>
      </c>
      <c r="G617" s="309">
        <v>5478.71</v>
      </c>
      <c r="H617" s="309">
        <f t="shared" si="2"/>
        <v>493.08389999999997</v>
      </c>
      <c r="I617" s="312">
        <f t="shared" si="3"/>
        <v>5971.7938999999997</v>
      </c>
      <c r="J617" s="309">
        <v>4598.2813029999998</v>
      </c>
      <c r="K617" s="4" t="s">
        <v>661</v>
      </c>
      <c r="L617" s="4" t="s">
        <v>1752</v>
      </c>
      <c r="M617" s="4" t="s">
        <v>1751</v>
      </c>
      <c r="N617" s="4" t="s">
        <v>58</v>
      </c>
      <c r="O617" s="146" t="str">
        <f>_xlfn.XLOOKUP(N617,[1]!costcategory[Account Code],[1]!costcategory[Cost Category],"ERROR")</f>
        <v>Network &amp; Server</v>
      </c>
      <c r="P617" s="4" t="s">
        <v>59</v>
      </c>
      <c r="Q617" s="89" t="str">
        <f>_xlfn.XLOOKUP(P617,[1]!Table2[Department],[1]!Table2[Group],"ERROR")</f>
        <v>Research &amp; Development</v>
      </c>
      <c r="R617" s="4"/>
      <c r="S617" s="4"/>
      <c r="T617" s="4"/>
      <c r="V617" s="4"/>
    </row>
    <row r="618" spans="1:23" hidden="1" x14ac:dyDescent="0.2">
      <c r="A618" s="310" t="s">
        <v>1620</v>
      </c>
      <c r="B618" s="2" t="s">
        <v>1</v>
      </c>
      <c r="C618" s="93">
        <v>46167</v>
      </c>
      <c r="D618" s="3">
        <v>46167</v>
      </c>
      <c r="E618" s="126">
        <v>46228</v>
      </c>
      <c r="F618" s="2" t="s">
        <v>77</v>
      </c>
      <c r="G618" s="309">
        <v>151.44</v>
      </c>
      <c r="H618" s="309">
        <f t="shared" si="2"/>
        <v>13.6296</v>
      </c>
      <c r="I618" s="313">
        <f t="shared" si="3"/>
        <v>165.06960000000001</v>
      </c>
      <c r="J618" s="309">
        <v>127.10359200000001</v>
      </c>
      <c r="K618" s="4" t="s">
        <v>661</v>
      </c>
      <c r="L618" s="4" t="s">
        <v>1752</v>
      </c>
      <c r="M618" s="4" t="s">
        <v>1751</v>
      </c>
      <c r="N618" s="4" t="s">
        <v>58</v>
      </c>
      <c r="O618" s="146" t="str">
        <f>_xlfn.XLOOKUP(N618,[1]!costcategory[Account Code],[1]!costcategory[Cost Category],"ERROR")</f>
        <v>Network &amp; Server</v>
      </c>
      <c r="P618" s="4" t="s">
        <v>56</v>
      </c>
      <c r="Q618" s="89" t="str">
        <f>_xlfn.XLOOKUP(P618,[1]!Table2[Department],[1]!Table2[Group],"ERROR")</f>
        <v>Research &amp; Development</v>
      </c>
      <c r="R618" s="4"/>
      <c r="S618" s="4"/>
      <c r="T618" s="4"/>
      <c r="V618" s="4"/>
    </row>
    <row r="619" spans="1:23" ht="13.5" hidden="1" thickBot="1" x14ac:dyDescent="0.25">
      <c r="A619" s="310" t="s">
        <v>1620</v>
      </c>
      <c r="B619" s="2" t="s">
        <v>1</v>
      </c>
      <c r="C619" s="93">
        <v>45991</v>
      </c>
      <c r="D619" s="3">
        <v>45789</v>
      </c>
      <c r="E619" s="126">
        <v>46233</v>
      </c>
      <c r="F619" s="2" t="s">
        <v>77</v>
      </c>
      <c r="G619" s="309">
        <v>135.30000000000001</v>
      </c>
      <c r="H619" s="309">
        <f t="shared" si="2"/>
        <v>12.177000000000001</v>
      </c>
      <c r="I619" s="311">
        <f t="shared" si="3"/>
        <v>147.477</v>
      </c>
      <c r="J619" s="309">
        <v>113.55729000000001</v>
      </c>
      <c r="K619" s="4" t="s">
        <v>661</v>
      </c>
      <c r="L619" s="4" t="s">
        <v>1752</v>
      </c>
      <c r="M619" s="4" t="s">
        <v>1751</v>
      </c>
      <c r="N619" s="4" t="s">
        <v>58</v>
      </c>
      <c r="O619" s="146" t="str">
        <f>_xlfn.XLOOKUP(N619,[1]!costcategory[Account Code],[1]!costcategory[Cost Category],"ERROR")</f>
        <v>Network &amp; Server</v>
      </c>
      <c r="P619" s="4" t="s">
        <v>57</v>
      </c>
      <c r="Q619" s="89" t="str">
        <f>_xlfn.XLOOKUP(P619,[1]!Table2[Department],[1]!Table2[Group],"ERROR")</f>
        <v>Research &amp; Development</v>
      </c>
      <c r="R619" s="4"/>
      <c r="S619" s="4"/>
      <c r="T619" s="4"/>
      <c r="V619" s="4"/>
    </row>
    <row r="620" spans="1:23" hidden="1" x14ac:dyDescent="0.2">
      <c r="A620" s="310" t="s">
        <v>1620</v>
      </c>
      <c r="B620" s="2" t="s">
        <v>1</v>
      </c>
      <c r="C620" s="93">
        <v>46175</v>
      </c>
      <c r="D620" s="3">
        <v>46205</v>
      </c>
      <c r="E620" s="126">
        <v>46234</v>
      </c>
      <c r="F620" s="2" t="s">
        <v>77</v>
      </c>
      <c r="G620" s="309">
        <v>16000</v>
      </c>
      <c r="H620" s="112">
        <v>0</v>
      </c>
      <c r="I620" s="111">
        <v>16000</v>
      </c>
      <c r="J620" s="309">
        <v>12322</v>
      </c>
      <c r="K620" s="4" t="s">
        <v>662</v>
      </c>
      <c r="L620" s="135">
        <v>20251102</v>
      </c>
      <c r="M620" s="4" t="s">
        <v>1750</v>
      </c>
      <c r="N620" s="106" t="s">
        <v>367</v>
      </c>
      <c r="O620" s="146" t="str">
        <f>_xlfn.XLOOKUP(N620,[1]!costcategory[Account Code],[1]!costcategory[Cost Category],"ERROR")</f>
        <v>Professional &amp; Consultancy Fees</v>
      </c>
      <c r="P620" s="4" t="s">
        <v>340</v>
      </c>
      <c r="Q620" s="89" t="str">
        <f>_xlfn.XLOOKUP(P620,[1]!Table2[Department],[1]!Table2[Group],"ERROR")</f>
        <v>General &amp; Administrative</v>
      </c>
      <c r="R620" s="18"/>
      <c r="S620" s="4"/>
      <c r="T620" s="4"/>
      <c r="V620" s="4"/>
    </row>
    <row r="621" spans="1:23" hidden="1" x14ac:dyDescent="0.2">
      <c r="A621" s="310" t="s">
        <v>1620</v>
      </c>
      <c r="B621" s="2" t="s">
        <v>1</v>
      </c>
      <c r="C621" s="93">
        <v>46175</v>
      </c>
      <c r="D621" s="3">
        <v>46205</v>
      </c>
      <c r="E621" s="126">
        <v>46234</v>
      </c>
      <c r="F621" s="2" t="s">
        <v>77</v>
      </c>
      <c r="G621" s="309">
        <v>400</v>
      </c>
      <c r="H621" s="309">
        <v>36</v>
      </c>
      <c r="I621" s="312">
        <f>G621+H621</f>
        <v>436</v>
      </c>
      <c r="J621" s="309">
        <v>335.72</v>
      </c>
      <c r="K621" s="4" t="s">
        <v>662</v>
      </c>
      <c r="L621" s="135">
        <v>20260602</v>
      </c>
      <c r="M621" s="4" t="s">
        <v>1749</v>
      </c>
      <c r="N621" s="68" t="s">
        <v>663</v>
      </c>
      <c r="O621" s="146" t="str">
        <f>_xlfn.XLOOKUP(N621,[1]!costcategory[Account Code],[1]!costcategory[Cost Category],"ERROR")</f>
        <v>Intercompany</v>
      </c>
      <c r="P621" s="4" t="s">
        <v>340</v>
      </c>
      <c r="Q621" s="89" t="str">
        <f>_xlfn.XLOOKUP(P621,[1]!Table2[Department],[1]!Table2[Group],"ERROR")</f>
        <v>General &amp; Administrative</v>
      </c>
      <c r="R621" s="4"/>
      <c r="S621" s="4"/>
      <c r="T621" s="4"/>
      <c r="V621" s="4"/>
    </row>
    <row r="622" spans="1:23" ht="13.5" hidden="1" thickBot="1" x14ac:dyDescent="0.25">
      <c r="A622" s="310" t="s">
        <v>1620</v>
      </c>
      <c r="B622" s="2" t="s">
        <v>1</v>
      </c>
      <c r="C622" s="93">
        <v>46161</v>
      </c>
      <c r="D622" s="3" t="s">
        <v>1748</v>
      </c>
      <c r="E622" s="126">
        <v>46203</v>
      </c>
      <c r="F622" s="2" t="s">
        <v>77</v>
      </c>
      <c r="G622" s="309">
        <v>40000</v>
      </c>
      <c r="H622" s="309">
        <v>0</v>
      </c>
      <c r="I622" s="311">
        <f>G622+H622</f>
        <v>40000</v>
      </c>
      <c r="J622" s="309">
        <v>30800</v>
      </c>
      <c r="K622" s="4" t="s">
        <v>662</v>
      </c>
      <c r="L622" s="135">
        <v>20260602</v>
      </c>
      <c r="M622" s="4" t="s">
        <v>1747</v>
      </c>
      <c r="N622" s="4" t="s">
        <v>367</v>
      </c>
      <c r="O622" s="146" t="str">
        <f>_xlfn.XLOOKUP(N622,[1]!costcategory[Account Code],[1]!costcategory[Cost Category],"ERROR")</f>
        <v>Professional &amp; Consultancy Fees</v>
      </c>
      <c r="P622" s="4" t="s">
        <v>340</v>
      </c>
      <c r="Q622" s="89" t="str">
        <f>_xlfn.XLOOKUP(P622,[1]!Table2[Department],[1]!Table2[Group],"ERROR")</f>
        <v>General &amp; Administrative</v>
      </c>
      <c r="R622" s="4"/>
      <c r="S622" s="4"/>
      <c r="T622" s="4"/>
      <c r="V622" s="4"/>
    </row>
    <row r="623" spans="1:23" hidden="1" x14ac:dyDescent="0.2">
      <c r="A623" s="310" t="s">
        <v>1620</v>
      </c>
      <c r="B623" s="2" t="s">
        <v>1</v>
      </c>
      <c r="C623" s="93">
        <v>46185</v>
      </c>
      <c r="D623" s="3">
        <v>46215</v>
      </c>
      <c r="E623" s="126">
        <v>46228</v>
      </c>
      <c r="F623" s="2" t="s">
        <v>77</v>
      </c>
      <c r="G623" s="309">
        <v>66.5</v>
      </c>
      <c r="H623" s="112">
        <v>5.99</v>
      </c>
      <c r="I623" s="111">
        <v>72.489999999999995</v>
      </c>
      <c r="J623" s="309">
        <v>55.83</v>
      </c>
      <c r="K623" s="4" t="s">
        <v>665</v>
      </c>
      <c r="L623" s="135" t="s">
        <v>1746</v>
      </c>
      <c r="M623" s="4" t="s">
        <v>666</v>
      </c>
      <c r="N623" s="105" t="s">
        <v>50</v>
      </c>
      <c r="O623" s="146" t="str">
        <f>_xlfn.XLOOKUP(N623,[1]!costcategory[Account Code],[1]!costcategory[Cost Category],"ERROR")</f>
        <v>Office Supplies</v>
      </c>
      <c r="P623" s="4" t="s">
        <v>340</v>
      </c>
      <c r="Q623" s="89" t="str">
        <f>_xlfn.XLOOKUP(P623,[1]!Table2[Department],[1]!Table2[Group],"ERROR")</f>
        <v>General &amp; Administrative</v>
      </c>
      <c r="R623" s="18"/>
      <c r="S623" s="4"/>
      <c r="T623" s="4"/>
      <c r="V623" s="4"/>
    </row>
    <row r="624" spans="1:23" hidden="1" x14ac:dyDescent="0.2">
      <c r="A624" s="310" t="s">
        <v>1620</v>
      </c>
      <c r="B624" s="2" t="s">
        <v>1</v>
      </c>
      <c r="C624" s="93">
        <v>46159</v>
      </c>
      <c r="D624" s="3">
        <v>46174</v>
      </c>
      <c r="E624" s="126">
        <v>46203</v>
      </c>
      <c r="F624" s="2" t="s">
        <v>77</v>
      </c>
      <c r="G624" s="309">
        <v>66.5</v>
      </c>
      <c r="H624" s="112">
        <v>5.99</v>
      </c>
      <c r="I624" s="111">
        <v>72.489999999999995</v>
      </c>
      <c r="J624" s="309">
        <v>55.83</v>
      </c>
      <c r="K624" s="4" t="s">
        <v>665</v>
      </c>
      <c r="L624" s="135" t="s">
        <v>1745</v>
      </c>
      <c r="M624" s="4" t="s">
        <v>666</v>
      </c>
      <c r="N624" s="105" t="s">
        <v>50</v>
      </c>
      <c r="O624" s="146" t="str">
        <f>_xlfn.XLOOKUP(N624,[1]!costcategory[Account Code],[1]!costcategory[Cost Category],"ERROR")</f>
        <v>Office Supplies</v>
      </c>
      <c r="P624" s="4" t="s">
        <v>340</v>
      </c>
      <c r="Q624" s="89" t="str">
        <f>_xlfn.XLOOKUP(P624,[1]!Table2[Department],[1]!Table2[Group],"ERROR")</f>
        <v>General &amp; Administrative</v>
      </c>
      <c r="R624" s="18"/>
      <c r="S624" s="4"/>
      <c r="T624" s="4"/>
      <c r="V624" s="4"/>
    </row>
    <row r="625" spans="1:22" hidden="1" x14ac:dyDescent="0.2">
      <c r="A625" s="310" t="s">
        <v>1620</v>
      </c>
      <c r="B625" s="2" t="s">
        <v>1</v>
      </c>
      <c r="C625" s="93">
        <v>46190</v>
      </c>
      <c r="D625" s="3">
        <v>46204</v>
      </c>
      <c r="E625" s="126">
        <v>46203</v>
      </c>
      <c r="F625" s="2" t="s">
        <v>77</v>
      </c>
      <c r="G625" s="309">
        <v>129.26</v>
      </c>
      <c r="H625" s="309">
        <v>11.63</v>
      </c>
      <c r="I625" s="212">
        <f>SUM(G625:H625)</f>
        <v>140.88999999999999</v>
      </c>
      <c r="J625" s="212">
        <v>108.4853</v>
      </c>
      <c r="K625" s="106" t="s">
        <v>667</v>
      </c>
      <c r="L625" s="106" t="s">
        <v>1744</v>
      </c>
      <c r="M625" s="4" t="s">
        <v>1743</v>
      </c>
      <c r="N625" s="106" t="s">
        <v>58</v>
      </c>
      <c r="O625" s="146" t="str">
        <f>_xlfn.XLOOKUP(N625,[1]!costcategory[Account Code],[1]!costcategory[Cost Category],"ERROR")</f>
        <v>Network &amp; Server</v>
      </c>
      <c r="P625" s="4" t="s">
        <v>376</v>
      </c>
      <c r="Q625" s="89" t="str">
        <f>_xlfn.XLOOKUP(P625,[1]!Table2[Department],[1]!Table2[Group],"ERROR")</f>
        <v>General &amp; Administrative</v>
      </c>
      <c r="R625" s="4"/>
      <c r="S625" s="4"/>
      <c r="T625" s="4"/>
      <c r="V625" s="4"/>
    </row>
    <row r="626" spans="1:22" hidden="1" x14ac:dyDescent="0.2">
      <c r="A626" s="310" t="s">
        <v>1620</v>
      </c>
      <c r="B626" s="2" t="s">
        <v>1</v>
      </c>
      <c r="C626" s="93">
        <v>46190</v>
      </c>
      <c r="D626" s="3">
        <v>46204</v>
      </c>
      <c r="E626" s="126">
        <v>46203</v>
      </c>
      <c r="F626" s="2" t="s">
        <v>77</v>
      </c>
      <c r="G626" s="309">
        <v>129.26</v>
      </c>
      <c r="H626" s="309">
        <v>11.63</v>
      </c>
      <c r="I626" s="212">
        <f>SUM(G626:H626)</f>
        <v>140.88999999999999</v>
      </c>
      <c r="J626" s="212">
        <v>108.4853</v>
      </c>
      <c r="K626" s="106" t="s">
        <v>667</v>
      </c>
      <c r="L626" s="106" t="s">
        <v>1742</v>
      </c>
      <c r="M626" s="4" t="s">
        <v>1741</v>
      </c>
      <c r="N626" s="106" t="s">
        <v>58</v>
      </c>
      <c r="O626" s="146" t="str">
        <f>_xlfn.XLOOKUP(N626,[1]!costcategory[Account Code],[1]!costcategory[Cost Category],"ERROR")</f>
        <v>Network &amp; Server</v>
      </c>
      <c r="P626" s="4" t="s">
        <v>376</v>
      </c>
      <c r="Q626" s="89" t="str">
        <f>_xlfn.XLOOKUP(P626,[1]!Table2[Department],[1]!Table2[Group],"ERROR")</f>
        <v>General &amp; Administrative</v>
      </c>
      <c r="R626" s="4"/>
      <c r="S626" s="4"/>
      <c r="T626" s="4"/>
      <c r="V626" s="4"/>
    </row>
    <row r="627" spans="1:22" hidden="1" x14ac:dyDescent="0.2">
      <c r="A627" s="2" t="s">
        <v>15</v>
      </c>
      <c r="B627" s="2" t="s">
        <v>1</v>
      </c>
      <c r="C627" s="93">
        <v>46025</v>
      </c>
      <c r="D627" s="3">
        <v>46025</v>
      </c>
      <c r="E627" s="126">
        <v>46025</v>
      </c>
      <c r="F627" s="2" t="s">
        <v>77</v>
      </c>
      <c r="G627" s="300">
        <v>294.35000000000002</v>
      </c>
      <c r="H627" s="300">
        <v>0</v>
      </c>
      <c r="I627" s="300">
        <v>294.35000000000002</v>
      </c>
      <c r="J627" s="300">
        <v>231.74793635000003</v>
      </c>
      <c r="K627" s="4" t="s">
        <v>668</v>
      </c>
      <c r="L627" s="4" t="s">
        <v>669</v>
      </c>
      <c r="M627" s="4" t="s">
        <v>668</v>
      </c>
      <c r="N627" s="4" t="s">
        <v>390</v>
      </c>
      <c r="O627" s="134" t="str">
        <f>_xlfn.XLOOKUP(N627,[1]!costcategory[Account Code],[1]!costcategory[Cost Category],"ERROR")</f>
        <v>Employee Benefits</v>
      </c>
      <c r="P627" s="4" t="s">
        <v>523</v>
      </c>
      <c r="Q627" s="147" t="str">
        <f>_xlfn.XLOOKUP(P627,[1]!Table2[Department],[1]!Table2[Group],"ERROR")</f>
        <v>General &amp; Administrative</v>
      </c>
      <c r="R627" t="s">
        <v>459</v>
      </c>
      <c r="S627" t="s">
        <v>452</v>
      </c>
      <c r="T627" t="s">
        <v>452</v>
      </c>
      <c r="V627" s="4"/>
    </row>
    <row r="628" spans="1:22" hidden="1" x14ac:dyDescent="0.2">
      <c r="A628" s="2" t="s">
        <v>15</v>
      </c>
      <c r="B628" s="2" t="s">
        <v>1</v>
      </c>
      <c r="C628" s="93">
        <v>46027</v>
      </c>
      <c r="D628" s="3">
        <v>46027</v>
      </c>
      <c r="E628" s="126">
        <v>46027</v>
      </c>
      <c r="F628" s="2" t="s">
        <v>77</v>
      </c>
      <c r="G628" s="300">
        <v>10</v>
      </c>
      <c r="H628" s="300">
        <v>0</v>
      </c>
      <c r="I628" s="301">
        <f>SUM(G628:H628)</f>
        <v>10</v>
      </c>
      <c r="J628" s="300">
        <v>0.30225956240240875</v>
      </c>
      <c r="K628" s="4" t="s">
        <v>670</v>
      </c>
      <c r="L628" s="4" t="s">
        <v>671</v>
      </c>
      <c r="M628" s="4" t="s">
        <v>332</v>
      </c>
      <c r="N628" s="4" t="s">
        <v>332</v>
      </c>
      <c r="O628" s="134" t="str">
        <f>_xlfn.XLOOKUP(N628,[1]!costcategory[Account Code],[1]!costcategory[Cost Category],"ERROR")</f>
        <v>Bank Charges</v>
      </c>
      <c r="P628" s="4" t="s">
        <v>333</v>
      </c>
      <c r="Q628" s="147" t="str">
        <f>_xlfn.XLOOKUP(P628,[1]!Table2[Department],[1]!Table2[Group],"ERROR")</f>
        <v>General &amp; Administrative</v>
      </c>
      <c r="R628" t="s">
        <v>451</v>
      </c>
      <c r="S628" t="s">
        <v>452</v>
      </c>
      <c r="T628" t="s">
        <v>452</v>
      </c>
      <c r="V628" s="4"/>
    </row>
    <row r="629" spans="1:22" hidden="1" x14ac:dyDescent="0.2">
      <c r="A629" s="2" t="s">
        <v>15</v>
      </c>
      <c r="B629" s="2" t="s">
        <v>1</v>
      </c>
      <c r="C629" s="93">
        <v>46034</v>
      </c>
      <c r="D629" s="3">
        <v>46034</v>
      </c>
      <c r="E629" s="126">
        <v>46034</v>
      </c>
      <c r="F629" s="2" t="s">
        <v>77</v>
      </c>
      <c r="G629" s="300">
        <v>51030</v>
      </c>
      <c r="H629" s="300">
        <v>0</v>
      </c>
      <c r="I629" s="300">
        <v>51030</v>
      </c>
      <c r="J629" s="300">
        <v>40176.99063</v>
      </c>
      <c r="K629" s="4" t="s">
        <v>672</v>
      </c>
      <c r="L629" s="4" t="s">
        <v>673</v>
      </c>
      <c r="M629" s="4" t="s">
        <v>674</v>
      </c>
      <c r="N629" s="4" t="s">
        <v>464</v>
      </c>
      <c r="O629" s="134" t="str">
        <f>_xlfn.XLOOKUP(N629,[1]!costcategory[Account Code],[1]!costcategory[Cost Category],"ERROR")</f>
        <v>Accrual - Expenses of 2025</v>
      </c>
      <c r="P629" s="4" t="s">
        <v>350</v>
      </c>
      <c r="Q629" s="147" t="str">
        <f>_xlfn.XLOOKUP(P629,[1]!Table2[Department],[1]!Table2[Group],"ERROR")</f>
        <v>General &amp; Administrative</v>
      </c>
      <c r="R629" t="s">
        <v>675</v>
      </c>
      <c r="S629" t="s">
        <v>676</v>
      </c>
      <c r="T629" t="s">
        <v>465</v>
      </c>
      <c r="V629" s="4"/>
    </row>
    <row r="630" spans="1:22" hidden="1" x14ac:dyDescent="0.2">
      <c r="A630" s="2" t="s">
        <v>15</v>
      </c>
      <c r="B630" s="2" t="s">
        <v>1</v>
      </c>
      <c r="C630" s="93">
        <v>46023</v>
      </c>
      <c r="D630" s="3">
        <v>46023</v>
      </c>
      <c r="E630" s="126">
        <v>46036</v>
      </c>
      <c r="F630" s="2" t="s">
        <v>77</v>
      </c>
      <c r="G630" s="300">
        <v>500</v>
      </c>
      <c r="H630" s="300">
        <v>0</v>
      </c>
      <c r="I630" s="300">
        <v>500</v>
      </c>
      <c r="J630" s="300">
        <v>393.66050000000001</v>
      </c>
      <c r="K630" s="4" t="s">
        <v>677</v>
      </c>
      <c r="L630" s="4" t="s">
        <v>678</v>
      </c>
      <c r="M630" s="4" t="s">
        <v>679</v>
      </c>
      <c r="N630" s="4" t="s">
        <v>464</v>
      </c>
      <c r="O630" s="134" t="str">
        <f>_xlfn.XLOOKUP(N630,[1]!costcategory[Account Code],[1]!costcategory[Cost Category],"ERROR")</f>
        <v>Accrual - Expenses of 2025</v>
      </c>
      <c r="P630" s="4" t="s">
        <v>340</v>
      </c>
      <c r="Q630" s="147" t="str">
        <f>_xlfn.XLOOKUP(P630,[1]!Table2[Department],[1]!Table2[Group],"ERROR")</f>
        <v>General &amp; Administrative</v>
      </c>
      <c r="R630" t="s">
        <v>680</v>
      </c>
      <c r="S630" t="s">
        <v>458</v>
      </c>
      <c r="T630" t="s">
        <v>465</v>
      </c>
      <c r="V630" s="4"/>
    </row>
    <row r="631" spans="1:22" hidden="1" x14ac:dyDescent="0.2">
      <c r="A631" s="2" t="s">
        <v>15</v>
      </c>
      <c r="B631" s="2" t="s">
        <v>1</v>
      </c>
      <c r="C631" s="93">
        <v>46009</v>
      </c>
      <c r="D631" s="3">
        <v>46037</v>
      </c>
      <c r="E631" s="126">
        <v>46036</v>
      </c>
      <c r="F631" s="2" t="s">
        <v>77</v>
      </c>
      <c r="G631" s="300">
        <v>47.5</v>
      </c>
      <c r="H631" s="300">
        <v>4.28</v>
      </c>
      <c r="I631" s="300">
        <v>51.78</v>
      </c>
      <c r="J631" s="300">
        <v>40.767481380000007</v>
      </c>
      <c r="K631" s="4" t="s">
        <v>665</v>
      </c>
      <c r="L631" s="4" t="s">
        <v>681</v>
      </c>
      <c r="M631" s="4" t="s">
        <v>682</v>
      </c>
      <c r="N631" s="4" t="s">
        <v>390</v>
      </c>
      <c r="O631" s="134" t="str">
        <f>_xlfn.XLOOKUP(N631,[1]!costcategory[Account Code],[1]!costcategory[Cost Category],"ERROR")</f>
        <v>Employee Benefits</v>
      </c>
      <c r="P631" s="4" t="s">
        <v>340</v>
      </c>
      <c r="Q631" s="147" t="str">
        <f>_xlfn.XLOOKUP(P631,[1]!Table2[Department],[1]!Table2[Group],"ERROR")</f>
        <v>General &amp; Administrative</v>
      </c>
      <c r="R631" t="s">
        <v>680</v>
      </c>
      <c r="S631" t="s">
        <v>458</v>
      </c>
      <c r="T631" t="s">
        <v>465</v>
      </c>
      <c r="V631" s="4"/>
    </row>
    <row r="632" spans="1:22" hidden="1" x14ac:dyDescent="0.2">
      <c r="A632" s="2" t="s">
        <v>15</v>
      </c>
      <c r="B632" s="2" t="s">
        <v>1</v>
      </c>
      <c r="C632" s="93">
        <v>46037</v>
      </c>
      <c r="D632" s="3">
        <v>46037</v>
      </c>
      <c r="E632" s="126">
        <v>46037</v>
      </c>
      <c r="F632" s="2" t="s">
        <v>77</v>
      </c>
      <c r="G632" s="300">
        <v>1626.0900000000001</v>
      </c>
      <c r="H632" s="300">
        <v>0</v>
      </c>
      <c r="I632" s="300">
        <v>1626.0900000000001</v>
      </c>
      <c r="J632" s="300">
        <v>1280.2548048900003</v>
      </c>
      <c r="K632" s="4" t="s">
        <v>683</v>
      </c>
      <c r="L632" s="4" t="s">
        <v>468</v>
      </c>
      <c r="M632" s="4" t="s">
        <v>474</v>
      </c>
      <c r="N632" s="4" t="s">
        <v>475</v>
      </c>
      <c r="O632" s="134" t="str">
        <f>_xlfn.XLOOKUP(N632,[1]!costcategory[Account Code],[1]!costcategory[Cost Category],"ERROR")</f>
        <v>Travelling Expenses</v>
      </c>
      <c r="P632" s="4" t="s">
        <v>523</v>
      </c>
      <c r="Q632" s="147" t="str">
        <f>_xlfn.XLOOKUP(P632,[1]!Table2[Department],[1]!Table2[Group],"ERROR")</f>
        <v>General &amp; Administrative</v>
      </c>
      <c r="V632" s="4"/>
    </row>
    <row r="633" spans="1:22" hidden="1" x14ac:dyDescent="0.2">
      <c r="A633" s="2" t="s">
        <v>15</v>
      </c>
      <c r="B633" s="2" t="s">
        <v>1</v>
      </c>
      <c r="C633" s="93">
        <v>46037</v>
      </c>
      <c r="D633" s="3">
        <v>46037</v>
      </c>
      <c r="E633" s="126">
        <v>46037</v>
      </c>
      <c r="F633" s="2" t="s">
        <v>77</v>
      </c>
      <c r="G633" s="300">
        <v>1067.0999999999999</v>
      </c>
      <c r="H633" s="300">
        <v>0</v>
      </c>
      <c r="I633" s="300">
        <v>1067.0999999999999</v>
      </c>
      <c r="J633" s="300">
        <v>840.15023910000002</v>
      </c>
      <c r="K633" s="4" t="s">
        <v>683</v>
      </c>
      <c r="L633" s="4" t="s">
        <v>468</v>
      </c>
      <c r="M633" s="4" t="s">
        <v>474</v>
      </c>
      <c r="N633" s="4" t="s">
        <v>475</v>
      </c>
      <c r="O633" s="134" t="str">
        <f>_xlfn.XLOOKUP(N633,[1]!costcategory[Account Code],[1]!costcategory[Cost Category],"ERROR")</f>
        <v>Travelling Expenses</v>
      </c>
      <c r="P633" s="4" t="s">
        <v>350</v>
      </c>
      <c r="Q633" s="147" t="str">
        <f>_xlfn.XLOOKUP(P633,[1]!Table2[Department],[1]!Table2[Group],"ERROR")</f>
        <v>General &amp; Administrative</v>
      </c>
      <c r="V633" s="4"/>
    </row>
    <row r="634" spans="1:22" hidden="1" x14ac:dyDescent="0.2">
      <c r="A634" s="2" t="s">
        <v>15</v>
      </c>
      <c r="B634" s="2" t="s">
        <v>1</v>
      </c>
      <c r="C634" s="93">
        <v>46037</v>
      </c>
      <c r="D634" s="3">
        <v>46037</v>
      </c>
      <c r="E634" s="126">
        <v>46037</v>
      </c>
      <c r="F634" s="2" t="s">
        <v>77</v>
      </c>
      <c r="G634" s="300">
        <v>686.64</v>
      </c>
      <c r="H634" s="300">
        <v>0</v>
      </c>
      <c r="I634" s="300">
        <v>686.64</v>
      </c>
      <c r="J634" s="300">
        <v>540.60609144</v>
      </c>
      <c r="K634" s="4" t="s">
        <v>683</v>
      </c>
      <c r="L634" s="4" t="s">
        <v>468</v>
      </c>
      <c r="M634" s="4" t="s">
        <v>389</v>
      </c>
      <c r="N634" s="4" t="s">
        <v>684</v>
      </c>
      <c r="O634" s="134" t="str">
        <f>_xlfn.XLOOKUP(N634,[1]!costcategory[Account Code],[1]!costcategory[Cost Category],"ERROR")</f>
        <v>Sales Expenses</v>
      </c>
      <c r="P634" s="4" t="s">
        <v>523</v>
      </c>
      <c r="Q634" s="147" t="str">
        <f>_xlfn.XLOOKUP(P634,[1]!Table2[Department],[1]!Table2[Group],"ERROR")</f>
        <v>General &amp; Administrative</v>
      </c>
      <c r="V634" s="4"/>
    </row>
    <row r="635" spans="1:22" hidden="1" x14ac:dyDescent="0.2">
      <c r="A635" s="2" t="s">
        <v>15</v>
      </c>
      <c r="B635" s="2" t="s">
        <v>1</v>
      </c>
      <c r="C635" s="93">
        <v>46037</v>
      </c>
      <c r="D635" s="3">
        <v>46037</v>
      </c>
      <c r="E635" s="126">
        <v>46037</v>
      </c>
      <c r="F635" s="2" t="s">
        <v>77</v>
      </c>
      <c r="G635" s="300">
        <v>311.02999999999997</v>
      </c>
      <c r="H635" s="300">
        <v>0</v>
      </c>
      <c r="I635" s="300">
        <v>311.02999999999997</v>
      </c>
      <c r="J635" s="300">
        <v>244.88045062999998</v>
      </c>
      <c r="K635" s="4" t="s">
        <v>683</v>
      </c>
      <c r="L635" s="4" t="s">
        <v>468</v>
      </c>
      <c r="M635" s="4" t="s">
        <v>389</v>
      </c>
      <c r="N635" s="4" t="s">
        <v>684</v>
      </c>
      <c r="O635" s="134" t="str">
        <f>_xlfn.XLOOKUP(N635,[1]!costcategory[Account Code],[1]!costcategory[Cost Category],"ERROR")</f>
        <v>Sales Expenses</v>
      </c>
      <c r="P635" s="4" t="s">
        <v>350</v>
      </c>
      <c r="Q635" s="147" t="str">
        <f>_xlfn.XLOOKUP(P635,[1]!Table2[Department],[1]!Table2[Group],"ERROR")</f>
        <v>General &amp; Administrative</v>
      </c>
      <c r="V635" s="4"/>
    </row>
    <row r="636" spans="1:22" hidden="1" x14ac:dyDescent="0.2">
      <c r="A636" s="2" t="s">
        <v>15</v>
      </c>
      <c r="B636" s="2" t="s">
        <v>1</v>
      </c>
      <c r="C636" s="93">
        <v>46037</v>
      </c>
      <c r="D636" s="3">
        <v>46037</v>
      </c>
      <c r="E636" s="126">
        <v>46037</v>
      </c>
      <c r="F636" s="2" t="s">
        <v>77</v>
      </c>
      <c r="G636" s="300">
        <v>29.95</v>
      </c>
      <c r="H636" s="300">
        <v>2.69</v>
      </c>
      <c r="I636" s="300">
        <v>32.64</v>
      </c>
      <c r="J636" s="300">
        <v>25.698157440000003</v>
      </c>
      <c r="K636" s="4" t="s">
        <v>683</v>
      </c>
      <c r="L636" s="4" t="s">
        <v>468</v>
      </c>
      <c r="M636" s="4" t="s">
        <v>526</v>
      </c>
      <c r="N636" s="4" t="s">
        <v>527</v>
      </c>
      <c r="O636" s="134" t="str">
        <f>_xlfn.XLOOKUP(N636,[1]!costcategory[Account Code],[1]!costcategory[Cost Category],"ERROR")</f>
        <v>Sales Expenses</v>
      </c>
      <c r="P636" s="4" t="s">
        <v>350</v>
      </c>
      <c r="Q636" s="147" t="str">
        <f>_xlfn.XLOOKUP(P636,[1]!Table2[Department],[1]!Table2[Group],"ERROR")</f>
        <v>General &amp; Administrative</v>
      </c>
      <c r="V636" s="4"/>
    </row>
    <row r="637" spans="1:22" hidden="1" x14ac:dyDescent="0.2">
      <c r="A637" s="2" t="s">
        <v>15</v>
      </c>
      <c r="B637" s="2" t="s">
        <v>1</v>
      </c>
      <c r="C637" s="93">
        <v>46037</v>
      </c>
      <c r="D637" s="3">
        <v>46037</v>
      </c>
      <c r="E637" s="126">
        <v>46037</v>
      </c>
      <c r="F637" s="2" t="s">
        <v>77</v>
      </c>
      <c r="G637" s="300">
        <v>935.55</v>
      </c>
      <c r="H637" s="300">
        <v>84.2</v>
      </c>
      <c r="I637" s="300">
        <v>1019.75</v>
      </c>
      <c r="J637" s="300">
        <v>802.87058975000002</v>
      </c>
      <c r="K637" s="4" t="s">
        <v>683</v>
      </c>
      <c r="L637" s="4" t="s">
        <v>468</v>
      </c>
      <c r="M637" s="4" t="s">
        <v>526</v>
      </c>
      <c r="N637" s="4" t="s">
        <v>527</v>
      </c>
      <c r="O637" s="134" t="str">
        <f>_xlfn.XLOOKUP(N637,[1]!costcategory[Account Code],[1]!costcategory[Cost Category],"ERROR")</f>
        <v>Sales Expenses</v>
      </c>
      <c r="P637" s="4" t="s">
        <v>354</v>
      </c>
      <c r="Q637" s="147" t="str">
        <f>_xlfn.XLOOKUP(P637,[1]!Table2[Department],[1]!Table2[Group],"ERROR")</f>
        <v>Sales &amp; Marketing</v>
      </c>
      <c r="V637" s="4"/>
    </row>
    <row r="638" spans="1:22" hidden="1" x14ac:dyDescent="0.2">
      <c r="A638" s="2" t="s">
        <v>15</v>
      </c>
      <c r="B638" s="2" t="s">
        <v>1</v>
      </c>
      <c r="C638" s="93">
        <v>46037</v>
      </c>
      <c r="D638" s="3">
        <v>46037</v>
      </c>
      <c r="E638" s="126">
        <v>46037</v>
      </c>
      <c r="F638" s="2" t="s">
        <v>77</v>
      </c>
      <c r="G638" s="300">
        <v>1509.43</v>
      </c>
      <c r="H638" s="300">
        <v>116.27</v>
      </c>
      <c r="I638" s="300">
        <v>1625.7</v>
      </c>
      <c r="J638" s="300">
        <v>1279.9477497</v>
      </c>
      <c r="K638" s="4" t="s">
        <v>683</v>
      </c>
      <c r="L638" s="4" t="s">
        <v>468</v>
      </c>
      <c r="M638" s="4" t="s">
        <v>526</v>
      </c>
      <c r="N638" s="4" t="s">
        <v>527</v>
      </c>
      <c r="O638" s="134" t="str">
        <f>_xlfn.XLOOKUP(N638,[1]!costcategory[Account Code],[1]!costcategory[Cost Category],"ERROR")</f>
        <v>Sales Expenses</v>
      </c>
      <c r="P638" s="4" t="s">
        <v>523</v>
      </c>
      <c r="Q638" s="147" t="str">
        <f>_xlfn.XLOOKUP(P638,[1]!Table2[Department],[1]!Table2[Group],"ERROR")</f>
        <v>General &amp; Administrative</v>
      </c>
      <c r="V638" s="4"/>
    </row>
    <row r="639" spans="1:22" hidden="1" x14ac:dyDescent="0.2">
      <c r="A639" s="2" t="s">
        <v>15</v>
      </c>
      <c r="B639" s="2" t="s">
        <v>1</v>
      </c>
      <c r="C639" s="93">
        <v>46037</v>
      </c>
      <c r="D639" s="3">
        <v>46037</v>
      </c>
      <c r="E639" s="126">
        <v>46037</v>
      </c>
      <c r="F639" s="2" t="s">
        <v>77</v>
      </c>
      <c r="G639" s="300">
        <v>75.569999999999993</v>
      </c>
      <c r="H639" s="300">
        <v>4.03</v>
      </c>
      <c r="I639" s="300">
        <v>79.599999999999994</v>
      </c>
      <c r="J639" s="300">
        <v>62.670751600000003</v>
      </c>
      <c r="K639" s="4" t="s">
        <v>683</v>
      </c>
      <c r="L639" s="4" t="s">
        <v>468</v>
      </c>
      <c r="M639" s="4" t="s">
        <v>685</v>
      </c>
      <c r="N639" s="4" t="s">
        <v>686</v>
      </c>
      <c r="O639" s="134" t="str">
        <f>_xlfn.XLOOKUP(N639,[1]!costcategory[Account Code],[1]!costcategory[Cost Category],"ERROR")</f>
        <v>Office Supplies</v>
      </c>
      <c r="P639" s="4" t="s">
        <v>340</v>
      </c>
      <c r="Q639" s="147" t="str">
        <f>_xlfn.XLOOKUP(P639,[1]!Table2[Department],[1]!Table2[Group],"ERROR")</f>
        <v>General &amp; Administrative</v>
      </c>
      <c r="V639" s="4"/>
    </row>
    <row r="640" spans="1:22" hidden="1" x14ac:dyDescent="0.2">
      <c r="A640" s="2" t="s">
        <v>15</v>
      </c>
      <c r="B640" s="2" t="s">
        <v>1</v>
      </c>
      <c r="C640" s="93">
        <v>46037</v>
      </c>
      <c r="D640" s="3">
        <v>46037</v>
      </c>
      <c r="E640" s="126">
        <v>46037</v>
      </c>
      <c r="F640" s="2" t="s">
        <v>77</v>
      </c>
      <c r="G640" s="300">
        <v>52</v>
      </c>
      <c r="H640" s="300">
        <v>0</v>
      </c>
      <c r="I640" s="300">
        <v>52</v>
      </c>
      <c r="J640" s="300">
        <v>40.940692000000006</v>
      </c>
      <c r="K640" s="4" t="s">
        <v>683</v>
      </c>
      <c r="L640" s="4" t="s">
        <v>468</v>
      </c>
      <c r="M640" s="4" t="s">
        <v>685</v>
      </c>
      <c r="N640" s="4" t="s">
        <v>686</v>
      </c>
      <c r="O640" s="134" t="str">
        <f>_xlfn.XLOOKUP(N640,[1]!costcategory[Account Code],[1]!costcategory[Cost Category],"ERROR")</f>
        <v>Office Supplies</v>
      </c>
      <c r="P640" s="4" t="s">
        <v>59</v>
      </c>
      <c r="Q640" s="147" t="str">
        <f>_xlfn.XLOOKUP(P640,[1]!Table2[Department],[1]!Table2[Group],"ERROR")</f>
        <v>Research &amp; Development</v>
      </c>
      <c r="V640" s="4"/>
    </row>
    <row r="641" spans="1:23" hidden="1" x14ac:dyDescent="0.2">
      <c r="A641" s="2" t="s">
        <v>15</v>
      </c>
      <c r="B641" s="2" t="s">
        <v>1</v>
      </c>
      <c r="C641" s="93">
        <v>46037</v>
      </c>
      <c r="D641" s="3">
        <v>46037</v>
      </c>
      <c r="E641" s="126">
        <v>46037</v>
      </c>
      <c r="F641" s="2" t="s">
        <v>77</v>
      </c>
      <c r="G641" s="300">
        <v>3.92</v>
      </c>
      <c r="H641" s="300">
        <v>0</v>
      </c>
      <c r="I641" s="300">
        <v>3.92</v>
      </c>
      <c r="J641" s="300">
        <v>3.09</v>
      </c>
      <c r="K641" s="4" t="s">
        <v>683</v>
      </c>
      <c r="L641" s="4" t="s">
        <v>468</v>
      </c>
      <c r="M641" s="4" t="s">
        <v>343</v>
      </c>
      <c r="N641" s="4" t="s">
        <v>344</v>
      </c>
      <c r="O641" s="134" t="str">
        <f>_xlfn.XLOOKUP(N641,[1]!costcategory[Account Code],[1]!costcategory[Cost Category],"ERROR")</f>
        <v>Courier Charges</v>
      </c>
      <c r="P641" s="4" t="s">
        <v>350</v>
      </c>
      <c r="Q641" s="147" t="str">
        <f>_xlfn.XLOOKUP(P641,[1]!Table2[Department],[1]!Table2[Group],"ERROR")</f>
        <v>General &amp; Administrative</v>
      </c>
      <c r="V641" s="4"/>
    </row>
    <row r="642" spans="1:23" hidden="1" x14ac:dyDescent="0.2">
      <c r="A642" s="2" t="s">
        <v>15</v>
      </c>
      <c r="B642" s="2" t="s">
        <v>1</v>
      </c>
      <c r="C642" s="93">
        <v>46037</v>
      </c>
      <c r="D642" s="3">
        <v>46037</v>
      </c>
      <c r="E642" s="126">
        <v>46037</v>
      </c>
      <c r="F642" s="2" t="s">
        <v>77</v>
      </c>
      <c r="G642" s="300">
        <v>33</v>
      </c>
      <c r="H642" s="300">
        <v>0</v>
      </c>
      <c r="I642" s="300">
        <v>33</v>
      </c>
      <c r="J642" s="300">
        <v>25.981593</v>
      </c>
      <c r="K642" s="4" t="s">
        <v>683</v>
      </c>
      <c r="L642" s="4" t="s">
        <v>468</v>
      </c>
      <c r="M642" s="4" t="s">
        <v>343</v>
      </c>
      <c r="N642" s="4" t="s">
        <v>344</v>
      </c>
      <c r="O642" s="134" t="str">
        <f>_xlfn.XLOOKUP(N642,[1]!costcategory[Account Code],[1]!costcategory[Cost Category],"ERROR")</f>
        <v>Courier Charges</v>
      </c>
      <c r="P642" s="4" t="s">
        <v>340</v>
      </c>
      <c r="Q642" s="147" t="str">
        <f>_xlfn.XLOOKUP(P642,[1]!Table2[Department],[1]!Table2[Group],"ERROR")</f>
        <v>General &amp; Administrative</v>
      </c>
      <c r="V642" s="4"/>
    </row>
    <row r="643" spans="1:23" hidden="1" x14ac:dyDescent="0.2">
      <c r="A643" s="2" t="s">
        <v>15</v>
      </c>
      <c r="B643" s="2" t="s">
        <v>1</v>
      </c>
      <c r="C643" s="93">
        <v>46037</v>
      </c>
      <c r="D643" s="3">
        <v>46037</v>
      </c>
      <c r="E643" s="126">
        <v>46037</v>
      </c>
      <c r="F643" s="2" t="s">
        <v>77</v>
      </c>
      <c r="G643" s="300">
        <v>189.44</v>
      </c>
      <c r="H643" s="300">
        <v>0</v>
      </c>
      <c r="I643" s="300">
        <v>189.44</v>
      </c>
      <c r="J643" s="300">
        <v>149.15009024</v>
      </c>
      <c r="K643" s="4" t="s">
        <v>683</v>
      </c>
      <c r="L643" s="4" t="s">
        <v>468</v>
      </c>
      <c r="M643" s="4" t="s">
        <v>687</v>
      </c>
      <c r="N643" s="4" t="s">
        <v>688</v>
      </c>
      <c r="O643" s="134" t="str">
        <f>_xlfn.XLOOKUP(N643,[1]!costcategory[Account Code],[1]!costcategory[Cost Category],"ERROR")</f>
        <v>Sales Expenses</v>
      </c>
      <c r="P643" s="4" t="s">
        <v>523</v>
      </c>
      <c r="Q643" s="147" t="str">
        <f>_xlfn.XLOOKUP(P643,[1]!Table2[Department],[1]!Table2[Group],"ERROR")</f>
        <v>General &amp; Administrative</v>
      </c>
      <c r="V643" s="4"/>
    </row>
    <row r="644" spans="1:23" hidden="1" x14ac:dyDescent="0.2">
      <c r="A644" s="2" t="s">
        <v>15</v>
      </c>
      <c r="B644" s="2" t="s">
        <v>1</v>
      </c>
      <c r="C644" s="93">
        <v>46037</v>
      </c>
      <c r="D644" s="3">
        <v>46037</v>
      </c>
      <c r="E644" s="126">
        <v>46037</v>
      </c>
      <c r="F644" s="2" t="s">
        <v>77</v>
      </c>
      <c r="G644" s="300">
        <v>62.46</v>
      </c>
      <c r="H644" s="300">
        <v>0</v>
      </c>
      <c r="I644" s="300">
        <v>62.46</v>
      </c>
      <c r="J644" s="300">
        <v>49.176069660000003</v>
      </c>
      <c r="K644" s="4" t="s">
        <v>683</v>
      </c>
      <c r="L644" s="4" t="s">
        <v>468</v>
      </c>
      <c r="M644" s="4" t="s">
        <v>687</v>
      </c>
      <c r="N644" s="4" t="s">
        <v>688</v>
      </c>
      <c r="O644" s="134" t="str">
        <f>_xlfn.XLOOKUP(N644,[1]!costcategory[Account Code],[1]!costcategory[Cost Category],"ERROR")</f>
        <v>Sales Expenses</v>
      </c>
      <c r="P644" s="4" t="s">
        <v>354</v>
      </c>
      <c r="Q644" s="147" t="str">
        <f>_xlfn.XLOOKUP(P644,[1]!Table2[Department],[1]!Table2[Group],"ERROR")</f>
        <v>Sales &amp; Marketing</v>
      </c>
      <c r="V644" s="4"/>
    </row>
    <row r="645" spans="1:23" hidden="1" x14ac:dyDescent="0.2">
      <c r="A645" s="2" t="s">
        <v>15</v>
      </c>
      <c r="B645" s="2" t="s">
        <v>1</v>
      </c>
      <c r="C645" s="93">
        <v>46037</v>
      </c>
      <c r="D645" s="3">
        <v>46037</v>
      </c>
      <c r="E645" s="126">
        <v>46037</v>
      </c>
      <c r="F645" s="2" t="s">
        <v>77</v>
      </c>
      <c r="G645" s="300">
        <v>18.32</v>
      </c>
      <c r="H645" s="300">
        <v>0</v>
      </c>
      <c r="I645" s="300">
        <v>18.32</v>
      </c>
      <c r="J645" s="300">
        <v>14.42372072</v>
      </c>
      <c r="K645" s="4" t="s">
        <v>683</v>
      </c>
      <c r="L645" s="4" t="s">
        <v>468</v>
      </c>
      <c r="M645" s="4" t="s">
        <v>689</v>
      </c>
      <c r="N645" s="4" t="s">
        <v>663</v>
      </c>
      <c r="O645" s="134" t="str">
        <f>_xlfn.XLOOKUP(N645,[1]!costcategory[Account Code],[1]!costcategory[Cost Category],"ERROR")</f>
        <v>Intercompany</v>
      </c>
      <c r="P645" s="4" t="s">
        <v>59</v>
      </c>
      <c r="Q645" s="147" t="str">
        <f>_xlfn.XLOOKUP(P645,[1]!Table2[Department],[1]!Table2[Group],"ERROR")</f>
        <v>Research &amp; Development</v>
      </c>
      <c r="V645" s="4"/>
    </row>
    <row r="646" spans="1:23" hidden="1" x14ac:dyDescent="0.2">
      <c r="A646" s="2" t="s">
        <v>15</v>
      </c>
      <c r="B646" s="2" t="s">
        <v>1</v>
      </c>
      <c r="C646" s="93">
        <v>46037</v>
      </c>
      <c r="D646" s="3">
        <v>46037</v>
      </c>
      <c r="E646" s="126">
        <v>46037</v>
      </c>
      <c r="F646" s="2" t="s">
        <v>77</v>
      </c>
      <c r="G646" s="300">
        <v>334.06</v>
      </c>
      <c r="H646" s="300">
        <v>9.19</v>
      </c>
      <c r="I646" s="300">
        <v>343.25</v>
      </c>
      <c r="J646" s="300">
        <v>270.24793325000002</v>
      </c>
      <c r="K646" s="4" t="s">
        <v>683</v>
      </c>
      <c r="L646" s="4" t="s">
        <v>468</v>
      </c>
      <c r="M646" s="4" t="s">
        <v>351</v>
      </c>
      <c r="N646" s="4" t="s">
        <v>50</v>
      </c>
      <c r="O646" s="134" t="str">
        <f>_xlfn.XLOOKUP(N646,[1]!costcategory[Account Code],[1]!costcategory[Cost Category],"ERROR")</f>
        <v>Office Supplies</v>
      </c>
      <c r="P646" s="4" t="s">
        <v>340</v>
      </c>
      <c r="Q646" s="147" t="str">
        <f>_xlfn.XLOOKUP(P646,[1]!Table2[Department],[1]!Table2[Group],"ERROR")</f>
        <v>General &amp; Administrative</v>
      </c>
      <c r="V646" s="4"/>
    </row>
    <row r="647" spans="1:23" hidden="1" x14ac:dyDescent="0.2">
      <c r="A647" s="2" t="s">
        <v>15</v>
      </c>
      <c r="B647" s="2" t="s">
        <v>1</v>
      </c>
      <c r="C647" s="93">
        <v>46037</v>
      </c>
      <c r="D647" s="3">
        <v>46037</v>
      </c>
      <c r="E647" s="126">
        <v>46037</v>
      </c>
      <c r="F647" s="2" t="s">
        <v>77</v>
      </c>
      <c r="G647" s="300">
        <v>57.16</v>
      </c>
      <c r="H647" s="300">
        <v>0</v>
      </c>
      <c r="I647" s="300">
        <v>57.16</v>
      </c>
      <c r="J647" s="300">
        <v>45.00326836</v>
      </c>
      <c r="K647" s="4" t="s">
        <v>683</v>
      </c>
      <c r="L647" s="4" t="s">
        <v>468</v>
      </c>
      <c r="M647" s="4" t="s">
        <v>352</v>
      </c>
      <c r="N647" s="4" t="s">
        <v>391</v>
      </c>
      <c r="O647" s="134" t="str">
        <f>_xlfn.XLOOKUP(N647,[1]!costcategory[Account Code],[1]!costcategory[Cost Category],"ERROR")</f>
        <v>Travelling Expenses</v>
      </c>
      <c r="P647" s="4" t="s">
        <v>523</v>
      </c>
      <c r="Q647" s="147" t="str">
        <f>_xlfn.XLOOKUP(P647,[1]!Table2[Department],[1]!Table2[Group],"ERROR")</f>
        <v>General &amp; Administrative</v>
      </c>
      <c r="V647" s="4"/>
    </row>
    <row r="648" spans="1:23" hidden="1" x14ac:dyDescent="0.2">
      <c r="A648" s="2" t="s">
        <v>15</v>
      </c>
      <c r="B648" s="2" t="s">
        <v>1</v>
      </c>
      <c r="C648" s="93">
        <v>46037</v>
      </c>
      <c r="D648" s="3">
        <v>46037</v>
      </c>
      <c r="E648" s="126">
        <v>46037</v>
      </c>
      <c r="F648" s="2" t="s">
        <v>77</v>
      </c>
      <c r="G648" s="300">
        <v>40.490000000000009</v>
      </c>
      <c r="H648" s="300">
        <v>0</v>
      </c>
      <c r="I648" s="300">
        <v>40.490000000000009</v>
      </c>
      <c r="J648" s="300">
        <v>31.878627290000008</v>
      </c>
      <c r="K648" s="4" t="s">
        <v>683</v>
      </c>
      <c r="L648" s="4" t="s">
        <v>468</v>
      </c>
      <c r="M648" s="4" t="s">
        <v>352</v>
      </c>
      <c r="N648" s="4" t="s">
        <v>391</v>
      </c>
      <c r="O648" s="134" t="str">
        <f>_xlfn.XLOOKUP(N648,[1]!costcategory[Account Code],[1]!costcategory[Cost Category],"ERROR")</f>
        <v>Travelling Expenses</v>
      </c>
      <c r="P648" s="4" t="s">
        <v>350</v>
      </c>
      <c r="Q648" s="147" t="str">
        <f>_xlfn.XLOOKUP(P648,[1]!Table2[Department],[1]!Table2[Group],"ERROR")</f>
        <v>General &amp; Administrative</v>
      </c>
      <c r="V648" s="4"/>
      <c r="W648" s="2"/>
    </row>
    <row r="649" spans="1:23" hidden="1" x14ac:dyDescent="0.2">
      <c r="A649" s="2" t="s">
        <v>15</v>
      </c>
      <c r="B649" s="2" t="s">
        <v>1</v>
      </c>
      <c r="C649" s="93">
        <v>46037</v>
      </c>
      <c r="D649" s="3">
        <v>46037</v>
      </c>
      <c r="E649" s="126">
        <v>46037</v>
      </c>
      <c r="F649" s="2" t="s">
        <v>77</v>
      </c>
      <c r="G649" s="300">
        <v>9.17</v>
      </c>
      <c r="H649" s="300">
        <v>0.83</v>
      </c>
      <c r="I649" s="300">
        <v>10</v>
      </c>
      <c r="J649" s="300">
        <v>7.8732100000000003</v>
      </c>
      <c r="K649" s="4" t="s">
        <v>683</v>
      </c>
      <c r="L649" s="4" t="s">
        <v>468</v>
      </c>
      <c r="M649" s="4" t="s">
        <v>355</v>
      </c>
      <c r="N649" s="4" t="s">
        <v>402</v>
      </c>
      <c r="O649" s="134" t="str">
        <f>_xlfn.XLOOKUP(N649,[1]!costcategory[Account Code],[1]!costcategory[Cost Category],"ERROR")</f>
        <v>Travelling Expenses</v>
      </c>
      <c r="P649" s="4" t="s">
        <v>350</v>
      </c>
      <c r="Q649" s="147" t="str">
        <f>_xlfn.XLOOKUP(P649,[1]!Table2[Department],[1]!Table2[Group],"ERROR")</f>
        <v>General &amp; Administrative</v>
      </c>
      <c r="V649" s="4"/>
      <c r="W649" s="2"/>
    </row>
    <row r="650" spans="1:23" hidden="1" x14ac:dyDescent="0.2">
      <c r="A650" s="2" t="s">
        <v>15</v>
      </c>
      <c r="B650" s="2" t="s">
        <v>1</v>
      </c>
      <c r="C650" s="93">
        <v>46037</v>
      </c>
      <c r="D650" s="3">
        <v>46037</v>
      </c>
      <c r="E650" s="126">
        <v>46037</v>
      </c>
      <c r="F650" s="2" t="s">
        <v>77</v>
      </c>
      <c r="G650" s="300">
        <v>212.55</v>
      </c>
      <c r="H650" s="300">
        <v>0</v>
      </c>
      <c r="I650" s="300">
        <v>212.55</v>
      </c>
      <c r="J650" s="300">
        <v>167.34507855000001</v>
      </c>
      <c r="K650" s="4" t="s">
        <v>683</v>
      </c>
      <c r="L650" s="4" t="s">
        <v>468</v>
      </c>
      <c r="M650" s="4" t="s">
        <v>403</v>
      </c>
      <c r="N650" s="4" t="s">
        <v>367</v>
      </c>
      <c r="O650" s="134" t="str">
        <f>_xlfn.XLOOKUP(N650,[1]!costcategory[Account Code],[1]!costcategory[Cost Category],"ERROR")</f>
        <v>Professional &amp; Consultancy Fees</v>
      </c>
      <c r="P650" s="4" t="s">
        <v>340</v>
      </c>
      <c r="Q650" s="147" t="str">
        <f>_xlfn.XLOOKUP(P650,[1]!Table2[Department],[1]!Table2[Group],"ERROR")</f>
        <v>General &amp; Administrative</v>
      </c>
      <c r="V650" s="4"/>
      <c r="W650" s="2"/>
    </row>
    <row r="651" spans="1:23" hidden="1" x14ac:dyDescent="0.2">
      <c r="A651" s="2" t="s">
        <v>15</v>
      </c>
      <c r="B651" s="2" t="s">
        <v>1</v>
      </c>
      <c r="C651" s="93">
        <v>46037</v>
      </c>
      <c r="D651" s="3">
        <v>46037</v>
      </c>
      <c r="E651" s="126">
        <v>46037</v>
      </c>
      <c r="F651" s="2" t="s">
        <v>77</v>
      </c>
      <c r="G651" s="300">
        <v>1557.0000000000002</v>
      </c>
      <c r="H651" s="300">
        <v>0</v>
      </c>
      <c r="I651" s="300">
        <v>1557.0000000000002</v>
      </c>
      <c r="J651" s="300">
        <v>1225.8587970000003</v>
      </c>
      <c r="K651" s="4" t="s">
        <v>683</v>
      </c>
      <c r="L651" s="4" t="s">
        <v>468</v>
      </c>
      <c r="M651" s="4" t="s">
        <v>690</v>
      </c>
      <c r="N651" s="4" t="s">
        <v>691</v>
      </c>
      <c r="O651" s="134" t="str">
        <f>_xlfn.XLOOKUP(N651,[1]!costcategory[Account Code],[1]!costcategory[Cost Category],"ERROR")</f>
        <v>Small Value Assets</v>
      </c>
      <c r="P651" s="4" t="s">
        <v>340</v>
      </c>
      <c r="Q651" s="147" t="str">
        <f>_xlfn.XLOOKUP(P651,[1]!Table2[Department],[1]!Table2[Group],"ERROR")</f>
        <v>General &amp; Administrative</v>
      </c>
      <c r="V651" s="4"/>
      <c r="W651" s="2"/>
    </row>
    <row r="652" spans="1:23" hidden="1" x14ac:dyDescent="0.2">
      <c r="A652" s="2" t="s">
        <v>15</v>
      </c>
      <c r="B652" s="2" t="s">
        <v>1</v>
      </c>
      <c r="C652" s="93">
        <v>46037</v>
      </c>
      <c r="D652" s="3">
        <v>46037</v>
      </c>
      <c r="E652" s="126">
        <v>46037</v>
      </c>
      <c r="F652" s="2" t="s">
        <v>77</v>
      </c>
      <c r="G652" s="300">
        <v>1230.28</v>
      </c>
      <c r="H652" s="300">
        <v>110.72</v>
      </c>
      <c r="I652" s="300">
        <v>1341</v>
      </c>
      <c r="J652" s="300">
        <v>1055.7974610000001</v>
      </c>
      <c r="K652" s="4" t="s">
        <v>683</v>
      </c>
      <c r="L652" s="4" t="s">
        <v>468</v>
      </c>
      <c r="M652" s="4" t="s">
        <v>690</v>
      </c>
      <c r="N652" s="4" t="s">
        <v>691</v>
      </c>
      <c r="O652" s="134" t="str">
        <f>_xlfn.XLOOKUP(N652,[1]!costcategory[Account Code],[1]!costcategory[Cost Category],"ERROR")</f>
        <v>Small Value Assets</v>
      </c>
      <c r="P652" s="4" t="s">
        <v>376</v>
      </c>
      <c r="Q652" s="147" t="str">
        <f>_xlfn.XLOOKUP(P652,[1]!Table2[Department],[1]!Table2[Group],"ERROR")</f>
        <v>General &amp; Administrative</v>
      </c>
      <c r="V652" s="4"/>
      <c r="W652" s="2"/>
    </row>
    <row r="653" spans="1:23" hidden="1" x14ac:dyDescent="0.2">
      <c r="A653" s="2" t="s">
        <v>15</v>
      </c>
      <c r="B653" s="2" t="s">
        <v>1</v>
      </c>
      <c r="C653" s="93">
        <v>46037</v>
      </c>
      <c r="D653" s="3">
        <v>46037</v>
      </c>
      <c r="E653" s="126">
        <v>46037</v>
      </c>
      <c r="F653" s="2" t="s">
        <v>77</v>
      </c>
      <c r="G653" s="300">
        <v>909.63</v>
      </c>
      <c r="H653" s="300">
        <v>78.259999999999991</v>
      </c>
      <c r="I653" s="300">
        <v>987.89</v>
      </c>
      <c r="J653" s="300">
        <v>777.78654269000003</v>
      </c>
      <c r="K653" s="4" t="s">
        <v>683</v>
      </c>
      <c r="L653" s="4" t="s">
        <v>468</v>
      </c>
      <c r="M653" s="4" t="s">
        <v>416</v>
      </c>
      <c r="N653" s="4" t="s">
        <v>390</v>
      </c>
      <c r="O653" s="134" t="str">
        <f>_xlfn.XLOOKUP(N653,[1]!costcategory[Account Code],[1]!costcategory[Cost Category],"ERROR")</f>
        <v>Employee Benefits</v>
      </c>
      <c r="P653" s="4" t="s">
        <v>523</v>
      </c>
      <c r="Q653" s="147" t="str">
        <f>_xlfn.XLOOKUP(P653,[1]!Table2[Department],[1]!Table2[Group],"ERROR")</f>
        <v>General &amp; Administrative</v>
      </c>
      <c r="V653" s="4"/>
      <c r="W653" s="2"/>
    </row>
    <row r="654" spans="1:23" hidden="1" x14ac:dyDescent="0.2">
      <c r="A654" s="2" t="s">
        <v>15</v>
      </c>
      <c r="B654" s="2" t="s">
        <v>1</v>
      </c>
      <c r="C654" s="93">
        <v>46037</v>
      </c>
      <c r="D654" s="3">
        <v>46037</v>
      </c>
      <c r="E654" s="126">
        <v>46037</v>
      </c>
      <c r="F654" s="2" t="s">
        <v>77</v>
      </c>
      <c r="G654" s="300">
        <v>56.53</v>
      </c>
      <c r="H654" s="300">
        <v>0</v>
      </c>
      <c r="I654" s="300">
        <v>56.53</v>
      </c>
      <c r="J654" s="300">
        <v>44.507256130000002</v>
      </c>
      <c r="K654" s="4" t="s">
        <v>683</v>
      </c>
      <c r="L654" s="4" t="s">
        <v>468</v>
      </c>
      <c r="M654" s="4" t="s">
        <v>358</v>
      </c>
      <c r="N654" s="4" t="s">
        <v>60</v>
      </c>
      <c r="O654" s="134" t="str">
        <f>_xlfn.XLOOKUP(N654,[1]!costcategory[Account Code],[1]!costcategory[Cost Category],"ERROR")</f>
        <v>Subscription Fee</v>
      </c>
      <c r="P654" s="4" t="s">
        <v>59</v>
      </c>
      <c r="Q654" s="147" t="str">
        <f>_xlfn.XLOOKUP(P654,[1]!Table2[Department],[1]!Table2[Group],"ERROR")</f>
        <v>Research &amp; Development</v>
      </c>
      <c r="V654" s="4"/>
      <c r="W654" s="2"/>
    </row>
    <row r="655" spans="1:23" hidden="1" x14ac:dyDescent="0.2">
      <c r="A655" s="2" t="s">
        <v>15</v>
      </c>
      <c r="B655" s="2" t="s">
        <v>1</v>
      </c>
      <c r="C655" s="93">
        <v>46037</v>
      </c>
      <c r="D655" s="3">
        <v>46037</v>
      </c>
      <c r="E655" s="126">
        <v>46037</v>
      </c>
      <c r="F655" s="2" t="s">
        <v>77</v>
      </c>
      <c r="G655" s="300">
        <v>1271.74</v>
      </c>
      <c r="H655" s="300">
        <v>0</v>
      </c>
      <c r="I655" s="300">
        <v>1271.74</v>
      </c>
      <c r="J655" s="300">
        <v>1001.2676085400001</v>
      </c>
      <c r="K655" s="4" t="s">
        <v>683</v>
      </c>
      <c r="L655" s="4" t="s">
        <v>468</v>
      </c>
      <c r="M655" s="4" t="s">
        <v>360</v>
      </c>
      <c r="N655" s="4" t="s">
        <v>353</v>
      </c>
      <c r="O655" s="134" t="str">
        <f>_xlfn.XLOOKUP(N655,[1]!costcategory[Account Code],[1]!costcategory[Cost Category],"ERROR")</f>
        <v>Travelling Expenses</v>
      </c>
      <c r="P655" s="4" t="s">
        <v>350</v>
      </c>
      <c r="Q655" s="147" t="str">
        <f>_xlfn.XLOOKUP(P655,[1]!Table2[Department],[1]!Table2[Group],"ERROR")</f>
        <v>General &amp; Administrative</v>
      </c>
      <c r="V655" s="4"/>
      <c r="W655" s="2"/>
    </row>
    <row r="656" spans="1:23" hidden="1" x14ac:dyDescent="0.2">
      <c r="A656" s="2" t="s">
        <v>15</v>
      </c>
      <c r="B656" s="2" t="s">
        <v>1</v>
      </c>
      <c r="C656" s="93">
        <v>46037</v>
      </c>
      <c r="D656" s="3">
        <v>46037</v>
      </c>
      <c r="E656" s="126">
        <v>46037</v>
      </c>
      <c r="F656" s="2" t="s">
        <v>77</v>
      </c>
      <c r="G656" s="300">
        <v>7533.22</v>
      </c>
      <c r="H656" s="300">
        <v>0</v>
      </c>
      <c r="I656" s="300">
        <v>7533.22</v>
      </c>
      <c r="J656" s="300">
        <v>5931.0623036200004</v>
      </c>
      <c r="K656" s="4" t="s">
        <v>683</v>
      </c>
      <c r="L656" s="4" t="s">
        <v>468</v>
      </c>
      <c r="M656" s="4" t="s">
        <v>360</v>
      </c>
      <c r="N656" s="4" t="s">
        <v>353</v>
      </c>
      <c r="O656" s="134" t="str">
        <f>_xlfn.XLOOKUP(N656,[1]!costcategory[Account Code],[1]!costcategory[Cost Category],"ERROR")</f>
        <v>Travelling Expenses</v>
      </c>
      <c r="P656" s="4" t="s">
        <v>523</v>
      </c>
      <c r="Q656" s="147" t="str">
        <f>_xlfn.XLOOKUP(P656,[1]!Table2[Department],[1]!Table2[Group],"ERROR")</f>
        <v>General &amp; Administrative</v>
      </c>
      <c r="V656" s="4"/>
      <c r="W656" s="2"/>
    </row>
    <row r="657" spans="1:23" hidden="1" x14ac:dyDescent="0.2">
      <c r="A657" s="2" t="s">
        <v>15</v>
      </c>
      <c r="B657" s="2" t="s">
        <v>1</v>
      </c>
      <c r="C657" s="93">
        <v>46037</v>
      </c>
      <c r="D657" s="3">
        <v>46037</v>
      </c>
      <c r="E657" s="126">
        <v>46037</v>
      </c>
      <c r="F657" s="2" t="s">
        <v>77</v>
      </c>
      <c r="G657" s="300">
        <v>467.93</v>
      </c>
      <c r="H657" s="300">
        <v>0</v>
      </c>
      <c r="I657" s="300">
        <v>467.93</v>
      </c>
      <c r="J657" s="300">
        <v>368.41111553000002</v>
      </c>
      <c r="K657" s="4" t="s">
        <v>683</v>
      </c>
      <c r="L657" s="4" t="s">
        <v>468</v>
      </c>
      <c r="M657" s="4" t="s">
        <v>360</v>
      </c>
      <c r="N657" s="4" t="s">
        <v>353</v>
      </c>
      <c r="O657" s="134" t="str">
        <f>_xlfn.XLOOKUP(N657,[1]!costcategory[Account Code],[1]!costcategory[Cost Category],"ERROR")</f>
        <v>Travelling Expenses</v>
      </c>
      <c r="P657" s="4" t="s">
        <v>59</v>
      </c>
      <c r="Q657" s="147" t="str">
        <f>_xlfn.XLOOKUP(P657,[1]!Table2[Department],[1]!Table2[Group],"ERROR")</f>
        <v>Research &amp; Development</v>
      </c>
      <c r="V657" s="4"/>
      <c r="W657" s="2"/>
    </row>
    <row r="658" spans="1:23" hidden="1" x14ac:dyDescent="0.2">
      <c r="A658" s="2" t="s">
        <v>15</v>
      </c>
      <c r="B658" s="2" t="s">
        <v>1</v>
      </c>
      <c r="C658" s="93">
        <v>46037</v>
      </c>
      <c r="D658" s="3">
        <v>46037</v>
      </c>
      <c r="E658" s="126">
        <v>46037</v>
      </c>
      <c r="F658" s="2" t="s">
        <v>77</v>
      </c>
      <c r="G658" s="300">
        <v>69.7</v>
      </c>
      <c r="H658" s="300">
        <v>0</v>
      </c>
      <c r="I658" s="300">
        <v>69.7</v>
      </c>
      <c r="J658" s="300">
        <v>54.876273700000006</v>
      </c>
      <c r="K658" s="4" t="s">
        <v>683</v>
      </c>
      <c r="L658" s="4" t="s">
        <v>468</v>
      </c>
      <c r="M658" s="4" t="s">
        <v>361</v>
      </c>
      <c r="N658" s="4" t="s">
        <v>356</v>
      </c>
      <c r="O658" s="134" t="str">
        <f>_xlfn.XLOOKUP(N658,[1]!costcategory[Account Code],[1]!costcategory[Cost Category],"ERROR")</f>
        <v>Travelling Expenses</v>
      </c>
      <c r="P658" s="4" t="s">
        <v>350</v>
      </c>
      <c r="Q658" s="147" t="str">
        <f>_xlfn.XLOOKUP(P658,[1]!Table2[Department],[1]!Table2[Group],"ERROR")</f>
        <v>General &amp; Administrative</v>
      </c>
      <c r="V658" s="4"/>
      <c r="W658" s="2"/>
    </row>
    <row r="659" spans="1:23" hidden="1" x14ac:dyDescent="0.2">
      <c r="A659" s="2" t="s">
        <v>15</v>
      </c>
      <c r="B659" s="2" t="s">
        <v>1</v>
      </c>
      <c r="C659" s="93">
        <v>46037</v>
      </c>
      <c r="D659" s="3">
        <v>46037</v>
      </c>
      <c r="E659" s="126">
        <v>46037</v>
      </c>
      <c r="F659" s="2" t="s">
        <v>77</v>
      </c>
      <c r="G659" s="300">
        <v>52.5</v>
      </c>
      <c r="H659" s="300">
        <v>0</v>
      </c>
      <c r="I659" s="300">
        <v>52.5</v>
      </c>
      <c r="J659" s="300">
        <v>41.334352500000001</v>
      </c>
      <c r="K659" s="4" t="s">
        <v>683</v>
      </c>
      <c r="L659" s="4" t="s">
        <v>468</v>
      </c>
      <c r="M659" s="4" t="s">
        <v>361</v>
      </c>
      <c r="N659" s="4" t="s">
        <v>356</v>
      </c>
      <c r="O659" s="134" t="str">
        <f>_xlfn.XLOOKUP(N659,[1]!costcategory[Account Code],[1]!costcategory[Cost Category],"ERROR")</f>
        <v>Travelling Expenses</v>
      </c>
      <c r="P659" s="4" t="s">
        <v>59</v>
      </c>
      <c r="Q659" s="147" t="str">
        <f>_xlfn.XLOOKUP(P659,[1]!Table2[Department],[1]!Table2[Group],"ERROR")</f>
        <v>Research &amp; Development</v>
      </c>
      <c r="V659" s="4"/>
      <c r="W659" s="2"/>
    </row>
    <row r="660" spans="1:23" hidden="1" x14ac:dyDescent="0.2">
      <c r="A660" s="2" t="s">
        <v>15</v>
      </c>
      <c r="B660" s="2" t="s">
        <v>1</v>
      </c>
      <c r="C660" s="93">
        <v>46037</v>
      </c>
      <c r="D660" s="3">
        <v>46037</v>
      </c>
      <c r="E660" s="126">
        <v>46037</v>
      </c>
      <c r="F660" s="2" t="s">
        <v>77</v>
      </c>
      <c r="G660" s="300">
        <v>480</v>
      </c>
      <c r="H660" s="300">
        <v>0</v>
      </c>
      <c r="I660" s="300">
        <v>480</v>
      </c>
      <c r="J660" s="300">
        <v>377.91408000000001</v>
      </c>
      <c r="K660" s="4" t="s">
        <v>683</v>
      </c>
      <c r="L660" s="4" t="s">
        <v>468</v>
      </c>
      <c r="M660" s="4" t="s">
        <v>692</v>
      </c>
      <c r="N660" s="4" t="s">
        <v>617</v>
      </c>
      <c r="O660" s="134" t="str">
        <f>_xlfn.XLOOKUP(N660,[1]!costcategory[Account Code],[1]!costcategory[Cost Category],"ERROR")</f>
        <v>Upkeep of Office</v>
      </c>
      <c r="P660" s="4" t="s">
        <v>340</v>
      </c>
      <c r="Q660" s="147" t="str">
        <f>_xlfn.XLOOKUP(P660,[1]!Table2[Department],[1]!Table2[Group],"ERROR")</f>
        <v>General &amp; Administrative</v>
      </c>
      <c r="V660" s="4"/>
      <c r="W660" s="2"/>
    </row>
    <row r="661" spans="1:23" hidden="1" x14ac:dyDescent="0.2">
      <c r="A661" s="2" t="s">
        <v>15</v>
      </c>
      <c r="B661" s="2" t="s">
        <v>1</v>
      </c>
      <c r="C661" s="93">
        <v>46037</v>
      </c>
      <c r="D661" s="3">
        <v>46037</v>
      </c>
      <c r="E661" s="126">
        <v>46037</v>
      </c>
      <c r="F661" s="2" t="s">
        <v>77</v>
      </c>
      <c r="G661" s="300">
        <v>2593</v>
      </c>
      <c r="H661" s="300">
        <v>0</v>
      </c>
      <c r="I661" s="300">
        <v>2593</v>
      </c>
      <c r="J661" s="300">
        <v>2041.523353</v>
      </c>
      <c r="K661" s="4" t="s">
        <v>455</v>
      </c>
      <c r="L661" s="4" t="s">
        <v>456</v>
      </c>
      <c r="M661" s="4" t="s">
        <v>693</v>
      </c>
      <c r="N661" s="4" t="s">
        <v>418</v>
      </c>
      <c r="O661" s="134" t="str">
        <f>_xlfn.XLOOKUP(N661,[1]!costcategory[Account Code],[1]!costcategory[Cost Category],"ERROR")</f>
        <v>Internal Fund Transfer</v>
      </c>
      <c r="P661" s="4" t="s">
        <v>66</v>
      </c>
      <c r="Q661" s="147" t="str">
        <f>_xlfn.XLOOKUP(P661,[1]!Table2[Department],[1]!Table2[Group],"ERROR")</f>
        <v>Others</v>
      </c>
      <c r="R661" t="s">
        <v>466</v>
      </c>
      <c r="S661" t="s">
        <v>459</v>
      </c>
      <c r="T661" t="s">
        <v>458</v>
      </c>
      <c r="V661" s="4"/>
      <c r="W661" s="2"/>
    </row>
    <row r="662" spans="1:23" hidden="1" x14ac:dyDescent="0.2">
      <c r="A662" s="2" t="s">
        <v>15</v>
      </c>
      <c r="B662" s="2" t="s">
        <v>1</v>
      </c>
      <c r="C662" s="93">
        <v>46039</v>
      </c>
      <c r="D662" s="3">
        <v>46039</v>
      </c>
      <c r="E662" s="126">
        <v>46039</v>
      </c>
      <c r="F662" s="2" t="s">
        <v>77</v>
      </c>
      <c r="G662" s="300">
        <v>473.7</v>
      </c>
      <c r="H662" s="300">
        <v>0</v>
      </c>
      <c r="I662" s="300">
        <v>473.7</v>
      </c>
      <c r="J662" s="300">
        <v>372.95395769999999</v>
      </c>
      <c r="K662" s="4" t="s">
        <v>694</v>
      </c>
      <c r="L662" s="4" t="s">
        <v>695</v>
      </c>
      <c r="M662" s="4" t="s">
        <v>694</v>
      </c>
      <c r="N662" s="4" t="s">
        <v>390</v>
      </c>
      <c r="O662" s="134" t="str">
        <f>_xlfn.XLOOKUP(N662,[1]!costcategory[Account Code],[1]!costcategory[Cost Category],"ERROR")</f>
        <v>Employee Benefits</v>
      </c>
      <c r="P662" s="4" t="s">
        <v>523</v>
      </c>
      <c r="Q662" s="147" t="str">
        <f>_xlfn.XLOOKUP(P662,[1]!Table2[Department],[1]!Table2[Group],"ERROR")</f>
        <v>General &amp; Administrative</v>
      </c>
      <c r="R662" t="s">
        <v>459</v>
      </c>
      <c r="S662" t="s">
        <v>452</v>
      </c>
      <c r="T662" t="s">
        <v>452</v>
      </c>
      <c r="V662" s="4"/>
      <c r="W662" s="2"/>
    </row>
    <row r="663" spans="1:23" hidden="1" x14ac:dyDescent="0.2">
      <c r="A663" s="2" t="s">
        <v>15</v>
      </c>
      <c r="B663" s="2" t="s">
        <v>1</v>
      </c>
      <c r="C663" s="93">
        <v>46045</v>
      </c>
      <c r="D663" s="3">
        <v>46045</v>
      </c>
      <c r="E663" s="126">
        <v>46045</v>
      </c>
      <c r="F663" s="2" t="s">
        <v>77</v>
      </c>
      <c r="G663" s="300">
        <v>-300000</v>
      </c>
      <c r="H663" s="300">
        <v>0</v>
      </c>
      <c r="I663" s="300">
        <v>-300000</v>
      </c>
      <c r="J663" s="300">
        <v>-236196.30000000002</v>
      </c>
      <c r="K663" s="4" t="s">
        <v>670</v>
      </c>
      <c r="L663" s="4" t="s">
        <v>460</v>
      </c>
      <c r="M663" s="4" t="s">
        <v>696</v>
      </c>
      <c r="N663" s="4" t="s">
        <v>418</v>
      </c>
      <c r="O663" s="134" t="str">
        <f>_xlfn.XLOOKUP(N663,[1]!costcategory[Account Code],[1]!costcategory[Cost Category],"ERROR")</f>
        <v>Internal Fund Transfer</v>
      </c>
      <c r="P663" s="4" t="s">
        <v>333</v>
      </c>
      <c r="Q663" s="147" t="str">
        <f>_xlfn.XLOOKUP(P663,[1]!Table2[Department],[1]!Table2[Group],"ERROR")</f>
        <v>General &amp; Administrative</v>
      </c>
      <c r="R663" t="s">
        <v>466</v>
      </c>
      <c r="S663" t="s">
        <v>459</v>
      </c>
      <c r="T663" t="s">
        <v>458</v>
      </c>
      <c r="V663" s="4"/>
      <c r="W663" s="2"/>
    </row>
    <row r="664" spans="1:23" hidden="1" x14ac:dyDescent="0.2">
      <c r="A664" s="2" t="s">
        <v>15</v>
      </c>
      <c r="B664" s="2" t="s">
        <v>1</v>
      </c>
      <c r="C664" s="93">
        <v>46009</v>
      </c>
      <c r="D664" s="3">
        <v>46016</v>
      </c>
      <c r="E664" s="126">
        <v>46048</v>
      </c>
      <c r="F664" s="2" t="s">
        <v>77</v>
      </c>
      <c r="G664" s="300">
        <v>7525</v>
      </c>
      <c r="H664" s="300">
        <v>0</v>
      </c>
      <c r="I664" s="300">
        <v>7525</v>
      </c>
      <c r="J664" s="300">
        <v>5924.5905250000005</v>
      </c>
      <c r="K664" s="4" t="s">
        <v>697</v>
      </c>
      <c r="L664" s="4" t="s">
        <v>698</v>
      </c>
      <c r="M664" s="4" t="s">
        <v>699</v>
      </c>
      <c r="N664" s="4" t="s">
        <v>700</v>
      </c>
      <c r="O664" s="134" t="str">
        <f>_xlfn.XLOOKUP(N664,[1]!costcategory[Account Code],[1]!costcategory[Cost Category],"ERROR")</f>
        <v>Non-Current Asset</v>
      </c>
      <c r="P664" s="4" t="s">
        <v>66</v>
      </c>
      <c r="Q664" s="147" t="str">
        <f>_xlfn.XLOOKUP(P664,[1]!Table2[Department],[1]!Table2[Group],"ERROR")</f>
        <v>Others</v>
      </c>
      <c r="R664" t="s">
        <v>680</v>
      </c>
      <c r="S664" t="s">
        <v>676</v>
      </c>
      <c r="T664" t="s">
        <v>465</v>
      </c>
      <c r="V664" s="4"/>
      <c r="W664" s="2"/>
    </row>
    <row r="665" spans="1:23" hidden="1" x14ac:dyDescent="0.2">
      <c r="A665" s="2" t="s">
        <v>15</v>
      </c>
      <c r="B665" s="2" t="s">
        <v>1</v>
      </c>
      <c r="C665" s="93">
        <v>45991</v>
      </c>
      <c r="D665" s="3">
        <v>46022</v>
      </c>
      <c r="E665" s="126">
        <v>46048</v>
      </c>
      <c r="F665" s="2" t="s">
        <v>77</v>
      </c>
      <c r="G665" s="300">
        <v>1801.74</v>
      </c>
      <c r="H665" s="300">
        <v>0</v>
      </c>
      <c r="I665" s="300">
        <v>1801.74</v>
      </c>
      <c r="J665" s="300">
        <v>1418.5477385400002</v>
      </c>
      <c r="K665" s="4" t="s">
        <v>701</v>
      </c>
      <c r="L665" s="4" t="s">
        <v>702</v>
      </c>
      <c r="M665" s="4" t="s">
        <v>703</v>
      </c>
      <c r="N665" s="4" t="s">
        <v>540</v>
      </c>
      <c r="O665" s="134" t="str">
        <f>_xlfn.XLOOKUP(N665,[1]!costcategory[Account Code],[1]!costcategory[Cost Category],"ERROR")</f>
        <v>Employee Benefits</v>
      </c>
      <c r="P665" s="4" t="s">
        <v>350</v>
      </c>
      <c r="Q665" s="147" t="str">
        <f>_xlfn.XLOOKUP(P665,[1]!Table2[Department],[1]!Table2[Group],"ERROR")</f>
        <v>General &amp; Administrative</v>
      </c>
      <c r="R665" t="s">
        <v>451</v>
      </c>
      <c r="S665" t="s">
        <v>458</v>
      </c>
      <c r="T665" t="s">
        <v>465</v>
      </c>
      <c r="V665" s="4"/>
      <c r="W665" s="2"/>
    </row>
    <row r="666" spans="1:23" hidden="1" x14ac:dyDescent="0.2">
      <c r="A666" s="2" t="s">
        <v>15</v>
      </c>
      <c r="B666" s="2" t="s">
        <v>1</v>
      </c>
      <c r="C666" s="93">
        <v>46015</v>
      </c>
      <c r="D666" s="3">
        <v>46045</v>
      </c>
      <c r="E666" s="126">
        <v>46048</v>
      </c>
      <c r="F666" s="2" t="s">
        <v>77</v>
      </c>
      <c r="G666" s="300">
        <v>1404.83</v>
      </c>
      <c r="H666" s="300">
        <v>0</v>
      </c>
      <c r="I666" s="300">
        <v>1404.83</v>
      </c>
      <c r="J666" s="300">
        <v>1106.05216043</v>
      </c>
      <c r="K666" s="4" t="s">
        <v>704</v>
      </c>
      <c r="L666" s="4" t="s">
        <v>705</v>
      </c>
      <c r="M666" s="4" t="s">
        <v>706</v>
      </c>
      <c r="N666" s="4" t="s">
        <v>349</v>
      </c>
      <c r="O666" s="134" t="str">
        <f>_xlfn.XLOOKUP(N666,[1]!costcategory[Account Code],[1]!costcategory[Cost Category],"ERROR")</f>
        <v>Employee Benefits</v>
      </c>
      <c r="P666" s="4" t="s">
        <v>350</v>
      </c>
      <c r="Q666" s="147" t="str">
        <f>_xlfn.XLOOKUP(P666,[1]!Table2[Department],[1]!Table2[Group],"ERROR")</f>
        <v>General &amp; Administrative</v>
      </c>
      <c r="R666" t="s">
        <v>707</v>
      </c>
      <c r="S666" t="s">
        <v>676</v>
      </c>
      <c r="T666" t="s">
        <v>465</v>
      </c>
      <c r="V666" s="4"/>
      <c r="W666" s="2"/>
    </row>
    <row r="667" spans="1:23" hidden="1" x14ac:dyDescent="0.2">
      <c r="A667" s="2" t="s">
        <v>15</v>
      </c>
      <c r="B667" s="2" t="s">
        <v>1</v>
      </c>
      <c r="C667" s="93">
        <v>46022</v>
      </c>
      <c r="D667" s="3">
        <v>46052</v>
      </c>
      <c r="E667" s="126">
        <v>46048</v>
      </c>
      <c r="F667" s="2" t="s">
        <v>77</v>
      </c>
      <c r="G667" s="300">
        <v>3470.09</v>
      </c>
      <c r="H667" s="300">
        <v>0</v>
      </c>
      <c r="I667" s="300">
        <v>3470.09</v>
      </c>
      <c r="J667" s="300">
        <v>2732.0747288900002</v>
      </c>
      <c r="K667" s="4" t="s">
        <v>701</v>
      </c>
      <c r="L667" s="4" t="s">
        <v>708</v>
      </c>
      <c r="M667" s="4" t="s">
        <v>709</v>
      </c>
      <c r="N667" s="4" t="s">
        <v>540</v>
      </c>
      <c r="O667" s="134" t="str">
        <f>_xlfn.XLOOKUP(N667,[1]!costcategory[Account Code],[1]!costcategory[Cost Category],"ERROR")</f>
        <v>Employee Benefits</v>
      </c>
      <c r="P667" s="4" t="s">
        <v>350</v>
      </c>
      <c r="Q667" s="147" t="str">
        <f>_xlfn.XLOOKUP(P667,[1]!Table2[Department],[1]!Table2[Group],"ERROR")</f>
        <v>General &amp; Administrative</v>
      </c>
      <c r="R667" t="s">
        <v>451</v>
      </c>
      <c r="S667" t="s">
        <v>458</v>
      </c>
      <c r="T667" t="s">
        <v>465</v>
      </c>
      <c r="V667" s="4"/>
      <c r="W667" s="2"/>
    </row>
    <row r="668" spans="1:23" hidden="1" x14ac:dyDescent="0.2">
      <c r="A668" s="2" t="s">
        <v>15</v>
      </c>
      <c r="B668" s="2" t="s">
        <v>1</v>
      </c>
      <c r="C668" s="93">
        <v>46027</v>
      </c>
      <c r="D668" s="3">
        <v>46027</v>
      </c>
      <c r="E668" s="126">
        <v>46049</v>
      </c>
      <c r="F668" s="2" t="s">
        <v>77</v>
      </c>
      <c r="G668" s="300">
        <v>40</v>
      </c>
      <c r="H668" s="300">
        <v>0</v>
      </c>
      <c r="I668" s="301">
        <f>SUM(G668:H668)</f>
        <v>40</v>
      </c>
      <c r="J668" s="300">
        <v>0.30225956240240875</v>
      </c>
      <c r="K668" s="4" t="s">
        <v>670</v>
      </c>
      <c r="L668" s="4" t="s">
        <v>710</v>
      </c>
      <c r="M668" s="4" t="s">
        <v>332</v>
      </c>
      <c r="N668" s="4" t="s">
        <v>332</v>
      </c>
      <c r="O668" s="134" t="str">
        <f>_xlfn.XLOOKUP(N668,[1]!costcategory[Account Code],[1]!costcategory[Cost Category],"ERROR")</f>
        <v>Bank Charges</v>
      </c>
      <c r="P668" s="4" t="s">
        <v>333</v>
      </c>
      <c r="Q668" s="147" t="str">
        <f>_xlfn.XLOOKUP(P668,[1]!Table2[Department],[1]!Table2[Group],"ERROR")</f>
        <v>General &amp; Administrative</v>
      </c>
      <c r="R668" t="s">
        <v>451</v>
      </c>
      <c r="S668" t="s">
        <v>452</v>
      </c>
      <c r="T668" t="s">
        <v>452</v>
      </c>
      <c r="V668" s="4"/>
      <c r="W668" s="2"/>
    </row>
    <row r="669" spans="1:23" hidden="1" x14ac:dyDescent="0.2">
      <c r="A669" s="2" t="s">
        <v>15</v>
      </c>
      <c r="B669" s="2" t="s">
        <v>1</v>
      </c>
      <c r="C669" s="93">
        <v>46030</v>
      </c>
      <c r="D669" s="3">
        <v>46044</v>
      </c>
      <c r="E669" s="126">
        <v>46049</v>
      </c>
      <c r="F669" s="2" t="s">
        <v>77</v>
      </c>
      <c r="G669" s="300">
        <v>97.36</v>
      </c>
      <c r="H669" s="300">
        <v>8.76</v>
      </c>
      <c r="I669" s="300">
        <v>106.12</v>
      </c>
      <c r="J669" s="300">
        <v>83.550504520000004</v>
      </c>
      <c r="K669" s="4" t="s">
        <v>659</v>
      </c>
      <c r="L669" s="4" t="s">
        <v>711</v>
      </c>
      <c r="M669" s="4" t="s">
        <v>712</v>
      </c>
      <c r="N669" s="4" t="s">
        <v>370</v>
      </c>
      <c r="O669" s="134" t="str">
        <f>_xlfn.XLOOKUP(N669,[1]!costcategory[Account Code],[1]!costcategory[Cost Category],"ERROR")</f>
        <v>Utilities</v>
      </c>
      <c r="P669" s="4" t="s">
        <v>340</v>
      </c>
      <c r="Q669" s="147" t="str">
        <f>_xlfn.XLOOKUP(P669,[1]!Table2[Department],[1]!Table2[Group],"ERROR")</f>
        <v>General &amp; Administrative</v>
      </c>
      <c r="R669" t="s">
        <v>680</v>
      </c>
      <c r="S669" t="s">
        <v>458</v>
      </c>
      <c r="T669" t="s">
        <v>465</v>
      </c>
      <c r="V669" s="4"/>
      <c r="W669" s="2"/>
    </row>
    <row r="670" spans="1:23" hidden="1" x14ac:dyDescent="0.2">
      <c r="A670" s="2" t="s">
        <v>15</v>
      </c>
      <c r="B670" s="2" t="s">
        <v>1</v>
      </c>
      <c r="C670" s="93">
        <v>46030</v>
      </c>
      <c r="D670" s="3">
        <v>46044</v>
      </c>
      <c r="E670" s="126">
        <v>46049</v>
      </c>
      <c r="F670" s="2" t="s">
        <v>77</v>
      </c>
      <c r="G670" s="300">
        <v>63.42</v>
      </c>
      <c r="H670" s="300">
        <v>5.71</v>
      </c>
      <c r="I670" s="300">
        <v>69.13</v>
      </c>
      <c r="J670" s="300">
        <v>54.427500729999998</v>
      </c>
      <c r="K670" s="4" t="s">
        <v>659</v>
      </c>
      <c r="L670" s="4" t="s">
        <v>713</v>
      </c>
      <c r="M670" s="4" t="s">
        <v>714</v>
      </c>
      <c r="N670" s="4" t="s">
        <v>370</v>
      </c>
      <c r="O670" s="134" t="str">
        <f>_xlfn.XLOOKUP(N670,[1]!costcategory[Account Code],[1]!costcategory[Cost Category],"ERROR")</f>
        <v>Utilities</v>
      </c>
      <c r="P670" s="4" t="s">
        <v>340</v>
      </c>
      <c r="Q670" s="147" t="str">
        <f>_xlfn.XLOOKUP(P670,[1]!Table2[Department],[1]!Table2[Group],"ERROR")</f>
        <v>General &amp; Administrative</v>
      </c>
      <c r="R670" t="s">
        <v>680</v>
      </c>
      <c r="S670" t="s">
        <v>458</v>
      </c>
      <c r="T670" t="s">
        <v>465</v>
      </c>
      <c r="V670" s="4"/>
      <c r="W670" s="2"/>
    </row>
    <row r="671" spans="1:23" hidden="1" x14ac:dyDescent="0.2">
      <c r="A671" s="2" t="s">
        <v>15</v>
      </c>
      <c r="B671" s="2" t="s">
        <v>1</v>
      </c>
      <c r="C671" s="93">
        <v>46049</v>
      </c>
      <c r="D671" s="3">
        <v>46049</v>
      </c>
      <c r="E671" s="126">
        <v>46049</v>
      </c>
      <c r="F671" s="2" t="s">
        <v>77</v>
      </c>
      <c r="G671" s="300">
        <v>-7.58</v>
      </c>
      <c r="H671" s="300">
        <v>0</v>
      </c>
      <c r="I671" s="300">
        <v>-7.58</v>
      </c>
      <c r="J671" s="300">
        <v>-5.9678931800000008</v>
      </c>
      <c r="K671" s="4" t="s">
        <v>670</v>
      </c>
      <c r="L671" s="4" t="s">
        <v>710</v>
      </c>
      <c r="M671" s="4" t="s">
        <v>715</v>
      </c>
      <c r="N671" s="4" t="s">
        <v>332</v>
      </c>
      <c r="O671" s="134" t="str">
        <f>_xlfn.XLOOKUP(N671,[1]!costcategory[Account Code],[1]!costcategory[Cost Category],"ERROR")</f>
        <v>Bank Charges</v>
      </c>
      <c r="P671" s="4" t="s">
        <v>333</v>
      </c>
      <c r="Q671" s="147" t="str">
        <f>_xlfn.XLOOKUP(P671,[1]!Table2[Department],[1]!Table2[Group],"ERROR")</f>
        <v>General &amp; Administrative</v>
      </c>
      <c r="R671" t="s">
        <v>451</v>
      </c>
      <c r="S671" t="s">
        <v>452</v>
      </c>
      <c r="T671" t="s">
        <v>452</v>
      </c>
      <c r="V671" s="4"/>
      <c r="W671" s="2"/>
    </row>
    <row r="672" spans="1:23" hidden="1" x14ac:dyDescent="0.2">
      <c r="A672" s="2" t="s">
        <v>15</v>
      </c>
      <c r="B672" s="2" t="s">
        <v>1</v>
      </c>
      <c r="C672" s="93">
        <v>45965</v>
      </c>
      <c r="D672" s="3">
        <v>45969</v>
      </c>
      <c r="E672" s="126">
        <v>46049</v>
      </c>
      <c r="F672" s="2" t="s">
        <v>77</v>
      </c>
      <c r="G672" s="300">
        <v>35350</v>
      </c>
      <c r="H672" s="300">
        <v>0</v>
      </c>
      <c r="I672" s="300">
        <v>35350</v>
      </c>
      <c r="J672" s="300">
        <v>27831.797350000001</v>
      </c>
      <c r="K672" s="4" t="s">
        <v>662</v>
      </c>
      <c r="L672" s="4" t="s">
        <v>716</v>
      </c>
      <c r="M672" s="4" t="s">
        <v>717</v>
      </c>
      <c r="N672" s="4" t="s">
        <v>367</v>
      </c>
      <c r="O672" s="134" t="str">
        <f>_xlfn.XLOOKUP(N672,[1]!costcategory[Account Code],[1]!costcategory[Cost Category],"ERROR")</f>
        <v>Professional &amp; Consultancy Fees</v>
      </c>
      <c r="P672" s="4" t="s">
        <v>340</v>
      </c>
      <c r="Q672" s="147" t="str">
        <f>_xlfn.XLOOKUP(P672,[1]!Table2[Department],[1]!Table2[Group],"ERROR")</f>
        <v>General &amp; Administrative</v>
      </c>
      <c r="R672" t="s">
        <v>718</v>
      </c>
      <c r="S672" t="s">
        <v>676</v>
      </c>
      <c r="T672" t="s">
        <v>465</v>
      </c>
      <c r="V672" s="4"/>
      <c r="W672" s="2"/>
    </row>
    <row r="673" spans="1:23" hidden="1" x14ac:dyDescent="0.2">
      <c r="A673" s="2" t="s">
        <v>15</v>
      </c>
      <c r="B673" s="2" t="s">
        <v>1</v>
      </c>
      <c r="C673" s="93">
        <v>46051</v>
      </c>
      <c r="D673" s="3">
        <v>46051</v>
      </c>
      <c r="E673" s="126">
        <v>46051</v>
      </c>
      <c r="F673" s="2" t="s">
        <v>77</v>
      </c>
      <c r="G673" s="300">
        <v>-627.23</v>
      </c>
      <c r="H673" s="300">
        <v>0</v>
      </c>
      <c r="I673" s="300">
        <v>-627.23</v>
      </c>
      <c r="J673" s="300">
        <v>-493.83135083000002</v>
      </c>
      <c r="K673" s="4" t="s">
        <v>719</v>
      </c>
      <c r="L673" s="4" t="s">
        <v>720</v>
      </c>
      <c r="M673" s="4" t="s">
        <v>721</v>
      </c>
      <c r="N673" s="4" t="s">
        <v>387</v>
      </c>
      <c r="O673" s="134" t="str">
        <f>_xlfn.XLOOKUP(N673,[1]!costcategory[Account Code],[1]!costcategory[Cost Category],"ERROR")</f>
        <v>Headcount Costs</v>
      </c>
      <c r="P673" s="4" t="s">
        <v>350</v>
      </c>
      <c r="Q673" s="147" t="str">
        <f>_xlfn.XLOOKUP(P673,[1]!Table2[Department],[1]!Table2[Group],"ERROR")</f>
        <v>General &amp; Administrative</v>
      </c>
      <c r="R673" t="s">
        <v>675</v>
      </c>
      <c r="S673" t="s">
        <v>452</v>
      </c>
      <c r="T673" t="s">
        <v>465</v>
      </c>
      <c r="V673" s="4"/>
      <c r="W673" s="2"/>
    </row>
    <row r="674" spans="1:23" hidden="1" x14ac:dyDescent="0.2">
      <c r="A674" s="2" t="s">
        <v>15</v>
      </c>
      <c r="B674" s="2" t="s">
        <v>1</v>
      </c>
      <c r="C674" s="93">
        <v>46051</v>
      </c>
      <c r="D674" s="3">
        <v>46051</v>
      </c>
      <c r="E674" s="126">
        <v>46051</v>
      </c>
      <c r="F674" s="2" t="s">
        <v>77</v>
      </c>
      <c r="G674" s="300">
        <v>-1000</v>
      </c>
      <c r="H674" s="300">
        <v>0</v>
      </c>
      <c r="I674" s="300">
        <v>-1000</v>
      </c>
      <c r="J674" s="300">
        <v>-787.32100000000003</v>
      </c>
      <c r="K674" s="4" t="s">
        <v>719</v>
      </c>
      <c r="L674" s="4" t="s">
        <v>722</v>
      </c>
      <c r="M674" s="4" t="s">
        <v>721</v>
      </c>
      <c r="N674" s="4" t="s">
        <v>387</v>
      </c>
      <c r="O674" s="134" t="str">
        <f>_xlfn.XLOOKUP(N674,[1]!costcategory[Account Code],[1]!costcategory[Cost Category],"ERROR")</f>
        <v>Headcount Costs</v>
      </c>
      <c r="P674" s="4" t="s">
        <v>350</v>
      </c>
      <c r="Q674" s="147" t="str">
        <f>_xlfn.XLOOKUP(P674,[1]!Table2[Department],[1]!Table2[Group],"ERROR")</f>
        <v>General &amp; Administrative</v>
      </c>
      <c r="R674" t="s">
        <v>675</v>
      </c>
      <c r="S674" t="s">
        <v>452</v>
      </c>
      <c r="T674" t="s">
        <v>465</v>
      </c>
      <c r="V674" s="4"/>
      <c r="W674" s="2"/>
    </row>
    <row r="675" spans="1:23" hidden="1" x14ac:dyDescent="0.2">
      <c r="A675" s="2" t="s">
        <v>15</v>
      </c>
      <c r="B675" s="2" t="s">
        <v>1</v>
      </c>
      <c r="C675" s="93">
        <v>45987</v>
      </c>
      <c r="D675" s="3">
        <v>46017</v>
      </c>
      <c r="E675" s="126">
        <v>46052</v>
      </c>
      <c r="F675" s="2" t="s">
        <v>77</v>
      </c>
      <c r="G675" s="300">
        <v>5000</v>
      </c>
      <c r="H675" s="300">
        <v>450</v>
      </c>
      <c r="I675" s="300">
        <v>5450</v>
      </c>
      <c r="J675" s="300">
        <v>4290.8994499999999</v>
      </c>
      <c r="K675" s="4" t="s">
        <v>723</v>
      </c>
      <c r="L675" s="4" t="s">
        <v>724</v>
      </c>
      <c r="M675" s="4" t="s">
        <v>725</v>
      </c>
      <c r="N675" s="4" t="s">
        <v>60</v>
      </c>
      <c r="O675" s="134" t="str">
        <f>_xlfn.XLOOKUP(N675,[1]!costcategory[Account Code],[1]!costcategory[Cost Category],"ERROR")</f>
        <v>Subscription Fee</v>
      </c>
      <c r="P675" s="4" t="s">
        <v>56</v>
      </c>
      <c r="Q675" s="147" t="str">
        <f>_xlfn.XLOOKUP(P675,[1]!Table2[Department],[1]!Table2[Group],"ERROR")</f>
        <v>Research &amp; Development</v>
      </c>
      <c r="R675" t="s">
        <v>484</v>
      </c>
      <c r="S675" t="s">
        <v>458</v>
      </c>
      <c r="T675" t="s">
        <v>465</v>
      </c>
      <c r="U675" s="4" t="s">
        <v>726</v>
      </c>
      <c r="V675" s="4"/>
      <c r="W675" s="2"/>
    </row>
    <row r="676" spans="1:23" hidden="1" x14ac:dyDescent="0.2">
      <c r="A676" s="2" t="s">
        <v>15</v>
      </c>
      <c r="B676" s="2" t="s">
        <v>1</v>
      </c>
      <c r="C676" s="93">
        <v>46024</v>
      </c>
      <c r="D676" s="3">
        <v>46024</v>
      </c>
      <c r="E676" s="126">
        <v>46052</v>
      </c>
      <c r="F676" s="2" t="s">
        <v>77</v>
      </c>
      <c r="G676" s="300">
        <v>70</v>
      </c>
      <c r="H676" s="300">
        <v>6.3</v>
      </c>
      <c r="I676" s="300">
        <v>76.3</v>
      </c>
      <c r="J676" s="300">
        <v>60.072592300000004</v>
      </c>
      <c r="K676" s="4" t="s">
        <v>1740</v>
      </c>
      <c r="L676" s="4" t="s">
        <v>727</v>
      </c>
      <c r="M676" s="4" t="s">
        <v>728</v>
      </c>
      <c r="N676" s="4" t="s">
        <v>374</v>
      </c>
      <c r="O676" s="134" t="str">
        <f>_xlfn.XLOOKUP(N676,[1]!costcategory[Account Code],[1]!costcategory[Cost Category],"ERROR")</f>
        <v>Non-Current Liabilities</v>
      </c>
      <c r="P676" s="4" t="s">
        <v>376</v>
      </c>
      <c r="Q676" s="147" t="str">
        <f>_xlfn.XLOOKUP(P676,[1]!Table2[Department],[1]!Table2[Group],"ERROR")</f>
        <v>General &amp; Administrative</v>
      </c>
      <c r="R676" t="s">
        <v>484</v>
      </c>
      <c r="S676" t="s">
        <v>458</v>
      </c>
      <c r="T676" t="s">
        <v>465</v>
      </c>
      <c r="V676" s="4"/>
      <c r="W676" s="2"/>
    </row>
    <row r="677" spans="1:23" hidden="1" x14ac:dyDescent="0.2">
      <c r="A677" s="2" t="s">
        <v>15</v>
      </c>
      <c r="B677" s="2" t="s">
        <v>1</v>
      </c>
      <c r="C677" s="93">
        <v>46024</v>
      </c>
      <c r="D677" s="3">
        <v>46024</v>
      </c>
      <c r="E677" s="126">
        <v>46052</v>
      </c>
      <c r="F677" s="2" t="s">
        <v>77</v>
      </c>
      <c r="G677" s="300">
        <v>584.1</v>
      </c>
      <c r="H677" s="300">
        <v>52.57</v>
      </c>
      <c r="I677" s="300">
        <v>636.67000000000007</v>
      </c>
      <c r="J677" s="300">
        <v>501.26366107000007</v>
      </c>
      <c r="K677" s="4" t="s">
        <v>1740</v>
      </c>
      <c r="L677" s="4" t="s">
        <v>729</v>
      </c>
      <c r="M677" s="4" t="s">
        <v>728</v>
      </c>
      <c r="N677" s="4" t="s">
        <v>374</v>
      </c>
      <c r="O677" s="134" t="str">
        <f>_xlfn.XLOOKUP(N677,[1]!costcategory[Account Code],[1]!costcategory[Cost Category],"ERROR")</f>
        <v>Non-Current Liabilities</v>
      </c>
      <c r="P677" s="4" t="s">
        <v>376</v>
      </c>
      <c r="Q677" s="147" t="str">
        <f>_xlfn.XLOOKUP(P677,[1]!Table2[Department],[1]!Table2[Group],"ERROR")</f>
        <v>General &amp; Administrative</v>
      </c>
      <c r="R677" t="s">
        <v>484</v>
      </c>
      <c r="S677" t="s">
        <v>458</v>
      </c>
      <c r="T677" t="s">
        <v>465</v>
      </c>
      <c r="V677" s="4"/>
      <c r="W677" s="2"/>
    </row>
    <row r="678" spans="1:23" hidden="1" x14ac:dyDescent="0.2">
      <c r="A678" s="2" t="s">
        <v>15</v>
      </c>
      <c r="B678" s="2" t="s">
        <v>1</v>
      </c>
      <c r="C678" s="93">
        <v>46021</v>
      </c>
      <c r="D678" s="3">
        <v>46047</v>
      </c>
      <c r="E678" s="126">
        <v>46052</v>
      </c>
      <c r="F678" s="2" t="s">
        <v>77</v>
      </c>
      <c r="G678" s="300">
        <v>92.58</v>
      </c>
      <c r="H678" s="300">
        <v>0</v>
      </c>
      <c r="I678" s="300">
        <v>92.58</v>
      </c>
      <c r="J678" s="300">
        <v>72.890178180000007</v>
      </c>
      <c r="K678" s="4" t="s">
        <v>730</v>
      </c>
      <c r="L678" s="4" t="s">
        <v>731</v>
      </c>
      <c r="M678" s="4" t="s">
        <v>732</v>
      </c>
      <c r="N678" s="4" t="s">
        <v>344</v>
      </c>
      <c r="O678" s="134" t="str">
        <f>_xlfn.XLOOKUP(N678,[1]!costcategory[Account Code],[1]!costcategory[Cost Category],"ERROR")</f>
        <v>Courier Charges</v>
      </c>
      <c r="P678" s="4" t="s">
        <v>340</v>
      </c>
      <c r="Q678" s="147" t="str">
        <f>_xlfn.XLOOKUP(P678,[1]!Table2[Department],[1]!Table2[Group],"ERROR")</f>
        <v>General &amp; Administrative</v>
      </c>
      <c r="R678" t="s">
        <v>680</v>
      </c>
      <c r="S678" t="s">
        <v>458</v>
      </c>
      <c r="T678" t="s">
        <v>465</v>
      </c>
      <c r="V678" s="4"/>
      <c r="W678" s="2"/>
    </row>
    <row r="679" spans="1:23" hidden="1" x14ac:dyDescent="0.2">
      <c r="A679" s="2" t="s">
        <v>15</v>
      </c>
      <c r="B679" s="2" t="s">
        <v>1</v>
      </c>
      <c r="C679" s="93">
        <v>46036</v>
      </c>
      <c r="D679" s="3">
        <v>46052</v>
      </c>
      <c r="E679" s="126">
        <v>46052</v>
      </c>
      <c r="F679" s="2" t="s">
        <v>77</v>
      </c>
      <c r="G679" s="300">
        <v>47.5</v>
      </c>
      <c r="H679" s="300">
        <v>4.28</v>
      </c>
      <c r="I679" s="300">
        <v>51.78</v>
      </c>
      <c r="J679" s="300">
        <v>40.767481380000007</v>
      </c>
      <c r="K679" s="4" t="s">
        <v>665</v>
      </c>
      <c r="L679" s="4" t="s">
        <v>733</v>
      </c>
      <c r="M679" s="4" t="s">
        <v>682</v>
      </c>
      <c r="N679" s="4" t="s">
        <v>390</v>
      </c>
      <c r="O679" s="134" t="str">
        <f>_xlfn.XLOOKUP(N679,[1]!costcategory[Account Code],[1]!costcategory[Cost Category],"ERROR")</f>
        <v>Employee Benefits</v>
      </c>
      <c r="P679" s="4" t="s">
        <v>340</v>
      </c>
      <c r="Q679" s="147" t="str">
        <f>_xlfn.XLOOKUP(P679,[1]!Table2[Department],[1]!Table2[Group],"ERROR")</f>
        <v>General &amp; Administrative</v>
      </c>
      <c r="R679" t="s">
        <v>680</v>
      </c>
      <c r="S679" t="s">
        <v>458</v>
      </c>
      <c r="T679" t="s">
        <v>465</v>
      </c>
      <c r="V679" s="4"/>
      <c r="W679" s="2"/>
    </row>
    <row r="680" spans="1:23" hidden="1" x14ac:dyDescent="0.2">
      <c r="A680" s="2" t="s">
        <v>15</v>
      </c>
      <c r="B680" s="2" t="s">
        <v>1</v>
      </c>
      <c r="C680" s="93">
        <v>46052</v>
      </c>
      <c r="D680" s="3">
        <v>46052</v>
      </c>
      <c r="E680" s="126">
        <v>46052</v>
      </c>
      <c r="F680" s="2" t="s">
        <v>77</v>
      </c>
      <c r="G680" s="300">
        <v>207.45</v>
      </c>
      <c r="H680" s="300">
        <v>0</v>
      </c>
      <c r="I680" s="300">
        <v>207.45</v>
      </c>
      <c r="J680" s="300">
        <v>163.32974145</v>
      </c>
      <c r="K680" s="4" t="s">
        <v>1738</v>
      </c>
      <c r="L680" s="4" t="s">
        <v>1739</v>
      </c>
      <c r="M680" s="4" t="s">
        <v>734</v>
      </c>
      <c r="N680" s="4" t="s">
        <v>60</v>
      </c>
      <c r="O680" s="134" t="str">
        <f>_xlfn.XLOOKUP(N680,[1]!costcategory[Account Code],[1]!costcategory[Cost Category],"ERROR")</f>
        <v>Subscription Fee</v>
      </c>
      <c r="P680" s="4" t="s">
        <v>333</v>
      </c>
      <c r="Q680" s="147" t="str">
        <f>_xlfn.XLOOKUP(P680,[1]!Table2[Department],[1]!Table2[Group],"ERROR")</f>
        <v>General &amp; Administrative</v>
      </c>
      <c r="R680" t="s">
        <v>451</v>
      </c>
      <c r="S680" t="s">
        <v>452</v>
      </c>
      <c r="T680" t="s">
        <v>465</v>
      </c>
      <c r="V680" s="4"/>
      <c r="W680" s="2"/>
    </row>
    <row r="681" spans="1:23" hidden="1" x14ac:dyDescent="0.2">
      <c r="A681" s="2" t="s">
        <v>15</v>
      </c>
      <c r="B681" s="2" t="s">
        <v>1</v>
      </c>
      <c r="C681" s="93">
        <v>46052</v>
      </c>
      <c r="D681" s="3">
        <v>46052</v>
      </c>
      <c r="E681" s="126">
        <v>46052</v>
      </c>
      <c r="F681" s="2" t="s">
        <v>77</v>
      </c>
      <c r="G681" s="300">
        <v>82.04</v>
      </c>
      <c r="H681" s="300">
        <v>0</v>
      </c>
      <c r="I681" s="300">
        <v>82.04</v>
      </c>
      <c r="J681" s="300">
        <v>64.591814840000012</v>
      </c>
      <c r="K681" s="4" t="s">
        <v>1738</v>
      </c>
      <c r="L681" s="4" t="s">
        <v>1737</v>
      </c>
      <c r="M681" s="4" t="s">
        <v>735</v>
      </c>
      <c r="N681" s="4" t="s">
        <v>657</v>
      </c>
      <c r="O681" s="134" t="str">
        <f>_xlfn.XLOOKUP(N681,[1]!costcategory[Account Code],[1]!costcategory[Cost Category],"ERROR")</f>
        <v>Intercompany</v>
      </c>
      <c r="P681" s="4" t="s">
        <v>333</v>
      </c>
      <c r="Q681" s="147" t="str">
        <f>_xlfn.XLOOKUP(P681,[1]!Table2[Department],[1]!Table2[Group],"ERROR")</f>
        <v>General &amp; Administrative</v>
      </c>
      <c r="R681" t="s">
        <v>451</v>
      </c>
      <c r="S681" t="s">
        <v>452</v>
      </c>
      <c r="T681" t="s">
        <v>465</v>
      </c>
      <c r="V681" s="4"/>
      <c r="W681" s="2"/>
    </row>
    <row r="682" spans="1:23" hidden="1" x14ac:dyDescent="0.2">
      <c r="A682" s="2" t="s">
        <v>15</v>
      </c>
      <c r="B682" s="2" t="s">
        <v>1</v>
      </c>
      <c r="C682" s="93">
        <v>46039</v>
      </c>
      <c r="D682" s="3">
        <v>46053</v>
      </c>
      <c r="E682" s="126">
        <v>46052</v>
      </c>
      <c r="F682" s="2" t="s">
        <v>77</v>
      </c>
      <c r="G682" s="300">
        <v>1012.35</v>
      </c>
      <c r="H682" s="300">
        <v>0</v>
      </c>
      <c r="I682" s="300">
        <v>1012.35</v>
      </c>
      <c r="J682" s="300">
        <v>797.04441435000001</v>
      </c>
      <c r="K682" s="4" t="s">
        <v>736</v>
      </c>
      <c r="L682" s="4" t="s">
        <v>737</v>
      </c>
      <c r="M682" s="4" t="s">
        <v>738</v>
      </c>
      <c r="N682" s="4" t="s">
        <v>58</v>
      </c>
      <c r="O682" s="134" t="str">
        <f>_xlfn.XLOOKUP(N682,[1]!costcategory[Account Code],[1]!costcategory[Cost Category],"ERROR")</f>
        <v>Network &amp; Server</v>
      </c>
      <c r="P682" s="4" t="s">
        <v>376</v>
      </c>
      <c r="Q682" s="147" t="str">
        <f>_xlfn.XLOOKUP(P682,[1]!Table2[Department],[1]!Table2[Group],"ERROR")</f>
        <v>General &amp; Administrative</v>
      </c>
      <c r="R682" t="s">
        <v>484</v>
      </c>
      <c r="S682" t="s">
        <v>458</v>
      </c>
      <c r="T682" t="s">
        <v>465</v>
      </c>
      <c r="V682" s="4"/>
      <c r="W682" s="2"/>
    </row>
    <row r="683" spans="1:23" hidden="1" x14ac:dyDescent="0.2">
      <c r="A683" s="2" t="s">
        <v>15</v>
      </c>
      <c r="B683" s="2" t="s">
        <v>1</v>
      </c>
      <c r="C683" s="93">
        <v>46053</v>
      </c>
      <c r="D683" s="3">
        <v>46053</v>
      </c>
      <c r="E683" s="126">
        <v>46052</v>
      </c>
      <c r="F683" s="2" t="s">
        <v>77</v>
      </c>
      <c r="I683" s="300">
        <v>207752.77</v>
      </c>
      <c r="J683" s="300">
        <v>3988.57</v>
      </c>
      <c r="K683" s="4" t="s">
        <v>1641</v>
      </c>
      <c r="M683" s="4" t="s">
        <v>386</v>
      </c>
      <c r="N683" s="4" t="s">
        <v>387</v>
      </c>
      <c r="O683" s="134" t="str">
        <f>_xlfn.XLOOKUP(N683,[1]!costcategory[Account Code],[1]!costcategory[Cost Category],"ERROR")</f>
        <v>Headcount Costs</v>
      </c>
      <c r="P683" s="4" t="s">
        <v>354</v>
      </c>
      <c r="Q683" s="147" t="str">
        <f>_xlfn.XLOOKUP(P683,[1]!Table2[Department],[1]!Table2[Group],"ERROR")</f>
        <v>Sales &amp; Marketing</v>
      </c>
      <c r="V683" s="4"/>
      <c r="W683" s="2"/>
    </row>
    <row r="684" spans="1:23" hidden="1" x14ac:dyDescent="0.2">
      <c r="A684" s="2" t="s">
        <v>15</v>
      </c>
      <c r="B684" s="2" t="s">
        <v>1</v>
      </c>
      <c r="C684" s="93">
        <v>46053</v>
      </c>
      <c r="D684" s="3">
        <v>46053</v>
      </c>
      <c r="E684" s="126">
        <v>46052</v>
      </c>
      <c r="F684" s="2" t="s">
        <v>77</v>
      </c>
      <c r="J684" s="300">
        <v>20532.759999999998</v>
      </c>
      <c r="K684" s="4" t="s">
        <v>1641</v>
      </c>
      <c r="M684" s="4" t="s">
        <v>386</v>
      </c>
      <c r="N684" s="4" t="s">
        <v>387</v>
      </c>
      <c r="O684" s="134" t="str">
        <f>_xlfn.XLOOKUP(N684,[1]!costcategory[Account Code],[1]!costcategory[Cost Category],"ERROR")</f>
        <v>Headcount Costs</v>
      </c>
      <c r="P684" s="4" t="s">
        <v>45</v>
      </c>
      <c r="Q684" s="147" t="str">
        <f>_xlfn.XLOOKUP(P684,[1]!Table2[Department],[1]!Table2[Group],"ERROR")</f>
        <v>DSC</v>
      </c>
      <c r="V684" s="4"/>
      <c r="W684" s="2"/>
    </row>
    <row r="685" spans="1:23" hidden="1" x14ac:dyDescent="0.2">
      <c r="A685" s="2" t="s">
        <v>15</v>
      </c>
      <c r="B685" s="2" t="s">
        <v>1</v>
      </c>
      <c r="C685" s="93">
        <v>46053</v>
      </c>
      <c r="D685" s="3">
        <v>46053</v>
      </c>
      <c r="E685" s="126">
        <v>46052</v>
      </c>
      <c r="F685" s="2" t="s">
        <v>77</v>
      </c>
      <c r="J685" s="300">
        <v>30848.81</v>
      </c>
      <c r="K685" s="4" t="s">
        <v>1641</v>
      </c>
      <c r="M685" s="4" t="s">
        <v>386</v>
      </c>
      <c r="N685" s="4" t="s">
        <v>387</v>
      </c>
      <c r="O685" s="134" t="str">
        <f>_xlfn.XLOOKUP(N685,[1]!costcategory[Account Code],[1]!costcategory[Cost Category],"ERROR")</f>
        <v>Headcount Costs</v>
      </c>
      <c r="P685" s="4" t="s">
        <v>658</v>
      </c>
      <c r="Q685" s="147" t="str">
        <f>_xlfn.XLOOKUP(P685,[1]!Table2[Department],[1]!Table2[Group],"ERROR")</f>
        <v>Sales &amp; Marketing</v>
      </c>
      <c r="V685" s="4"/>
      <c r="W685" s="2"/>
    </row>
    <row r="686" spans="1:23" hidden="1" x14ac:dyDescent="0.2">
      <c r="A686" s="2" t="s">
        <v>15</v>
      </c>
      <c r="B686" s="2" t="s">
        <v>1</v>
      </c>
      <c r="C686" s="93">
        <v>46053</v>
      </c>
      <c r="D686" s="3">
        <v>46053</v>
      </c>
      <c r="E686" s="126">
        <v>46052</v>
      </c>
      <c r="F686" s="2" t="s">
        <v>77</v>
      </c>
      <c r="J686" s="300">
        <v>15149.63</v>
      </c>
      <c r="K686" s="4" t="s">
        <v>1641</v>
      </c>
      <c r="M686" s="4" t="s">
        <v>386</v>
      </c>
      <c r="N686" s="4" t="s">
        <v>387</v>
      </c>
      <c r="O686" s="134" t="str">
        <f>_xlfn.XLOOKUP(N686,[1]!costcategory[Account Code],[1]!costcategory[Cost Category],"ERROR")</f>
        <v>Headcount Costs</v>
      </c>
      <c r="P686" s="4" t="s">
        <v>350</v>
      </c>
      <c r="Q686" s="147" t="str">
        <f>_xlfn.XLOOKUP(P686,[1]!Table2[Department],[1]!Table2[Group],"ERROR")</f>
        <v>General &amp; Administrative</v>
      </c>
      <c r="V686" s="4"/>
      <c r="W686" s="2"/>
    </row>
    <row r="687" spans="1:23" hidden="1" x14ac:dyDescent="0.2">
      <c r="A687" s="2" t="s">
        <v>15</v>
      </c>
      <c r="B687" s="2" t="s">
        <v>1</v>
      </c>
      <c r="C687" s="93">
        <v>46053</v>
      </c>
      <c r="D687" s="3">
        <v>46053</v>
      </c>
      <c r="E687" s="126">
        <v>46052</v>
      </c>
      <c r="F687" s="2" t="s">
        <v>77</v>
      </c>
      <c r="J687" s="300">
        <v>18541.41</v>
      </c>
      <c r="K687" s="4" t="s">
        <v>1641</v>
      </c>
      <c r="M687" s="4" t="s">
        <v>386</v>
      </c>
      <c r="N687" s="4" t="s">
        <v>387</v>
      </c>
      <c r="O687" s="134" t="str">
        <f>_xlfn.XLOOKUP(N687,[1]!costcategory[Account Code],[1]!costcategory[Cost Category],"ERROR")</f>
        <v>Headcount Costs</v>
      </c>
      <c r="P687" s="4" t="s">
        <v>523</v>
      </c>
      <c r="Q687" s="147" t="str">
        <f>_xlfn.XLOOKUP(P687,[1]!Table2[Department],[1]!Table2[Group],"ERROR")</f>
        <v>General &amp; Administrative</v>
      </c>
      <c r="V687" s="4"/>
      <c r="W687" s="2"/>
    </row>
    <row r="688" spans="1:23" hidden="1" x14ac:dyDescent="0.2">
      <c r="A688" s="2" t="s">
        <v>15</v>
      </c>
      <c r="B688" s="2" t="s">
        <v>1</v>
      </c>
      <c r="C688" s="93">
        <v>46053</v>
      </c>
      <c r="D688" s="3">
        <v>46053</v>
      </c>
      <c r="E688" s="126">
        <v>46052</v>
      </c>
      <c r="F688" s="2" t="s">
        <v>77</v>
      </c>
      <c r="J688" s="300">
        <v>19981.810000000001</v>
      </c>
      <c r="K688" s="4" t="s">
        <v>1641</v>
      </c>
      <c r="M688" s="4" t="s">
        <v>386</v>
      </c>
      <c r="N688" s="4" t="s">
        <v>387</v>
      </c>
      <c r="O688" s="134" t="str">
        <f>_xlfn.XLOOKUP(N688,[1]!costcategory[Account Code],[1]!costcategory[Cost Category],"ERROR")</f>
        <v>Headcount Costs</v>
      </c>
      <c r="P688" s="4" t="s">
        <v>56</v>
      </c>
      <c r="Q688" s="147" t="str">
        <f>_xlfn.XLOOKUP(P688,[1]!Table2[Department],[1]!Table2[Group],"ERROR")</f>
        <v>Research &amp; Development</v>
      </c>
      <c r="V688" s="4"/>
      <c r="W688" s="2"/>
    </row>
    <row r="689" spans="1:23" hidden="1" x14ac:dyDescent="0.2">
      <c r="A689" s="2" t="s">
        <v>15</v>
      </c>
      <c r="B689" s="2" t="s">
        <v>1</v>
      </c>
      <c r="C689" s="93">
        <v>46053</v>
      </c>
      <c r="D689" s="3">
        <v>46053</v>
      </c>
      <c r="E689" s="126">
        <v>46052</v>
      </c>
      <c r="F689" s="2" t="s">
        <v>77</v>
      </c>
      <c r="J689" s="300">
        <v>13097.08</v>
      </c>
      <c r="K689" s="4" t="s">
        <v>1641</v>
      </c>
      <c r="M689" s="4" t="s">
        <v>386</v>
      </c>
      <c r="N689" s="4" t="s">
        <v>387</v>
      </c>
      <c r="O689" s="134" t="str">
        <f>_xlfn.XLOOKUP(N689,[1]!costcategory[Account Code],[1]!costcategory[Cost Category],"ERROR")</f>
        <v>Headcount Costs</v>
      </c>
      <c r="P689" s="4" t="s">
        <v>57</v>
      </c>
      <c r="Q689" s="147" t="str">
        <f>_xlfn.XLOOKUP(P689,[1]!Table2[Department],[1]!Table2[Group],"ERROR")</f>
        <v>Research &amp; Development</v>
      </c>
      <c r="V689" s="4"/>
      <c r="W689" s="2"/>
    </row>
    <row r="690" spans="1:23" hidden="1" x14ac:dyDescent="0.2">
      <c r="A690" s="2" t="s">
        <v>15</v>
      </c>
      <c r="B690" s="2" t="s">
        <v>1</v>
      </c>
      <c r="C690" s="93">
        <v>46053</v>
      </c>
      <c r="D690" s="3">
        <v>46053</v>
      </c>
      <c r="E690" s="126">
        <v>46052</v>
      </c>
      <c r="F690" s="2" t="s">
        <v>77</v>
      </c>
      <c r="J690" s="300">
        <v>23828.27</v>
      </c>
      <c r="K690" s="4" t="s">
        <v>1641</v>
      </c>
      <c r="M690" s="4" t="s">
        <v>386</v>
      </c>
      <c r="N690" s="4" t="s">
        <v>387</v>
      </c>
      <c r="O690" s="134" t="str">
        <f>_xlfn.XLOOKUP(N690,[1]!costcategory[Account Code],[1]!costcategory[Cost Category],"ERROR")</f>
        <v>Headcount Costs</v>
      </c>
      <c r="P690" s="4" t="s">
        <v>59</v>
      </c>
      <c r="Q690" s="147" t="str">
        <f>_xlfn.XLOOKUP(P690,[1]!Table2[Department],[1]!Table2[Group],"ERROR")</f>
        <v>Research &amp; Development</v>
      </c>
      <c r="V690" s="4"/>
      <c r="W690" s="2"/>
    </row>
    <row r="691" spans="1:23" hidden="1" x14ac:dyDescent="0.2">
      <c r="A691" s="2" t="s">
        <v>15</v>
      </c>
      <c r="B691" s="2" t="s">
        <v>1</v>
      </c>
      <c r="C691" s="93">
        <v>46053</v>
      </c>
      <c r="D691" s="3">
        <v>46053</v>
      </c>
      <c r="E691" s="126">
        <v>46052</v>
      </c>
      <c r="F691" s="2" t="s">
        <v>77</v>
      </c>
      <c r="J691" s="300">
        <v>17599.77</v>
      </c>
      <c r="K691" s="4" t="s">
        <v>1641</v>
      </c>
      <c r="M691" s="4" t="s">
        <v>386</v>
      </c>
      <c r="N691" s="4" t="s">
        <v>387</v>
      </c>
      <c r="O691" s="134" t="str">
        <f>_xlfn.XLOOKUP(N691,[1]!costcategory[Account Code],[1]!costcategory[Cost Category],"ERROR")</f>
        <v>Headcount Costs</v>
      </c>
      <c r="P691" s="4" t="s">
        <v>438</v>
      </c>
      <c r="Q691" s="147" t="str">
        <f>_xlfn.XLOOKUP(P691,[1]!Table2[Department],[1]!Table2[Group],"ERROR")</f>
        <v>Sales &amp; Marketing</v>
      </c>
      <c r="V691" s="4"/>
      <c r="W691" s="2"/>
    </row>
    <row r="692" spans="1:23" hidden="1" x14ac:dyDescent="0.2">
      <c r="A692" s="2" t="s">
        <v>15</v>
      </c>
      <c r="B692" s="2" t="s">
        <v>1</v>
      </c>
      <c r="C692" s="93">
        <v>46054</v>
      </c>
      <c r="D692" s="3">
        <v>46054</v>
      </c>
      <c r="E692" s="126">
        <v>46052</v>
      </c>
      <c r="F692" s="2" t="s">
        <v>77</v>
      </c>
      <c r="G692" s="300">
        <v>23892</v>
      </c>
      <c r="H692" s="300">
        <v>2150.2800000000002</v>
      </c>
      <c r="I692" s="300">
        <v>26042.28</v>
      </c>
      <c r="J692" s="300">
        <v>20503.633931880002</v>
      </c>
      <c r="K692" s="4" t="s">
        <v>660</v>
      </c>
      <c r="L692" s="4" t="s">
        <v>739</v>
      </c>
      <c r="M692" s="4" t="s">
        <v>740</v>
      </c>
      <c r="N692" s="4" t="s">
        <v>409</v>
      </c>
      <c r="O692" s="134" t="str">
        <f>_xlfn.XLOOKUP(N692,[1]!costcategory[Account Code],[1]!costcategory[Cost Category],"ERROR")</f>
        <v>Rental</v>
      </c>
      <c r="P692" s="4" t="s">
        <v>340</v>
      </c>
      <c r="Q692" s="147" t="str">
        <f>_xlfn.XLOOKUP(P692,[1]!Table2[Department],[1]!Table2[Group],"ERROR")</f>
        <v>General &amp; Administrative</v>
      </c>
      <c r="R692" t="s">
        <v>680</v>
      </c>
      <c r="S692" t="s">
        <v>458</v>
      </c>
      <c r="T692" t="s">
        <v>465</v>
      </c>
      <c r="V692" s="4"/>
      <c r="W692" s="2"/>
    </row>
    <row r="693" spans="1:23" hidden="1" x14ac:dyDescent="0.2">
      <c r="A693" s="2" t="s">
        <v>15</v>
      </c>
      <c r="B693" s="2" t="s">
        <v>1</v>
      </c>
      <c r="C693" s="93">
        <v>46056</v>
      </c>
      <c r="D693" s="3">
        <v>46056</v>
      </c>
      <c r="E693" s="126">
        <v>46056</v>
      </c>
      <c r="F693" s="2" t="s">
        <v>77</v>
      </c>
      <c r="G693" s="300">
        <v>10</v>
      </c>
      <c r="H693" s="300">
        <v>0</v>
      </c>
      <c r="I693" s="301">
        <f>SUM(G693:H693)</f>
        <v>10</v>
      </c>
      <c r="J693" s="300">
        <v>0.30225956240240875</v>
      </c>
      <c r="K693" s="4" t="s">
        <v>670</v>
      </c>
      <c r="L693" s="4" t="s">
        <v>671</v>
      </c>
      <c r="M693" s="4" t="s">
        <v>332</v>
      </c>
      <c r="N693" s="4" t="s">
        <v>332</v>
      </c>
      <c r="O693" s="134" t="str">
        <f>_xlfn.XLOOKUP(N693,[1]!costcategory[Account Code],[1]!costcategory[Cost Category],"ERROR")</f>
        <v>Bank Charges</v>
      </c>
      <c r="P693" s="4" t="s">
        <v>333</v>
      </c>
      <c r="Q693" s="147" t="str">
        <f>_xlfn.XLOOKUP(P693,[1]!Table2[Department],[1]!Table2[Group],"ERROR")</f>
        <v>General &amp; Administrative</v>
      </c>
      <c r="R693" t="s">
        <v>451</v>
      </c>
      <c r="S693" t="s">
        <v>452</v>
      </c>
      <c r="T693" t="s">
        <v>452</v>
      </c>
      <c r="V693" s="4"/>
      <c r="W693" s="2"/>
    </row>
    <row r="694" spans="1:23" hidden="1" x14ac:dyDescent="0.2">
      <c r="A694" s="183" t="s">
        <v>15</v>
      </c>
      <c r="B694" s="183" t="s">
        <v>1</v>
      </c>
      <c r="C694" s="93">
        <v>46053</v>
      </c>
      <c r="D694" s="308">
        <v>46053</v>
      </c>
      <c r="E694" s="325">
        <v>46058</v>
      </c>
      <c r="F694" s="183" t="s">
        <v>77</v>
      </c>
      <c r="G694" s="307"/>
      <c r="H694" s="307"/>
      <c r="I694" s="307"/>
      <c r="J694" s="307">
        <v>999.11</v>
      </c>
      <c r="K694" s="144" t="s">
        <v>1641</v>
      </c>
      <c r="L694" s="144"/>
      <c r="M694" s="144" t="s">
        <v>386</v>
      </c>
      <c r="N694" s="144" t="s">
        <v>387</v>
      </c>
      <c r="O694" s="134" t="str">
        <f>_xlfn.XLOOKUP(N694,[1]!costcategory[Account Code],[1]!costcategory[Cost Category],"ERROR")</f>
        <v>Headcount Costs</v>
      </c>
      <c r="P694" s="144" t="s">
        <v>354</v>
      </c>
      <c r="Q694" s="147" t="str">
        <f>_xlfn.XLOOKUP(P694,[1]!Table2[Department],[1]!Table2[Group],"ERROR")</f>
        <v>Sales &amp; Marketing</v>
      </c>
      <c r="R694" s="116"/>
      <c r="S694" s="116"/>
      <c r="T694" s="116"/>
      <c r="U694" s="144"/>
      <c r="V694" s="4"/>
      <c r="W694" s="2"/>
    </row>
    <row r="695" spans="1:23" hidden="1" x14ac:dyDescent="0.2">
      <c r="A695" s="183" t="s">
        <v>15</v>
      </c>
      <c r="B695" s="183" t="s">
        <v>1</v>
      </c>
      <c r="C695" s="93">
        <v>46053</v>
      </c>
      <c r="D695" s="308">
        <v>46053</v>
      </c>
      <c r="E695" s="325">
        <v>46058</v>
      </c>
      <c r="F695" s="183" t="s">
        <v>77</v>
      </c>
      <c r="G695" s="307"/>
      <c r="H695" s="307"/>
      <c r="I695" s="307"/>
      <c r="J695" s="307">
        <v>856.8</v>
      </c>
      <c r="K695" s="144" t="s">
        <v>1641</v>
      </c>
      <c r="L695" s="144"/>
      <c r="M695" s="144" t="s">
        <v>1736</v>
      </c>
      <c r="N695" s="144" t="s">
        <v>364</v>
      </c>
      <c r="O695" s="134" t="str">
        <f>_xlfn.XLOOKUP(N695,[1]!costcategory[Account Code],[1]!costcategory[Cost Category],"ERROR")</f>
        <v>Headcount Costs</v>
      </c>
      <c r="P695" s="144" t="s">
        <v>354</v>
      </c>
      <c r="Q695" s="147" t="str">
        <f>_xlfn.XLOOKUP(P695,[1]!Table2[Department],[1]!Table2[Group],"ERROR")</f>
        <v>Sales &amp; Marketing</v>
      </c>
      <c r="R695" s="116"/>
      <c r="S695" s="116"/>
      <c r="T695" s="116"/>
      <c r="U695" s="144"/>
      <c r="V695" s="4"/>
      <c r="W695" s="2"/>
    </row>
    <row r="696" spans="1:23" hidden="1" x14ac:dyDescent="0.2">
      <c r="A696" s="183" t="s">
        <v>15</v>
      </c>
      <c r="B696" s="183" t="s">
        <v>1</v>
      </c>
      <c r="C696" s="93">
        <v>46053</v>
      </c>
      <c r="D696" s="308">
        <v>46053</v>
      </c>
      <c r="E696" s="325">
        <v>46058</v>
      </c>
      <c r="F696" s="183" t="s">
        <v>77</v>
      </c>
      <c r="G696" s="307"/>
      <c r="H696" s="307"/>
      <c r="I696" s="307"/>
      <c r="J696" s="307">
        <v>3053.23</v>
      </c>
      <c r="K696" s="144" t="s">
        <v>1641</v>
      </c>
      <c r="L696" s="144"/>
      <c r="M696" s="144" t="s">
        <v>386</v>
      </c>
      <c r="N696" s="144" t="s">
        <v>387</v>
      </c>
      <c r="O696" s="134" t="str">
        <f>_xlfn.XLOOKUP(N696,[1]!costcategory[Account Code],[1]!costcategory[Cost Category],"ERROR")</f>
        <v>Headcount Costs</v>
      </c>
      <c r="P696" s="144" t="s">
        <v>45</v>
      </c>
      <c r="Q696" s="147" t="str">
        <f>_xlfn.XLOOKUP(P696,[1]!Table2[Department],[1]!Table2[Group],"ERROR")</f>
        <v>DSC</v>
      </c>
      <c r="R696" s="116"/>
      <c r="S696" s="116"/>
      <c r="T696" s="116"/>
      <c r="U696" s="144"/>
      <c r="V696" s="4"/>
      <c r="W696" s="2"/>
    </row>
    <row r="697" spans="1:23" hidden="1" x14ac:dyDescent="0.2">
      <c r="A697" s="183" t="s">
        <v>15</v>
      </c>
      <c r="B697" s="183" t="s">
        <v>1</v>
      </c>
      <c r="C697" s="93">
        <v>46053</v>
      </c>
      <c r="D697" s="308">
        <v>46053</v>
      </c>
      <c r="E697" s="325">
        <v>46058</v>
      </c>
      <c r="F697" s="183" t="s">
        <v>77</v>
      </c>
      <c r="G697" s="307"/>
      <c r="H697" s="307"/>
      <c r="I697" s="307"/>
      <c r="J697" s="307">
        <v>2743.81</v>
      </c>
      <c r="K697" s="144" t="s">
        <v>1641</v>
      </c>
      <c r="L697" s="144"/>
      <c r="M697" s="144" t="s">
        <v>1736</v>
      </c>
      <c r="N697" s="144" t="s">
        <v>364</v>
      </c>
      <c r="O697" s="134" t="str">
        <f>_xlfn.XLOOKUP(N697,[1]!costcategory[Account Code],[1]!costcategory[Cost Category],"ERROR")</f>
        <v>Headcount Costs</v>
      </c>
      <c r="P697" s="144" t="s">
        <v>45</v>
      </c>
      <c r="Q697" s="147" t="str">
        <f>_xlfn.XLOOKUP(P697,[1]!Table2[Department],[1]!Table2[Group],"ERROR")</f>
        <v>DSC</v>
      </c>
      <c r="R697" s="116"/>
      <c r="S697" s="116"/>
      <c r="T697" s="116"/>
      <c r="U697" s="144"/>
      <c r="V697" s="4"/>
      <c r="W697" s="2"/>
    </row>
    <row r="698" spans="1:23" hidden="1" x14ac:dyDescent="0.2">
      <c r="A698" s="183" t="s">
        <v>15</v>
      </c>
      <c r="B698" s="183" t="s">
        <v>1</v>
      </c>
      <c r="C698" s="93">
        <v>46053</v>
      </c>
      <c r="D698" s="308">
        <v>46053</v>
      </c>
      <c r="E698" s="325">
        <v>46058</v>
      </c>
      <c r="F698" s="183" t="s">
        <v>77</v>
      </c>
      <c r="G698" s="307"/>
      <c r="H698" s="307"/>
      <c r="I698" s="307"/>
      <c r="J698" s="307">
        <v>1262.08</v>
      </c>
      <c r="K698" s="144" t="s">
        <v>1641</v>
      </c>
      <c r="L698" s="144"/>
      <c r="M698" s="144" t="s">
        <v>386</v>
      </c>
      <c r="N698" s="144" t="s">
        <v>387</v>
      </c>
      <c r="O698" s="134" t="str">
        <f>_xlfn.XLOOKUP(N698,[1]!costcategory[Account Code],[1]!costcategory[Cost Category],"ERROR")</f>
        <v>Headcount Costs</v>
      </c>
      <c r="P698" s="144" t="s">
        <v>658</v>
      </c>
      <c r="Q698" s="147" t="str">
        <f>_xlfn.XLOOKUP(P698,[1]!Table2[Department],[1]!Table2[Group],"ERROR")</f>
        <v>Sales &amp; Marketing</v>
      </c>
      <c r="R698" s="116"/>
      <c r="S698" s="116"/>
      <c r="T698" s="116"/>
      <c r="U698" s="144"/>
      <c r="V698" s="4"/>
      <c r="W698" s="2"/>
    </row>
    <row r="699" spans="1:23" hidden="1" x14ac:dyDescent="0.2">
      <c r="A699" s="183" t="s">
        <v>15</v>
      </c>
      <c r="B699" s="183" t="s">
        <v>1</v>
      </c>
      <c r="C699" s="93">
        <v>46053</v>
      </c>
      <c r="D699" s="308">
        <v>46053</v>
      </c>
      <c r="E699" s="325">
        <v>46058</v>
      </c>
      <c r="F699" s="183" t="s">
        <v>77</v>
      </c>
      <c r="G699" s="307"/>
      <c r="H699" s="307"/>
      <c r="I699" s="307"/>
      <c r="J699" s="307">
        <v>1088.47</v>
      </c>
      <c r="K699" s="144" t="s">
        <v>1641</v>
      </c>
      <c r="L699" s="144"/>
      <c r="M699" s="144" t="s">
        <v>1736</v>
      </c>
      <c r="N699" s="144" t="s">
        <v>364</v>
      </c>
      <c r="O699" s="134" t="str">
        <f>_xlfn.XLOOKUP(N699,[1]!costcategory[Account Code],[1]!costcategory[Cost Category],"ERROR")</f>
        <v>Headcount Costs</v>
      </c>
      <c r="P699" s="144" t="s">
        <v>658</v>
      </c>
      <c r="Q699" s="147" t="str">
        <f>_xlfn.XLOOKUP(P699,[1]!Table2[Department],[1]!Table2[Group],"ERROR")</f>
        <v>Sales &amp; Marketing</v>
      </c>
      <c r="R699" s="116"/>
      <c r="S699" s="116"/>
      <c r="T699" s="116"/>
      <c r="U699" s="144"/>
      <c r="V699" s="4"/>
      <c r="W699" s="2"/>
    </row>
    <row r="700" spans="1:23" hidden="1" x14ac:dyDescent="0.2">
      <c r="A700" s="183" t="s">
        <v>15</v>
      </c>
      <c r="B700" s="183" t="s">
        <v>1</v>
      </c>
      <c r="C700" s="93">
        <v>46053</v>
      </c>
      <c r="D700" s="308">
        <v>46053</v>
      </c>
      <c r="E700" s="325">
        <v>46058</v>
      </c>
      <c r="F700" s="183" t="s">
        <v>77</v>
      </c>
      <c r="G700" s="307"/>
      <c r="H700" s="307"/>
      <c r="I700" s="307"/>
      <c r="J700" s="307">
        <v>2421.0100000000002</v>
      </c>
      <c r="K700" s="144" t="s">
        <v>1641</v>
      </c>
      <c r="L700" s="144"/>
      <c r="M700" s="144" t="s">
        <v>386</v>
      </c>
      <c r="N700" s="144" t="s">
        <v>387</v>
      </c>
      <c r="O700" s="134" t="str">
        <f>_xlfn.XLOOKUP(N700,[1]!costcategory[Account Code],[1]!costcategory[Cost Category],"ERROR")</f>
        <v>Headcount Costs</v>
      </c>
      <c r="P700" s="144" t="s">
        <v>350</v>
      </c>
      <c r="Q700" s="147" t="str">
        <f>_xlfn.XLOOKUP(P700,[1]!Table2[Department],[1]!Table2[Group],"ERROR")</f>
        <v>General &amp; Administrative</v>
      </c>
      <c r="R700" s="116"/>
      <c r="S700" s="116"/>
      <c r="T700" s="116"/>
      <c r="U700" s="144"/>
      <c r="V700" s="4"/>
      <c r="W700" s="2"/>
    </row>
    <row r="701" spans="1:23" hidden="1" x14ac:dyDescent="0.2">
      <c r="A701" s="183" t="s">
        <v>15</v>
      </c>
      <c r="B701" s="183" t="s">
        <v>1</v>
      </c>
      <c r="C701" s="93">
        <v>46053</v>
      </c>
      <c r="D701" s="308">
        <v>46053</v>
      </c>
      <c r="E701" s="325">
        <v>46058</v>
      </c>
      <c r="F701" s="183" t="s">
        <v>77</v>
      </c>
      <c r="G701" s="307"/>
      <c r="H701" s="307"/>
      <c r="I701" s="307"/>
      <c r="J701" s="307">
        <v>2072.62</v>
      </c>
      <c r="K701" s="144" t="s">
        <v>1641</v>
      </c>
      <c r="L701" s="144"/>
      <c r="M701" s="144" t="s">
        <v>1736</v>
      </c>
      <c r="N701" s="144" t="s">
        <v>364</v>
      </c>
      <c r="O701" s="134" t="str">
        <f>_xlfn.XLOOKUP(N701,[1]!costcategory[Account Code],[1]!costcategory[Cost Category],"ERROR")</f>
        <v>Headcount Costs</v>
      </c>
      <c r="P701" s="144" t="s">
        <v>350</v>
      </c>
      <c r="Q701" s="147" t="str">
        <f>_xlfn.XLOOKUP(P701,[1]!Table2[Department],[1]!Table2[Group],"ERROR")</f>
        <v>General &amp; Administrative</v>
      </c>
      <c r="R701" s="116"/>
      <c r="S701" s="116"/>
      <c r="T701" s="116"/>
      <c r="U701" s="144"/>
      <c r="V701" s="4"/>
      <c r="W701" s="2"/>
    </row>
    <row r="702" spans="1:23" hidden="1" x14ac:dyDescent="0.2">
      <c r="A702" s="183" t="s">
        <v>15</v>
      </c>
      <c r="B702" s="183" t="s">
        <v>1</v>
      </c>
      <c r="C702" s="93">
        <v>46053</v>
      </c>
      <c r="D702" s="308">
        <v>46053</v>
      </c>
      <c r="E702" s="325">
        <v>46058</v>
      </c>
      <c r="F702" s="183" t="s">
        <v>77</v>
      </c>
      <c r="G702" s="307"/>
      <c r="H702" s="307"/>
      <c r="I702" s="307"/>
      <c r="J702" s="307">
        <v>8.86</v>
      </c>
      <c r="K702" s="144" t="s">
        <v>1641</v>
      </c>
      <c r="L702" s="144"/>
      <c r="M702" s="144" t="s">
        <v>1736</v>
      </c>
      <c r="N702" s="144" t="s">
        <v>364</v>
      </c>
      <c r="O702" s="134" t="str">
        <f>_xlfn.XLOOKUP(N702,[1]!costcategory[Account Code],[1]!costcategory[Cost Category],"ERROR")</f>
        <v>Headcount Costs</v>
      </c>
      <c r="P702" s="144" t="s">
        <v>523</v>
      </c>
      <c r="Q702" s="147" t="str">
        <f>_xlfn.XLOOKUP(P702,[1]!Table2[Department],[1]!Table2[Group],"ERROR")</f>
        <v>General &amp; Administrative</v>
      </c>
      <c r="R702" s="116"/>
      <c r="S702" s="116"/>
      <c r="T702" s="116"/>
      <c r="U702" s="144"/>
      <c r="V702" s="4"/>
      <c r="W702" s="2"/>
    </row>
    <row r="703" spans="1:23" hidden="1" x14ac:dyDescent="0.2">
      <c r="A703" s="183" t="s">
        <v>15</v>
      </c>
      <c r="B703" s="183" t="s">
        <v>1</v>
      </c>
      <c r="C703" s="93">
        <v>46053</v>
      </c>
      <c r="D703" s="308">
        <v>46053</v>
      </c>
      <c r="E703" s="325">
        <v>46058</v>
      </c>
      <c r="F703" s="183" t="s">
        <v>77</v>
      </c>
      <c r="G703" s="307"/>
      <c r="H703" s="307"/>
      <c r="I703" s="307"/>
      <c r="J703" s="307">
        <v>2960.72</v>
      </c>
      <c r="K703" s="144" t="s">
        <v>1641</v>
      </c>
      <c r="L703" s="144"/>
      <c r="M703" s="144" t="s">
        <v>386</v>
      </c>
      <c r="N703" s="144" t="s">
        <v>387</v>
      </c>
      <c r="O703" s="134" t="str">
        <f>_xlfn.XLOOKUP(N703,[1]!costcategory[Account Code],[1]!costcategory[Cost Category],"ERROR")</f>
        <v>Headcount Costs</v>
      </c>
      <c r="P703" s="144" t="s">
        <v>56</v>
      </c>
      <c r="Q703" s="147" t="str">
        <f>_xlfn.XLOOKUP(P703,[1]!Table2[Department],[1]!Table2[Group],"ERROR")</f>
        <v>Research &amp; Development</v>
      </c>
      <c r="R703" s="116"/>
      <c r="S703" s="116"/>
      <c r="T703" s="116"/>
      <c r="U703" s="144"/>
      <c r="V703" s="4"/>
      <c r="W703" s="2"/>
    </row>
    <row r="704" spans="1:23" hidden="1" x14ac:dyDescent="0.2">
      <c r="A704" s="183" t="s">
        <v>15</v>
      </c>
      <c r="B704" s="183" t="s">
        <v>1</v>
      </c>
      <c r="C704" s="93">
        <v>46053</v>
      </c>
      <c r="D704" s="308">
        <v>46053</v>
      </c>
      <c r="E704" s="325">
        <v>46058</v>
      </c>
      <c r="F704" s="183" t="s">
        <v>77</v>
      </c>
      <c r="G704" s="307"/>
      <c r="H704" s="307"/>
      <c r="I704" s="307"/>
      <c r="J704" s="307">
        <v>2547.77</v>
      </c>
      <c r="K704" s="144" t="s">
        <v>1641</v>
      </c>
      <c r="L704" s="144"/>
      <c r="M704" s="144" t="s">
        <v>1736</v>
      </c>
      <c r="N704" s="144" t="s">
        <v>364</v>
      </c>
      <c r="O704" s="134" t="str">
        <f>_xlfn.XLOOKUP(N704,[1]!costcategory[Account Code],[1]!costcategory[Cost Category],"ERROR")</f>
        <v>Headcount Costs</v>
      </c>
      <c r="P704" s="144" t="s">
        <v>56</v>
      </c>
      <c r="Q704" s="147" t="str">
        <f>_xlfn.XLOOKUP(P704,[1]!Table2[Department],[1]!Table2[Group],"ERROR")</f>
        <v>Research &amp; Development</v>
      </c>
      <c r="R704" s="116"/>
      <c r="S704" s="116"/>
      <c r="T704" s="116"/>
      <c r="U704" s="144"/>
      <c r="V704" s="4"/>
      <c r="W704" s="2"/>
    </row>
    <row r="705" spans="1:23" hidden="1" x14ac:dyDescent="0.2">
      <c r="A705" s="183" t="s">
        <v>15</v>
      </c>
      <c r="B705" s="183" t="s">
        <v>1</v>
      </c>
      <c r="C705" s="93">
        <v>46053</v>
      </c>
      <c r="D705" s="308">
        <v>46053</v>
      </c>
      <c r="E705" s="325">
        <v>46058</v>
      </c>
      <c r="F705" s="183" t="s">
        <v>77</v>
      </c>
      <c r="G705" s="307"/>
      <c r="H705" s="307"/>
      <c r="I705" s="307"/>
      <c r="J705" s="307">
        <v>8.86</v>
      </c>
      <c r="K705" s="144" t="s">
        <v>1641</v>
      </c>
      <c r="L705" s="144"/>
      <c r="M705" s="144" t="s">
        <v>1736</v>
      </c>
      <c r="N705" s="144" t="s">
        <v>364</v>
      </c>
      <c r="O705" s="134" t="str">
        <f>_xlfn.XLOOKUP(N705,[1]!costcategory[Account Code],[1]!costcategory[Cost Category],"ERROR")</f>
        <v>Headcount Costs</v>
      </c>
      <c r="P705" s="144" t="s">
        <v>57</v>
      </c>
      <c r="Q705" s="147" t="str">
        <f>_xlfn.XLOOKUP(P705,[1]!Table2[Department],[1]!Table2[Group],"ERROR")</f>
        <v>Research &amp; Development</v>
      </c>
      <c r="R705" s="116"/>
      <c r="S705" s="116"/>
      <c r="T705" s="116"/>
      <c r="U705" s="144"/>
      <c r="V705" s="4"/>
      <c r="W705" s="2"/>
    </row>
    <row r="706" spans="1:23" hidden="1" x14ac:dyDescent="0.2">
      <c r="A706" s="183" t="s">
        <v>15</v>
      </c>
      <c r="B706" s="183" t="s">
        <v>1</v>
      </c>
      <c r="C706" s="93">
        <v>46053</v>
      </c>
      <c r="D706" s="308">
        <v>46053</v>
      </c>
      <c r="E706" s="325">
        <v>46058</v>
      </c>
      <c r="F706" s="183" t="s">
        <v>77</v>
      </c>
      <c r="G706" s="307"/>
      <c r="H706" s="307"/>
      <c r="I706" s="307"/>
      <c r="J706" s="307">
        <v>17.71</v>
      </c>
      <c r="K706" s="144" t="s">
        <v>1641</v>
      </c>
      <c r="L706" s="144"/>
      <c r="M706" s="144" t="s">
        <v>1736</v>
      </c>
      <c r="N706" s="144" t="s">
        <v>364</v>
      </c>
      <c r="O706" s="134" t="str">
        <f>_xlfn.XLOOKUP(N706,[1]!costcategory[Account Code],[1]!costcategory[Cost Category],"ERROR")</f>
        <v>Headcount Costs</v>
      </c>
      <c r="P706" s="144" t="s">
        <v>59</v>
      </c>
      <c r="Q706" s="147" t="str">
        <f>_xlfn.XLOOKUP(P706,[1]!Table2[Department],[1]!Table2[Group],"ERROR")</f>
        <v>Research &amp; Development</v>
      </c>
      <c r="R706" s="116"/>
      <c r="S706" s="116"/>
      <c r="T706" s="116"/>
      <c r="U706" s="144"/>
      <c r="V706" s="4"/>
      <c r="W706" s="2"/>
    </row>
    <row r="707" spans="1:23" hidden="1" x14ac:dyDescent="0.2">
      <c r="A707" s="183" t="s">
        <v>15</v>
      </c>
      <c r="B707" s="183" t="s">
        <v>1</v>
      </c>
      <c r="C707" s="93">
        <v>46053</v>
      </c>
      <c r="D707" s="308">
        <v>46053</v>
      </c>
      <c r="E707" s="325">
        <v>46058</v>
      </c>
      <c r="F707" s="183" t="s">
        <v>77</v>
      </c>
      <c r="G707" s="307"/>
      <c r="H707" s="307"/>
      <c r="I707" s="307"/>
      <c r="J707" s="307">
        <v>1925.79</v>
      </c>
      <c r="K707" s="144" t="s">
        <v>1641</v>
      </c>
      <c r="L707" s="144"/>
      <c r="M707" s="144" t="s">
        <v>386</v>
      </c>
      <c r="N707" s="144" t="s">
        <v>387</v>
      </c>
      <c r="O707" s="134" t="str">
        <f>_xlfn.XLOOKUP(N707,[1]!costcategory[Account Code],[1]!costcategory[Cost Category],"ERROR")</f>
        <v>Headcount Costs</v>
      </c>
      <c r="P707" s="144" t="s">
        <v>438</v>
      </c>
      <c r="Q707" s="147" t="str">
        <f>_xlfn.XLOOKUP(P707,[1]!Table2[Department],[1]!Table2[Group],"ERROR")</f>
        <v>Sales &amp; Marketing</v>
      </c>
      <c r="R707" s="116"/>
      <c r="S707" s="116"/>
      <c r="T707" s="116"/>
      <c r="U707" s="144"/>
      <c r="V707" s="4"/>
      <c r="W707" s="2"/>
    </row>
    <row r="708" spans="1:23" hidden="1" x14ac:dyDescent="0.2">
      <c r="A708" s="183" t="s">
        <v>15</v>
      </c>
      <c r="B708" s="183" t="s">
        <v>1</v>
      </c>
      <c r="C708" s="93">
        <v>46053</v>
      </c>
      <c r="D708" s="308">
        <v>46053</v>
      </c>
      <c r="E708" s="325">
        <v>46058</v>
      </c>
      <c r="F708" s="183" t="s">
        <v>77</v>
      </c>
      <c r="G708" s="307"/>
      <c r="H708" s="307"/>
      <c r="I708" s="307"/>
      <c r="J708" s="307">
        <v>1812.81</v>
      </c>
      <c r="K708" s="144" t="s">
        <v>1641</v>
      </c>
      <c r="L708" s="144"/>
      <c r="M708" s="144" t="s">
        <v>1736</v>
      </c>
      <c r="N708" s="144" t="s">
        <v>364</v>
      </c>
      <c r="O708" s="134" t="str">
        <f>_xlfn.XLOOKUP(N708,[1]!costcategory[Account Code],[1]!costcategory[Cost Category],"ERROR")</f>
        <v>Headcount Costs</v>
      </c>
      <c r="P708" s="144" t="s">
        <v>438</v>
      </c>
      <c r="Q708" s="147" t="str">
        <f>_xlfn.XLOOKUP(P708,[1]!Table2[Department],[1]!Table2[Group],"ERROR")</f>
        <v>Sales &amp; Marketing</v>
      </c>
      <c r="R708" s="116"/>
      <c r="S708" s="116"/>
      <c r="T708" s="116"/>
      <c r="U708" s="144"/>
      <c r="V708" s="4"/>
      <c r="W708" s="2"/>
    </row>
    <row r="709" spans="1:23" hidden="1" x14ac:dyDescent="0.2">
      <c r="A709" s="2" t="s">
        <v>15</v>
      </c>
      <c r="B709" s="2" t="s">
        <v>1</v>
      </c>
      <c r="C709" s="93">
        <v>46058</v>
      </c>
      <c r="D709" s="3">
        <v>46058</v>
      </c>
      <c r="E709" s="126">
        <v>46058</v>
      </c>
      <c r="F709" s="2" t="s">
        <v>77</v>
      </c>
      <c r="G709" s="300">
        <v>30202.5</v>
      </c>
      <c r="H709" s="300">
        <v>0</v>
      </c>
      <c r="I709" s="300">
        <v>30202.5</v>
      </c>
      <c r="J709" s="300">
        <v>23259.701242493658</v>
      </c>
      <c r="K709" s="4" t="s">
        <v>672</v>
      </c>
      <c r="L709" s="4" t="s">
        <v>741</v>
      </c>
      <c r="M709" s="4" t="s">
        <v>742</v>
      </c>
      <c r="N709" s="4" t="s">
        <v>387</v>
      </c>
      <c r="O709" s="134" t="str">
        <f>_xlfn.XLOOKUP(N709,[1]!costcategory[Account Code],[1]!costcategory[Cost Category],"ERROR")</f>
        <v>Headcount Costs</v>
      </c>
      <c r="P709" s="4" t="s">
        <v>350</v>
      </c>
      <c r="Q709" s="147" t="str">
        <f>_xlfn.XLOOKUP(P709,[1]!Table2[Department],[1]!Table2[Group],"ERROR")</f>
        <v>General &amp; Administrative</v>
      </c>
      <c r="V709" s="4"/>
      <c r="W709" s="2"/>
    </row>
    <row r="710" spans="1:23" hidden="1" x14ac:dyDescent="0.2">
      <c r="A710" s="2" t="s">
        <v>15</v>
      </c>
      <c r="B710" s="2" t="s">
        <v>1</v>
      </c>
      <c r="C710" s="93">
        <v>46058</v>
      </c>
      <c r="D710" s="3">
        <v>46058</v>
      </c>
      <c r="E710" s="126">
        <v>46062</v>
      </c>
      <c r="F710" s="2" t="s">
        <v>77</v>
      </c>
      <c r="G710" s="300">
        <v>1074.7</v>
      </c>
      <c r="H710" s="300">
        <v>96.72</v>
      </c>
      <c r="I710" s="300">
        <v>1171.42</v>
      </c>
      <c r="J710" s="300">
        <v>902.13986357029796</v>
      </c>
      <c r="K710" s="4" t="s">
        <v>1735</v>
      </c>
      <c r="L710" s="4" t="s">
        <v>743</v>
      </c>
      <c r="M710" s="4" t="s">
        <v>1735</v>
      </c>
      <c r="N710" s="4" t="s">
        <v>390</v>
      </c>
      <c r="O710" s="134" t="str">
        <f>_xlfn.XLOOKUP(N710,[1]!costcategory[Account Code],[1]!costcategory[Cost Category],"ERROR")</f>
        <v>Employee Benefits</v>
      </c>
      <c r="P710" s="4" t="s">
        <v>523</v>
      </c>
      <c r="Q710" s="147" t="str">
        <f>_xlfn.XLOOKUP(P710,[1]!Table2[Department],[1]!Table2[Group],"ERROR")</f>
        <v>General &amp; Administrative</v>
      </c>
      <c r="R710" t="s">
        <v>459</v>
      </c>
      <c r="S710" t="s">
        <v>676</v>
      </c>
      <c r="V710" s="4"/>
      <c r="W710" s="2"/>
    </row>
    <row r="711" spans="1:23" hidden="1" x14ac:dyDescent="0.2">
      <c r="A711" s="2" t="s">
        <v>15</v>
      </c>
      <c r="B711" s="2" t="s">
        <v>1</v>
      </c>
      <c r="C711" s="93">
        <v>46066</v>
      </c>
      <c r="D711" s="3">
        <v>46066</v>
      </c>
      <c r="E711" s="126">
        <v>46066</v>
      </c>
      <c r="F711" s="2" t="s">
        <v>77</v>
      </c>
      <c r="G711" s="300">
        <v>11.56</v>
      </c>
      <c r="H711" s="300">
        <v>1.04</v>
      </c>
      <c r="I711" s="300">
        <v>12.600000000000001</v>
      </c>
      <c r="J711" s="300">
        <v>9.7035753879784838</v>
      </c>
      <c r="K711" s="4" t="s">
        <v>525</v>
      </c>
      <c r="L711" s="4" t="s">
        <v>525</v>
      </c>
      <c r="M711" s="4" t="s">
        <v>474</v>
      </c>
      <c r="N711" s="4" t="s">
        <v>475</v>
      </c>
      <c r="O711" s="134" t="str">
        <f>_xlfn.XLOOKUP(N711,[1]!costcategory[Account Code],[1]!costcategory[Cost Category],"ERROR")</f>
        <v>Travelling Expenses</v>
      </c>
      <c r="P711" s="4" t="s">
        <v>523</v>
      </c>
      <c r="Q711" s="147" t="str">
        <f>_xlfn.XLOOKUP(P711,[1]!Table2[Department],[1]!Table2[Group],"ERROR")</f>
        <v>General &amp; Administrative</v>
      </c>
      <c r="V711" s="4"/>
      <c r="W711" s="2"/>
    </row>
    <row r="712" spans="1:23" hidden="1" x14ac:dyDescent="0.2">
      <c r="A712" s="2" t="s">
        <v>15</v>
      </c>
      <c r="B712" s="2" t="s">
        <v>1</v>
      </c>
      <c r="C712" s="93">
        <v>46066</v>
      </c>
      <c r="D712" s="3">
        <v>46066</v>
      </c>
      <c r="E712" s="126">
        <v>46066</v>
      </c>
      <c r="F712" s="2" t="s">
        <v>77</v>
      </c>
      <c r="G712" s="300">
        <v>2903.11</v>
      </c>
      <c r="H712" s="300">
        <v>96.89</v>
      </c>
      <c r="I712" s="300">
        <v>3000</v>
      </c>
      <c r="J712" s="300">
        <v>2310.3750923758294</v>
      </c>
      <c r="K712" s="4" t="s">
        <v>525</v>
      </c>
      <c r="L712" s="4" t="s">
        <v>525</v>
      </c>
      <c r="M712" s="4" t="s">
        <v>476</v>
      </c>
      <c r="N712" s="4" t="s">
        <v>339</v>
      </c>
      <c r="O712" s="134" t="str">
        <f>_xlfn.XLOOKUP(N712,[1]!costcategory[Account Code],[1]!costcategory[Cost Category],"ERROR")</f>
        <v>Travelling Expenses</v>
      </c>
      <c r="P712" s="4" t="s">
        <v>438</v>
      </c>
      <c r="Q712" s="147" t="str">
        <f>_xlfn.XLOOKUP(P712,[1]!Table2[Department],[1]!Table2[Group],"ERROR")</f>
        <v>Sales &amp; Marketing</v>
      </c>
      <c r="V712" s="4"/>
      <c r="W712" s="2"/>
    </row>
    <row r="713" spans="1:23" hidden="1" x14ac:dyDescent="0.2">
      <c r="A713" s="2" t="s">
        <v>15</v>
      </c>
      <c r="B713" s="2" t="s">
        <v>1</v>
      </c>
      <c r="C713" s="93">
        <v>46066</v>
      </c>
      <c r="D713" s="3">
        <v>46066</v>
      </c>
      <c r="E713" s="126">
        <v>46066</v>
      </c>
      <c r="F713" s="2" t="s">
        <v>77</v>
      </c>
      <c r="G713" s="300">
        <v>153.63999999999999</v>
      </c>
      <c r="H713" s="300">
        <v>0</v>
      </c>
      <c r="I713" s="300">
        <v>153.63999999999999</v>
      </c>
      <c r="J713" s="300">
        <v>118.32200973087411</v>
      </c>
      <c r="K713" s="4" t="s">
        <v>525</v>
      </c>
      <c r="L713" s="4" t="s">
        <v>525</v>
      </c>
      <c r="M713" s="4" t="s">
        <v>744</v>
      </c>
      <c r="N713" s="4" t="s">
        <v>464</v>
      </c>
      <c r="O713" s="134" t="str">
        <f>_xlfn.XLOOKUP(N713,[1]!costcategory[Account Code],[1]!costcategory[Cost Category],"ERROR")</f>
        <v>Accrual - Expenses of 2025</v>
      </c>
      <c r="P713" s="4" t="s">
        <v>56</v>
      </c>
      <c r="Q713" s="147" t="str">
        <f>_xlfn.XLOOKUP(P713,[1]!Table2[Department],[1]!Table2[Group],"ERROR")</f>
        <v>Research &amp; Development</v>
      </c>
      <c r="U713" s="4" t="s">
        <v>745</v>
      </c>
      <c r="V713" s="4"/>
      <c r="W713" s="2"/>
    </row>
    <row r="714" spans="1:23" hidden="1" x14ac:dyDescent="0.2">
      <c r="A714" s="2" t="s">
        <v>15</v>
      </c>
      <c r="B714" s="2" t="s">
        <v>1</v>
      </c>
      <c r="C714" s="93">
        <v>46066</v>
      </c>
      <c r="D714" s="3">
        <v>46066</v>
      </c>
      <c r="E714" s="126">
        <v>46066</v>
      </c>
      <c r="F714" s="2" t="s">
        <v>77</v>
      </c>
      <c r="G714" s="300">
        <v>454.48</v>
      </c>
      <c r="H714" s="300">
        <v>25.09</v>
      </c>
      <c r="I714" s="300">
        <v>479.57</v>
      </c>
      <c r="J714" s="300">
        <v>369.32886101689212</v>
      </c>
      <c r="K714" s="4" t="s">
        <v>525</v>
      </c>
      <c r="L714" s="4" t="s">
        <v>525</v>
      </c>
      <c r="M714" s="4" t="s">
        <v>389</v>
      </c>
      <c r="N714" s="4" t="s">
        <v>684</v>
      </c>
      <c r="O714" s="134" t="str">
        <f>_xlfn.XLOOKUP(N714,[1]!costcategory[Account Code],[1]!costcategory[Cost Category],"ERROR")</f>
        <v>Sales Expenses</v>
      </c>
      <c r="P714" s="4" t="s">
        <v>523</v>
      </c>
      <c r="Q714" s="147" t="str">
        <f>_xlfn.XLOOKUP(P714,[1]!Table2[Department],[1]!Table2[Group],"ERROR")</f>
        <v>General &amp; Administrative</v>
      </c>
      <c r="V714" s="4"/>
      <c r="W714" s="2"/>
    </row>
    <row r="715" spans="1:23" hidden="1" x14ac:dyDescent="0.2">
      <c r="A715" s="2" t="s">
        <v>15</v>
      </c>
      <c r="B715" s="2" t="s">
        <v>1</v>
      </c>
      <c r="C715" s="93">
        <v>46066</v>
      </c>
      <c r="D715" s="3">
        <v>46066</v>
      </c>
      <c r="E715" s="126">
        <v>46066</v>
      </c>
      <c r="F715" s="2" t="s">
        <v>77</v>
      </c>
      <c r="G715" s="300">
        <v>184.82</v>
      </c>
      <c r="H715" s="300">
        <v>16.63</v>
      </c>
      <c r="I715" s="300">
        <v>201.45</v>
      </c>
      <c r="J715" s="300">
        <v>218.07999999999998</v>
      </c>
      <c r="K715" s="4" t="s">
        <v>525</v>
      </c>
      <c r="L715" s="4" t="s">
        <v>525</v>
      </c>
      <c r="M715" s="4" t="s">
        <v>526</v>
      </c>
      <c r="N715" s="4" t="s">
        <v>527</v>
      </c>
      <c r="O715" s="134" t="str">
        <f>_xlfn.XLOOKUP(N715,[1]!costcategory[Account Code],[1]!costcategory[Cost Category],"ERROR")</f>
        <v>Sales Expenses</v>
      </c>
      <c r="P715" s="4" t="s">
        <v>438</v>
      </c>
      <c r="Q715" s="147" t="str">
        <f>_xlfn.XLOOKUP(P715,[1]!Table2[Department],[1]!Table2[Group],"ERROR")</f>
        <v>Sales &amp; Marketing</v>
      </c>
      <c r="V715" s="4"/>
      <c r="W715" s="183"/>
    </row>
    <row r="716" spans="1:23" hidden="1" x14ac:dyDescent="0.2">
      <c r="A716" s="2" t="s">
        <v>15</v>
      </c>
      <c r="B716" s="2" t="s">
        <v>1</v>
      </c>
      <c r="C716" s="93">
        <v>46066</v>
      </c>
      <c r="D716" s="3">
        <v>46066</v>
      </c>
      <c r="E716" s="126">
        <v>46066</v>
      </c>
      <c r="F716" s="2" t="s">
        <v>77</v>
      </c>
      <c r="G716" s="300">
        <v>4526.32</v>
      </c>
      <c r="H716" s="300">
        <v>107.39</v>
      </c>
      <c r="I716" s="300">
        <v>4633.71</v>
      </c>
      <c r="J716" s="300">
        <v>4741.1000000000004</v>
      </c>
      <c r="K716" s="4" t="s">
        <v>525</v>
      </c>
      <c r="L716" s="4" t="s">
        <v>525</v>
      </c>
      <c r="M716" s="4" t="s">
        <v>526</v>
      </c>
      <c r="N716" s="4" t="s">
        <v>527</v>
      </c>
      <c r="O716" s="134" t="str">
        <f>_xlfn.XLOOKUP(N716,[1]!costcategory[Account Code],[1]!costcategory[Cost Category],"ERROR")</f>
        <v>Sales Expenses</v>
      </c>
      <c r="P716" s="4" t="s">
        <v>523</v>
      </c>
      <c r="Q716" s="147" t="str">
        <f>_xlfn.XLOOKUP(P716,[1]!Table2[Department],[1]!Table2[Group],"ERROR")</f>
        <v>General &amp; Administrative</v>
      </c>
      <c r="V716" s="4"/>
      <c r="W716" s="183"/>
    </row>
    <row r="717" spans="1:23" hidden="1" x14ac:dyDescent="0.2">
      <c r="A717" s="2" t="s">
        <v>15</v>
      </c>
      <c r="B717" s="2" t="s">
        <v>1</v>
      </c>
      <c r="C717" s="93">
        <v>46066</v>
      </c>
      <c r="D717" s="3">
        <v>46066</v>
      </c>
      <c r="E717" s="126">
        <v>46066</v>
      </c>
      <c r="F717" s="2" t="s">
        <v>77</v>
      </c>
      <c r="G717" s="300">
        <v>260</v>
      </c>
      <c r="H717" s="300">
        <v>0</v>
      </c>
      <c r="I717" s="300">
        <v>260</v>
      </c>
      <c r="J717" s="300">
        <v>200.2325080059052</v>
      </c>
      <c r="K717" s="4" t="s">
        <v>525</v>
      </c>
      <c r="L717" s="4" t="s">
        <v>525</v>
      </c>
      <c r="M717" s="4" t="s">
        <v>345</v>
      </c>
      <c r="N717" s="4" t="s">
        <v>393</v>
      </c>
      <c r="O717" s="134" t="str">
        <f>_xlfn.XLOOKUP(N717,[1]!costcategory[Account Code],[1]!costcategory[Cost Category],"ERROR")</f>
        <v>Employee Benefits</v>
      </c>
      <c r="P717" s="4" t="s">
        <v>523</v>
      </c>
      <c r="Q717" s="147" t="str">
        <f>_xlfn.XLOOKUP(P717,[1]!Table2[Department],[1]!Table2[Group],"ERROR")</f>
        <v>General &amp; Administrative</v>
      </c>
      <c r="V717" s="4"/>
      <c r="W717" s="183"/>
    </row>
    <row r="718" spans="1:23" hidden="1" x14ac:dyDescent="0.2">
      <c r="A718" s="2" t="s">
        <v>15</v>
      </c>
      <c r="B718" s="2" t="s">
        <v>1</v>
      </c>
      <c r="C718" s="93">
        <v>46066</v>
      </c>
      <c r="D718" s="3">
        <v>46066</v>
      </c>
      <c r="E718" s="126">
        <v>46066</v>
      </c>
      <c r="F718" s="2" t="s">
        <v>77</v>
      </c>
      <c r="G718" s="300">
        <v>17.059999999999999</v>
      </c>
      <c r="H718" s="300">
        <v>1.54</v>
      </c>
      <c r="I718" s="300">
        <v>18.599999999999998</v>
      </c>
      <c r="J718" s="300">
        <v>14.324325572730139</v>
      </c>
      <c r="K718" s="4" t="s">
        <v>525</v>
      </c>
      <c r="L718" s="4" t="s">
        <v>525</v>
      </c>
      <c r="M718" s="4" t="s">
        <v>687</v>
      </c>
      <c r="N718" s="4" t="s">
        <v>688</v>
      </c>
      <c r="O718" s="134" t="str">
        <f>_xlfn.XLOOKUP(N718,[1]!costcategory[Account Code],[1]!costcategory[Cost Category],"ERROR")</f>
        <v>Sales Expenses</v>
      </c>
      <c r="P718" s="4" t="s">
        <v>523</v>
      </c>
      <c r="Q718" s="147" t="str">
        <f>_xlfn.XLOOKUP(P718,[1]!Table2[Department],[1]!Table2[Group],"ERROR")</f>
        <v>General &amp; Administrative</v>
      </c>
      <c r="V718" s="4"/>
      <c r="W718" s="183"/>
    </row>
    <row r="719" spans="1:23" hidden="1" x14ac:dyDescent="0.2">
      <c r="A719" s="2" t="s">
        <v>15</v>
      </c>
      <c r="B719" s="2" t="s">
        <v>1</v>
      </c>
      <c r="C719" s="93">
        <v>46066</v>
      </c>
      <c r="D719" s="3">
        <v>46066</v>
      </c>
      <c r="E719" s="126">
        <v>46066</v>
      </c>
      <c r="F719" s="2" t="s">
        <v>77</v>
      </c>
      <c r="G719" s="300">
        <v>28</v>
      </c>
      <c r="H719" s="300">
        <v>0</v>
      </c>
      <c r="I719" s="300">
        <v>28</v>
      </c>
      <c r="J719" s="300">
        <v>21.563500862174404</v>
      </c>
      <c r="K719" s="4" t="s">
        <v>525</v>
      </c>
      <c r="L719" s="4" t="s">
        <v>525</v>
      </c>
      <c r="M719" s="4" t="s">
        <v>348</v>
      </c>
      <c r="N719" s="4" t="s">
        <v>349</v>
      </c>
      <c r="O719" s="134" t="str">
        <f>_xlfn.XLOOKUP(N719,[1]!costcategory[Account Code],[1]!costcategory[Cost Category],"ERROR")</f>
        <v>Employee Benefits</v>
      </c>
      <c r="P719" s="4" t="s">
        <v>59</v>
      </c>
      <c r="Q719" s="147" t="str">
        <f>_xlfn.XLOOKUP(P719,[1]!Table2[Department],[1]!Table2[Group],"ERROR")</f>
        <v>Research &amp; Development</v>
      </c>
      <c r="V719" s="4"/>
      <c r="W719" s="183"/>
    </row>
    <row r="720" spans="1:23" hidden="1" x14ac:dyDescent="0.2">
      <c r="A720" s="2" t="s">
        <v>15</v>
      </c>
      <c r="B720" s="2" t="s">
        <v>1</v>
      </c>
      <c r="C720" s="93">
        <v>46066</v>
      </c>
      <c r="D720" s="3">
        <v>46066</v>
      </c>
      <c r="E720" s="126">
        <v>46066</v>
      </c>
      <c r="F720" s="2" t="s">
        <v>77</v>
      </c>
      <c r="G720" s="300">
        <v>160.87</v>
      </c>
      <c r="H720" s="300">
        <v>11.64</v>
      </c>
      <c r="I720" s="300">
        <v>172.51</v>
      </c>
      <c r="J720" s="300">
        <v>132.8542690619181</v>
      </c>
      <c r="K720" s="4" t="s">
        <v>525</v>
      </c>
      <c r="L720" s="4" t="s">
        <v>525</v>
      </c>
      <c r="M720" s="4" t="s">
        <v>351</v>
      </c>
      <c r="N720" s="4" t="s">
        <v>50</v>
      </c>
      <c r="O720" s="134" t="str">
        <f>_xlfn.XLOOKUP(N720,[1]!costcategory[Account Code],[1]!costcategory[Cost Category],"ERROR")</f>
        <v>Office Supplies</v>
      </c>
      <c r="P720" s="4" t="s">
        <v>340</v>
      </c>
      <c r="Q720" s="147" t="str">
        <f>_xlfn.XLOOKUP(P720,[1]!Table2[Department],[1]!Table2[Group],"ERROR")</f>
        <v>General &amp; Administrative</v>
      </c>
      <c r="V720" s="4"/>
      <c r="W720" s="183"/>
    </row>
    <row r="721" spans="1:23" hidden="1" x14ac:dyDescent="0.2">
      <c r="A721" s="2" t="s">
        <v>15</v>
      </c>
      <c r="B721" s="2" t="s">
        <v>1</v>
      </c>
      <c r="C721" s="93">
        <v>46066</v>
      </c>
      <c r="D721" s="3">
        <v>46066</v>
      </c>
      <c r="E721" s="126">
        <v>46066</v>
      </c>
      <c r="F721" s="2" t="s">
        <v>77</v>
      </c>
      <c r="G721" s="300">
        <v>266.62</v>
      </c>
      <c r="H721" s="300">
        <v>23.99</v>
      </c>
      <c r="I721" s="300">
        <v>290.61</v>
      </c>
      <c r="J721" s="300">
        <v>223.80603519844658</v>
      </c>
      <c r="K721" s="4" t="s">
        <v>525</v>
      </c>
      <c r="L721" s="4" t="s">
        <v>525</v>
      </c>
      <c r="M721" s="4" t="s">
        <v>352</v>
      </c>
      <c r="N721" s="4" t="s">
        <v>391</v>
      </c>
      <c r="O721" s="134" t="str">
        <f>_xlfn.XLOOKUP(N721,[1]!costcategory[Account Code],[1]!costcategory[Cost Category],"ERROR")</f>
        <v>Travelling Expenses</v>
      </c>
      <c r="P721" s="4" t="s">
        <v>59</v>
      </c>
      <c r="Q721" s="147" t="str">
        <f>_xlfn.XLOOKUP(P721,[1]!Table2[Department],[1]!Table2[Group],"ERROR")</f>
        <v>Research &amp; Development</v>
      </c>
      <c r="V721" s="4"/>
      <c r="W721" s="183"/>
    </row>
    <row r="722" spans="1:23" hidden="1" x14ac:dyDescent="0.2">
      <c r="A722" s="2" t="s">
        <v>15</v>
      </c>
      <c r="B722" s="2" t="s">
        <v>1</v>
      </c>
      <c r="C722" s="93">
        <v>46066</v>
      </c>
      <c r="D722" s="3">
        <v>46066</v>
      </c>
      <c r="E722" s="126">
        <v>46066</v>
      </c>
      <c r="F722" s="2" t="s">
        <v>77</v>
      </c>
      <c r="G722" s="300">
        <v>23.84</v>
      </c>
      <c r="H722" s="300">
        <v>0</v>
      </c>
      <c r="I722" s="300">
        <v>23.84</v>
      </c>
      <c r="J722" s="300">
        <v>18.359780734079923</v>
      </c>
      <c r="K722" s="4" t="s">
        <v>525</v>
      </c>
      <c r="L722" s="4" t="s">
        <v>525</v>
      </c>
      <c r="M722" s="4" t="s">
        <v>352</v>
      </c>
      <c r="N722" s="4" t="s">
        <v>391</v>
      </c>
      <c r="O722" s="134" t="str">
        <f>_xlfn.XLOOKUP(N722,[1]!costcategory[Account Code],[1]!costcategory[Cost Category],"ERROR")</f>
        <v>Travelling Expenses</v>
      </c>
      <c r="P722" s="4" t="s">
        <v>523</v>
      </c>
      <c r="Q722" s="147" t="str">
        <f>_xlfn.XLOOKUP(P722,[1]!Table2[Department],[1]!Table2[Group],"ERROR")</f>
        <v>General &amp; Administrative</v>
      </c>
      <c r="V722" s="4"/>
      <c r="W722" s="183"/>
    </row>
    <row r="723" spans="1:23" hidden="1" x14ac:dyDescent="0.2">
      <c r="A723" s="2" t="s">
        <v>15</v>
      </c>
      <c r="B723" s="2" t="s">
        <v>1</v>
      </c>
      <c r="C723" s="93">
        <v>46066</v>
      </c>
      <c r="D723" s="3">
        <v>46066</v>
      </c>
      <c r="E723" s="126">
        <v>46066</v>
      </c>
      <c r="F723" s="2" t="s">
        <v>77</v>
      </c>
      <c r="G723" s="300">
        <v>233.86</v>
      </c>
      <c r="H723" s="300">
        <v>15.09</v>
      </c>
      <c r="I723" s="300">
        <v>248.95000000000002</v>
      </c>
      <c r="J723" s="300">
        <v>191.72262641565425</v>
      </c>
      <c r="K723" s="4" t="s">
        <v>525</v>
      </c>
      <c r="L723" s="4" t="s">
        <v>525</v>
      </c>
      <c r="M723" s="4" t="s">
        <v>355</v>
      </c>
      <c r="N723" s="4" t="s">
        <v>402</v>
      </c>
      <c r="O723" s="134" t="str">
        <f>_xlfn.XLOOKUP(N723,[1]!costcategory[Account Code],[1]!costcategory[Cost Category],"ERROR")</f>
        <v>Travelling Expenses</v>
      </c>
      <c r="P723" s="4" t="s">
        <v>438</v>
      </c>
      <c r="Q723" s="147" t="str">
        <f>_xlfn.XLOOKUP(P723,[1]!Table2[Department],[1]!Table2[Group],"ERROR")</f>
        <v>Sales &amp; Marketing</v>
      </c>
      <c r="V723" s="4"/>
      <c r="W723" s="183"/>
    </row>
    <row r="724" spans="1:23" hidden="1" x14ac:dyDescent="0.2">
      <c r="A724" s="2" t="s">
        <v>15</v>
      </c>
      <c r="B724" s="2" t="s">
        <v>1</v>
      </c>
      <c r="C724" s="93">
        <v>46066</v>
      </c>
      <c r="D724" s="3">
        <v>46066</v>
      </c>
      <c r="E724" s="126">
        <v>46066</v>
      </c>
      <c r="F724" s="2" t="s">
        <v>77</v>
      </c>
      <c r="G724" s="300">
        <v>190.44</v>
      </c>
      <c r="H724" s="300">
        <v>17.13</v>
      </c>
      <c r="I724" s="300">
        <v>207.57</v>
      </c>
      <c r="J724" s="300">
        <v>159.8548526414836</v>
      </c>
      <c r="K724" s="4" t="s">
        <v>525</v>
      </c>
      <c r="L724" s="4" t="s">
        <v>525</v>
      </c>
      <c r="M724" s="4" t="s">
        <v>355</v>
      </c>
      <c r="N724" s="4" t="s">
        <v>402</v>
      </c>
      <c r="O724" s="134" t="str">
        <f>_xlfn.XLOOKUP(N724,[1]!costcategory[Account Code],[1]!costcategory[Cost Category],"ERROR")</f>
        <v>Travelling Expenses</v>
      </c>
      <c r="P724" s="4" t="s">
        <v>523</v>
      </c>
      <c r="Q724" s="147" t="str">
        <f>_xlfn.XLOOKUP(P724,[1]!Table2[Department],[1]!Table2[Group],"ERROR")</f>
        <v>General &amp; Administrative</v>
      </c>
      <c r="V724" s="4"/>
      <c r="W724" s="183"/>
    </row>
    <row r="725" spans="1:23" hidden="1" x14ac:dyDescent="0.2">
      <c r="A725" s="2" t="s">
        <v>15</v>
      </c>
      <c r="B725" s="2" t="s">
        <v>1</v>
      </c>
      <c r="C725" s="93">
        <v>46066</v>
      </c>
      <c r="D725" s="3">
        <v>46066</v>
      </c>
      <c r="E725" s="126">
        <v>46066</v>
      </c>
      <c r="F725" s="2" t="s">
        <v>77</v>
      </c>
      <c r="G725" s="300">
        <v>90</v>
      </c>
      <c r="H725" s="300">
        <v>0</v>
      </c>
      <c r="I725" s="300">
        <v>90</v>
      </c>
      <c r="J725" s="300">
        <v>69.31125277127488</v>
      </c>
      <c r="K725" s="4" t="s">
        <v>525</v>
      </c>
      <c r="L725" s="4" t="s">
        <v>525</v>
      </c>
      <c r="M725" s="4" t="s">
        <v>403</v>
      </c>
      <c r="N725" s="4" t="s">
        <v>367</v>
      </c>
      <c r="O725" s="134" t="str">
        <f>_xlfn.XLOOKUP(N725,[1]!costcategory[Account Code],[1]!costcategory[Cost Category],"ERROR")</f>
        <v>Professional &amp; Consultancy Fees</v>
      </c>
      <c r="P725" s="4" t="s">
        <v>350</v>
      </c>
      <c r="Q725" s="147" t="str">
        <f>_xlfn.XLOOKUP(P725,[1]!Table2[Department],[1]!Table2[Group],"ERROR")</f>
        <v>General &amp; Administrative</v>
      </c>
      <c r="U725" s="4" t="s">
        <v>746</v>
      </c>
      <c r="V725" s="4"/>
      <c r="W725" s="183"/>
    </row>
    <row r="726" spans="1:23" hidden="1" x14ac:dyDescent="0.2">
      <c r="A726" s="2" t="s">
        <v>15</v>
      </c>
      <c r="B726" s="2" t="s">
        <v>1</v>
      </c>
      <c r="C726" s="93">
        <v>46066</v>
      </c>
      <c r="D726" s="3">
        <v>46066</v>
      </c>
      <c r="E726" s="126">
        <v>46066</v>
      </c>
      <c r="F726" s="2" t="s">
        <v>77</v>
      </c>
      <c r="G726" s="300">
        <v>179.85</v>
      </c>
      <c r="H726" s="300">
        <v>0</v>
      </c>
      <c r="I726" s="300">
        <v>179.85</v>
      </c>
      <c r="J726" s="300">
        <v>138.50698678793094</v>
      </c>
      <c r="K726" s="4" t="s">
        <v>525</v>
      </c>
      <c r="L726" s="4" t="s">
        <v>525</v>
      </c>
      <c r="M726" s="4" t="s">
        <v>403</v>
      </c>
      <c r="N726" s="4" t="s">
        <v>747</v>
      </c>
      <c r="O726" s="134" t="str">
        <f>_xlfn.XLOOKUP(N726,[1]!costcategory[Account Code],[1]!costcategory[Cost Category],"ERROR")</f>
        <v>Intercompany</v>
      </c>
      <c r="P726" s="4" t="s">
        <v>340</v>
      </c>
      <c r="Q726" s="147" t="str">
        <f>_xlfn.XLOOKUP(P726,[1]!Table2[Department],[1]!Table2[Group],"ERROR")</f>
        <v>General &amp; Administrative</v>
      </c>
      <c r="V726" s="4"/>
      <c r="W726" s="183"/>
    </row>
    <row r="727" spans="1:23" hidden="1" x14ac:dyDescent="0.2">
      <c r="A727" s="2" t="s">
        <v>15</v>
      </c>
      <c r="B727" s="2" t="s">
        <v>1</v>
      </c>
      <c r="C727" s="93">
        <v>46066</v>
      </c>
      <c r="D727" s="3">
        <v>46066</v>
      </c>
      <c r="E727" s="126">
        <v>46066</v>
      </c>
      <c r="F727" s="2" t="s">
        <v>77</v>
      </c>
      <c r="G727" s="300">
        <v>87.16</v>
      </c>
      <c r="H727" s="300">
        <v>7.84</v>
      </c>
      <c r="I727" s="300">
        <v>95</v>
      </c>
      <c r="J727" s="300">
        <v>73.161877925234592</v>
      </c>
      <c r="K727" s="4" t="s">
        <v>525</v>
      </c>
      <c r="L727" s="4" t="s">
        <v>525</v>
      </c>
      <c r="M727" s="4" t="s">
        <v>748</v>
      </c>
      <c r="N727" s="4" t="s">
        <v>749</v>
      </c>
      <c r="O727" s="134" t="str">
        <f>_xlfn.XLOOKUP(N727,[1]!costcategory[Account Code],[1]!costcategory[Cost Category],"ERROR")</f>
        <v>Repair &amp; Maintenance</v>
      </c>
      <c r="P727" s="4" t="s">
        <v>340</v>
      </c>
      <c r="Q727" s="147" t="str">
        <f>_xlfn.XLOOKUP(P727,[1]!Table2[Department],[1]!Table2[Group],"ERROR")</f>
        <v>General &amp; Administrative</v>
      </c>
      <c r="V727" s="4"/>
      <c r="W727" s="183"/>
    </row>
    <row r="728" spans="1:23" hidden="1" x14ac:dyDescent="0.2">
      <c r="A728" s="2" t="s">
        <v>15</v>
      </c>
      <c r="B728" s="2" t="s">
        <v>1</v>
      </c>
      <c r="C728" s="93">
        <v>46066</v>
      </c>
      <c r="D728" s="3">
        <v>46066</v>
      </c>
      <c r="E728" s="126">
        <v>46066</v>
      </c>
      <c r="F728" s="2" t="s">
        <v>77</v>
      </c>
      <c r="G728" s="300">
        <v>468.2</v>
      </c>
      <c r="H728" s="300">
        <v>42.14</v>
      </c>
      <c r="I728" s="300">
        <v>510.34</v>
      </c>
      <c r="J728" s="300">
        <v>393.0256082143602</v>
      </c>
      <c r="K728" s="4" t="s">
        <v>525</v>
      </c>
      <c r="L728" s="4" t="s">
        <v>525</v>
      </c>
      <c r="M728" s="4" t="s">
        <v>416</v>
      </c>
      <c r="N728" s="4" t="s">
        <v>390</v>
      </c>
      <c r="O728" s="134" t="str">
        <f>_xlfn.XLOOKUP(N728,[1]!costcategory[Account Code],[1]!costcategory[Cost Category],"ERROR")</f>
        <v>Employee Benefits</v>
      </c>
      <c r="P728" s="4" t="s">
        <v>350</v>
      </c>
      <c r="Q728" s="147" t="str">
        <f>_xlfn.XLOOKUP(P728,[1]!Table2[Department],[1]!Table2[Group],"ERROR")</f>
        <v>General &amp; Administrative</v>
      </c>
      <c r="V728" s="4"/>
      <c r="W728" s="183"/>
    </row>
    <row r="729" spans="1:23" hidden="1" x14ac:dyDescent="0.2">
      <c r="A729" s="2" t="s">
        <v>15</v>
      </c>
      <c r="B729" s="2" t="s">
        <v>1</v>
      </c>
      <c r="C729" s="93">
        <v>46066</v>
      </c>
      <c r="D729" s="3">
        <v>46066</v>
      </c>
      <c r="E729" s="126">
        <v>46066</v>
      </c>
      <c r="F729" s="2" t="s">
        <v>77</v>
      </c>
      <c r="G729" s="300">
        <v>1931.66</v>
      </c>
      <c r="H729" s="300">
        <v>37.869999999999997</v>
      </c>
      <c r="I729" s="300">
        <v>1969.53</v>
      </c>
      <c r="J729" s="300">
        <v>1516.7843518956556</v>
      </c>
      <c r="K729" s="4" t="s">
        <v>525</v>
      </c>
      <c r="L729" s="4" t="s">
        <v>525</v>
      </c>
      <c r="M729" s="4" t="s">
        <v>416</v>
      </c>
      <c r="N729" s="4" t="s">
        <v>390</v>
      </c>
      <c r="O729" s="134" t="str">
        <f>_xlfn.XLOOKUP(N729,[1]!costcategory[Account Code],[1]!costcategory[Cost Category],"ERROR")</f>
        <v>Employee Benefits</v>
      </c>
      <c r="P729" s="4" t="s">
        <v>523</v>
      </c>
      <c r="Q729" s="147" t="str">
        <f>_xlfn.XLOOKUP(P729,[1]!Table2[Department],[1]!Table2[Group],"ERROR")</f>
        <v>General &amp; Administrative</v>
      </c>
      <c r="V729" s="4"/>
      <c r="W729" s="183"/>
    </row>
    <row r="730" spans="1:23" hidden="1" x14ac:dyDescent="0.2">
      <c r="A730" s="2" t="s">
        <v>15</v>
      </c>
      <c r="B730" s="2" t="s">
        <v>1</v>
      </c>
      <c r="C730" s="93">
        <v>46066</v>
      </c>
      <c r="D730" s="3">
        <v>46066</v>
      </c>
      <c r="E730" s="126">
        <v>46066</v>
      </c>
      <c r="F730" s="2" t="s">
        <v>77</v>
      </c>
      <c r="G730" s="300">
        <v>359.94</v>
      </c>
      <c r="H730" s="300">
        <v>0</v>
      </c>
      <c r="I730" s="300">
        <v>359.94</v>
      </c>
      <c r="J730" s="300">
        <v>277.19880358325196</v>
      </c>
      <c r="K730" s="4" t="s">
        <v>525</v>
      </c>
      <c r="L730" s="4" t="s">
        <v>525</v>
      </c>
      <c r="M730" s="4" t="s">
        <v>750</v>
      </c>
      <c r="N730" s="4" t="s">
        <v>751</v>
      </c>
      <c r="O730" s="134" t="str">
        <f>_xlfn.XLOOKUP(N730,[1]!costcategory[Account Code],[1]!costcategory[Cost Category],"ERROR")</f>
        <v>Employee Benefits</v>
      </c>
      <c r="P730" s="4" t="s">
        <v>376</v>
      </c>
      <c r="Q730" s="147" t="str">
        <f>_xlfn.XLOOKUP(P730,[1]!Table2[Department],[1]!Table2[Group],"ERROR")</f>
        <v>General &amp; Administrative</v>
      </c>
      <c r="V730" s="4"/>
      <c r="W730" s="2"/>
    </row>
    <row r="731" spans="1:23" hidden="1" x14ac:dyDescent="0.2">
      <c r="A731" s="2" t="s">
        <v>15</v>
      </c>
      <c r="B731" s="2" t="s">
        <v>1</v>
      </c>
      <c r="C731" s="93">
        <v>46066</v>
      </c>
      <c r="D731" s="3">
        <v>46066</v>
      </c>
      <c r="E731" s="126">
        <v>46066</v>
      </c>
      <c r="F731" s="2" t="s">
        <v>77</v>
      </c>
      <c r="G731" s="300">
        <v>9.17</v>
      </c>
      <c r="H731" s="300">
        <v>0.83</v>
      </c>
      <c r="I731" s="300">
        <v>10</v>
      </c>
      <c r="J731" s="300">
        <v>7.7012503079194303</v>
      </c>
      <c r="K731" s="4" t="s">
        <v>525</v>
      </c>
      <c r="L731" s="4" t="s">
        <v>525</v>
      </c>
      <c r="M731" s="4" t="s">
        <v>750</v>
      </c>
      <c r="N731" s="4" t="s">
        <v>751</v>
      </c>
      <c r="O731" s="134" t="str">
        <f>_xlfn.XLOOKUP(N731,[1]!costcategory[Account Code],[1]!costcategory[Cost Category],"ERROR")</f>
        <v>Employee Benefits</v>
      </c>
      <c r="P731" s="4" t="s">
        <v>354</v>
      </c>
      <c r="Q731" s="147" t="str">
        <f>_xlfn.XLOOKUP(P731,[1]!Table2[Department],[1]!Table2[Group],"ERROR")</f>
        <v>Sales &amp; Marketing</v>
      </c>
      <c r="V731" s="4"/>
      <c r="W731" s="2"/>
    </row>
    <row r="732" spans="1:23" hidden="1" x14ac:dyDescent="0.2">
      <c r="A732" s="2" t="s">
        <v>15</v>
      </c>
      <c r="B732" s="2" t="s">
        <v>1</v>
      </c>
      <c r="C732" s="93">
        <v>46066</v>
      </c>
      <c r="D732" s="3">
        <v>46066</v>
      </c>
      <c r="E732" s="126">
        <v>46066</v>
      </c>
      <c r="F732" s="2" t="s">
        <v>77</v>
      </c>
      <c r="G732" s="300">
        <v>131.55000000000001</v>
      </c>
      <c r="H732" s="300">
        <v>0</v>
      </c>
      <c r="I732" s="300">
        <v>131.55000000000001</v>
      </c>
      <c r="J732" s="300" t="s">
        <v>1734</v>
      </c>
      <c r="K732" s="4" t="s">
        <v>525</v>
      </c>
      <c r="L732" s="4" t="s">
        <v>525</v>
      </c>
      <c r="M732" s="4" t="s">
        <v>358</v>
      </c>
      <c r="N732" s="4" t="s">
        <v>60</v>
      </c>
      <c r="O732" s="134" t="str">
        <f>_xlfn.XLOOKUP(N732,[1]!costcategory[Account Code],[1]!costcategory[Cost Category],"ERROR")</f>
        <v>Subscription Fee</v>
      </c>
      <c r="P732" s="4" t="s">
        <v>59</v>
      </c>
      <c r="Q732" s="147" t="str">
        <f>_xlfn.XLOOKUP(P732,[1]!Table2[Department],[1]!Table2[Group],"ERROR")</f>
        <v>Research &amp; Development</v>
      </c>
      <c r="V732" s="4"/>
      <c r="W732" s="2"/>
    </row>
    <row r="733" spans="1:23" hidden="1" x14ac:dyDescent="0.2">
      <c r="A733" s="2" t="s">
        <v>15</v>
      </c>
      <c r="B733" s="2" t="s">
        <v>1</v>
      </c>
      <c r="C733" s="93">
        <v>46066</v>
      </c>
      <c r="D733" s="3">
        <v>46066</v>
      </c>
      <c r="E733" s="126">
        <v>46066</v>
      </c>
      <c r="F733" s="2" t="s">
        <v>77</v>
      </c>
      <c r="G733" s="300">
        <v>934.86</v>
      </c>
      <c r="H733" s="300">
        <v>0</v>
      </c>
      <c r="I733" s="300">
        <v>934.86</v>
      </c>
      <c r="J733" s="300">
        <v>719.95908628615587</v>
      </c>
      <c r="K733" s="4" t="s">
        <v>525</v>
      </c>
      <c r="L733" s="4" t="s">
        <v>525</v>
      </c>
      <c r="M733" s="4" t="s">
        <v>360</v>
      </c>
      <c r="N733" s="4" t="s">
        <v>353</v>
      </c>
      <c r="O733" s="134" t="str">
        <f>_xlfn.XLOOKUP(N733,[1]!costcategory[Account Code],[1]!costcategory[Cost Category],"ERROR")</f>
        <v>Travelling Expenses</v>
      </c>
      <c r="P733" s="4" t="s">
        <v>59</v>
      </c>
      <c r="Q733" s="147" t="str">
        <f>_xlfn.XLOOKUP(P733,[1]!Table2[Department],[1]!Table2[Group],"ERROR")</f>
        <v>Research &amp; Development</v>
      </c>
      <c r="V733" s="4"/>
      <c r="W733" s="2"/>
    </row>
    <row r="734" spans="1:23" hidden="1" x14ac:dyDescent="0.2">
      <c r="A734" s="2" t="s">
        <v>15</v>
      </c>
      <c r="B734" s="2" t="s">
        <v>1</v>
      </c>
      <c r="C734" s="93">
        <v>46066</v>
      </c>
      <c r="D734" s="3">
        <v>46066</v>
      </c>
      <c r="E734" s="126">
        <v>46066</v>
      </c>
      <c r="F734" s="2" t="s">
        <v>77</v>
      </c>
      <c r="G734" s="300">
        <v>697.67</v>
      </c>
      <c r="H734" s="300">
        <v>0</v>
      </c>
      <c r="I734" s="300">
        <v>697.67</v>
      </c>
      <c r="J734" s="300">
        <v>537.29313023261489</v>
      </c>
      <c r="K734" s="4" t="s">
        <v>525</v>
      </c>
      <c r="L734" s="4" t="s">
        <v>525</v>
      </c>
      <c r="M734" s="4" t="s">
        <v>360</v>
      </c>
      <c r="N734" s="4" t="s">
        <v>353</v>
      </c>
      <c r="O734" s="134" t="str">
        <f>_xlfn.XLOOKUP(N734,[1]!costcategory[Account Code],[1]!costcategory[Cost Category],"ERROR")</f>
        <v>Travelling Expenses</v>
      </c>
      <c r="P734" s="4" t="s">
        <v>523</v>
      </c>
      <c r="Q734" s="147" t="str">
        <f>_xlfn.XLOOKUP(P734,[1]!Table2[Department],[1]!Table2[Group],"ERROR")</f>
        <v>General &amp; Administrative</v>
      </c>
      <c r="V734" s="4"/>
      <c r="W734" s="2"/>
    </row>
    <row r="735" spans="1:23" hidden="1" x14ac:dyDescent="0.2">
      <c r="A735" s="2" t="s">
        <v>15</v>
      </c>
      <c r="B735" s="2" t="s">
        <v>1</v>
      </c>
      <c r="C735" s="93">
        <v>46066</v>
      </c>
      <c r="D735" s="3">
        <v>46066</v>
      </c>
      <c r="E735" s="126">
        <v>46066</v>
      </c>
      <c r="F735" s="2" t="s">
        <v>77</v>
      </c>
      <c r="G735" s="300">
        <v>5.3</v>
      </c>
      <c r="H735" s="300">
        <v>0</v>
      </c>
      <c r="I735" s="300">
        <v>5.3</v>
      </c>
      <c r="J735" s="300">
        <v>4.0816626631972976</v>
      </c>
      <c r="K735" s="4" t="s">
        <v>525</v>
      </c>
      <c r="L735" s="4" t="s">
        <v>525</v>
      </c>
      <c r="M735" s="4" t="s">
        <v>360</v>
      </c>
      <c r="N735" s="4" t="s">
        <v>353</v>
      </c>
      <c r="O735" s="134" t="str">
        <f>_xlfn.XLOOKUP(N735,[1]!costcategory[Account Code],[1]!costcategory[Cost Category],"ERROR")</f>
        <v>Travelling Expenses</v>
      </c>
      <c r="P735" s="4" t="s">
        <v>350</v>
      </c>
      <c r="Q735" s="147" t="str">
        <f>_xlfn.XLOOKUP(P735,[1]!Table2[Department],[1]!Table2[Group],"ERROR")</f>
        <v>General &amp; Administrative</v>
      </c>
      <c r="V735" s="4"/>
      <c r="W735" s="2"/>
    </row>
    <row r="736" spans="1:23" hidden="1" x14ac:dyDescent="0.2">
      <c r="A736" s="2" t="s">
        <v>15</v>
      </c>
      <c r="B736" s="2" t="s">
        <v>1</v>
      </c>
      <c r="C736" s="93">
        <v>46066</v>
      </c>
      <c r="D736" s="3">
        <v>46066</v>
      </c>
      <c r="E736" s="126">
        <v>46066</v>
      </c>
      <c r="F736" s="2" t="s">
        <v>77</v>
      </c>
      <c r="G736" s="300">
        <v>413.29</v>
      </c>
      <c r="H736" s="300">
        <v>0</v>
      </c>
      <c r="I736" s="300">
        <v>413.29</v>
      </c>
      <c r="J736" s="300">
        <v>318.28497397600216</v>
      </c>
      <c r="K736" s="4" t="s">
        <v>525</v>
      </c>
      <c r="L736" s="4" t="s">
        <v>525</v>
      </c>
      <c r="M736" s="4" t="s">
        <v>360</v>
      </c>
      <c r="N736" s="4" t="s">
        <v>353</v>
      </c>
      <c r="O736" s="134" t="str">
        <f>_xlfn.XLOOKUP(N736,[1]!costcategory[Account Code],[1]!costcategory[Cost Category],"ERROR")</f>
        <v>Travelling Expenses</v>
      </c>
      <c r="P736" s="4" t="s">
        <v>438</v>
      </c>
      <c r="Q736" s="147" t="str">
        <f>_xlfn.XLOOKUP(P736,[1]!Table2[Department],[1]!Table2[Group],"ERROR")</f>
        <v>Sales &amp; Marketing</v>
      </c>
      <c r="V736" s="4"/>
      <c r="W736" s="2"/>
    </row>
    <row r="737" spans="1:23" hidden="1" x14ac:dyDescent="0.2">
      <c r="A737" s="2" t="s">
        <v>15</v>
      </c>
      <c r="B737" s="2" t="s">
        <v>1</v>
      </c>
      <c r="C737" s="93">
        <v>46066</v>
      </c>
      <c r="D737" s="3">
        <v>46066</v>
      </c>
      <c r="E737" s="126">
        <v>46066</v>
      </c>
      <c r="F737" s="2" t="s">
        <v>77</v>
      </c>
      <c r="G737" s="300">
        <v>369.46999999999997</v>
      </c>
      <c r="H737" s="300">
        <v>0</v>
      </c>
      <c r="I737" s="300">
        <v>369.46999999999997</v>
      </c>
      <c r="J737" s="300">
        <v>284.5380951266992</v>
      </c>
      <c r="K737" s="4" t="s">
        <v>525</v>
      </c>
      <c r="L737" s="4" t="s">
        <v>525</v>
      </c>
      <c r="M737" s="4" t="s">
        <v>361</v>
      </c>
      <c r="N737" s="4" t="s">
        <v>356</v>
      </c>
      <c r="O737" s="134" t="str">
        <f>_xlfn.XLOOKUP(N737,[1]!costcategory[Account Code],[1]!costcategory[Cost Category],"ERROR")</f>
        <v>Travelling Expenses</v>
      </c>
      <c r="P737" s="4" t="s">
        <v>438</v>
      </c>
      <c r="Q737" s="147" t="str">
        <f>_xlfn.XLOOKUP(P737,[1]!Table2[Department],[1]!Table2[Group],"ERROR")</f>
        <v>Sales &amp; Marketing</v>
      </c>
      <c r="V737" s="4"/>
      <c r="W737" s="2"/>
    </row>
    <row r="738" spans="1:23" hidden="1" x14ac:dyDescent="0.2">
      <c r="A738" s="2" t="s">
        <v>15</v>
      </c>
      <c r="B738" s="2" t="s">
        <v>1</v>
      </c>
      <c r="C738" s="93">
        <v>46066</v>
      </c>
      <c r="D738" s="3">
        <v>46066</v>
      </c>
      <c r="E738" s="126">
        <v>46066</v>
      </c>
      <c r="F738" s="2" t="s">
        <v>77</v>
      </c>
      <c r="G738" s="300">
        <v>162.55000000000001</v>
      </c>
      <c r="H738" s="300">
        <v>0</v>
      </c>
      <c r="I738" s="300">
        <v>162.55000000000001</v>
      </c>
      <c r="J738" s="300">
        <v>125.18382375523035</v>
      </c>
      <c r="K738" s="4" t="s">
        <v>525</v>
      </c>
      <c r="L738" s="4" t="s">
        <v>525</v>
      </c>
      <c r="M738" s="4" t="s">
        <v>361</v>
      </c>
      <c r="N738" s="4" t="s">
        <v>356</v>
      </c>
      <c r="O738" s="134" t="str">
        <f>_xlfn.XLOOKUP(N738,[1]!costcategory[Account Code],[1]!costcategory[Cost Category],"ERROR")</f>
        <v>Travelling Expenses</v>
      </c>
      <c r="P738" s="4" t="s">
        <v>59</v>
      </c>
      <c r="Q738" s="147" t="str">
        <f>_xlfn.XLOOKUP(P738,[1]!Table2[Department],[1]!Table2[Group],"ERROR")</f>
        <v>Research &amp; Development</v>
      </c>
      <c r="V738" s="4"/>
      <c r="W738" s="2"/>
    </row>
    <row r="739" spans="1:23" hidden="1" x14ac:dyDescent="0.2">
      <c r="A739" s="2" t="s">
        <v>15</v>
      </c>
      <c r="B739" s="2" t="s">
        <v>1</v>
      </c>
      <c r="C739" s="93">
        <v>46066</v>
      </c>
      <c r="D739" s="3">
        <v>46066</v>
      </c>
      <c r="E739" s="126">
        <v>46066</v>
      </c>
      <c r="F739" s="2" t="s">
        <v>77</v>
      </c>
      <c r="G739" s="300">
        <v>37.599999999999994</v>
      </c>
      <c r="H739" s="300">
        <v>0</v>
      </c>
      <c r="I739" s="300">
        <v>37.599999999999994</v>
      </c>
      <c r="J739" s="300">
        <v>28.956701157777054</v>
      </c>
      <c r="K739" s="4" t="s">
        <v>525</v>
      </c>
      <c r="L739" s="4" t="s">
        <v>525</v>
      </c>
      <c r="M739" s="4" t="s">
        <v>361</v>
      </c>
      <c r="N739" s="4" t="s">
        <v>356</v>
      </c>
      <c r="O739" s="134" t="str">
        <f>_xlfn.XLOOKUP(N739,[1]!costcategory[Account Code],[1]!costcategory[Cost Category],"ERROR")</f>
        <v>Travelling Expenses</v>
      </c>
      <c r="P739" s="4" t="s">
        <v>350</v>
      </c>
      <c r="Q739" s="147" t="str">
        <f>_xlfn.XLOOKUP(P739,[1]!Table2[Department],[1]!Table2[Group],"ERROR")</f>
        <v>General &amp; Administrative</v>
      </c>
      <c r="V739" s="4"/>
      <c r="W739" s="2"/>
    </row>
    <row r="740" spans="1:23" hidden="1" x14ac:dyDescent="0.2">
      <c r="A740" s="2" t="s">
        <v>15</v>
      </c>
      <c r="B740" s="2" t="s">
        <v>1</v>
      </c>
      <c r="C740" s="93">
        <v>46066</v>
      </c>
      <c r="D740" s="3">
        <v>46066</v>
      </c>
      <c r="E740" s="126">
        <v>46066</v>
      </c>
      <c r="F740" s="2" t="s">
        <v>77</v>
      </c>
      <c r="G740" s="300">
        <v>79.900000000000006</v>
      </c>
      <c r="H740" s="300">
        <v>0</v>
      </c>
      <c r="I740" s="300">
        <v>79.900000000000006</v>
      </c>
      <c r="J740" s="300">
        <v>61.532989960276254</v>
      </c>
      <c r="K740" s="4" t="s">
        <v>525</v>
      </c>
      <c r="L740" s="4" t="s">
        <v>525</v>
      </c>
      <c r="M740" s="4" t="s">
        <v>361</v>
      </c>
      <c r="N740" s="4" t="s">
        <v>356</v>
      </c>
      <c r="O740" s="134" t="str">
        <f>_xlfn.XLOOKUP(N740,[1]!costcategory[Account Code],[1]!costcategory[Cost Category],"ERROR")</f>
        <v>Travelling Expenses</v>
      </c>
      <c r="P740" s="4" t="s">
        <v>523</v>
      </c>
      <c r="Q740" s="147" t="str">
        <f>_xlfn.XLOOKUP(P740,[1]!Table2[Department],[1]!Table2[Group],"ERROR")</f>
        <v>General &amp; Administrative</v>
      </c>
      <c r="V740" s="4"/>
      <c r="W740" s="2"/>
    </row>
    <row r="741" spans="1:23" hidden="1" x14ac:dyDescent="0.2">
      <c r="A741" s="2" t="s">
        <v>15</v>
      </c>
      <c r="B741" s="2" t="s">
        <v>1</v>
      </c>
      <c r="C741" s="93">
        <v>46066</v>
      </c>
      <c r="D741" s="3">
        <v>46066</v>
      </c>
      <c r="E741" s="126">
        <v>46066</v>
      </c>
      <c r="F741" s="2" t="s">
        <v>77</v>
      </c>
      <c r="G741" s="300">
        <v>15.5</v>
      </c>
      <c r="H741" s="300">
        <v>0</v>
      </c>
      <c r="I741" s="300">
        <v>15.5</v>
      </c>
      <c r="J741" s="300">
        <v>11.936937977275118</v>
      </c>
      <c r="K741" s="4" t="s">
        <v>525</v>
      </c>
      <c r="L741" s="4" t="s">
        <v>525</v>
      </c>
      <c r="M741" s="4" t="s">
        <v>361</v>
      </c>
      <c r="N741" s="4" t="s">
        <v>356</v>
      </c>
      <c r="O741" s="134" t="str">
        <f>_xlfn.XLOOKUP(N741,[1]!costcategory[Account Code],[1]!costcategory[Cost Category],"ERROR")</f>
        <v>Travelling Expenses</v>
      </c>
      <c r="P741" s="4" t="s">
        <v>340</v>
      </c>
      <c r="Q741" s="147" t="str">
        <f>_xlfn.XLOOKUP(P741,[1]!Table2[Department],[1]!Table2[Group],"ERROR")</f>
        <v>General &amp; Administrative</v>
      </c>
      <c r="U741" s="4" t="s">
        <v>752</v>
      </c>
      <c r="V741" s="4"/>
      <c r="W741" s="2"/>
    </row>
    <row r="742" spans="1:23" hidden="1" x14ac:dyDescent="0.2">
      <c r="A742" s="2" t="s">
        <v>15</v>
      </c>
      <c r="B742" s="2" t="s">
        <v>1</v>
      </c>
      <c r="C742" s="93">
        <v>46066</v>
      </c>
      <c r="D742" s="3">
        <v>46066</v>
      </c>
      <c r="E742" s="126">
        <v>46066</v>
      </c>
      <c r="F742" s="2" t="s">
        <v>77</v>
      </c>
      <c r="G742" s="300">
        <v>40</v>
      </c>
      <c r="H742" s="300">
        <v>0</v>
      </c>
      <c r="I742" s="300">
        <v>40</v>
      </c>
      <c r="J742" s="300">
        <v>30.805001231677721</v>
      </c>
      <c r="K742" s="4" t="s">
        <v>525</v>
      </c>
      <c r="L742" s="4" t="s">
        <v>525</v>
      </c>
      <c r="M742" s="4" t="s">
        <v>692</v>
      </c>
      <c r="N742" s="4" t="s">
        <v>617</v>
      </c>
      <c r="O742" s="134" t="str">
        <f>_xlfn.XLOOKUP(N742,[1]!costcategory[Account Code],[1]!costcategory[Cost Category],"ERROR")</f>
        <v>Upkeep of Office</v>
      </c>
      <c r="P742" s="4" t="s">
        <v>340</v>
      </c>
      <c r="Q742" s="147" t="str">
        <f>_xlfn.XLOOKUP(P742,[1]!Table2[Department],[1]!Table2[Group],"ERROR")</f>
        <v>General &amp; Administrative</v>
      </c>
      <c r="V742" s="4"/>
      <c r="W742" s="2"/>
    </row>
    <row r="743" spans="1:23" hidden="1" x14ac:dyDescent="0.2">
      <c r="A743" s="2" t="s">
        <v>15</v>
      </c>
      <c r="B743" s="2" t="s">
        <v>1</v>
      </c>
      <c r="C743" s="93">
        <v>46066</v>
      </c>
      <c r="D743" s="3">
        <v>46066</v>
      </c>
      <c r="E743" s="126">
        <v>46066</v>
      </c>
      <c r="F743" s="2" t="s">
        <v>77</v>
      </c>
      <c r="G743" s="300">
        <v>290</v>
      </c>
      <c r="H743" s="300">
        <v>26.1</v>
      </c>
      <c r="I743" s="300">
        <v>316.10000000000002</v>
      </c>
      <c r="J743" s="300">
        <v>243.43652223333322</v>
      </c>
      <c r="K743" s="4" t="s">
        <v>753</v>
      </c>
      <c r="L743" s="4" t="s">
        <v>754</v>
      </c>
      <c r="M743" s="4" t="s">
        <v>1733</v>
      </c>
      <c r="N743" s="4" t="s">
        <v>749</v>
      </c>
      <c r="O743" s="134" t="str">
        <f>_xlfn.XLOOKUP(N743,[1]!costcategory[Account Code],[1]!costcategory[Cost Category],"ERROR")</f>
        <v>Repair &amp; Maintenance</v>
      </c>
      <c r="P743" s="4" t="s">
        <v>340</v>
      </c>
      <c r="Q743" s="147" t="str">
        <f>_xlfn.XLOOKUP(P743,[1]!Table2[Department],[1]!Table2[Group],"ERROR")</f>
        <v>General &amp; Administrative</v>
      </c>
      <c r="R743" t="s">
        <v>680</v>
      </c>
      <c r="V743" s="4"/>
      <c r="W743" s="2"/>
    </row>
    <row r="744" spans="1:23" hidden="1" x14ac:dyDescent="0.2">
      <c r="A744" s="2" t="s">
        <v>15</v>
      </c>
      <c r="B744" s="2" t="s">
        <v>1</v>
      </c>
      <c r="C744" s="93">
        <v>46066</v>
      </c>
      <c r="D744" s="3">
        <v>46066</v>
      </c>
      <c r="E744" s="126">
        <v>46066</v>
      </c>
      <c r="F744" s="2" t="s">
        <v>77</v>
      </c>
      <c r="G744" s="300">
        <v>654.1</v>
      </c>
      <c r="H744" s="300">
        <v>58.87</v>
      </c>
      <c r="I744" s="300">
        <v>712.97</v>
      </c>
      <c r="J744" s="300">
        <v>549.07604320373161</v>
      </c>
      <c r="K744" s="4" t="s">
        <v>661</v>
      </c>
      <c r="L744" s="4" t="s">
        <v>755</v>
      </c>
      <c r="M744" s="4" t="s">
        <v>756</v>
      </c>
      <c r="N744" s="4" t="s">
        <v>374</v>
      </c>
      <c r="O744" s="134" t="str">
        <f>_xlfn.XLOOKUP(N744,[1]!costcategory[Account Code],[1]!costcategory[Cost Category],"ERROR")</f>
        <v>Non-Current Liabilities</v>
      </c>
      <c r="P744" s="4" t="s">
        <v>376</v>
      </c>
      <c r="Q744" s="147" t="str">
        <f>_xlfn.XLOOKUP(P744,[1]!Table2[Department],[1]!Table2[Group],"ERROR")</f>
        <v>General &amp; Administrative</v>
      </c>
      <c r="R744" t="s">
        <v>484</v>
      </c>
      <c r="V744" s="4"/>
      <c r="W744" s="2"/>
    </row>
    <row r="745" spans="1:23" hidden="1" x14ac:dyDescent="0.2">
      <c r="A745" s="2" t="s">
        <v>15</v>
      </c>
      <c r="B745" s="2" t="s">
        <v>1</v>
      </c>
      <c r="C745" s="93">
        <v>46066</v>
      </c>
      <c r="D745" s="3">
        <v>46066</v>
      </c>
      <c r="E745" s="126">
        <v>46066</v>
      </c>
      <c r="F745" s="2" t="s">
        <v>77</v>
      </c>
      <c r="G745" s="300">
        <v>600</v>
      </c>
      <c r="H745" s="300">
        <v>0</v>
      </c>
      <c r="I745" s="300">
        <v>600</v>
      </c>
      <c r="J745" s="300">
        <v>462.07501847516585</v>
      </c>
      <c r="K745" s="4" t="s">
        <v>757</v>
      </c>
      <c r="L745" s="4" t="s">
        <v>1732</v>
      </c>
      <c r="M745" s="4" t="s">
        <v>758</v>
      </c>
      <c r="N745" s="4" t="s">
        <v>621</v>
      </c>
      <c r="O745" s="134" t="str">
        <f>_xlfn.XLOOKUP(N745,[1]!costcategory[Account Code],[1]!costcategory[Cost Category],"ERROR")</f>
        <v>Upkeep of Office</v>
      </c>
      <c r="P745" s="4" t="s">
        <v>340</v>
      </c>
      <c r="Q745" s="147" t="str">
        <f>_xlfn.XLOOKUP(P745,[1]!Table2[Department],[1]!Table2[Group],"ERROR")</f>
        <v>General &amp; Administrative</v>
      </c>
      <c r="R745" t="s">
        <v>680</v>
      </c>
      <c r="V745" s="4"/>
      <c r="W745" s="2"/>
    </row>
    <row r="746" spans="1:23" hidden="1" x14ac:dyDescent="0.2">
      <c r="A746" s="2" t="s">
        <v>15</v>
      </c>
      <c r="B746" s="2" t="s">
        <v>1</v>
      </c>
      <c r="C746" s="93">
        <v>46066</v>
      </c>
      <c r="D746" s="3">
        <v>46066</v>
      </c>
      <c r="E746" s="126">
        <v>46066</v>
      </c>
      <c r="F746" s="2" t="s">
        <v>77</v>
      </c>
      <c r="G746" s="300">
        <v>-11683.98</v>
      </c>
      <c r="H746" s="300">
        <v>0</v>
      </c>
      <c r="I746" s="300">
        <v>-11683.98</v>
      </c>
      <c r="J746" s="300">
        <v>-8998.1254572724465</v>
      </c>
      <c r="K746" s="4" t="s">
        <v>759</v>
      </c>
      <c r="L746" s="4" t="s">
        <v>760</v>
      </c>
      <c r="M746" s="4" t="s">
        <v>761</v>
      </c>
      <c r="N746" s="4" t="s">
        <v>571</v>
      </c>
      <c r="O746" s="134" t="str">
        <f>_xlfn.XLOOKUP(N746,[1]!costcategory[Account Code],[1]!costcategory[Cost Category],"ERROR")</f>
        <v>Current Asset</v>
      </c>
      <c r="P746" s="4" t="s">
        <v>340</v>
      </c>
      <c r="Q746" s="147" t="str">
        <f>_xlfn.XLOOKUP(P746,[1]!Table2[Department],[1]!Table2[Group],"ERROR")</f>
        <v>General &amp; Administrative</v>
      </c>
      <c r="V746" s="4"/>
      <c r="W746" s="2"/>
    </row>
    <row r="747" spans="1:23" hidden="1" x14ac:dyDescent="0.2">
      <c r="A747" s="2" t="s">
        <v>15</v>
      </c>
      <c r="B747" s="2" t="s">
        <v>1</v>
      </c>
      <c r="C747" s="93">
        <v>46069</v>
      </c>
      <c r="D747" s="3">
        <v>46069</v>
      </c>
      <c r="E747" s="126">
        <v>46069</v>
      </c>
      <c r="F747" s="2" t="s">
        <v>77</v>
      </c>
      <c r="G747" s="300">
        <v>8171</v>
      </c>
      <c r="H747" s="300">
        <v>0</v>
      </c>
      <c r="I747" s="300">
        <v>8171</v>
      </c>
      <c r="J747" s="300">
        <v>6292.6916266009666</v>
      </c>
      <c r="K747" s="4" t="s">
        <v>762</v>
      </c>
      <c r="L747" s="4" t="s">
        <v>763</v>
      </c>
      <c r="M747" s="4" t="s">
        <v>764</v>
      </c>
      <c r="N747" s="4" t="s">
        <v>499</v>
      </c>
      <c r="O747" s="134" t="str">
        <f>_xlfn.XLOOKUP(N747,[1]!costcategory[Account Code],[1]!costcategory[Cost Category],"ERROR")</f>
        <v>Tax Expenses (GST/SST/VAT)</v>
      </c>
      <c r="P747" s="4" t="s">
        <v>340</v>
      </c>
      <c r="Q747" s="147" t="str">
        <f>_xlfn.XLOOKUP(P747,[1]!Table2[Department],[1]!Table2[Group],"ERROR")</f>
        <v>General &amp; Administrative</v>
      </c>
      <c r="V747" s="4"/>
      <c r="W747" s="2"/>
    </row>
    <row r="748" spans="1:23" hidden="1" x14ac:dyDescent="0.2">
      <c r="A748" s="2" t="s">
        <v>15</v>
      </c>
      <c r="B748" s="2" t="s">
        <v>1</v>
      </c>
      <c r="C748" s="93">
        <v>46069</v>
      </c>
      <c r="D748" s="3">
        <v>46069</v>
      </c>
      <c r="E748" s="126">
        <v>46072</v>
      </c>
      <c r="F748" s="2" t="s">
        <v>77</v>
      </c>
      <c r="G748" s="300">
        <v>9833</v>
      </c>
      <c r="H748" s="300">
        <v>884.97</v>
      </c>
      <c r="I748" s="300">
        <v>10717.97</v>
      </c>
      <c r="J748" s="300">
        <v>8254.1769762771219</v>
      </c>
      <c r="K748" s="4" t="s">
        <v>765</v>
      </c>
      <c r="L748" s="4" t="s">
        <v>766</v>
      </c>
      <c r="M748" s="4" t="s">
        <v>767</v>
      </c>
      <c r="N748" s="4" t="s">
        <v>349</v>
      </c>
      <c r="O748" s="134" t="str">
        <f>_xlfn.XLOOKUP(N748,[1]!costcategory[Account Code],[1]!costcategory[Cost Category],"ERROR")</f>
        <v>Employee Benefits</v>
      </c>
      <c r="P748" s="4" t="s">
        <v>523</v>
      </c>
      <c r="Q748" s="147" t="str">
        <f>_xlfn.XLOOKUP(P748,[1]!Table2[Department],[1]!Table2[Group],"ERROR")</f>
        <v>General &amp; Administrative</v>
      </c>
      <c r="R748" t="s">
        <v>466</v>
      </c>
      <c r="W748" s="2"/>
    </row>
    <row r="749" spans="1:23" hidden="1" x14ac:dyDescent="0.2">
      <c r="A749" s="2" t="s">
        <v>15</v>
      </c>
      <c r="B749" s="2" t="s">
        <v>1</v>
      </c>
      <c r="C749" s="93">
        <v>46078</v>
      </c>
      <c r="D749" s="3">
        <v>46078</v>
      </c>
      <c r="E749" s="126">
        <v>46079</v>
      </c>
      <c r="F749" s="2" t="s">
        <v>77</v>
      </c>
      <c r="G749" s="300">
        <v>484.77</v>
      </c>
      <c r="H749" s="300">
        <v>43.63</v>
      </c>
      <c r="I749" s="300">
        <v>528.4</v>
      </c>
      <c r="J749" s="300">
        <v>406.93406627046267</v>
      </c>
      <c r="K749" s="4" t="s">
        <v>768</v>
      </c>
      <c r="L749" s="4" t="s">
        <v>769</v>
      </c>
      <c r="M749" s="4" t="s">
        <v>770</v>
      </c>
      <c r="N749" s="4" t="s">
        <v>390</v>
      </c>
      <c r="O749" s="134" t="str">
        <f>_xlfn.XLOOKUP(N749,[1]!costcategory[Account Code],[1]!costcategory[Cost Category],"ERROR")</f>
        <v>Employee Benefits</v>
      </c>
      <c r="P749" s="4" t="s">
        <v>523</v>
      </c>
      <c r="Q749" s="147" t="str">
        <f>_xlfn.XLOOKUP(P749,[1]!Table2[Department],[1]!Table2[Group],"ERROR")</f>
        <v>General &amp; Administrative</v>
      </c>
      <c r="R749" t="s">
        <v>459</v>
      </c>
      <c r="S749" t="s">
        <v>676</v>
      </c>
      <c r="W749" s="2"/>
    </row>
    <row r="750" spans="1:23" hidden="1" x14ac:dyDescent="0.2">
      <c r="A750" s="2" t="s">
        <v>15</v>
      </c>
      <c r="B750" s="2" t="s">
        <v>1</v>
      </c>
      <c r="C750" s="93">
        <v>46079</v>
      </c>
      <c r="D750" s="3">
        <v>46079</v>
      </c>
      <c r="E750" s="126">
        <v>46079</v>
      </c>
      <c r="F750" s="2" t="s">
        <v>77</v>
      </c>
      <c r="G750" s="300">
        <v>-4.42</v>
      </c>
      <c r="H750" s="300">
        <v>0</v>
      </c>
      <c r="I750" s="300">
        <v>-4.42</v>
      </c>
      <c r="J750" s="300">
        <v>-3.4039526361003882</v>
      </c>
      <c r="K750" s="4" t="s">
        <v>670</v>
      </c>
      <c r="L750" s="4" t="s">
        <v>771</v>
      </c>
      <c r="M750" s="4" t="s">
        <v>715</v>
      </c>
      <c r="N750" s="4" t="s">
        <v>332</v>
      </c>
      <c r="O750" s="134" t="str">
        <f>_xlfn.XLOOKUP(N750,[1]!costcategory[Account Code],[1]!costcategory[Cost Category],"ERROR")</f>
        <v>Bank Charges</v>
      </c>
      <c r="P750" s="4" t="s">
        <v>333</v>
      </c>
      <c r="Q750" s="147" t="str">
        <f>_xlfn.XLOOKUP(P750,[1]!Table2[Department],[1]!Table2[Group],"ERROR")</f>
        <v>General &amp; Administrative</v>
      </c>
      <c r="R750" t="s">
        <v>451</v>
      </c>
      <c r="S750" t="s">
        <v>452</v>
      </c>
      <c r="T750" t="s">
        <v>452</v>
      </c>
      <c r="W750" s="2"/>
    </row>
    <row r="751" spans="1:23" hidden="1" x14ac:dyDescent="0.2">
      <c r="A751" s="2" t="s">
        <v>15</v>
      </c>
      <c r="B751" s="2" t="s">
        <v>1</v>
      </c>
      <c r="C751" s="93">
        <v>46080</v>
      </c>
      <c r="D751" s="3">
        <v>46080</v>
      </c>
      <c r="E751" s="126">
        <v>46080</v>
      </c>
      <c r="F751" s="2" t="s">
        <v>77</v>
      </c>
      <c r="G751" s="300">
        <v>-31900</v>
      </c>
      <c r="H751" s="300">
        <v>-2421</v>
      </c>
      <c r="I751" s="300">
        <v>-34321</v>
      </c>
      <c r="J751" s="300">
        <v>-26431.461181810279</v>
      </c>
      <c r="K751" s="4" t="s">
        <v>109</v>
      </c>
      <c r="L751" s="4" t="s">
        <v>772</v>
      </c>
      <c r="M751" s="4" t="s">
        <v>1731</v>
      </c>
      <c r="N751" s="4" t="s">
        <v>773</v>
      </c>
      <c r="O751" s="134" t="str">
        <f>_xlfn.XLOOKUP(N751,[1]!costcategory[Account Code],[1]!costcategory[Cost Category],"ERROR")</f>
        <v>Revenue</v>
      </c>
      <c r="P751" s="4" t="s">
        <v>56</v>
      </c>
      <c r="Q751" s="147" t="str">
        <f>_xlfn.XLOOKUP(P751,[1]!Table2[Department],[1]!Table2[Group],"ERROR")</f>
        <v>Research &amp; Development</v>
      </c>
      <c r="W751" s="2"/>
    </row>
    <row r="752" spans="1:23" hidden="1" x14ac:dyDescent="0.2">
      <c r="A752" s="2" t="s">
        <v>15</v>
      </c>
      <c r="B752" s="2" t="s">
        <v>1</v>
      </c>
      <c r="C752" s="93">
        <v>46081</v>
      </c>
      <c r="D752" s="3">
        <v>46081</v>
      </c>
      <c r="E752" s="126">
        <v>46083</v>
      </c>
      <c r="F752" s="2" t="s">
        <v>77</v>
      </c>
      <c r="J752" s="300">
        <v>4005.25</v>
      </c>
      <c r="K752" s="4" t="s">
        <v>1641</v>
      </c>
      <c r="M752" s="4" t="s">
        <v>400</v>
      </c>
      <c r="N752" s="4" t="s">
        <v>387</v>
      </c>
      <c r="O752" s="134" t="str">
        <f>_xlfn.XLOOKUP(N752,[1]!costcategory[Account Code],[1]!costcategory[Cost Category],"ERROR")</f>
        <v>Headcount Costs</v>
      </c>
      <c r="P752" s="4" t="s">
        <v>354</v>
      </c>
      <c r="Q752" s="147" t="str">
        <f>_xlfn.XLOOKUP(P752,[1]!Table2[Department],[1]!Table2[Group],"ERROR")</f>
        <v>Sales &amp; Marketing</v>
      </c>
      <c r="W752" s="2"/>
    </row>
    <row r="753" spans="1:23" hidden="1" x14ac:dyDescent="0.2">
      <c r="A753" s="2" t="s">
        <v>15</v>
      </c>
      <c r="B753" s="2" t="s">
        <v>1</v>
      </c>
      <c r="C753" s="93">
        <v>46081</v>
      </c>
      <c r="D753" s="3">
        <v>46081</v>
      </c>
      <c r="E753" s="126">
        <v>46083</v>
      </c>
      <c r="F753" s="2" t="s">
        <v>77</v>
      </c>
      <c r="J753" s="300">
        <v>20711.71</v>
      </c>
      <c r="K753" s="4" t="s">
        <v>1641</v>
      </c>
      <c r="M753" s="4" t="s">
        <v>400</v>
      </c>
      <c r="N753" s="4" t="s">
        <v>387</v>
      </c>
      <c r="O753" s="134" t="str">
        <f>_xlfn.XLOOKUP(N753,[1]!costcategory[Account Code],[1]!costcategory[Cost Category],"ERROR")</f>
        <v>Headcount Costs</v>
      </c>
      <c r="P753" s="4" t="s">
        <v>45</v>
      </c>
      <c r="Q753" s="147" t="str">
        <f>_xlfn.XLOOKUP(P753,[1]!Table2[Department],[1]!Table2[Group],"ERROR")</f>
        <v>DSC</v>
      </c>
      <c r="W753" s="2"/>
    </row>
    <row r="754" spans="1:23" hidden="1" x14ac:dyDescent="0.2">
      <c r="A754" s="2" t="s">
        <v>15</v>
      </c>
      <c r="B754" s="2" t="s">
        <v>1</v>
      </c>
      <c r="C754" s="93">
        <v>46081</v>
      </c>
      <c r="D754" s="3">
        <v>46081</v>
      </c>
      <c r="E754" s="126">
        <v>46083</v>
      </c>
      <c r="F754" s="2" t="s">
        <v>77</v>
      </c>
      <c r="J754" s="300">
        <v>30977.84</v>
      </c>
      <c r="K754" s="4" t="s">
        <v>1641</v>
      </c>
      <c r="M754" s="4" t="s">
        <v>400</v>
      </c>
      <c r="N754" s="4" t="s">
        <v>387</v>
      </c>
      <c r="O754" s="134" t="str">
        <f>_xlfn.XLOOKUP(N754,[1]!costcategory[Account Code],[1]!costcategory[Cost Category],"ERROR")</f>
        <v>Headcount Costs</v>
      </c>
      <c r="P754" s="4" t="s">
        <v>658</v>
      </c>
      <c r="Q754" s="147" t="str">
        <f>_xlfn.XLOOKUP(P754,[1]!Table2[Department],[1]!Table2[Group],"ERROR")</f>
        <v>Sales &amp; Marketing</v>
      </c>
      <c r="W754" s="2"/>
    </row>
    <row r="755" spans="1:23" hidden="1" x14ac:dyDescent="0.2">
      <c r="A755" s="2" t="s">
        <v>15</v>
      </c>
      <c r="B755" s="2" t="s">
        <v>1</v>
      </c>
      <c r="C755" s="93">
        <v>46081</v>
      </c>
      <c r="D755" s="3">
        <v>46081</v>
      </c>
      <c r="E755" s="126">
        <v>46083</v>
      </c>
      <c r="F755" s="2" t="s">
        <v>77</v>
      </c>
      <c r="J755" s="300">
        <v>15212.99</v>
      </c>
      <c r="K755" s="4" t="s">
        <v>1641</v>
      </c>
      <c r="M755" s="4" t="s">
        <v>400</v>
      </c>
      <c r="N755" s="4" t="s">
        <v>387</v>
      </c>
      <c r="O755" s="134" t="str">
        <f>_xlfn.XLOOKUP(N755,[1]!costcategory[Account Code],[1]!costcategory[Cost Category],"ERROR")</f>
        <v>Headcount Costs</v>
      </c>
      <c r="P755" s="4" t="s">
        <v>350</v>
      </c>
      <c r="Q755" s="147" t="str">
        <f>_xlfn.XLOOKUP(P755,[1]!Table2[Department],[1]!Table2[Group],"ERROR")</f>
        <v>General &amp; Administrative</v>
      </c>
      <c r="W755" s="2"/>
    </row>
    <row r="756" spans="1:23" hidden="1" x14ac:dyDescent="0.2">
      <c r="A756" s="2" t="s">
        <v>15</v>
      </c>
      <c r="B756" s="2" t="s">
        <v>1</v>
      </c>
      <c r="C756" s="93">
        <v>46081</v>
      </c>
      <c r="D756" s="3">
        <v>46081</v>
      </c>
      <c r="E756" s="126">
        <v>46083</v>
      </c>
      <c r="F756" s="2" t="s">
        <v>77</v>
      </c>
      <c r="J756" s="300">
        <v>18618.96</v>
      </c>
      <c r="K756" s="4" t="s">
        <v>1641</v>
      </c>
      <c r="M756" s="4" t="s">
        <v>400</v>
      </c>
      <c r="N756" s="4" t="s">
        <v>387</v>
      </c>
      <c r="O756" s="134" t="str">
        <f>_xlfn.XLOOKUP(N756,[1]!costcategory[Account Code],[1]!costcategory[Cost Category],"ERROR")</f>
        <v>Headcount Costs</v>
      </c>
      <c r="P756" s="4" t="s">
        <v>523</v>
      </c>
      <c r="Q756" s="147" t="str">
        <f>_xlfn.XLOOKUP(P756,[1]!Table2[Department],[1]!Table2[Group],"ERROR")</f>
        <v>General &amp; Administrative</v>
      </c>
      <c r="W756" s="2"/>
    </row>
    <row r="757" spans="1:23" hidden="1" x14ac:dyDescent="0.2">
      <c r="A757" s="2" t="s">
        <v>15</v>
      </c>
      <c r="B757" s="2" t="s">
        <v>1</v>
      </c>
      <c r="C757" s="93">
        <v>46081</v>
      </c>
      <c r="D757" s="3">
        <v>46081</v>
      </c>
      <c r="E757" s="126">
        <v>46083</v>
      </c>
      <c r="F757" s="2" t="s">
        <v>77</v>
      </c>
      <c r="J757" s="300">
        <v>16313.13</v>
      </c>
      <c r="K757" s="4" t="s">
        <v>1641</v>
      </c>
      <c r="M757" s="4" t="s">
        <v>400</v>
      </c>
      <c r="N757" s="4" t="s">
        <v>387</v>
      </c>
      <c r="O757" s="134" t="str">
        <f>_xlfn.XLOOKUP(N757,[1]!costcategory[Account Code],[1]!costcategory[Cost Category],"ERROR")</f>
        <v>Headcount Costs</v>
      </c>
      <c r="P757" s="4" t="s">
        <v>56</v>
      </c>
      <c r="Q757" s="147" t="str">
        <f>_xlfn.XLOOKUP(P757,[1]!Table2[Department],[1]!Table2[Group],"ERROR")</f>
        <v>Research &amp; Development</v>
      </c>
      <c r="W757" s="2"/>
    </row>
    <row r="758" spans="1:23" hidden="1" x14ac:dyDescent="0.2">
      <c r="A758" s="2" t="s">
        <v>15</v>
      </c>
      <c r="B758" s="2" t="s">
        <v>1</v>
      </c>
      <c r="C758" s="93">
        <v>46081</v>
      </c>
      <c r="D758" s="3">
        <v>46081</v>
      </c>
      <c r="E758" s="126">
        <v>46083</v>
      </c>
      <c r="F758" s="2" t="s">
        <v>77</v>
      </c>
      <c r="J758" s="300">
        <v>13151.86</v>
      </c>
      <c r="K758" s="4" t="s">
        <v>1641</v>
      </c>
      <c r="M758" s="4" t="s">
        <v>400</v>
      </c>
      <c r="N758" s="4" t="s">
        <v>387</v>
      </c>
      <c r="O758" s="134" t="str">
        <f>_xlfn.XLOOKUP(N758,[1]!costcategory[Account Code],[1]!costcategory[Cost Category],"ERROR")</f>
        <v>Headcount Costs</v>
      </c>
      <c r="P758" s="4" t="s">
        <v>57</v>
      </c>
      <c r="Q758" s="147" t="str">
        <f>_xlfn.XLOOKUP(P758,[1]!Table2[Department],[1]!Table2[Group],"ERROR")</f>
        <v>Research &amp; Development</v>
      </c>
      <c r="W758" s="2"/>
    </row>
    <row r="759" spans="1:23" hidden="1" x14ac:dyDescent="0.2">
      <c r="A759" s="2" t="s">
        <v>15</v>
      </c>
      <c r="B759" s="2" t="s">
        <v>1</v>
      </c>
      <c r="C759" s="93">
        <v>46081</v>
      </c>
      <c r="D759" s="3">
        <v>46081</v>
      </c>
      <c r="E759" s="126">
        <v>46083</v>
      </c>
      <c r="F759" s="2" t="s">
        <v>77</v>
      </c>
      <c r="J759" s="300">
        <v>23927.93</v>
      </c>
      <c r="K759" s="4" t="s">
        <v>1641</v>
      </c>
      <c r="M759" s="4" t="s">
        <v>400</v>
      </c>
      <c r="N759" s="4" t="s">
        <v>387</v>
      </c>
      <c r="O759" s="134" t="str">
        <f>_xlfn.XLOOKUP(N759,[1]!costcategory[Account Code],[1]!costcategory[Cost Category],"ERROR")</f>
        <v>Headcount Costs</v>
      </c>
      <c r="P759" s="4" t="s">
        <v>59</v>
      </c>
      <c r="Q759" s="147" t="str">
        <f>_xlfn.XLOOKUP(P759,[1]!Table2[Department],[1]!Table2[Group],"ERROR")</f>
        <v>Research &amp; Development</v>
      </c>
      <c r="W759" s="2"/>
    </row>
    <row r="760" spans="1:23" hidden="1" x14ac:dyDescent="0.2">
      <c r="A760" s="2" t="s">
        <v>15</v>
      </c>
      <c r="B760" s="2" t="s">
        <v>1</v>
      </c>
      <c r="C760" s="93">
        <v>46081</v>
      </c>
      <c r="D760" s="3">
        <v>46081</v>
      </c>
      <c r="E760" s="126">
        <v>46083</v>
      </c>
      <c r="F760" s="2" t="s">
        <v>77</v>
      </c>
      <c r="J760" s="300">
        <v>9651.0300000000007</v>
      </c>
      <c r="K760" s="4" t="s">
        <v>1641</v>
      </c>
      <c r="M760" s="4" t="s">
        <v>400</v>
      </c>
      <c r="N760" s="4" t="s">
        <v>387</v>
      </c>
      <c r="O760" s="134" t="str">
        <f>_xlfn.XLOOKUP(N760,[1]!costcategory[Account Code],[1]!costcategory[Cost Category],"ERROR")</f>
        <v>Headcount Costs</v>
      </c>
      <c r="P760" s="4" t="s">
        <v>438</v>
      </c>
      <c r="Q760" s="147" t="str">
        <f>_xlfn.XLOOKUP(P760,[1]!Table2[Department],[1]!Table2[Group],"ERROR")</f>
        <v>Sales &amp; Marketing</v>
      </c>
      <c r="W760" s="2"/>
    </row>
    <row r="761" spans="1:23" hidden="1" x14ac:dyDescent="0.2">
      <c r="A761" s="2" t="s">
        <v>15</v>
      </c>
      <c r="B761" s="2" t="s">
        <v>1</v>
      </c>
      <c r="C761" s="93">
        <v>46083</v>
      </c>
      <c r="D761" s="3">
        <v>46083</v>
      </c>
      <c r="E761" s="126">
        <v>46083</v>
      </c>
      <c r="F761" s="2" t="s">
        <v>77</v>
      </c>
      <c r="G761" s="300">
        <v>210.51</v>
      </c>
      <c r="H761" s="300">
        <v>18.940000000000001</v>
      </c>
      <c r="I761" s="300">
        <v>229.45</v>
      </c>
      <c r="J761" s="300">
        <v>176.70518831521133</v>
      </c>
      <c r="K761" s="4" t="s">
        <v>774</v>
      </c>
      <c r="L761" s="4" t="s">
        <v>775</v>
      </c>
      <c r="M761" s="4" t="s">
        <v>776</v>
      </c>
      <c r="N761" s="4" t="s">
        <v>60</v>
      </c>
      <c r="O761" s="134" t="str">
        <f>_xlfn.XLOOKUP(N761,[1]!costcategory[Account Code],[1]!costcategory[Cost Category],"ERROR")</f>
        <v>Subscription Fee</v>
      </c>
      <c r="P761" s="4" t="s">
        <v>333</v>
      </c>
      <c r="Q761" s="147" t="str">
        <f>_xlfn.XLOOKUP(P761,[1]!Table2[Department],[1]!Table2[Group],"ERROR")</f>
        <v>General &amp; Administrative</v>
      </c>
      <c r="W761" s="2"/>
    </row>
    <row r="762" spans="1:23" hidden="1" x14ac:dyDescent="0.2">
      <c r="A762" s="2" t="s">
        <v>15</v>
      </c>
      <c r="B762" s="2" t="s">
        <v>1</v>
      </c>
      <c r="C762" s="93">
        <v>46083</v>
      </c>
      <c r="D762" s="3">
        <v>46083</v>
      </c>
      <c r="E762" s="126">
        <v>46083</v>
      </c>
      <c r="F762" s="2" t="s">
        <v>77</v>
      </c>
      <c r="G762" s="300">
        <v>79.180000000000007</v>
      </c>
      <c r="H762" s="300">
        <v>0</v>
      </c>
      <c r="I762" s="300">
        <v>79.180000000000007</v>
      </c>
      <c r="J762" s="300">
        <v>60.978499938106054</v>
      </c>
      <c r="K762" s="4" t="s">
        <v>1730</v>
      </c>
      <c r="L762" s="4" t="s">
        <v>1729</v>
      </c>
      <c r="M762" s="4" t="s">
        <v>1728</v>
      </c>
      <c r="N762" s="4" t="s">
        <v>657</v>
      </c>
      <c r="O762" s="134" t="str">
        <f>_xlfn.XLOOKUP(N762,[1]!costcategory[Account Code],[1]!costcategory[Cost Category],"ERROR")</f>
        <v>Intercompany</v>
      </c>
      <c r="P762" s="4" t="s">
        <v>333</v>
      </c>
      <c r="Q762" s="147" t="str">
        <f>_xlfn.XLOOKUP(P762,[1]!Table2[Department],[1]!Table2[Group],"ERROR")</f>
        <v>General &amp; Administrative</v>
      </c>
      <c r="W762" s="2"/>
    </row>
    <row r="763" spans="1:23" hidden="1" x14ac:dyDescent="0.2">
      <c r="A763" s="2" t="s">
        <v>15</v>
      </c>
      <c r="B763" s="2" t="s">
        <v>1</v>
      </c>
      <c r="C763" s="93">
        <v>46083</v>
      </c>
      <c r="D763" s="3">
        <v>46083</v>
      </c>
      <c r="E763" s="126">
        <v>46083</v>
      </c>
      <c r="F763" s="2" t="s">
        <v>77</v>
      </c>
      <c r="G763" s="300">
        <v>-15086.4</v>
      </c>
      <c r="H763" s="300">
        <v>0</v>
      </c>
      <c r="I763" s="300">
        <v>-15086.4</v>
      </c>
      <c r="J763" s="300">
        <v>-11618.41426453957</v>
      </c>
      <c r="K763" s="4" t="s">
        <v>670</v>
      </c>
      <c r="L763" s="4" t="s">
        <v>528</v>
      </c>
      <c r="M763" s="4" t="s">
        <v>696</v>
      </c>
      <c r="N763" s="4" t="s">
        <v>418</v>
      </c>
      <c r="O763" s="134" t="str">
        <f>_xlfn.XLOOKUP(N763,[1]!costcategory[Account Code],[1]!costcategory[Cost Category],"ERROR")</f>
        <v>Internal Fund Transfer</v>
      </c>
      <c r="P763" s="4" t="s">
        <v>66</v>
      </c>
      <c r="Q763" s="147" t="str">
        <f>_xlfn.XLOOKUP(P763,[1]!Table2[Department],[1]!Table2[Group],"ERROR")</f>
        <v>Others</v>
      </c>
      <c r="W763" s="2"/>
    </row>
    <row r="764" spans="1:23" hidden="1" x14ac:dyDescent="0.2">
      <c r="A764" s="2" t="s">
        <v>15</v>
      </c>
      <c r="B764" s="2" t="s">
        <v>1</v>
      </c>
      <c r="C764" s="93">
        <v>46083</v>
      </c>
      <c r="D764" s="3">
        <v>46083</v>
      </c>
      <c r="E764" s="126">
        <v>46083</v>
      </c>
      <c r="F764" s="2" t="s">
        <v>77</v>
      </c>
      <c r="G764" s="300">
        <v>-2191.54</v>
      </c>
      <c r="H764" s="300">
        <v>0</v>
      </c>
      <c r="I764" s="300">
        <v>-2191.54</v>
      </c>
      <c r="J764" s="300">
        <v>-1687.7598099817749</v>
      </c>
      <c r="K764" s="4" t="s">
        <v>670</v>
      </c>
      <c r="L764" s="4" t="s">
        <v>528</v>
      </c>
      <c r="M764" s="4" t="s">
        <v>777</v>
      </c>
      <c r="N764" s="4" t="s">
        <v>418</v>
      </c>
      <c r="O764" s="134" t="str">
        <f>_xlfn.XLOOKUP(N764,[1]!costcategory[Account Code],[1]!costcategory[Cost Category],"ERROR")</f>
        <v>Internal Fund Transfer</v>
      </c>
      <c r="P764" s="4" t="s">
        <v>66</v>
      </c>
      <c r="Q764" s="147" t="str">
        <f>_xlfn.XLOOKUP(P764,[1]!Table2[Department],[1]!Table2[Group],"ERROR")</f>
        <v>Others</v>
      </c>
      <c r="W764" s="2"/>
    </row>
    <row r="765" spans="1:23" hidden="1" x14ac:dyDescent="0.2">
      <c r="A765" s="2" t="s">
        <v>15</v>
      </c>
      <c r="B765" s="2" t="s">
        <v>1</v>
      </c>
      <c r="C765" s="93">
        <v>46083</v>
      </c>
      <c r="D765" s="3">
        <v>46083</v>
      </c>
      <c r="E765" s="126">
        <v>46083</v>
      </c>
      <c r="F765" s="2" t="s">
        <v>77</v>
      </c>
      <c r="G765" s="300">
        <v>-252600</v>
      </c>
      <c r="H765" s="300">
        <v>0</v>
      </c>
      <c r="I765" s="300">
        <v>-252600</v>
      </c>
      <c r="J765" s="300">
        <v>-194533.5827780448</v>
      </c>
      <c r="K765" s="4" t="s">
        <v>670</v>
      </c>
      <c r="L765" s="4" t="s">
        <v>528</v>
      </c>
      <c r="M765" s="4" t="s">
        <v>696</v>
      </c>
      <c r="N765" s="4" t="s">
        <v>418</v>
      </c>
      <c r="O765" s="134" t="str">
        <f>_xlfn.XLOOKUP(N765,[1]!costcategory[Account Code],[1]!costcategory[Cost Category],"ERROR")</f>
        <v>Internal Fund Transfer</v>
      </c>
      <c r="P765" s="4" t="s">
        <v>66</v>
      </c>
      <c r="Q765" s="147" t="str">
        <f>_xlfn.XLOOKUP(P765,[1]!Table2[Department],[1]!Table2[Group],"ERROR")</f>
        <v>Others</v>
      </c>
      <c r="W765" s="2"/>
    </row>
    <row r="766" spans="1:23" hidden="1" x14ac:dyDescent="0.2">
      <c r="A766" s="2" t="s">
        <v>15</v>
      </c>
      <c r="B766" s="2" t="s">
        <v>1</v>
      </c>
      <c r="C766" s="93">
        <v>46083</v>
      </c>
      <c r="D766" s="3">
        <v>46083</v>
      </c>
      <c r="E766" s="126">
        <v>46083</v>
      </c>
      <c r="F766" s="2" t="s">
        <v>77</v>
      </c>
      <c r="G766" s="300">
        <v>23892</v>
      </c>
      <c r="H766" s="300">
        <v>2150.2799999999997</v>
      </c>
      <c r="I766" s="300">
        <v>26042.28</v>
      </c>
      <c r="J766" s="300">
        <v>20055.811686892401</v>
      </c>
      <c r="K766" s="4" t="s">
        <v>759</v>
      </c>
      <c r="L766" s="4" t="s">
        <v>778</v>
      </c>
      <c r="M766" s="4" t="s">
        <v>1727</v>
      </c>
      <c r="N766" s="4" t="s">
        <v>409</v>
      </c>
      <c r="O766" s="134" t="str">
        <f>_xlfn.XLOOKUP(N766,[1]!costcategory[Account Code],[1]!costcategory[Cost Category],"ERROR")</f>
        <v>Rental</v>
      </c>
      <c r="P766" s="4" t="s">
        <v>340</v>
      </c>
      <c r="Q766" s="147" t="str">
        <f>_xlfn.XLOOKUP(P766,[1]!Table2[Department],[1]!Table2[Group],"ERROR")</f>
        <v>General &amp; Administrative</v>
      </c>
      <c r="W766" s="2"/>
    </row>
    <row r="767" spans="1:23" hidden="1" x14ac:dyDescent="0.2">
      <c r="A767" s="2" t="s">
        <v>15</v>
      </c>
      <c r="B767" s="2" t="s">
        <v>1</v>
      </c>
      <c r="C767" s="93">
        <v>46083</v>
      </c>
      <c r="D767" s="3">
        <v>46083</v>
      </c>
      <c r="E767" s="126">
        <v>46083</v>
      </c>
      <c r="F767" s="2" t="s">
        <v>77</v>
      </c>
      <c r="G767" s="300">
        <v>129.26</v>
      </c>
      <c r="H767" s="300">
        <v>11.633399999999998</v>
      </c>
      <c r="I767" s="300">
        <v>140.89339999999999</v>
      </c>
      <c r="J767" s="300">
        <v>108.50553401338153</v>
      </c>
      <c r="K767" s="4" t="s">
        <v>736</v>
      </c>
      <c r="L767" s="4" t="s">
        <v>779</v>
      </c>
      <c r="M767" s="4" t="s">
        <v>1726</v>
      </c>
      <c r="N767" s="4" t="s">
        <v>58</v>
      </c>
      <c r="O767" s="134" t="str">
        <f>_xlfn.XLOOKUP(N767,[1]!costcategory[Account Code],[1]!costcategory[Cost Category],"ERROR")</f>
        <v>Network &amp; Server</v>
      </c>
      <c r="P767" s="4" t="s">
        <v>376</v>
      </c>
      <c r="Q767" s="147" t="str">
        <f>_xlfn.XLOOKUP(P767,[1]!Table2[Department],[1]!Table2[Group],"ERROR")</f>
        <v>General &amp; Administrative</v>
      </c>
      <c r="W767" s="2"/>
    </row>
    <row r="768" spans="1:23" hidden="1" x14ac:dyDescent="0.2">
      <c r="A768" s="2" t="s">
        <v>15</v>
      </c>
      <c r="B768" s="2" t="s">
        <v>1</v>
      </c>
      <c r="C768" s="93">
        <v>46083</v>
      </c>
      <c r="D768" s="3">
        <v>46083</v>
      </c>
      <c r="E768" s="126">
        <v>46083</v>
      </c>
      <c r="F768" s="2" t="s">
        <v>77</v>
      </c>
      <c r="G768" s="300">
        <v>29179</v>
      </c>
      <c r="H768" s="300">
        <v>2356.11</v>
      </c>
      <c r="I768" s="300">
        <v>31535.11</v>
      </c>
      <c r="J768" s="300">
        <v>24285.977559777311</v>
      </c>
      <c r="K768" s="4" t="s">
        <v>1725</v>
      </c>
      <c r="L768" s="4" t="s">
        <v>780</v>
      </c>
      <c r="M768" s="4" t="s">
        <v>1724</v>
      </c>
      <c r="N768" s="4" t="s">
        <v>349</v>
      </c>
      <c r="O768" s="134" t="str">
        <f>_xlfn.XLOOKUP(N768,[1]!costcategory[Account Code],[1]!costcategory[Cost Category],"ERROR")</f>
        <v>Employee Benefits</v>
      </c>
      <c r="P768" s="4" t="s">
        <v>350</v>
      </c>
      <c r="Q768" s="147" t="str">
        <f>_xlfn.XLOOKUP(P768,[1]!Table2[Department],[1]!Table2[Group],"ERROR")</f>
        <v>General &amp; Administrative</v>
      </c>
      <c r="W768" s="2"/>
    </row>
    <row r="769" spans="1:21" hidden="1" x14ac:dyDescent="0.2">
      <c r="A769" s="2" t="s">
        <v>15</v>
      </c>
      <c r="B769" s="2" t="s">
        <v>1</v>
      </c>
      <c r="C769" s="93">
        <v>46083</v>
      </c>
      <c r="D769" s="3">
        <v>46083</v>
      </c>
      <c r="E769" s="126">
        <v>46083</v>
      </c>
      <c r="F769" s="2" t="s">
        <v>77</v>
      </c>
      <c r="G769" s="300">
        <v>57</v>
      </c>
      <c r="H769" s="300">
        <v>5.13</v>
      </c>
      <c r="I769" s="300">
        <v>62.13</v>
      </c>
      <c r="J769" s="300">
        <v>47.847868163103421</v>
      </c>
      <c r="K769" s="4" t="s">
        <v>665</v>
      </c>
      <c r="L769" s="4" t="s">
        <v>781</v>
      </c>
      <c r="M769" s="4" t="s">
        <v>1723</v>
      </c>
      <c r="N769" s="4" t="s">
        <v>50</v>
      </c>
      <c r="O769" s="134" t="str">
        <f>_xlfn.XLOOKUP(N769,[1]!costcategory[Account Code],[1]!costcategory[Cost Category],"ERROR")</f>
        <v>Office Supplies</v>
      </c>
      <c r="P769" s="4" t="s">
        <v>340</v>
      </c>
      <c r="Q769" s="147" t="str">
        <f>_xlfn.XLOOKUP(P769,[1]!Table2[Department],[1]!Table2[Group],"ERROR")</f>
        <v>General &amp; Administrative</v>
      </c>
    </row>
    <row r="770" spans="1:21" hidden="1" x14ac:dyDescent="0.2">
      <c r="A770" s="2" t="s">
        <v>15</v>
      </c>
      <c r="B770" s="2" t="s">
        <v>1</v>
      </c>
      <c r="C770" s="93">
        <v>46083</v>
      </c>
      <c r="D770" s="3">
        <v>46083</v>
      </c>
      <c r="E770" s="126">
        <v>46083</v>
      </c>
      <c r="F770" s="2" t="s">
        <v>77</v>
      </c>
      <c r="G770" s="300">
        <v>3670</v>
      </c>
      <c r="H770" s="300">
        <v>330.3</v>
      </c>
      <c r="I770" s="300">
        <v>4000.3</v>
      </c>
      <c r="J770" s="300">
        <v>3080.7311606770099</v>
      </c>
      <c r="K770" s="4" t="s">
        <v>1722</v>
      </c>
      <c r="L770" s="4" t="s">
        <v>782</v>
      </c>
      <c r="M770" s="4" t="s">
        <v>1721</v>
      </c>
      <c r="N770" s="4" t="s">
        <v>691</v>
      </c>
      <c r="O770" s="134" t="str">
        <f>_xlfn.XLOOKUP(N770,[1]!costcategory[Account Code],[1]!costcategory[Cost Category],"ERROR")</f>
        <v>Small Value Assets</v>
      </c>
      <c r="P770" s="4" t="s">
        <v>66</v>
      </c>
      <c r="Q770" s="147" t="str">
        <f>_xlfn.XLOOKUP(P770,[1]!Table2[Department],[1]!Table2[Group],"ERROR")</f>
        <v>Others</v>
      </c>
    </row>
    <row r="771" spans="1:21" hidden="1" x14ac:dyDescent="0.2">
      <c r="A771" s="2" t="s">
        <v>15</v>
      </c>
      <c r="B771" s="2" t="s">
        <v>1</v>
      </c>
      <c r="C771" s="93">
        <v>46083</v>
      </c>
      <c r="D771" s="3">
        <v>46083</v>
      </c>
      <c r="E771" s="126">
        <v>46083</v>
      </c>
      <c r="F771" s="2" t="s">
        <v>77</v>
      </c>
      <c r="G771" s="300">
        <v>7897.34</v>
      </c>
      <c r="H771" s="300">
        <v>710.76059999999995</v>
      </c>
      <c r="I771" s="300">
        <v>8608.1005999999998</v>
      </c>
      <c r="J771" s="300">
        <v>6629.3137396351431</v>
      </c>
      <c r="K771" s="4" t="s">
        <v>661</v>
      </c>
      <c r="L771" s="4" t="s">
        <v>783</v>
      </c>
      <c r="M771" s="4" t="s">
        <v>784</v>
      </c>
      <c r="N771" s="4" t="s">
        <v>58</v>
      </c>
      <c r="O771" s="134" t="str">
        <f>_xlfn.XLOOKUP(N771,[1]!costcategory[Account Code],[1]!costcategory[Cost Category],"ERROR")</f>
        <v>Network &amp; Server</v>
      </c>
      <c r="P771" s="4" t="s">
        <v>59</v>
      </c>
      <c r="Q771" s="147" t="str">
        <f>_xlfn.XLOOKUP(P771,[1]!Table2[Department],[1]!Table2[Group],"ERROR")</f>
        <v>Research &amp; Development</v>
      </c>
    </row>
    <row r="772" spans="1:21" hidden="1" x14ac:dyDescent="0.2">
      <c r="A772" s="2" t="s">
        <v>15</v>
      </c>
      <c r="B772" s="2" t="s">
        <v>1</v>
      </c>
      <c r="C772" s="93">
        <v>46083</v>
      </c>
      <c r="D772" s="3">
        <v>46083</v>
      </c>
      <c r="E772" s="126">
        <v>46083</v>
      </c>
      <c r="F772" s="2" t="s">
        <v>77</v>
      </c>
      <c r="G772" s="300">
        <v>293.19</v>
      </c>
      <c r="H772" s="300">
        <v>26.3871</v>
      </c>
      <c r="I772" s="300">
        <v>319.57709999999997</v>
      </c>
      <c r="J772" s="300">
        <v>246.11432397789986</v>
      </c>
      <c r="K772" s="4" t="s">
        <v>661</v>
      </c>
      <c r="L772" s="4" t="s">
        <v>783</v>
      </c>
      <c r="M772" s="4" t="s">
        <v>784</v>
      </c>
      <c r="N772" s="4" t="s">
        <v>58</v>
      </c>
      <c r="O772" s="134" t="str">
        <f>_xlfn.XLOOKUP(N772,[1]!costcategory[Account Code],[1]!costcategory[Cost Category],"ERROR")</f>
        <v>Network &amp; Server</v>
      </c>
      <c r="P772" s="4" t="s">
        <v>56</v>
      </c>
      <c r="Q772" s="147" t="str">
        <f>_xlfn.XLOOKUP(P772,[1]!Table2[Department],[1]!Table2[Group],"ERROR")</f>
        <v>Research &amp; Development</v>
      </c>
    </row>
    <row r="773" spans="1:21" hidden="1" x14ac:dyDescent="0.2">
      <c r="A773" s="2" t="s">
        <v>15</v>
      </c>
      <c r="B773" s="2" t="s">
        <v>1</v>
      </c>
      <c r="C773" s="93">
        <v>46083</v>
      </c>
      <c r="D773" s="3">
        <v>46083</v>
      </c>
      <c r="E773" s="126">
        <v>46083</v>
      </c>
      <c r="F773" s="2" t="s">
        <v>77</v>
      </c>
      <c r="G773" s="300">
        <v>194.25</v>
      </c>
      <c r="H773" s="300">
        <v>17.482499999999998</v>
      </c>
      <c r="I773" s="300">
        <v>211.73249999999999</v>
      </c>
      <c r="J773" s="300">
        <v>163.06049808215508</v>
      </c>
      <c r="K773" s="4" t="s">
        <v>661</v>
      </c>
      <c r="L773" s="4" t="s">
        <v>783</v>
      </c>
      <c r="M773" s="4" t="s">
        <v>784</v>
      </c>
      <c r="N773" s="4" t="s">
        <v>58</v>
      </c>
      <c r="O773" s="134" t="str">
        <f>_xlfn.XLOOKUP(N773,[1]!costcategory[Account Code],[1]!costcategory[Cost Category],"ERROR")</f>
        <v>Network &amp; Server</v>
      </c>
      <c r="P773" s="4" t="s">
        <v>57</v>
      </c>
      <c r="Q773" s="147" t="str">
        <f>_xlfn.XLOOKUP(P773,[1]!Table2[Department],[1]!Table2[Group],"ERROR")</f>
        <v>Research &amp; Development</v>
      </c>
    </row>
    <row r="774" spans="1:21" hidden="1" x14ac:dyDescent="0.2">
      <c r="A774" s="2" t="s">
        <v>15</v>
      </c>
      <c r="B774" s="2" t="s">
        <v>1</v>
      </c>
      <c r="C774" s="93">
        <v>46083</v>
      </c>
      <c r="D774" s="3">
        <v>46083</v>
      </c>
      <c r="E774" s="126">
        <v>46083</v>
      </c>
      <c r="F774" s="2" t="s">
        <v>77</v>
      </c>
      <c r="G774" s="300">
        <v>180.11</v>
      </c>
      <c r="H774" s="300">
        <v>0</v>
      </c>
      <c r="I774" s="300">
        <v>180.11</v>
      </c>
      <c r="J774" s="300">
        <v>138.70721929593688</v>
      </c>
      <c r="K774" s="4" t="s">
        <v>659</v>
      </c>
      <c r="M774" s="4" t="s">
        <v>785</v>
      </c>
      <c r="N774" s="4" t="s">
        <v>786</v>
      </c>
      <c r="O774" s="134" t="str">
        <f>_xlfn.XLOOKUP(N774,[1]!costcategory[Account Code],[1]!costcategory[Cost Category],"ERROR")</f>
        <v>Current Asset</v>
      </c>
      <c r="P774" s="4" t="s">
        <v>340</v>
      </c>
      <c r="Q774" s="147" t="str">
        <f>_xlfn.XLOOKUP(P774,[1]!Table2[Department],[1]!Table2[Group],"ERROR")</f>
        <v>General &amp; Administrative</v>
      </c>
    </row>
    <row r="775" spans="1:21" hidden="1" x14ac:dyDescent="0.2">
      <c r="A775" s="2" t="s">
        <v>15</v>
      </c>
      <c r="B775" s="2" t="s">
        <v>1</v>
      </c>
      <c r="C775" s="93">
        <v>46084</v>
      </c>
      <c r="D775" s="3">
        <v>46084</v>
      </c>
      <c r="E775" s="126">
        <v>46084</v>
      </c>
      <c r="F775" s="2" t="s">
        <v>77</v>
      </c>
      <c r="G775" s="300">
        <v>805.87</v>
      </c>
      <c r="H775" s="300">
        <v>0</v>
      </c>
      <c r="I775" s="300">
        <v>805.87</v>
      </c>
      <c r="J775" s="300">
        <v>620.6206585643032</v>
      </c>
      <c r="K775" s="4" t="s">
        <v>787</v>
      </c>
      <c r="M775" s="4" t="s">
        <v>788</v>
      </c>
      <c r="N775" s="4" t="s">
        <v>387</v>
      </c>
      <c r="O775" s="134" t="str">
        <f>_xlfn.XLOOKUP(N775,[1]!costcategory[Account Code],[1]!costcategory[Cost Category],"ERROR")</f>
        <v>Headcount Costs</v>
      </c>
      <c r="P775" s="4" t="s">
        <v>350</v>
      </c>
      <c r="Q775" s="147" t="str">
        <f>_xlfn.XLOOKUP(P775,[1]!Table2[Department],[1]!Table2[Group],"ERROR")</f>
        <v>General &amp; Administrative</v>
      </c>
    </row>
    <row r="776" spans="1:21" hidden="1" x14ac:dyDescent="0.2">
      <c r="A776" s="2" t="s">
        <v>15</v>
      </c>
      <c r="B776" s="2" t="s">
        <v>1</v>
      </c>
      <c r="C776" s="93">
        <v>46084</v>
      </c>
      <c r="D776" s="3">
        <v>46084</v>
      </c>
      <c r="E776" s="126">
        <v>46084</v>
      </c>
      <c r="F776" s="2" t="s">
        <v>77</v>
      </c>
      <c r="G776" s="300">
        <v>-240498.35</v>
      </c>
      <c r="H776" s="300">
        <v>0</v>
      </c>
      <c r="I776" s="300">
        <v>-240498.35</v>
      </c>
      <c r="J776" s="300">
        <v>-185213.7991991615</v>
      </c>
      <c r="K776" s="4" t="s">
        <v>789</v>
      </c>
      <c r="M776" s="4" t="s">
        <v>1720</v>
      </c>
      <c r="N776" s="4" t="s">
        <v>657</v>
      </c>
      <c r="O776" s="134" t="str">
        <f>_xlfn.XLOOKUP(N776,[1]!costcategory[Account Code],[1]!costcategory[Cost Category],"ERROR")</f>
        <v>Intercompany</v>
      </c>
      <c r="P776" s="4" t="s">
        <v>66</v>
      </c>
      <c r="Q776" s="147" t="str">
        <f>_xlfn.XLOOKUP(P776,[1]!Table2[Department],[1]!Table2[Group],"ERROR")</f>
        <v>Others</v>
      </c>
    </row>
    <row r="777" spans="1:21" hidden="1" x14ac:dyDescent="0.2">
      <c r="A777" s="2" t="s">
        <v>15</v>
      </c>
      <c r="B777" s="2" t="s">
        <v>1</v>
      </c>
      <c r="C777" s="93">
        <v>46084</v>
      </c>
      <c r="D777" s="3">
        <v>46084</v>
      </c>
      <c r="E777" s="126">
        <v>46084</v>
      </c>
      <c r="F777" s="2" t="s">
        <v>77</v>
      </c>
      <c r="G777" s="300">
        <v>11422.09</v>
      </c>
      <c r="H777" s="300" t="s">
        <v>1700</v>
      </c>
      <c r="I777" s="300">
        <v>11422.09</v>
      </c>
      <c r="J777" s="300">
        <v>8853.7900000000009</v>
      </c>
      <c r="K777" s="4" t="s">
        <v>790</v>
      </c>
      <c r="M777" s="4" t="s">
        <v>791</v>
      </c>
      <c r="N777" s="4" t="s">
        <v>509</v>
      </c>
      <c r="O777" s="134" t="str">
        <f>_xlfn.XLOOKUP(N777,[1]!costcategory[Account Code],[1]!costcategory[Cost Category],"ERROR")</f>
        <v>Corporate Tax Expenses</v>
      </c>
      <c r="P777" s="4" t="s">
        <v>350</v>
      </c>
      <c r="Q777" s="147" t="str">
        <f>_xlfn.XLOOKUP(P777,[1]!Table2[Department],[1]!Table2[Group],"ERROR")</f>
        <v>General &amp; Administrative</v>
      </c>
    </row>
    <row r="778" spans="1:21" s="2" customFormat="1" hidden="1" x14ac:dyDescent="0.2">
      <c r="A778" s="2" t="s">
        <v>15</v>
      </c>
      <c r="B778" s="2" t="s">
        <v>1</v>
      </c>
      <c r="C778" s="93">
        <v>46084</v>
      </c>
      <c r="D778" s="3">
        <v>46084</v>
      </c>
      <c r="E778" s="126">
        <v>46084</v>
      </c>
      <c r="F778" s="2" t="s">
        <v>77</v>
      </c>
      <c r="G778" s="300">
        <v>10</v>
      </c>
      <c r="H778" s="300">
        <v>0</v>
      </c>
      <c r="I778" s="301">
        <f>SUM(G778:H778)</f>
        <v>10</v>
      </c>
      <c r="J778" s="300">
        <v>0.30225956240240875</v>
      </c>
      <c r="K778" s="4" t="s">
        <v>670</v>
      </c>
      <c r="L778" s="4" t="s">
        <v>792</v>
      </c>
      <c r="M778" s="4" t="s">
        <v>332</v>
      </c>
      <c r="N778" s="4" t="s">
        <v>332</v>
      </c>
      <c r="O778" s="134" t="str">
        <f>_xlfn.XLOOKUP(N778,[1]!costcategory[Account Code],[1]!costcategory[Cost Category],"ERROR")</f>
        <v>Bank Charges</v>
      </c>
      <c r="P778" s="4" t="s">
        <v>333</v>
      </c>
      <c r="Q778" s="147" t="str">
        <f>_xlfn.XLOOKUP(P778,[1]!Table2[Department],[1]!Table2[Group],"ERROR")</f>
        <v>General &amp; Administrative</v>
      </c>
      <c r="R778"/>
      <c r="S778"/>
      <c r="T778"/>
      <c r="U778" s="4"/>
    </row>
    <row r="779" spans="1:21" s="2" customFormat="1" hidden="1" x14ac:dyDescent="0.2">
      <c r="A779" s="2" t="s">
        <v>15</v>
      </c>
      <c r="B779" s="2" t="s">
        <v>1</v>
      </c>
      <c r="C779" s="93">
        <v>46084</v>
      </c>
      <c r="D779" s="3">
        <v>46084</v>
      </c>
      <c r="E779" s="126">
        <v>46084</v>
      </c>
      <c r="F779" s="2" t="s">
        <v>77</v>
      </c>
      <c r="G779" s="300"/>
      <c r="H779" s="300"/>
      <c r="I779" s="300"/>
      <c r="J779" s="300">
        <v>625.04999999999995</v>
      </c>
      <c r="K779" s="4" t="s">
        <v>1641</v>
      </c>
      <c r="L779" s="4"/>
      <c r="M779" s="4" t="s">
        <v>412</v>
      </c>
      <c r="N779" s="4" t="s">
        <v>387</v>
      </c>
      <c r="O779" s="134" t="str">
        <f>_xlfn.XLOOKUP(N779,[1]!costcategory[Account Code],[1]!costcategory[Cost Category],"ERROR")</f>
        <v>Headcount Costs</v>
      </c>
      <c r="P779" s="4" t="s">
        <v>45</v>
      </c>
      <c r="Q779" s="147" t="str">
        <f>_xlfn.XLOOKUP(P779,[1]!Table2[Department],[1]!Table2[Group],"ERROR")</f>
        <v>DSC</v>
      </c>
      <c r="R779"/>
      <c r="S779"/>
      <c r="T779"/>
      <c r="U779" s="4"/>
    </row>
    <row r="780" spans="1:21" s="2" customFormat="1" hidden="1" x14ac:dyDescent="0.2">
      <c r="A780" s="2" t="s">
        <v>15</v>
      </c>
      <c r="B780" s="2" t="s">
        <v>1</v>
      </c>
      <c r="C780" s="93">
        <v>46098</v>
      </c>
      <c r="D780" s="3">
        <v>46098</v>
      </c>
      <c r="E780" s="126">
        <v>46084</v>
      </c>
      <c r="F780" s="2" t="s">
        <v>77</v>
      </c>
      <c r="G780" s="300"/>
      <c r="H780" s="300"/>
      <c r="I780" s="300"/>
      <c r="J780" s="300">
        <v>8853.7900000000009</v>
      </c>
      <c r="K780" s="4" t="s">
        <v>1641</v>
      </c>
      <c r="L780" s="4"/>
      <c r="M780" s="4" t="s">
        <v>412</v>
      </c>
      <c r="N780" s="4" t="s">
        <v>387</v>
      </c>
      <c r="O780" s="134" t="str">
        <f>_xlfn.XLOOKUP(N780,[1]!costcategory[Account Code],[1]!costcategory[Cost Category],"ERROR")</f>
        <v>Headcount Costs</v>
      </c>
      <c r="P780" s="4" t="s">
        <v>57</v>
      </c>
      <c r="Q780" s="147" t="str">
        <f>_xlfn.XLOOKUP(P780,[1]!Table2[Department],[1]!Table2[Group],"ERROR")</f>
        <v>Research &amp; Development</v>
      </c>
      <c r="R780"/>
      <c r="S780"/>
      <c r="T780"/>
      <c r="U780" s="4"/>
    </row>
    <row r="781" spans="1:21" s="2" customFormat="1" hidden="1" x14ac:dyDescent="0.2">
      <c r="A781" s="2" t="s">
        <v>15</v>
      </c>
      <c r="B781" s="2" t="s">
        <v>1</v>
      </c>
      <c r="C781" s="93">
        <v>46087</v>
      </c>
      <c r="D781" s="3">
        <v>46087</v>
      </c>
      <c r="E781" s="126">
        <v>46087</v>
      </c>
      <c r="F781" s="2" t="s">
        <v>77</v>
      </c>
      <c r="G781" s="300">
        <v>-2099</v>
      </c>
      <c r="H781" s="300">
        <v>-188.91</v>
      </c>
      <c r="I781" s="300">
        <v>-2287.91</v>
      </c>
      <c r="J781" s="300">
        <v>-1761.9767591991942</v>
      </c>
      <c r="K781" s="4" t="s">
        <v>138</v>
      </c>
      <c r="L781" s="4" t="s">
        <v>139</v>
      </c>
      <c r="M781" s="4" t="s">
        <v>140</v>
      </c>
      <c r="N781" s="4" t="s">
        <v>382</v>
      </c>
      <c r="O781" s="134" t="str">
        <f>_xlfn.XLOOKUP(N781,[1]!costcategory[Account Code],[1]!costcategory[Cost Category],"ERROR")</f>
        <v>Revenue</v>
      </c>
      <c r="P781" s="4" t="s">
        <v>658</v>
      </c>
      <c r="Q781" s="147" t="str">
        <f>_xlfn.XLOOKUP(P781,[1]!Table2[Department],[1]!Table2[Group],"ERROR")</f>
        <v>Sales &amp; Marketing</v>
      </c>
      <c r="R781"/>
      <c r="S781"/>
      <c r="T781"/>
      <c r="U781" s="4"/>
    </row>
    <row r="782" spans="1:21" s="2" customFormat="1" hidden="1" x14ac:dyDescent="0.2">
      <c r="A782" s="2" t="s">
        <v>15</v>
      </c>
      <c r="B782" s="2" t="s">
        <v>1</v>
      </c>
      <c r="C782" s="93">
        <v>46081</v>
      </c>
      <c r="D782" s="3">
        <v>46081</v>
      </c>
      <c r="E782" s="126">
        <v>46090</v>
      </c>
      <c r="F782" s="2" t="s">
        <v>77</v>
      </c>
      <c r="G782" s="300"/>
      <c r="H782" s="300"/>
      <c r="I782" s="300"/>
      <c r="J782" s="300">
        <v>139.74</v>
      </c>
      <c r="K782" s="4" t="s">
        <v>1641</v>
      </c>
      <c r="L782" s="4"/>
      <c r="M782" s="4" t="s">
        <v>1719</v>
      </c>
      <c r="N782" s="4" t="s">
        <v>364</v>
      </c>
      <c r="O782" s="134" t="str">
        <f>_xlfn.XLOOKUP(N782,[1]!costcategory[Account Code],[1]!costcategory[Cost Category],"ERROR")</f>
        <v>Headcount Costs</v>
      </c>
      <c r="P782" s="4" t="s">
        <v>354</v>
      </c>
      <c r="Q782" s="147" t="str">
        <f>_xlfn.XLOOKUP(P782,[1]!Table2[Department],[1]!Table2[Group],"ERROR")</f>
        <v>Sales &amp; Marketing</v>
      </c>
      <c r="R782"/>
      <c r="S782"/>
      <c r="T782"/>
      <c r="U782" s="4"/>
    </row>
    <row r="783" spans="1:21" s="2" customFormat="1" hidden="1" x14ac:dyDescent="0.2">
      <c r="A783" s="2" t="s">
        <v>15</v>
      </c>
      <c r="B783" s="2" t="s">
        <v>1</v>
      </c>
      <c r="C783" s="93">
        <v>46081</v>
      </c>
      <c r="D783" s="3">
        <v>46081</v>
      </c>
      <c r="E783" s="126">
        <v>46090</v>
      </c>
      <c r="F783" s="2" t="s">
        <v>77</v>
      </c>
      <c r="G783" s="300"/>
      <c r="H783" s="300"/>
      <c r="I783" s="300"/>
      <c r="J783" s="300">
        <v>309.92</v>
      </c>
      <c r="K783" s="4" t="s">
        <v>1641</v>
      </c>
      <c r="L783" s="4"/>
      <c r="M783" s="4" t="s">
        <v>1719</v>
      </c>
      <c r="N783" s="4" t="s">
        <v>364</v>
      </c>
      <c r="O783" s="134" t="str">
        <f>_xlfn.XLOOKUP(N783,[1]!costcategory[Account Code],[1]!costcategory[Cost Category],"ERROR")</f>
        <v>Headcount Costs</v>
      </c>
      <c r="P783" s="4" t="s">
        <v>45</v>
      </c>
      <c r="Q783" s="147" t="str">
        <f>_xlfn.XLOOKUP(P783,[1]!Table2[Department],[1]!Table2[Group],"ERROR")</f>
        <v>DSC</v>
      </c>
      <c r="R783"/>
      <c r="S783"/>
      <c r="T783"/>
      <c r="U783" s="4"/>
    </row>
    <row r="784" spans="1:21" s="2" customFormat="1" hidden="1" x14ac:dyDescent="0.2">
      <c r="A784" s="2" t="s">
        <v>15</v>
      </c>
      <c r="B784" s="2" t="s">
        <v>1</v>
      </c>
      <c r="C784" s="93">
        <v>46081</v>
      </c>
      <c r="D784" s="3">
        <v>46081</v>
      </c>
      <c r="E784" s="126">
        <v>46090</v>
      </c>
      <c r="F784" s="2" t="s">
        <v>77</v>
      </c>
      <c r="G784" s="300"/>
      <c r="H784" s="300"/>
      <c r="I784" s="300"/>
      <c r="J784" s="300">
        <v>169.59</v>
      </c>
      <c r="K784" s="4" t="s">
        <v>1641</v>
      </c>
      <c r="L784" s="4"/>
      <c r="M784" s="4" t="s">
        <v>1719</v>
      </c>
      <c r="N784" s="4" t="s">
        <v>364</v>
      </c>
      <c r="O784" s="134" t="str">
        <f>_xlfn.XLOOKUP(N784,[1]!costcategory[Account Code],[1]!costcategory[Cost Category],"ERROR")</f>
        <v>Headcount Costs</v>
      </c>
      <c r="P784" s="4" t="s">
        <v>658</v>
      </c>
      <c r="Q784" s="147" t="str">
        <f>_xlfn.XLOOKUP(P784,[1]!Table2[Department],[1]!Table2[Group],"ERROR")</f>
        <v>Sales &amp; Marketing</v>
      </c>
      <c r="R784"/>
      <c r="S784"/>
      <c r="T784"/>
      <c r="U784" s="4"/>
    </row>
    <row r="785" spans="1:22" s="2" customFormat="1" hidden="1" x14ac:dyDescent="0.2">
      <c r="A785" s="2" t="s">
        <v>15</v>
      </c>
      <c r="B785" s="2" t="s">
        <v>1</v>
      </c>
      <c r="C785" s="93">
        <v>46081</v>
      </c>
      <c r="D785" s="3">
        <v>46081</v>
      </c>
      <c r="E785" s="126">
        <v>46090</v>
      </c>
      <c r="F785" s="2" t="s">
        <v>77</v>
      </c>
      <c r="G785" s="300"/>
      <c r="H785" s="300"/>
      <c r="I785" s="300"/>
      <c r="J785" s="300">
        <v>349.85</v>
      </c>
      <c r="K785" s="4" t="s">
        <v>1641</v>
      </c>
      <c r="L785" s="4"/>
      <c r="M785" s="4" t="s">
        <v>1719</v>
      </c>
      <c r="N785" s="4" t="s">
        <v>364</v>
      </c>
      <c r="O785" s="134" t="str">
        <f>_xlfn.XLOOKUP(N785,[1]!costcategory[Account Code],[1]!costcategory[Cost Category],"ERROR")</f>
        <v>Headcount Costs</v>
      </c>
      <c r="P785" s="4" t="s">
        <v>350</v>
      </c>
      <c r="Q785" s="147" t="str">
        <f>_xlfn.XLOOKUP(P785,[1]!Table2[Department],[1]!Table2[Group],"ERROR")</f>
        <v>General &amp; Administrative</v>
      </c>
      <c r="R785"/>
      <c r="S785"/>
      <c r="T785"/>
      <c r="U785" s="4"/>
    </row>
    <row r="786" spans="1:22" s="2" customFormat="1" hidden="1" x14ac:dyDescent="0.2">
      <c r="A786" s="2" t="s">
        <v>15</v>
      </c>
      <c r="B786" s="2" t="s">
        <v>1</v>
      </c>
      <c r="C786" s="93">
        <v>46081</v>
      </c>
      <c r="D786" s="3">
        <v>46081</v>
      </c>
      <c r="E786" s="126">
        <v>46090</v>
      </c>
      <c r="F786" s="2" t="s">
        <v>77</v>
      </c>
      <c r="G786" s="300"/>
      <c r="H786" s="300"/>
      <c r="I786" s="300"/>
      <c r="J786" s="300">
        <v>8.89</v>
      </c>
      <c r="K786" s="4" t="s">
        <v>1641</v>
      </c>
      <c r="L786" s="4"/>
      <c r="M786" s="4" t="s">
        <v>1719</v>
      </c>
      <c r="N786" s="4" t="s">
        <v>364</v>
      </c>
      <c r="O786" s="134" t="str">
        <f>_xlfn.XLOOKUP(N786,[1]!costcategory[Account Code],[1]!costcategory[Cost Category],"ERROR")</f>
        <v>Headcount Costs</v>
      </c>
      <c r="P786" s="4" t="s">
        <v>523</v>
      </c>
      <c r="Q786" s="147" t="str">
        <f>_xlfn.XLOOKUP(P786,[1]!Table2[Department],[1]!Table2[Group],"ERROR")</f>
        <v>General &amp; Administrative</v>
      </c>
      <c r="R786"/>
      <c r="S786"/>
      <c r="T786"/>
      <c r="U786" s="4"/>
    </row>
    <row r="787" spans="1:22" s="2" customFormat="1" hidden="1" x14ac:dyDescent="0.2">
      <c r="A787" s="2" t="s">
        <v>15</v>
      </c>
      <c r="B787" s="2" t="s">
        <v>1</v>
      </c>
      <c r="C787" s="93">
        <v>46081</v>
      </c>
      <c r="D787" s="3">
        <v>46081</v>
      </c>
      <c r="E787" s="126">
        <v>46090</v>
      </c>
      <c r="F787" s="2" t="s">
        <v>77</v>
      </c>
      <c r="G787" s="300"/>
      <c r="H787" s="300"/>
      <c r="I787" s="300"/>
      <c r="J787" s="300">
        <v>274.14999999999998</v>
      </c>
      <c r="K787" s="4" t="s">
        <v>1641</v>
      </c>
      <c r="L787" s="4"/>
      <c r="M787" s="4" t="s">
        <v>1719</v>
      </c>
      <c r="N787" s="4" t="s">
        <v>364</v>
      </c>
      <c r="O787" s="134" t="str">
        <f>_xlfn.XLOOKUP(N787,[1]!costcategory[Account Code],[1]!costcategory[Cost Category],"ERROR")</f>
        <v>Headcount Costs</v>
      </c>
      <c r="P787" s="4" t="s">
        <v>56</v>
      </c>
      <c r="Q787" s="147" t="str">
        <f>_xlfn.XLOOKUP(P787,[1]!Table2[Department],[1]!Table2[Group],"ERROR")</f>
        <v>Research &amp; Development</v>
      </c>
      <c r="R787"/>
      <c r="S787"/>
      <c r="T787"/>
      <c r="U787" s="4"/>
    </row>
    <row r="788" spans="1:22" s="2" customFormat="1" hidden="1" x14ac:dyDescent="0.2">
      <c r="A788" s="2" t="s">
        <v>15</v>
      </c>
      <c r="B788" s="2" t="s">
        <v>1</v>
      </c>
      <c r="C788" s="93">
        <v>46081</v>
      </c>
      <c r="D788" s="3">
        <v>46081</v>
      </c>
      <c r="E788" s="126">
        <v>46090</v>
      </c>
      <c r="F788" s="2" t="s">
        <v>77</v>
      </c>
      <c r="G788" s="300"/>
      <c r="H788" s="300"/>
      <c r="I788" s="300"/>
      <c r="J788" s="300">
        <v>8.89</v>
      </c>
      <c r="K788" s="4" t="s">
        <v>1641</v>
      </c>
      <c r="L788" s="4"/>
      <c r="M788" s="4" t="s">
        <v>1719</v>
      </c>
      <c r="N788" s="4" t="s">
        <v>364</v>
      </c>
      <c r="O788" s="134" t="str">
        <f>_xlfn.XLOOKUP(N788,[1]!costcategory[Account Code],[1]!costcategory[Cost Category],"ERROR")</f>
        <v>Headcount Costs</v>
      </c>
      <c r="P788" s="4" t="s">
        <v>57</v>
      </c>
      <c r="Q788" s="147" t="str">
        <f>_xlfn.XLOOKUP(P788,[1]!Table2[Department],[1]!Table2[Group],"ERROR")</f>
        <v>Research &amp; Development</v>
      </c>
      <c r="R788"/>
      <c r="S788"/>
      <c r="T788"/>
      <c r="U788" s="4"/>
    </row>
    <row r="789" spans="1:22" s="2" customFormat="1" hidden="1" x14ac:dyDescent="0.2">
      <c r="A789" s="2" t="s">
        <v>15</v>
      </c>
      <c r="B789" s="2" t="s">
        <v>1</v>
      </c>
      <c r="C789" s="93">
        <v>46081</v>
      </c>
      <c r="D789" s="3">
        <v>46081</v>
      </c>
      <c r="E789" s="126">
        <v>46090</v>
      </c>
      <c r="F789" s="2" t="s">
        <v>77</v>
      </c>
      <c r="G789" s="300"/>
      <c r="H789" s="300"/>
      <c r="I789" s="300"/>
      <c r="J789" s="300">
        <v>17.79</v>
      </c>
      <c r="K789" s="4" t="s">
        <v>1641</v>
      </c>
      <c r="L789" s="4"/>
      <c r="M789" s="4" t="s">
        <v>1719</v>
      </c>
      <c r="N789" s="4" t="s">
        <v>364</v>
      </c>
      <c r="O789" s="134" t="str">
        <f>_xlfn.XLOOKUP(N789,[1]!costcategory[Account Code],[1]!costcategory[Cost Category],"ERROR")</f>
        <v>Headcount Costs</v>
      </c>
      <c r="P789" s="4" t="s">
        <v>59</v>
      </c>
      <c r="Q789" s="147" t="str">
        <f>_xlfn.XLOOKUP(P789,[1]!Table2[Department],[1]!Table2[Group],"ERROR")</f>
        <v>Research &amp; Development</v>
      </c>
      <c r="R789"/>
      <c r="S789"/>
      <c r="T789"/>
      <c r="U789" s="4"/>
    </row>
    <row r="790" spans="1:22" s="2" customFormat="1" hidden="1" x14ac:dyDescent="0.2">
      <c r="A790" s="2" t="s">
        <v>15</v>
      </c>
      <c r="B790" s="2" t="s">
        <v>1</v>
      </c>
      <c r="C790" s="93">
        <v>46081</v>
      </c>
      <c r="D790" s="3">
        <v>46081</v>
      </c>
      <c r="E790" s="126">
        <v>46090</v>
      </c>
      <c r="F790" s="2" t="s">
        <v>77</v>
      </c>
      <c r="G790" s="300"/>
      <c r="H790" s="300"/>
      <c r="I790" s="300"/>
      <c r="J790" s="300">
        <v>115.23</v>
      </c>
      <c r="K790" s="4" t="s">
        <v>1641</v>
      </c>
      <c r="L790" s="4"/>
      <c r="M790" s="4" t="s">
        <v>1719</v>
      </c>
      <c r="N790" s="4" t="s">
        <v>364</v>
      </c>
      <c r="O790" s="134" t="str">
        <f>_xlfn.XLOOKUP(N790,[1]!costcategory[Account Code],[1]!costcategory[Cost Category],"ERROR")</f>
        <v>Headcount Costs</v>
      </c>
      <c r="P790" s="4" t="s">
        <v>438</v>
      </c>
      <c r="Q790" s="147" t="str">
        <f>_xlfn.XLOOKUP(P790,[1]!Table2[Department],[1]!Table2[Group],"ERROR")</f>
        <v>Sales &amp; Marketing</v>
      </c>
      <c r="R790"/>
      <c r="S790"/>
      <c r="T790"/>
      <c r="U790" s="4"/>
    </row>
    <row r="791" spans="1:22" s="2" customFormat="1" hidden="1" x14ac:dyDescent="0.2">
      <c r="A791" s="2" t="s">
        <v>15</v>
      </c>
      <c r="B791" s="2" t="s">
        <v>1</v>
      </c>
      <c r="C791" s="93">
        <v>46090</v>
      </c>
      <c r="D791" s="3">
        <v>46090</v>
      </c>
      <c r="E791" s="126">
        <v>46090</v>
      </c>
      <c r="F791" s="2" t="s">
        <v>77</v>
      </c>
      <c r="G791" s="300">
        <v>26034.5</v>
      </c>
      <c r="H791" s="300">
        <v>0</v>
      </c>
      <c r="I791" s="300">
        <v>26034.5</v>
      </c>
      <c r="J791" s="300">
        <v>20049.820114152841</v>
      </c>
      <c r="K791" s="4" t="s">
        <v>672</v>
      </c>
      <c r="L791" s="4" t="s">
        <v>793</v>
      </c>
      <c r="M791" s="4" t="s">
        <v>794</v>
      </c>
      <c r="N791" s="4" t="s">
        <v>387</v>
      </c>
      <c r="O791" s="134" t="str">
        <f>_xlfn.XLOOKUP(N791,[1]!costcategory[Account Code],[1]!costcategory[Cost Category],"ERROR")</f>
        <v>Headcount Costs</v>
      </c>
      <c r="P791" s="4" t="s">
        <v>350</v>
      </c>
      <c r="Q791" s="147" t="str">
        <f>_xlfn.XLOOKUP(P791,[1]!Table2[Department],[1]!Table2[Group],"ERROR")</f>
        <v>General &amp; Administrative</v>
      </c>
      <c r="R791"/>
      <c r="S791"/>
      <c r="T791"/>
      <c r="U791" s="4"/>
    </row>
    <row r="792" spans="1:22" s="2" customFormat="1" hidden="1" x14ac:dyDescent="0.2">
      <c r="A792" s="2" t="s">
        <v>15</v>
      </c>
      <c r="B792" s="2" t="s">
        <v>1</v>
      </c>
      <c r="C792" s="93">
        <v>46093</v>
      </c>
      <c r="D792" s="3">
        <v>46093</v>
      </c>
      <c r="E792" s="126">
        <v>46093</v>
      </c>
      <c r="F792" s="2" t="s">
        <v>77</v>
      </c>
      <c r="G792" s="300">
        <v>-4100</v>
      </c>
      <c r="H792" s="300">
        <v>0</v>
      </c>
      <c r="I792" s="300">
        <v>-4100</v>
      </c>
      <c r="J792" s="300">
        <v>-3157.5126262469666</v>
      </c>
      <c r="K792" s="4" t="s">
        <v>790</v>
      </c>
      <c r="L792" s="4"/>
      <c r="M792" s="4" t="s">
        <v>1718</v>
      </c>
      <c r="N792" s="4" t="s">
        <v>795</v>
      </c>
      <c r="O792" s="134" t="str">
        <f>_xlfn.XLOOKUP(N792,[1]!costcategory[Account Code],[1]!costcategory[Cost Category],"ERROR")</f>
        <v>Other Income</v>
      </c>
      <c r="P792" s="4" t="s">
        <v>340</v>
      </c>
      <c r="Q792" s="147" t="str">
        <f>_xlfn.XLOOKUP(P792,[1]!Table2[Department],[1]!Table2[Group],"ERROR")</f>
        <v>General &amp; Administrative</v>
      </c>
      <c r="R792"/>
      <c r="S792"/>
      <c r="T792"/>
      <c r="U792" s="4"/>
    </row>
    <row r="793" spans="1:22" s="2" customFormat="1" hidden="1" x14ac:dyDescent="0.2">
      <c r="A793" s="2" t="s">
        <v>15</v>
      </c>
      <c r="B793" s="2" t="s">
        <v>1</v>
      </c>
      <c r="C793" s="93">
        <v>46094</v>
      </c>
      <c r="D793" s="3">
        <v>46094</v>
      </c>
      <c r="E793" s="126">
        <v>46094</v>
      </c>
      <c r="F793" s="2" t="s">
        <v>77</v>
      </c>
      <c r="G793" s="300">
        <v>152.6</v>
      </c>
      <c r="H793" s="300">
        <v>0</v>
      </c>
      <c r="I793" s="300">
        <v>152.6</v>
      </c>
      <c r="J793" s="300">
        <v>117.5210796988505</v>
      </c>
      <c r="K793" s="4" t="s">
        <v>1717</v>
      </c>
      <c r="L793" s="4" t="s">
        <v>796</v>
      </c>
      <c r="M793" s="4" t="s">
        <v>797</v>
      </c>
      <c r="N793" s="4" t="s">
        <v>540</v>
      </c>
      <c r="O793" s="134" t="str">
        <f>_xlfn.XLOOKUP(N793,[1]!costcategory[Account Code],[1]!costcategory[Cost Category],"ERROR")</f>
        <v>Employee Benefits</v>
      </c>
      <c r="P793" s="4" t="s">
        <v>340</v>
      </c>
      <c r="Q793" s="147" t="str">
        <f>_xlfn.XLOOKUP(P793,[1]!Table2[Department],[1]!Table2[Group],"ERROR")</f>
        <v>General &amp; Administrative</v>
      </c>
      <c r="R793"/>
      <c r="S793"/>
      <c r="T793"/>
      <c r="U793" s="4" t="s">
        <v>1716</v>
      </c>
    </row>
    <row r="794" spans="1:22" customFormat="1" hidden="1" x14ac:dyDescent="0.2">
      <c r="A794" s="2" t="s">
        <v>15</v>
      </c>
      <c r="B794" s="2" t="s">
        <v>1</v>
      </c>
      <c r="C794" s="93">
        <v>46094</v>
      </c>
      <c r="D794" s="3">
        <v>46094</v>
      </c>
      <c r="E794" s="126">
        <v>46094</v>
      </c>
      <c r="F794" s="2" t="s">
        <v>77</v>
      </c>
      <c r="G794" s="300">
        <v>558.39</v>
      </c>
      <c r="H794" s="300">
        <v>0</v>
      </c>
      <c r="I794" s="300">
        <v>558.39</v>
      </c>
      <c r="J794" s="300">
        <v>430.03011594391307</v>
      </c>
      <c r="K794" s="4" t="s">
        <v>564</v>
      </c>
      <c r="L794" s="4" t="s">
        <v>564</v>
      </c>
      <c r="M794" s="4" t="s">
        <v>474</v>
      </c>
      <c r="N794" s="4" t="s">
        <v>475</v>
      </c>
      <c r="O794" s="134" t="str">
        <f>_xlfn.XLOOKUP(N794,[1]!costcategory[Account Code],[1]!costcategory[Cost Category],"ERROR")</f>
        <v>Travelling Expenses</v>
      </c>
      <c r="P794" s="4" t="s">
        <v>59</v>
      </c>
      <c r="Q794" s="147" t="str">
        <f>_xlfn.XLOOKUP(P794,[1]!Table2[Department],[1]!Table2[Group],"ERROR")</f>
        <v>Research &amp; Development</v>
      </c>
      <c r="U794" s="4"/>
      <c r="V794" s="2"/>
    </row>
    <row r="795" spans="1:22" customFormat="1" hidden="1" x14ac:dyDescent="0.2">
      <c r="A795" s="2" t="s">
        <v>15</v>
      </c>
      <c r="B795" s="2" t="s">
        <v>1</v>
      </c>
      <c r="C795" s="93">
        <v>46094</v>
      </c>
      <c r="D795" s="3">
        <v>46094</v>
      </c>
      <c r="E795" s="126">
        <v>46094</v>
      </c>
      <c r="F795" s="2" t="s">
        <v>77</v>
      </c>
      <c r="G795" s="300">
        <v>110.43</v>
      </c>
      <c r="H795" s="300">
        <v>0</v>
      </c>
      <c r="I795" s="300">
        <v>110.43</v>
      </c>
      <c r="J795" s="300">
        <v>85.044907150354277</v>
      </c>
      <c r="K795" s="4" t="s">
        <v>564</v>
      </c>
      <c r="L795" s="4" t="s">
        <v>564</v>
      </c>
      <c r="M795" s="4" t="s">
        <v>474</v>
      </c>
      <c r="N795" s="4" t="s">
        <v>475</v>
      </c>
      <c r="O795" s="134" t="str">
        <f>_xlfn.XLOOKUP(N795,[1]!costcategory[Account Code],[1]!costcategory[Cost Category],"ERROR")</f>
        <v>Travelling Expenses</v>
      </c>
      <c r="P795" s="4" t="s">
        <v>438</v>
      </c>
      <c r="Q795" s="147" t="str">
        <f>_xlfn.XLOOKUP(P795,[1]!Table2[Department],[1]!Table2[Group],"ERROR")</f>
        <v>Sales &amp; Marketing</v>
      </c>
      <c r="U795" s="4"/>
      <c r="V795" s="2"/>
    </row>
    <row r="796" spans="1:22" customFormat="1" hidden="1" x14ac:dyDescent="0.2">
      <c r="A796" s="2" t="s">
        <v>15</v>
      </c>
      <c r="B796" s="2" t="s">
        <v>1</v>
      </c>
      <c r="C796" s="93">
        <v>46094</v>
      </c>
      <c r="D796" s="3">
        <v>46094</v>
      </c>
      <c r="E796" s="126">
        <v>46094</v>
      </c>
      <c r="F796" s="2" t="s">
        <v>77</v>
      </c>
      <c r="G796" s="300">
        <v>440</v>
      </c>
      <c r="H796" s="300">
        <v>39.6</v>
      </c>
      <c r="I796" s="300">
        <v>479.6</v>
      </c>
      <c r="J796" s="300">
        <v>369.3519647678159</v>
      </c>
      <c r="K796" s="4" t="s">
        <v>564</v>
      </c>
      <c r="L796" s="4" t="s">
        <v>564</v>
      </c>
      <c r="M796" s="4" t="s">
        <v>476</v>
      </c>
      <c r="N796" s="4" t="s">
        <v>339</v>
      </c>
      <c r="O796" s="134" t="str">
        <f>_xlfn.XLOOKUP(N796,[1]!costcategory[Account Code],[1]!costcategory[Cost Category],"ERROR")</f>
        <v>Travelling Expenses</v>
      </c>
      <c r="P796" s="4" t="s">
        <v>354</v>
      </c>
      <c r="Q796" s="147" t="str">
        <f>_xlfn.XLOOKUP(P796,[1]!Table2[Department],[1]!Table2[Group],"ERROR")</f>
        <v>Sales &amp; Marketing</v>
      </c>
      <c r="U796" s="4"/>
      <c r="V796" s="2"/>
    </row>
    <row r="797" spans="1:22" customFormat="1" hidden="1" x14ac:dyDescent="0.2">
      <c r="A797" s="2" t="s">
        <v>15</v>
      </c>
      <c r="B797" s="2" t="s">
        <v>1</v>
      </c>
      <c r="C797" s="93">
        <v>46094</v>
      </c>
      <c r="D797" s="3">
        <v>46094</v>
      </c>
      <c r="E797" s="126">
        <v>46094</v>
      </c>
      <c r="F797" s="2" t="s">
        <v>77</v>
      </c>
      <c r="G797" s="300">
        <v>1009.79</v>
      </c>
      <c r="H797" s="300">
        <v>90.88</v>
      </c>
      <c r="I797" s="300">
        <v>1100.67</v>
      </c>
      <c r="J797" s="300">
        <v>847.65351764176796</v>
      </c>
      <c r="K797" s="4" t="s">
        <v>564</v>
      </c>
      <c r="L797" s="4" t="s">
        <v>564</v>
      </c>
      <c r="M797" s="4" t="s">
        <v>476</v>
      </c>
      <c r="N797" s="4" t="s">
        <v>339</v>
      </c>
      <c r="O797" s="134" t="str">
        <f>_xlfn.XLOOKUP(N797,[1]!costcategory[Account Code],[1]!costcategory[Cost Category],"ERROR")</f>
        <v>Travelling Expenses</v>
      </c>
      <c r="P797" s="4" t="s">
        <v>438</v>
      </c>
      <c r="Q797" s="147" t="str">
        <f>_xlfn.XLOOKUP(P797,[1]!Table2[Department],[1]!Table2[Group],"ERROR")</f>
        <v>Sales &amp; Marketing</v>
      </c>
      <c r="U797" s="4"/>
      <c r="V797" s="2"/>
    </row>
    <row r="798" spans="1:22" customFormat="1" hidden="1" x14ac:dyDescent="0.2">
      <c r="A798" s="2" t="s">
        <v>15</v>
      </c>
      <c r="B798" s="2" t="s">
        <v>1</v>
      </c>
      <c r="C798" s="93">
        <v>46094</v>
      </c>
      <c r="D798" s="3">
        <v>46094</v>
      </c>
      <c r="E798" s="126">
        <v>46094</v>
      </c>
      <c r="F798" s="2" t="s">
        <v>77</v>
      </c>
      <c r="G798" s="300">
        <v>587.80999999999995</v>
      </c>
      <c r="H798" s="300">
        <v>42.19</v>
      </c>
      <c r="I798" s="300">
        <v>630</v>
      </c>
      <c r="J798" s="300">
        <v>485.17876939892415</v>
      </c>
      <c r="K798" s="4" t="s">
        <v>564</v>
      </c>
      <c r="L798" s="4" t="s">
        <v>564</v>
      </c>
      <c r="M798" s="4" t="s">
        <v>798</v>
      </c>
      <c r="N798" s="4" t="s">
        <v>799</v>
      </c>
      <c r="O798" s="134" t="str">
        <f>_xlfn.XLOOKUP(N798,[1]!costcategory[Account Code],[1]!costcategory[Cost Category],"ERROR")</f>
        <v>Sales Expenses</v>
      </c>
      <c r="P798" s="4" t="s">
        <v>438</v>
      </c>
      <c r="Q798" s="147" t="str">
        <f>_xlfn.XLOOKUP(P798,[1]!Table2[Department],[1]!Table2[Group],"ERROR")</f>
        <v>Sales &amp; Marketing</v>
      </c>
      <c r="U798" s="4"/>
      <c r="V798" s="2"/>
    </row>
    <row r="799" spans="1:22" customFormat="1" hidden="1" x14ac:dyDescent="0.2">
      <c r="A799" s="2" t="s">
        <v>15</v>
      </c>
      <c r="B799" s="2" t="s">
        <v>1</v>
      </c>
      <c r="C799" s="93">
        <v>46094</v>
      </c>
      <c r="D799" s="3">
        <v>46094</v>
      </c>
      <c r="E799" s="126">
        <v>46094</v>
      </c>
      <c r="F799" s="2" t="s">
        <v>77</v>
      </c>
      <c r="G799" s="300">
        <v>999.75</v>
      </c>
      <c r="H799" s="300">
        <v>0</v>
      </c>
      <c r="I799" s="300">
        <v>999.75</v>
      </c>
      <c r="J799" s="300">
        <v>769.93249953424504</v>
      </c>
      <c r="K799" s="4" t="s">
        <v>564</v>
      </c>
      <c r="L799" s="4" t="s">
        <v>564</v>
      </c>
      <c r="M799" s="4" t="s">
        <v>389</v>
      </c>
      <c r="N799" s="4" t="s">
        <v>684</v>
      </c>
      <c r="O799" s="134" t="str">
        <f>_xlfn.XLOOKUP(N799,[1]!costcategory[Account Code],[1]!costcategory[Cost Category],"ERROR")</f>
        <v>Sales Expenses</v>
      </c>
      <c r="P799" s="4" t="s">
        <v>523</v>
      </c>
      <c r="Q799" s="147" t="str">
        <f>_xlfn.XLOOKUP(P799,[1]!Table2[Department],[1]!Table2[Group],"ERROR")</f>
        <v>General &amp; Administrative</v>
      </c>
      <c r="U799" s="4"/>
      <c r="V799" s="2"/>
    </row>
    <row r="800" spans="1:22" customFormat="1" hidden="1" x14ac:dyDescent="0.2">
      <c r="A800" s="2" t="s">
        <v>15</v>
      </c>
      <c r="B800" s="2" t="s">
        <v>1</v>
      </c>
      <c r="C800" s="93">
        <v>46094</v>
      </c>
      <c r="D800" s="3">
        <v>46094</v>
      </c>
      <c r="E800" s="126">
        <v>46094</v>
      </c>
      <c r="F800" s="2" t="s">
        <v>77</v>
      </c>
      <c r="G800" s="300">
        <v>623.57000000000005</v>
      </c>
      <c r="H800" s="300">
        <v>53.44</v>
      </c>
      <c r="I800" s="300">
        <v>677.01</v>
      </c>
      <c r="J800" s="300">
        <v>521.38234709645337</v>
      </c>
      <c r="K800" s="4" t="s">
        <v>564</v>
      </c>
      <c r="L800" s="4" t="s">
        <v>564</v>
      </c>
      <c r="M800" s="4" t="s">
        <v>526</v>
      </c>
      <c r="N800" s="4" t="s">
        <v>527</v>
      </c>
      <c r="O800" s="134" t="str">
        <f>_xlfn.XLOOKUP(N800,[1]!costcategory[Account Code],[1]!costcategory[Cost Category],"ERROR")</f>
        <v>Sales Expenses</v>
      </c>
      <c r="P800" s="4" t="s">
        <v>523</v>
      </c>
      <c r="Q800" s="147" t="str">
        <f>_xlfn.XLOOKUP(P800,[1]!Table2[Department],[1]!Table2[Group],"ERROR")</f>
        <v>General &amp; Administrative</v>
      </c>
      <c r="U800" s="4"/>
      <c r="V800" s="2"/>
    </row>
    <row r="801" spans="1:22" customFormat="1" hidden="1" x14ac:dyDescent="0.2">
      <c r="A801" s="2" t="s">
        <v>15</v>
      </c>
      <c r="B801" s="2" t="s">
        <v>1</v>
      </c>
      <c r="C801" s="93">
        <v>46094</v>
      </c>
      <c r="D801" s="3">
        <v>46094</v>
      </c>
      <c r="E801" s="126">
        <v>46094</v>
      </c>
      <c r="F801" s="2" t="s">
        <v>77</v>
      </c>
      <c r="G801" s="300">
        <v>773.21</v>
      </c>
      <c r="H801" s="300">
        <v>69.58</v>
      </c>
      <c r="I801" s="300">
        <v>842.79000000000008</v>
      </c>
      <c r="J801" s="300">
        <v>649.05367470114174</v>
      </c>
      <c r="K801" s="4" t="s">
        <v>564</v>
      </c>
      <c r="L801" s="4" t="s">
        <v>564</v>
      </c>
      <c r="M801" s="4" t="s">
        <v>526</v>
      </c>
      <c r="N801" s="4" t="s">
        <v>527</v>
      </c>
      <c r="O801" s="134" t="str">
        <f>_xlfn.XLOOKUP(N801,[1]!costcategory[Account Code],[1]!costcategory[Cost Category],"ERROR")</f>
        <v>Sales Expenses</v>
      </c>
      <c r="P801" s="4" t="s">
        <v>438</v>
      </c>
      <c r="Q801" s="147" t="str">
        <f>_xlfn.XLOOKUP(P801,[1]!Table2[Department],[1]!Table2[Group],"ERROR")</f>
        <v>Sales &amp; Marketing</v>
      </c>
      <c r="U801" s="4"/>
      <c r="V801" s="2"/>
    </row>
    <row r="802" spans="1:22" customFormat="1" hidden="1" x14ac:dyDescent="0.2">
      <c r="A802" s="2" t="s">
        <v>15</v>
      </c>
      <c r="B802" s="2" t="s">
        <v>1</v>
      </c>
      <c r="C802" s="93">
        <v>46094</v>
      </c>
      <c r="D802" s="3">
        <v>46094</v>
      </c>
      <c r="E802" s="126">
        <v>46094</v>
      </c>
      <c r="F802" s="2" t="s">
        <v>77</v>
      </c>
      <c r="G802" s="300">
        <v>233.71</v>
      </c>
      <c r="H802" s="300">
        <v>0</v>
      </c>
      <c r="I802" s="300">
        <v>233.71</v>
      </c>
      <c r="J802" s="300">
        <v>179.98592094638502</v>
      </c>
      <c r="K802" s="4" t="s">
        <v>564</v>
      </c>
      <c r="L802" s="4" t="s">
        <v>564</v>
      </c>
      <c r="M802" s="4" t="s">
        <v>687</v>
      </c>
      <c r="N802" s="4" t="s">
        <v>688</v>
      </c>
      <c r="O802" s="134" t="str">
        <f>_xlfn.XLOOKUP(N802,[1]!costcategory[Account Code],[1]!costcategory[Cost Category],"ERROR")</f>
        <v>Sales Expenses</v>
      </c>
      <c r="P802" s="4" t="s">
        <v>523</v>
      </c>
      <c r="Q802" s="147" t="str">
        <f>_xlfn.XLOOKUP(P802,[1]!Table2[Department],[1]!Table2[Group],"ERROR")</f>
        <v>General &amp; Administrative</v>
      </c>
      <c r="U802" s="4"/>
      <c r="V802" s="2"/>
    </row>
    <row r="803" spans="1:22" customFormat="1" hidden="1" x14ac:dyDescent="0.2">
      <c r="A803" s="2" t="s">
        <v>15</v>
      </c>
      <c r="B803" s="2" t="s">
        <v>1</v>
      </c>
      <c r="C803" s="93">
        <v>46094</v>
      </c>
      <c r="D803" s="3">
        <v>46094</v>
      </c>
      <c r="E803" s="126">
        <v>46094</v>
      </c>
      <c r="F803" s="2" t="s">
        <v>77</v>
      </c>
      <c r="G803" s="300">
        <v>225</v>
      </c>
      <c r="H803" s="300">
        <v>0</v>
      </c>
      <c r="I803" s="300">
        <v>225</v>
      </c>
      <c r="J803" s="300">
        <v>173.27813192818718</v>
      </c>
      <c r="K803" s="4" t="s">
        <v>564</v>
      </c>
      <c r="L803" s="4" t="s">
        <v>564</v>
      </c>
      <c r="M803" s="4" t="s">
        <v>800</v>
      </c>
      <c r="N803" s="4" t="s">
        <v>801</v>
      </c>
      <c r="O803" s="134" t="str">
        <f>_xlfn.XLOOKUP(N803,[1]!costcategory[Account Code],[1]!costcategory[Cost Category],"ERROR")</f>
        <v>Recruitment Related Fees</v>
      </c>
      <c r="P803" s="4" t="s">
        <v>350</v>
      </c>
      <c r="Q803" s="147" t="str">
        <f>_xlfn.XLOOKUP(P803,[1]!Table2[Department],[1]!Table2[Group],"ERROR")</f>
        <v>General &amp; Administrative</v>
      </c>
      <c r="U803" s="4"/>
      <c r="V803" s="2"/>
    </row>
    <row r="804" spans="1:22" customFormat="1" hidden="1" x14ac:dyDescent="0.2">
      <c r="A804" s="2" t="s">
        <v>15</v>
      </c>
      <c r="B804" s="2" t="s">
        <v>1</v>
      </c>
      <c r="C804" s="93">
        <v>46094</v>
      </c>
      <c r="D804" s="3">
        <v>46094</v>
      </c>
      <c r="E804" s="126">
        <v>46094</v>
      </c>
      <c r="F804" s="2" t="s">
        <v>77</v>
      </c>
      <c r="G804" s="300">
        <v>28.59</v>
      </c>
      <c r="H804" s="300">
        <v>0</v>
      </c>
      <c r="I804" s="300">
        <v>28.59</v>
      </c>
      <c r="J804" s="300">
        <v>22.017874630341652</v>
      </c>
      <c r="K804" s="4" t="s">
        <v>564</v>
      </c>
      <c r="L804" s="4" t="s">
        <v>564</v>
      </c>
      <c r="M804" s="4" t="s">
        <v>802</v>
      </c>
      <c r="N804" s="4" t="s">
        <v>68</v>
      </c>
      <c r="O804" s="134" t="str">
        <f>_xlfn.XLOOKUP(N804,[1]!costcategory[Account Code],[1]!costcategory[Cost Category],"ERROR")</f>
        <v>Marketing Expense</v>
      </c>
      <c r="P804" s="4" t="s">
        <v>658</v>
      </c>
      <c r="Q804" s="147" t="str">
        <f>_xlfn.XLOOKUP(P804,[1]!Table2[Department],[1]!Table2[Group],"ERROR")</f>
        <v>Sales &amp; Marketing</v>
      </c>
      <c r="U804" s="4"/>
      <c r="V804" s="2"/>
    </row>
    <row r="805" spans="1:22" customFormat="1" hidden="1" x14ac:dyDescent="0.2">
      <c r="A805" s="2" t="s">
        <v>15</v>
      </c>
      <c r="B805" s="2" t="s">
        <v>1</v>
      </c>
      <c r="C805" s="93">
        <v>46094</v>
      </c>
      <c r="D805" s="3">
        <v>46094</v>
      </c>
      <c r="E805" s="126">
        <v>46094</v>
      </c>
      <c r="F805" s="2" t="s">
        <v>77</v>
      </c>
      <c r="G805" s="300">
        <v>213.01999999999998</v>
      </c>
      <c r="H805" s="300">
        <v>0</v>
      </c>
      <c r="I805" s="300">
        <v>213.01999999999998</v>
      </c>
      <c r="J805" s="300">
        <v>164.0520340592997</v>
      </c>
      <c r="K805" s="4" t="s">
        <v>564</v>
      </c>
      <c r="L805" s="4" t="s">
        <v>564</v>
      </c>
      <c r="M805" s="4" t="s">
        <v>352</v>
      </c>
      <c r="N805" s="4" t="s">
        <v>391</v>
      </c>
      <c r="O805" s="134" t="str">
        <f>_xlfn.XLOOKUP(N805,[1]!costcategory[Account Code],[1]!costcategory[Cost Category],"ERROR")</f>
        <v>Travelling Expenses</v>
      </c>
      <c r="P805" s="4" t="s">
        <v>59</v>
      </c>
      <c r="Q805" s="147" t="str">
        <f>_xlfn.XLOOKUP(P805,[1]!Table2[Department],[1]!Table2[Group],"ERROR")</f>
        <v>Research &amp; Development</v>
      </c>
      <c r="U805" s="4"/>
      <c r="V805" s="2"/>
    </row>
    <row r="806" spans="1:22" customFormat="1" hidden="1" x14ac:dyDescent="0.2">
      <c r="A806" s="2" t="s">
        <v>15</v>
      </c>
      <c r="B806" s="2" t="s">
        <v>1</v>
      </c>
      <c r="C806" s="93">
        <v>46094</v>
      </c>
      <c r="D806" s="3">
        <v>46094</v>
      </c>
      <c r="E806" s="126">
        <v>46094</v>
      </c>
      <c r="F806" s="2" t="s">
        <v>77</v>
      </c>
      <c r="G806" s="300">
        <v>68.45</v>
      </c>
      <c r="H806" s="300">
        <v>0</v>
      </c>
      <c r="I806" s="300">
        <v>68.45</v>
      </c>
      <c r="J806" s="300">
        <v>52.715058357708507</v>
      </c>
      <c r="K806" s="4" t="s">
        <v>564</v>
      </c>
      <c r="L806" s="4" t="s">
        <v>564</v>
      </c>
      <c r="M806" s="4" t="s">
        <v>352</v>
      </c>
      <c r="N806" s="4" t="s">
        <v>391</v>
      </c>
      <c r="O806" s="134" t="str">
        <f>_xlfn.XLOOKUP(N806,[1]!costcategory[Account Code],[1]!costcategory[Cost Category],"ERROR")</f>
        <v>Travelling Expenses</v>
      </c>
      <c r="P806" s="4" t="s">
        <v>523</v>
      </c>
      <c r="Q806" s="147" t="str">
        <f>_xlfn.XLOOKUP(P806,[1]!Table2[Department],[1]!Table2[Group],"ERROR")</f>
        <v>General &amp; Administrative</v>
      </c>
      <c r="U806" s="4"/>
      <c r="V806" s="2"/>
    </row>
    <row r="807" spans="1:22" customFormat="1" hidden="1" x14ac:dyDescent="0.2">
      <c r="A807" s="2" t="s">
        <v>15</v>
      </c>
      <c r="B807" s="2" t="s">
        <v>1</v>
      </c>
      <c r="C807" s="93">
        <v>46094</v>
      </c>
      <c r="D807" s="3">
        <v>46094</v>
      </c>
      <c r="E807" s="126">
        <v>46094</v>
      </c>
      <c r="F807" s="2" t="s">
        <v>77</v>
      </c>
      <c r="G807" s="300">
        <v>8.7200000000000006</v>
      </c>
      <c r="H807" s="300">
        <v>0.78</v>
      </c>
      <c r="I807" s="300">
        <v>9.5</v>
      </c>
      <c r="J807" s="300">
        <v>7.3161877925234586</v>
      </c>
      <c r="K807" s="4" t="s">
        <v>564</v>
      </c>
      <c r="L807" s="4" t="s">
        <v>564</v>
      </c>
      <c r="M807" s="4" t="s">
        <v>355</v>
      </c>
      <c r="N807" s="4" t="s">
        <v>402</v>
      </c>
      <c r="O807" s="134" t="str">
        <f>_xlfn.XLOOKUP(N807,[1]!costcategory[Account Code],[1]!costcategory[Cost Category],"ERROR")</f>
        <v>Travelling Expenses</v>
      </c>
      <c r="P807" s="4" t="s">
        <v>354</v>
      </c>
      <c r="Q807" s="147" t="str">
        <f>_xlfn.XLOOKUP(P807,[1]!Table2[Department],[1]!Table2[Group],"ERROR")</f>
        <v>Sales &amp; Marketing</v>
      </c>
      <c r="U807" s="4"/>
      <c r="V807" s="2"/>
    </row>
    <row r="808" spans="1:22" customFormat="1" hidden="1" x14ac:dyDescent="0.2">
      <c r="A808" s="2" t="s">
        <v>15</v>
      </c>
      <c r="B808" s="2" t="s">
        <v>1</v>
      </c>
      <c r="C808" s="93">
        <v>46094</v>
      </c>
      <c r="D808" s="3">
        <v>46094</v>
      </c>
      <c r="E808" s="126">
        <v>46094</v>
      </c>
      <c r="F808" s="2" t="s">
        <v>77</v>
      </c>
      <c r="G808" s="300">
        <v>21.89</v>
      </c>
      <c r="H808" s="300">
        <v>1.97</v>
      </c>
      <c r="I808" s="300">
        <v>23.86</v>
      </c>
      <c r="J808" s="300">
        <v>18.375183234695761</v>
      </c>
      <c r="K808" s="4" t="s">
        <v>564</v>
      </c>
      <c r="L808" s="4" t="s">
        <v>564</v>
      </c>
      <c r="M808" s="4" t="s">
        <v>355</v>
      </c>
      <c r="N808" s="4" t="s">
        <v>402</v>
      </c>
      <c r="O808" s="134" t="str">
        <f>_xlfn.XLOOKUP(N808,[1]!costcategory[Account Code],[1]!costcategory[Cost Category],"ERROR")</f>
        <v>Travelling Expenses</v>
      </c>
      <c r="P808" s="4" t="s">
        <v>523</v>
      </c>
      <c r="Q808" s="147" t="str">
        <f>_xlfn.XLOOKUP(P808,[1]!Table2[Department],[1]!Table2[Group],"ERROR")</f>
        <v>General &amp; Administrative</v>
      </c>
      <c r="U808" s="4"/>
      <c r="V808" s="2"/>
    </row>
    <row r="809" spans="1:22" customFormat="1" hidden="1" x14ac:dyDescent="0.2">
      <c r="A809" s="2" t="s">
        <v>15</v>
      </c>
      <c r="B809" s="2" t="s">
        <v>1</v>
      </c>
      <c r="C809" s="93">
        <v>46094</v>
      </c>
      <c r="D809" s="3">
        <v>46094</v>
      </c>
      <c r="E809" s="126">
        <v>46094</v>
      </c>
      <c r="F809" s="2" t="s">
        <v>77</v>
      </c>
      <c r="G809" s="300">
        <v>82.03</v>
      </c>
      <c r="H809" s="300">
        <v>4.7699999999999996</v>
      </c>
      <c r="I809" s="300">
        <v>86.8</v>
      </c>
      <c r="J809" s="300">
        <v>66.846852672740653</v>
      </c>
      <c r="K809" s="4" t="s">
        <v>564</v>
      </c>
      <c r="L809" s="4" t="s">
        <v>564</v>
      </c>
      <c r="M809" s="4" t="s">
        <v>355</v>
      </c>
      <c r="N809" s="4" t="s">
        <v>402</v>
      </c>
      <c r="O809" s="134" t="str">
        <f>_xlfn.XLOOKUP(N809,[1]!costcategory[Account Code],[1]!costcategory[Cost Category],"ERROR")</f>
        <v>Travelling Expenses</v>
      </c>
      <c r="P809" s="4" t="s">
        <v>438</v>
      </c>
      <c r="Q809" s="147" t="str">
        <f>_xlfn.XLOOKUP(P809,[1]!Table2[Department],[1]!Table2[Group],"ERROR")</f>
        <v>Sales &amp; Marketing</v>
      </c>
      <c r="U809" s="4"/>
      <c r="V809" s="2"/>
    </row>
    <row r="810" spans="1:22" customFormat="1" hidden="1" x14ac:dyDescent="0.2">
      <c r="A810" s="2" t="s">
        <v>15</v>
      </c>
      <c r="B810" s="2" t="s">
        <v>1</v>
      </c>
      <c r="C810" s="93">
        <v>46094</v>
      </c>
      <c r="D810" s="3">
        <v>46094</v>
      </c>
      <c r="E810" s="126">
        <v>46094</v>
      </c>
      <c r="F810" s="2" t="s">
        <v>77</v>
      </c>
      <c r="G810" s="300">
        <v>80</v>
      </c>
      <c r="H810" s="300">
        <v>0</v>
      </c>
      <c r="I810" s="300">
        <v>80</v>
      </c>
      <c r="J810" s="300">
        <v>61.610002463355443</v>
      </c>
      <c r="K810" s="4" t="s">
        <v>564</v>
      </c>
      <c r="L810" s="4" t="s">
        <v>564</v>
      </c>
      <c r="M810" s="4" t="s">
        <v>403</v>
      </c>
      <c r="N810" s="4" t="s">
        <v>367</v>
      </c>
      <c r="O810" s="134" t="str">
        <f>_xlfn.XLOOKUP(N810,[1]!costcategory[Account Code],[1]!costcategory[Cost Category],"ERROR")</f>
        <v>Professional &amp; Consultancy Fees</v>
      </c>
      <c r="P810" s="4" t="s">
        <v>350</v>
      </c>
      <c r="Q810" s="147" t="str">
        <f>_xlfn.XLOOKUP(P810,[1]!Table2[Department],[1]!Table2[Group],"ERROR")</f>
        <v>General &amp; Administrative</v>
      </c>
      <c r="U810" s="4"/>
      <c r="V810" s="2"/>
    </row>
    <row r="811" spans="1:22" customFormat="1" hidden="1" x14ac:dyDescent="0.2">
      <c r="A811" s="2" t="s">
        <v>15</v>
      </c>
      <c r="B811" s="2" t="s">
        <v>1</v>
      </c>
      <c r="C811" s="93">
        <v>46094</v>
      </c>
      <c r="D811" s="3">
        <v>46094</v>
      </c>
      <c r="E811" s="126">
        <v>46094</v>
      </c>
      <c r="F811" s="2" t="s">
        <v>77</v>
      </c>
      <c r="G811" s="300">
        <v>-0.01</v>
      </c>
      <c r="H811" s="300">
        <v>0</v>
      </c>
      <c r="I811" s="300">
        <v>-0.01</v>
      </c>
      <c r="J811" s="300">
        <v>-7.701250307919431E-3</v>
      </c>
      <c r="K811" s="4" t="s">
        <v>564</v>
      </c>
      <c r="L811" s="4" t="s">
        <v>564</v>
      </c>
      <c r="M811" s="4" t="s">
        <v>357</v>
      </c>
      <c r="N811" s="4" t="s">
        <v>353</v>
      </c>
      <c r="O811" s="134" t="str">
        <f>_xlfn.XLOOKUP(N811,[1]!costcategory[Account Code],[1]!costcategory[Cost Category],"ERROR")</f>
        <v>Travelling Expenses</v>
      </c>
      <c r="P811" s="4" t="s">
        <v>59</v>
      </c>
      <c r="Q811" s="147" t="str">
        <f>_xlfn.XLOOKUP(P811,[1]!Table2[Department],[1]!Table2[Group],"ERROR")</f>
        <v>Research &amp; Development</v>
      </c>
      <c r="U811" s="4"/>
      <c r="V811" s="2"/>
    </row>
    <row r="812" spans="1:22" customFormat="1" hidden="1" x14ac:dyDescent="0.2">
      <c r="A812" s="2" t="s">
        <v>15</v>
      </c>
      <c r="B812" s="2" t="s">
        <v>1</v>
      </c>
      <c r="C812" s="93">
        <v>46094</v>
      </c>
      <c r="D812" s="3">
        <v>46094</v>
      </c>
      <c r="E812" s="126">
        <v>46094</v>
      </c>
      <c r="F812" s="2" t="s">
        <v>77</v>
      </c>
      <c r="G812" s="300">
        <v>79.900000000000006</v>
      </c>
      <c r="H812" s="300">
        <v>0</v>
      </c>
      <c r="I812" s="300">
        <v>79.900000000000006</v>
      </c>
      <c r="J812" s="300">
        <v>61.532989960276254</v>
      </c>
      <c r="K812" s="4" t="s">
        <v>564</v>
      </c>
      <c r="L812" s="4" t="s">
        <v>564</v>
      </c>
      <c r="M812" s="4" t="s">
        <v>392</v>
      </c>
      <c r="N812" s="4" t="s">
        <v>393</v>
      </c>
      <c r="O812" s="134" t="str">
        <f>_xlfn.XLOOKUP(N812,[1]!costcategory[Account Code],[1]!costcategory[Cost Category],"ERROR")</f>
        <v>Employee Benefits</v>
      </c>
      <c r="P812" s="4" t="s">
        <v>350</v>
      </c>
      <c r="Q812" s="147" t="str">
        <f>_xlfn.XLOOKUP(P812,[1]!Table2[Department],[1]!Table2[Group],"ERROR")</f>
        <v>General &amp; Administrative</v>
      </c>
      <c r="U812" s="4"/>
      <c r="V812" s="2"/>
    </row>
    <row r="813" spans="1:22" customFormat="1" hidden="1" x14ac:dyDescent="0.2">
      <c r="A813" s="2" t="s">
        <v>15</v>
      </c>
      <c r="B813" s="2" t="s">
        <v>1</v>
      </c>
      <c r="C813" s="93">
        <v>46094</v>
      </c>
      <c r="D813" s="3">
        <v>46094</v>
      </c>
      <c r="E813" s="126">
        <v>46094</v>
      </c>
      <c r="F813" s="2" t="s">
        <v>77</v>
      </c>
      <c r="G813" s="300">
        <v>155.66</v>
      </c>
      <c r="H813" s="300">
        <v>13.3</v>
      </c>
      <c r="I813" s="300">
        <v>168.96</v>
      </c>
      <c r="J813" s="300">
        <v>130.12032520260669</v>
      </c>
      <c r="K813" s="4" t="s">
        <v>564</v>
      </c>
      <c r="L813" s="4" t="s">
        <v>564</v>
      </c>
      <c r="M813" s="4" t="s">
        <v>416</v>
      </c>
      <c r="N813" s="4" t="s">
        <v>390</v>
      </c>
      <c r="O813" s="134" t="str">
        <f>_xlfn.XLOOKUP(N813,[1]!costcategory[Account Code],[1]!costcategory[Cost Category],"ERROR")</f>
        <v>Employee Benefits</v>
      </c>
      <c r="P813" s="4" t="s">
        <v>340</v>
      </c>
      <c r="Q813" s="147" t="str">
        <f>_xlfn.XLOOKUP(P813,[1]!Table2[Department],[1]!Table2[Group],"ERROR")</f>
        <v>General &amp; Administrative</v>
      </c>
      <c r="U813" s="4"/>
      <c r="V813" s="2"/>
    </row>
    <row r="814" spans="1:22" customFormat="1" hidden="1" x14ac:dyDescent="0.2">
      <c r="A814" s="2" t="s">
        <v>15</v>
      </c>
      <c r="B814" s="2" t="s">
        <v>1</v>
      </c>
      <c r="C814" s="93">
        <v>46094</v>
      </c>
      <c r="D814" s="3">
        <v>46094</v>
      </c>
      <c r="E814" s="126">
        <v>46094</v>
      </c>
      <c r="F814" s="2" t="s">
        <v>77</v>
      </c>
      <c r="G814" s="300">
        <v>826.75999999999988</v>
      </c>
      <c r="H814" s="300">
        <v>70.92</v>
      </c>
      <c r="I814" s="300">
        <v>897.67999999999984</v>
      </c>
      <c r="J814" s="300">
        <v>691.3258376413113</v>
      </c>
      <c r="K814" s="4" t="s">
        <v>564</v>
      </c>
      <c r="L814" s="4" t="s">
        <v>564</v>
      </c>
      <c r="M814" s="4" t="s">
        <v>416</v>
      </c>
      <c r="N814" s="4" t="s">
        <v>390</v>
      </c>
      <c r="O814" s="134" t="str">
        <f>_xlfn.XLOOKUP(N814,[1]!costcategory[Account Code],[1]!costcategory[Cost Category],"ERROR")</f>
        <v>Employee Benefits</v>
      </c>
      <c r="P814" s="4" t="s">
        <v>523</v>
      </c>
      <c r="Q814" s="147" t="str">
        <f>_xlfn.XLOOKUP(P814,[1]!Table2[Department],[1]!Table2[Group],"ERROR")</f>
        <v>General &amp; Administrative</v>
      </c>
      <c r="U814" s="4"/>
      <c r="V814" s="2"/>
    </row>
    <row r="815" spans="1:22" customFormat="1" hidden="1" x14ac:dyDescent="0.2">
      <c r="A815" s="2" t="s">
        <v>15</v>
      </c>
      <c r="B815" s="2" t="s">
        <v>1</v>
      </c>
      <c r="C815" s="93">
        <v>46094</v>
      </c>
      <c r="D815" s="3">
        <v>46094</v>
      </c>
      <c r="E815" s="126">
        <v>46094</v>
      </c>
      <c r="F815" s="2" t="s">
        <v>77</v>
      </c>
      <c r="G815" s="300">
        <v>75.150000000000006</v>
      </c>
      <c r="H815" s="300">
        <v>0</v>
      </c>
      <c r="I815" s="300">
        <v>75.150000000000006</v>
      </c>
      <c r="J815" s="300">
        <v>57.874896064014528</v>
      </c>
      <c r="K815" s="4" t="s">
        <v>564</v>
      </c>
      <c r="L815" s="4" t="s">
        <v>564</v>
      </c>
      <c r="M815" s="4" t="s">
        <v>358</v>
      </c>
      <c r="N815" s="4" t="s">
        <v>60</v>
      </c>
      <c r="O815" s="134" t="str">
        <f>_xlfn.XLOOKUP(N815,[1]!costcategory[Account Code],[1]!costcategory[Cost Category],"ERROR")</f>
        <v>Subscription Fee</v>
      </c>
      <c r="P815" s="4" t="s">
        <v>59</v>
      </c>
      <c r="Q815" s="147" t="str">
        <f>_xlfn.XLOOKUP(P815,[1]!Table2[Department],[1]!Table2[Group],"ERROR")</f>
        <v>Research &amp; Development</v>
      </c>
      <c r="U815" s="4"/>
      <c r="V815" s="2"/>
    </row>
    <row r="816" spans="1:22" customFormat="1" hidden="1" x14ac:dyDescent="0.2">
      <c r="A816" s="2" t="s">
        <v>15</v>
      </c>
      <c r="B816" s="2" t="s">
        <v>1</v>
      </c>
      <c r="C816" s="93">
        <v>46094</v>
      </c>
      <c r="D816" s="3">
        <v>46094</v>
      </c>
      <c r="E816" s="126">
        <v>46094</v>
      </c>
      <c r="F816" s="2" t="s">
        <v>77</v>
      </c>
      <c r="G816" s="300">
        <v>87.21</v>
      </c>
      <c r="H816" s="300">
        <v>0</v>
      </c>
      <c r="I816" s="300">
        <v>87.21</v>
      </c>
      <c r="J816" s="300">
        <v>67.162603935365354</v>
      </c>
      <c r="K816" s="4" t="s">
        <v>564</v>
      </c>
      <c r="L816" s="4" t="s">
        <v>564</v>
      </c>
      <c r="M816" s="4" t="s">
        <v>358</v>
      </c>
      <c r="N816" s="4" t="s">
        <v>60</v>
      </c>
      <c r="O816" s="134" t="str">
        <f>_xlfn.XLOOKUP(N816,[1]!costcategory[Account Code],[1]!costcategory[Cost Category],"ERROR")</f>
        <v>Subscription Fee</v>
      </c>
      <c r="P816" s="4" t="s">
        <v>56</v>
      </c>
      <c r="Q816" s="147" t="str">
        <f>_xlfn.XLOOKUP(P816,[1]!Table2[Department],[1]!Table2[Group],"ERROR")</f>
        <v>Research &amp; Development</v>
      </c>
      <c r="U816" s="4"/>
      <c r="V816" s="2"/>
    </row>
    <row r="817" spans="1:22" customFormat="1" hidden="1" x14ac:dyDescent="0.2">
      <c r="A817" s="2" t="s">
        <v>15</v>
      </c>
      <c r="B817" s="2" t="s">
        <v>1</v>
      </c>
      <c r="C817" s="93">
        <v>46094</v>
      </c>
      <c r="D817" s="3">
        <v>46094</v>
      </c>
      <c r="E817" s="126">
        <v>46094</v>
      </c>
      <c r="F817" s="2" t="s">
        <v>77</v>
      </c>
      <c r="G817" s="300">
        <v>267.83999999999997</v>
      </c>
      <c r="H817" s="300">
        <v>0</v>
      </c>
      <c r="I817" s="300">
        <v>267.83999999999997</v>
      </c>
      <c r="J817" s="300">
        <v>206.270288247314</v>
      </c>
      <c r="K817" s="4" t="s">
        <v>564</v>
      </c>
      <c r="L817" s="4" t="s">
        <v>564</v>
      </c>
      <c r="M817" s="4" t="s">
        <v>360</v>
      </c>
      <c r="N817" s="4" t="s">
        <v>353</v>
      </c>
      <c r="O817" s="134" t="str">
        <f>_xlfn.XLOOKUP(N817,[1]!costcategory[Account Code],[1]!costcategory[Cost Category],"ERROR")</f>
        <v>Travelling Expenses</v>
      </c>
      <c r="P817" s="4" t="s">
        <v>354</v>
      </c>
      <c r="Q817" s="147" t="str">
        <f>_xlfn.XLOOKUP(P817,[1]!Table2[Department],[1]!Table2[Group],"ERROR")</f>
        <v>Sales &amp; Marketing</v>
      </c>
      <c r="U817" s="4"/>
      <c r="V817" s="2"/>
    </row>
    <row r="818" spans="1:22" customFormat="1" hidden="1" x14ac:dyDescent="0.2">
      <c r="A818" s="2" t="s">
        <v>15</v>
      </c>
      <c r="B818" s="2" t="s">
        <v>1</v>
      </c>
      <c r="C818" s="93">
        <v>46094</v>
      </c>
      <c r="D818" s="3">
        <v>46094</v>
      </c>
      <c r="E818" s="126">
        <v>46094</v>
      </c>
      <c r="F818" s="2" t="s">
        <v>77</v>
      </c>
      <c r="G818" s="300">
        <v>9310.6999999999989</v>
      </c>
      <c r="H818" s="300">
        <v>0</v>
      </c>
      <c r="I818" s="300">
        <v>9310.6999999999989</v>
      </c>
      <c r="J818" s="300">
        <v>7170.4031241945431</v>
      </c>
      <c r="K818" s="4" t="s">
        <v>564</v>
      </c>
      <c r="L818" s="4" t="s">
        <v>564</v>
      </c>
      <c r="M818" s="4" t="s">
        <v>360</v>
      </c>
      <c r="N818" s="4" t="s">
        <v>353</v>
      </c>
      <c r="O818" s="134" t="str">
        <f>_xlfn.XLOOKUP(N818,[1]!costcategory[Account Code],[1]!costcategory[Cost Category],"ERROR")</f>
        <v>Travelling Expenses</v>
      </c>
      <c r="P818" s="4" t="s">
        <v>523</v>
      </c>
      <c r="Q818" s="147" t="str">
        <f>_xlfn.XLOOKUP(P818,[1]!Table2[Department],[1]!Table2[Group],"ERROR")</f>
        <v>General &amp; Administrative</v>
      </c>
      <c r="U818" s="4"/>
      <c r="V818" s="2"/>
    </row>
    <row r="819" spans="1:22" customFormat="1" hidden="1" x14ac:dyDescent="0.2">
      <c r="A819" s="2" t="s">
        <v>15</v>
      </c>
      <c r="B819" s="2" t="s">
        <v>1</v>
      </c>
      <c r="C819" s="93">
        <v>46094</v>
      </c>
      <c r="D819" s="3">
        <v>46094</v>
      </c>
      <c r="E819" s="126">
        <v>46094</v>
      </c>
      <c r="F819" s="2" t="s">
        <v>77</v>
      </c>
      <c r="G819" s="300">
        <v>3032.41</v>
      </c>
      <c r="H819" s="300">
        <v>0</v>
      </c>
      <c r="I819" s="300">
        <v>3032.41</v>
      </c>
      <c r="J819" s="300">
        <v>2335.334844623796</v>
      </c>
      <c r="K819" s="4" t="s">
        <v>564</v>
      </c>
      <c r="L819" s="4" t="s">
        <v>564</v>
      </c>
      <c r="M819" s="4" t="s">
        <v>360</v>
      </c>
      <c r="N819" s="4" t="s">
        <v>353</v>
      </c>
      <c r="O819" s="134" t="str">
        <f>_xlfn.XLOOKUP(N819,[1]!costcategory[Account Code],[1]!costcategory[Cost Category],"ERROR")</f>
        <v>Travelling Expenses</v>
      </c>
      <c r="P819" s="4" t="s">
        <v>59</v>
      </c>
      <c r="Q819" s="147" t="str">
        <f>_xlfn.XLOOKUP(P819,[1]!Table2[Department],[1]!Table2[Group],"ERROR")</f>
        <v>Research &amp; Development</v>
      </c>
      <c r="U819" s="4"/>
      <c r="V819" s="2"/>
    </row>
    <row r="820" spans="1:22" customFormat="1" hidden="1" x14ac:dyDescent="0.2">
      <c r="A820" s="2" t="s">
        <v>15</v>
      </c>
      <c r="B820" s="2" t="s">
        <v>1</v>
      </c>
      <c r="C820" s="93">
        <v>46094</v>
      </c>
      <c r="D820" s="3">
        <v>46094</v>
      </c>
      <c r="E820" s="126">
        <v>46094</v>
      </c>
      <c r="F820" s="2" t="s">
        <v>77</v>
      </c>
      <c r="G820" s="300">
        <v>598.34</v>
      </c>
      <c r="H820" s="300">
        <v>0</v>
      </c>
      <c r="I820" s="300">
        <v>598.34</v>
      </c>
      <c r="J820" s="300">
        <v>460.79661092405121</v>
      </c>
      <c r="K820" s="4" t="s">
        <v>564</v>
      </c>
      <c r="L820" s="4" t="s">
        <v>564</v>
      </c>
      <c r="M820" s="4" t="s">
        <v>360</v>
      </c>
      <c r="N820" s="4" t="s">
        <v>353</v>
      </c>
      <c r="O820" s="134" t="str">
        <f>_xlfn.XLOOKUP(N820,[1]!costcategory[Account Code],[1]!costcategory[Cost Category],"ERROR")</f>
        <v>Travelling Expenses</v>
      </c>
      <c r="P820" s="4" t="s">
        <v>438</v>
      </c>
      <c r="Q820" s="147" t="str">
        <f>_xlfn.XLOOKUP(P820,[1]!Table2[Department],[1]!Table2[Group],"ERROR")</f>
        <v>Sales &amp; Marketing</v>
      </c>
      <c r="U820" s="4"/>
      <c r="V820" s="2"/>
    </row>
    <row r="821" spans="1:22" customFormat="1" hidden="1" x14ac:dyDescent="0.2">
      <c r="A821" s="2" t="s">
        <v>15</v>
      </c>
      <c r="B821" s="2" t="s">
        <v>1</v>
      </c>
      <c r="C821" s="93">
        <v>46094</v>
      </c>
      <c r="D821" s="3">
        <v>46094</v>
      </c>
      <c r="E821" s="126">
        <v>46094</v>
      </c>
      <c r="F821" s="2" t="s">
        <v>77</v>
      </c>
      <c r="G821" s="300">
        <v>22.66</v>
      </c>
      <c r="H821" s="300">
        <v>0</v>
      </c>
      <c r="I821" s="300">
        <v>22.66</v>
      </c>
      <c r="J821" s="300">
        <v>17.451033197745431</v>
      </c>
      <c r="K821" s="4" t="s">
        <v>564</v>
      </c>
      <c r="L821" s="4" t="s">
        <v>564</v>
      </c>
      <c r="M821" s="4" t="s">
        <v>361</v>
      </c>
      <c r="N821" s="4" t="s">
        <v>356</v>
      </c>
      <c r="O821" s="134" t="str">
        <f>_xlfn.XLOOKUP(N821,[1]!costcategory[Account Code],[1]!costcategory[Cost Category],"ERROR")</f>
        <v>Travelling Expenses</v>
      </c>
      <c r="P821" s="4" t="s">
        <v>354</v>
      </c>
      <c r="Q821" s="147" t="str">
        <f>_xlfn.XLOOKUP(P821,[1]!Table2[Department],[1]!Table2[Group],"ERROR")</f>
        <v>Sales &amp; Marketing</v>
      </c>
      <c r="U821" s="4"/>
      <c r="V821" s="2"/>
    </row>
    <row r="822" spans="1:22" customFormat="1" hidden="1" x14ac:dyDescent="0.2">
      <c r="A822" s="2" t="s">
        <v>15</v>
      </c>
      <c r="B822" s="2" t="s">
        <v>1</v>
      </c>
      <c r="C822" s="93">
        <v>46094</v>
      </c>
      <c r="D822" s="3">
        <v>46094</v>
      </c>
      <c r="E822" s="126">
        <v>46094</v>
      </c>
      <c r="F822" s="2" t="s">
        <v>77</v>
      </c>
      <c r="G822" s="300">
        <v>11.35</v>
      </c>
      <c r="H822" s="300">
        <v>0</v>
      </c>
      <c r="I822" s="300">
        <v>11.35</v>
      </c>
      <c r="J822" s="300">
        <v>8.7409190994885542</v>
      </c>
      <c r="K822" s="4" t="s">
        <v>564</v>
      </c>
      <c r="L822" s="4" t="s">
        <v>564</v>
      </c>
      <c r="M822" s="4" t="s">
        <v>361</v>
      </c>
      <c r="N822" s="4" t="s">
        <v>356</v>
      </c>
      <c r="O822" s="134" t="str">
        <f>_xlfn.XLOOKUP(N822,[1]!costcategory[Account Code],[1]!costcategory[Cost Category],"ERROR")</f>
        <v>Travelling Expenses</v>
      </c>
      <c r="P822" s="4" t="s">
        <v>376</v>
      </c>
      <c r="Q822" s="147" t="str">
        <f>_xlfn.XLOOKUP(P822,[1]!Table2[Department],[1]!Table2[Group],"ERROR")</f>
        <v>General &amp; Administrative</v>
      </c>
      <c r="U822" s="4"/>
      <c r="V822" s="2"/>
    </row>
    <row r="823" spans="1:22" customFormat="1" hidden="1" x14ac:dyDescent="0.2">
      <c r="A823" s="2" t="s">
        <v>15</v>
      </c>
      <c r="B823" s="2" t="s">
        <v>1</v>
      </c>
      <c r="C823" s="93">
        <v>46094</v>
      </c>
      <c r="D823" s="3">
        <v>46094</v>
      </c>
      <c r="E823" s="126">
        <v>46094</v>
      </c>
      <c r="F823" s="2" t="s">
        <v>77</v>
      </c>
      <c r="G823" s="300">
        <v>19.75</v>
      </c>
      <c r="H823" s="300">
        <v>0</v>
      </c>
      <c r="I823" s="300">
        <v>19.75</v>
      </c>
      <c r="J823" s="300">
        <v>15.209969358140876</v>
      </c>
      <c r="K823" s="4" t="s">
        <v>564</v>
      </c>
      <c r="L823" s="4" t="s">
        <v>564</v>
      </c>
      <c r="M823" s="4" t="s">
        <v>361</v>
      </c>
      <c r="N823" s="4" t="s">
        <v>356</v>
      </c>
      <c r="O823" s="134" t="str">
        <f>_xlfn.XLOOKUP(N823,[1]!costcategory[Account Code],[1]!costcategory[Cost Category],"ERROR")</f>
        <v>Travelling Expenses</v>
      </c>
      <c r="P823" s="4" t="s">
        <v>56</v>
      </c>
      <c r="Q823" s="147" t="str">
        <f>_xlfn.XLOOKUP(P823,[1]!Table2[Department],[1]!Table2[Group],"ERROR")</f>
        <v>Research &amp; Development</v>
      </c>
      <c r="U823" s="4"/>
      <c r="V823" s="2"/>
    </row>
    <row r="824" spans="1:22" customFormat="1" hidden="1" x14ac:dyDescent="0.2">
      <c r="A824" s="2" t="s">
        <v>15</v>
      </c>
      <c r="B824" s="2" t="s">
        <v>1</v>
      </c>
      <c r="C824" s="93">
        <v>46094</v>
      </c>
      <c r="D824" s="3">
        <v>46094</v>
      </c>
      <c r="E824" s="126">
        <v>46094</v>
      </c>
      <c r="F824" s="2" t="s">
        <v>77</v>
      </c>
      <c r="G824" s="300">
        <v>225.78999999999996</v>
      </c>
      <c r="H824" s="300">
        <v>0</v>
      </c>
      <c r="I824" s="300">
        <v>225.78999999999996</v>
      </c>
      <c r="J824" s="300">
        <v>173.8865307025128</v>
      </c>
      <c r="K824" s="4" t="s">
        <v>564</v>
      </c>
      <c r="L824" s="4" t="s">
        <v>564</v>
      </c>
      <c r="M824" s="4" t="s">
        <v>361</v>
      </c>
      <c r="N824" s="4" t="s">
        <v>356</v>
      </c>
      <c r="O824" s="134" t="str">
        <f>_xlfn.XLOOKUP(N824,[1]!costcategory[Account Code],[1]!costcategory[Cost Category],"ERROR")</f>
        <v>Travelling Expenses</v>
      </c>
      <c r="P824" s="4" t="s">
        <v>59</v>
      </c>
      <c r="Q824" s="147" t="str">
        <f>_xlfn.XLOOKUP(P824,[1]!Table2[Department],[1]!Table2[Group],"ERROR")</f>
        <v>Research &amp; Development</v>
      </c>
      <c r="U824" s="4"/>
      <c r="V824" s="2"/>
    </row>
    <row r="825" spans="1:22" customFormat="1" hidden="1" x14ac:dyDescent="0.2">
      <c r="A825" s="2" t="s">
        <v>15</v>
      </c>
      <c r="B825" s="2" t="s">
        <v>1</v>
      </c>
      <c r="C825" s="93">
        <v>46094</v>
      </c>
      <c r="D825" s="3">
        <v>46094</v>
      </c>
      <c r="E825" s="126">
        <v>46094</v>
      </c>
      <c r="F825" s="2" t="s">
        <v>77</v>
      </c>
      <c r="G825" s="300">
        <v>213.69</v>
      </c>
      <c r="H825" s="300">
        <v>6.29</v>
      </c>
      <c r="I825" s="300">
        <v>219.98</v>
      </c>
      <c r="J825" s="300">
        <v>169.41210427361162</v>
      </c>
      <c r="K825" s="4" t="s">
        <v>564</v>
      </c>
      <c r="L825" s="4" t="s">
        <v>564</v>
      </c>
      <c r="M825" s="4" t="s">
        <v>361</v>
      </c>
      <c r="N825" s="4" t="s">
        <v>356</v>
      </c>
      <c r="O825" s="134" t="str">
        <f>_xlfn.XLOOKUP(N825,[1]!costcategory[Account Code],[1]!costcategory[Cost Category],"ERROR")</f>
        <v>Travelling Expenses</v>
      </c>
      <c r="P825" s="4" t="s">
        <v>438</v>
      </c>
      <c r="Q825" s="147" t="str">
        <f>_xlfn.XLOOKUP(P825,[1]!Table2[Department],[1]!Table2[Group],"ERROR")</f>
        <v>Sales &amp; Marketing</v>
      </c>
      <c r="U825" s="4"/>
      <c r="V825" s="2"/>
    </row>
    <row r="826" spans="1:22" customFormat="1" hidden="1" x14ac:dyDescent="0.2">
      <c r="A826" s="2" t="s">
        <v>15</v>
      </c>
      <c r="B826" s="2" t="s">
        <v>1</v>
      </c>
      <c r="C826" s="93">
        <v>46094</v>
      </c>
      <c r="D826" s="3">
        <v>46094</v>
      </c>
      <c r="E826" s="126">
        <v>46094</v>
      </c>
      <c r="F826" s="2" t="s">
        <v>77</v>
      </c>
      <c r="G826" s="300">
        <v>277.0366972477064</v>
      </c>
      <c r="H826" s="300">
        <v>24.933302752293574</v>
      </c>
      <c r="I826" s="300">
        <v>301.96999999999997</v>
      </c>
      <c r="J826" s="300">
        <v>232.55465554824303</v>
      </c>
      <c r="K826" s="4" t="s">
        <v>659</v>
      </c>
      <c r="L826" s="4" t="s">
        <v>1715</v>
      </c>
      <c r="M826" s="4" t="s">
        <v>803</v>
      </c>
      <c r="N826" s="4" t="s">
        <v>370</v>
      </c>
      <c r="O826" s="134" t="str">
        <f>_xlfn.XLOOKUP(N826,[1]!costcategory[Account Code],[1]!costcategory[Cost Category],"ERROR")</f>
        <v>Utilities</v>
      </c>
      <c r="P826" s="4" t="s">
        <v>340</v>
      </c>
      <c r="Q826" s="147" t="str">
        <f>_xlfn.XLOOKUP(P826,[1]!Table2[Department],[1]!Table2[Group],"ERROR")</f>
        <v>General &amp; Administrative</v>
      </c>
      <c r="U826" s="4"/>
      <c r="V826" s="2"/>
    </row>
    <row r="827" spans="1:22" customFormat="1" hidden="1" x14ac:dyDescent="0.2">
      <c r="A827" s="2" t="s">
        <v>15</v>
      </c>
      <c r="B827" s="2" t="s">
        <v>1</v>
      </c>
      <c r="C827" s="93">
        <v>46094</v>
      </c>
      <c r="D827" s="3">
        <v>46094</v>
      </c>
      <c r="E827" s="126">
        <v>46096</v>
      </c>
      <c r="F827" s="2" t="s">
        <v>77</v>
      </c>
      <c r="G827" s="300">
        <v>57</v>
      </c>
      <c r="H827" s="300">
        <v>5.13</v>
      </c>
      <c r="I827" s="300">
        <v>62.13</v>
      </c>
      <c r="J827" s="300">
        <v>47.847868163103421</v>
      </c>
      <c r="K827" s="4" t="s">
        <v>665</v>
      </c>
      <c r="L827" s="4" t="s">
        <v>804</v>
      </c>
      <c r="M827" s="4" t="s">
        <v>1714</v>
      </c>
      <c r="N827" s="4" t="s">
        <v>50</v>
      </c>
      <c r="O827" s="134" t="str">
        <f>_xlfn.XLOOKUP(N827,[1]!costcategory[Account Code],[1]!costcategory[Cost Category],"ERROR")</f>
        <v>Office Supplies</v>
      </c>
      <c r="P827" s="4" t="s">
        <v>340</v>
      </c>
      <c r="Q827" s="147" t="str">
        <f>_xlfn.XLOOKUP(P827,[1]!Table2[Department],[1]!Table2[Group],"ERROR")</f>
        <v>General &amp; Administrative</v>
      </c>
      <c r="U827" s="4"/>
      <c r="V827" s="2"/>
    </row>
    <row r="828" spans="1:22" customFormat="1" hidden="1" x14ac:dyDescent="0.2">
      <c r="A828" s="2" t="s">
        <v>15</v>
      </c>
      <c r="B828" s="2" t="s">
        <v>1</v>
      </c>
      <c r="C828" s="93">
        <v>46094</v>
      </c>
      <c r="D828" s="3">
        <v>46094</v>
      </c>
      <c r="E828" s="126">
        <v>46096</v>
      </c>
      <c r="F828" s="2" t="s">
        <v>77</v>
      </c>
      <c r="G828" s="300">
        <v>1000</v>
      </c>
      <c r="H828" s="300">
        <v>90</v>
      </c>
      <c r="I828" s="300">
        <v>1090</v>
      </c>
      <c r="J828" s="300">
        <v>839.4362835632179</v>
      </c>
      <c r="K828" s="4" t="s">
        <v>805</v>
      </c>
      <c r="L828" s="4" t="s">
        <v>806</v>
      </c>
      <c r="M828" s="4" t="s">
        <v>807</v>
      </c>
      <c r="N828" s="4" t="s">
        <v>691</v>
      </c>
      <c r="O828" s="134" t="str">
        <f>_xlfn.XLOOKUP(N828,[1]!costcategory[Account Code],[1]!costcategory[Cost Category],"ERROR")</f>
        <v>Small Value Assets</v>
      </c>
      <c r="P828" s="4" t="s">
        <v>340</v>
      </c>
      <c r="Q828" s="147" t="str">
        <f>_xlfn.XLOOKUP(P828,[1]!Table2[Department],[1]!Table2[Group],"ERROR")</f>
        <v>General &amp; Administrative</v>
      </c>
      <c r="U828" s="4"/>
      <c r="V828" s="2"/>
    </row>
    <row r="829" spans="1:22" customFormat="1" hidden="1" x14ac:dyDescent="0.2">
      <c r="A829" s="2" t="s">
        <v>15</v>
      </c>
      <c r="B829" s="2" t="s">
        <v>1</v>
      </c>
      <c r="C829" s="93">
        <v>46094</v>
      </c>
      <c r="D829" s="3">
        <v>46094</v>
      </c>
      <c r="E829" s="126">
        <v>46096</v>
      </c>
      <c r="F829" s="2" t="s">
        <v>77</v>
      </c>
      <c r="G829" s="300">
        <v>600</v>
      </c>
      <c r="H829" s="300">
        <v>0</v>
      </c>
      <c r="I829" s="300">
        <v>600</v>
      </c>
      <c r="J829" s="300">
        <v>462.07501847516585</v>
      </c>
      <c r="K829" s="4" t="s">
        <v>677</v>
      </c>
      <c r="L829" s="4" t="s">
        <v>808</v>
      </c>
      <c r="M829" s="4" t="s">
        <v>809</v>
      </c>
      <c r="N829" s="4" t="s">
        <v>621</v>
      </c>
      <c r="O829" s="134" t="str">
        <f>_xlfn.XLOOKUP(N829,[1]!costcategory[Account Code],[1]!costcategory[Cost Category],"ERROR")</f>
        <v>Upkeep of Office</v>
      </c>
      <c r="P829" s="4" t="s">
        <v>340</v>
      </c>
      <c r="Q829" s="147" t="str">
        <f>_xlfn.XLOOKUP(P829,[1]!Table2[Department],[1]!Table2[Group],"ERROR")</f>
        <v>General &amp; Administrative</v>
      </c>
      <c r="U829" s="4"/>
      <c r="V829" s="2"/>
    </row>
    <row r="830" spans="1:22" customFormat="1" hidden="1" x14ac:dyDescent="0.2">
      <c r="A830" s="2" t="s">
        <v>15</v>
      </c>
      <c r="B830" s="2" t="s">
        <v>1</v>
      </c>
      <c r="C830" s="93">
        <v>46101</v>
      </c>
      <c r="D830" s="3">
        <v>46095</v>
      </c>
      <c r="E830" s="126">
        <v>46096</v>
      </c>
      <c r="F830" s="2" t="s">
        <v>77</v>
      </c>
      <c r="G830" s="300">
        <v>48868</v>
      </c>
      <c r="H830" s="300">
        <v>4398.12</v>
      </c>
      <c r="I830" s="300">
        <v>53266.12</v>
      </c>
      <c r="J830" s="300">
        <v>41021.572305167334</v>
      </c>
      <c r="K830" s="4" t="s">
        <v>1713</v>
      </c>
      <c r="L830" s="4" t="s">
        <v>810</v>
      </c>
      <c r="M830" s="4" t="s">
        <v>811</v>
      </c>
      <c r="N830" s="4" t="s">
        <v>356</v>
      </c>
      <c r="O830" s="134" t="str">
        <f>_xlfn.XLOOKUP(N830,[1]!costcategory[Account Code],[1]!costcategory[Cost Category],"ERROR")</f>
        <v>Travelling Expenses</v>
      </c>
      <c r="P830" s="4" t="s">
        <v>45</v>
      </c>
      <c r="Q830" s="147" t="str">
        <f>_xlfn.XLOOKUP(P830,[1]!Table2[Department],[1]!Table2[Group],"ERROR")</f>
        <v>DSC</v>
      </c>
      <c r="U830" s="4"/>
      <c r="V830" s="2"/>
    </row>
    <row r="831" spans="1:22" customFormat="1" hidden="1" x14ac:dyDescent="0.2">
      <c r="A831" s="2" t="s">
        <v>15</v>
      </c>
      <c r="B831" s="2" t="s">
        <v>1</v>
      </c>
      <c r="C831" s="93">
        <v>46098</v>
      </c>
      <c r="D831" s="3">
        <v>46098</v>
      </c>
      <c r="E831" s="126">
        <v>46098</v>
      </c>
      <c r="F831" s="2" t="s">
        <v>77</v>
      </c>
      <c r="G831" s="300">
        <v>654.1</v>
      </c>
      <c r="H831" s="300">
        <v>58.869</v>
      </c>
      <c r="I831" s="300">
        <v>712.96900000000005</v>
      </c>
      <c r="J831" s="300">
        <v>549.07527307870089</v>
      </c>
      <c r="K831" s="4" t="s">
        <v>661</v>
      </c>
      <c r="L831" s="4" t="s">
        <v>812</v>
      </c>
      <c r="M831" s="4" t="s">
        <v>813</v>
      </c>
      <c r="N831" s="4" t="s">
        <v>374</v>
      </c>
      <c r="O831" s="134" t="str">
        <f>_xlfn.XLOOKUP(N831,[1]!costcategory[Account Code],[1]!costcategory[Cost Category],"ERROR")</f>
        <v>Non-Current Liabilities</v>
      </c>
      <c r="P831" s="4" t="s">
        <v>376</v>
      </c>
      <c r="Q831" s="147" t="str">
        <f>_xlfn.XLOOKUP(P831,[1]!Table2[Department],[1]!Table2[Group],"ERROR")</f>
        <v>General &amp; Administrative</v>
      </c>
      <c r="U831" s="4"/>
      <c r="V831" s="2"/>
    </row>
    <row r="832" spans="1:22" customFormat="1" hidden="1" x14ac:dyDescent="0.2">
      <c r="A832" s="2" t="s">
        <v>15</v>
      </c>
      <c r="B832" s="2" t="s">
        <v>1</v>
      </c>
      <c r="C832" s="93">
        <v>46098</v>
      </c>
      <c r="D832" s="3">
        <v>46098</v>
      </c>
      <c r="E832" s="126">
        <v>46098</v>
      </c>
      <c r="F832" s="2" t="s">
        <v>77</v>
      </c>
      <c r="G832" s="300">
        <v>446.1</v>
      </c>
      <c r="H832" s="300">
        <v>40.15</v>
      </c>
      <c r="I832" s="300">
        <v>486.25</v>
      </c>
      <c r="J832" s="300">
        <v>374.47329622258229</v>
      </c>
      <c r="K832" s="4" t="s">
        <v>661</v>
      </c>
      <c r="L832" s="4" t="s">
        <v>814</v>
      </c>
      <c r="M832" s="4" t="s">
        <v>815</v>
      </c>
      <c r="N832" s="4" t="s">
        <v>58</v>
      </c>
      <c r="O832" s="134" t="str">
        <f>_xlfn.XLOOKUP(N832,[1]!costcategory[Account Code],[1]!costcategory[Cost Category],"ERROR")</f>
        <v>Network &amp; Server</v>
      </c>
      <c r="P832" s="4" t="s">
        <v>56</v>
      </c>
      <c r="Q832" s="147" t="str">
        <f>_xlfn.XLOOKUP(P832,[1]!Table2[Department],[1]!Table2[Group],"ERROR")</f>
        <v>Research &amp; Development</v>
      </c>
      <c r="U832" s="4"/>
      <c r="V832" s="2"/>
    </row>
    <row r="833" spans="1:22" customFormat="1" hidden="1" x14ac:dyDescent="0.2">
      <c r="A833" s="2" t="s">
        <v>15</v>
      </c>
      <c r="B833" s="2" t="s">
        <v>1</v>
      </c>
      <c r="C833" s="93">
        <v>46098</v>
      </c>
      <c r="D833" s="3">
        <v>46098</v>
      </c>
      <c r="E833" s="126">
        <v>46098</v>
      </c>
      <c r="F833" s="2" t="s">
        <v>77</v>
      </c>
      <c r="G833" s="300">
        <v>679</v>
      </c>
      <c r="H833" s="300">
        <v>61.11</v>
      </c>
      <c r="I833" s="300">
        <v>740.11</v>
      </c>
      <c r="J833" s="300">
        <v>569.97723653942501</v>
      </c>
      <c r="K833" s="4" t="s">
        <v>661</v>
      </c>
      <c r="L833" s="4" t="s">
        <v>814</v>
      </c>
      <c r="M833" s="4" t="s">
        <v>815</v>
      </c>
      <c r="N833" s="4" t="s">
        <v>58</v>
      </c>
      <c r="O833" s="134" t="str">
        <f>_xlfn.XLOOKUP(N833,[1]!costcategory[Account Code],[1]!costcategory[Cost Category],"ERROR")</f>
        <v>Network &amp; Server</v>
      </c>
      <c r="P833" s="4" t="s">
        <v>57</v>
      </c>
      <c r="Q833" s="147" t="str">
        <f>_xlfn.XLOOKUP(P833,[1]!Table2[Department],[1]!Table2[Group],"ERROR")</f>
        <v>Research &amp; Development</v>
      </c>
      <c r="U833" s="4"/>
      <c r="V833" s="2"/>
    </row>
    <row r="834" spans="1:22" customFormat="1" hidden="1" x14ac:dyDescent="0.2">
      <c r="A834" s="2" t="s">
        <v>15</v>
      </c>
      <c r="B834" s="2" t="s">
        <v>1</v>
      </c>
      <c r="C834" s="93">
        <v>46098</v>
      </c>
      <c r="D834" s="3">
        <v>46098</v>
      </c>
      <c r="E834" s="126">
        <v>46098</v>
      </c>
      <c r="F834" s="2" t="s">
        <v>77</v>
      </c>
      <c r="G834" s="300">
        <v>15198.16</v>
      </c>
      <c r="H834" s="300">
        <v>1367.8344</v>
      </c>
      <c r="I834" s="300">
        <v>16566.004399999998</v>
      </c>
      <c r="J834" s="300">
        <v>12757.894648649462</v>
      </c>
      <c r="K834" s="4" t="s">
        <v>661</v>
      </c>
      <c r="L834" s="4" t="s">
        <v>814</v>
      </c>
      <c r="M834" s="4" t="s">
        <v>815</v>
      </c>
      <c r="N834" s="4" t="s">
        <v>58</v>
      </c>
      <c r="O834" s="134" t="str">
        <f>_xlfn.XLOOKUP(N834,[1]!costcategory[Account Code],[1]!costcategory[Cost Category],"ERROR")</f>
        <v>Network &amp; Server</v>
      </c>
      <c r="P834" s="4" t="s">
        <v>59</v>
      </c>
      <c r="Q834" s="147" t="str">
        <f>_xlfn.XLOOKUP(P834,[1]!Table2[Department],[1]!Table2[Group],"ERROR")</f>
        <v>Research &amp; Development</v>
      </c>
      <c r="U834" s="4"/>
      <c r="V834" s="2"/>
    </row>
    <row r="835" spans="1:22" customFormat="1" hidden="1" x14ac:dyDescent="0.2">
      <c r="A835" s="2" t="s">
        <v>15</v>
      </c>
      <c r="B835" s="2" t="s">
        <v>1</v>
      </c>
      <c r="C835" s="93">
        <v>46098</v>
      </c>
      <c r="D835" s="3">
        <v>46098</v>
      </c>
      <c r="E835" s="126">
        <v>46098</v>
      </c>
      <c r="F835" s="2" t="s">
        <v>77</v>
      </c>
      <c r="G835" s="300"/>
      <c r="H835" s="300"/>
      <c r="I835" s="300"/>
      <c r="J835" s="300">
        <v>10776.58</v>
      </c>
      <c r="K835" s="4" t="s">
        <v>1641</v>
      </c>
      <c r="L835" s="4"/>
      <c r="M835" s="4" t="s">
        <v>412</v>
      </c>
      <c r="N835" s="4" t="s">
        <v>387</v>
      </c>
      <c r="O835" s="134" t="str">
        <f>_xlfn.XLOOKUP(N835,[1]!costcategory[Account Code],[1]!costcategory[Cost Category],"ERROR")</f>
        <v>Headcount Costs</v>
      </c>
      <c r="P835" s="4" t="s">
        <v>57</v>
      </c>
      <c r="Q835" s="147" t="str">
        <f>_xlfn.XLOOKUP(P835,[1]!Table2[Department],[1]!Table2[Group],"ERROR")</f>
        <v>Research &amp; Development</v>
      </c>
      <c r="U835" s="4"/>
      <c r="V835" s="2"/>
    </row>
    <row r="836" spans="1:22" customFormat="1" hidden="1" x14ac:dyDescent="0.2">
      <c r="A836" s="2" t="s">
        <v>15</v>
      </c>
      <c r="B836" s="2" t="s">
        <v>1</v>
      </c>
      <c r="C836" s="93">
        <v>46104</v>
      </c>
      <c r="D836" s="3">
        <v>46104</v>
      </c>
      <c r="E836" s="126">
        <v>46101</v>
      </c>
      <c r="F836" s="2" t="s">
        <v>77</v>
      </c>
      <c r="G836" s="300">
        <v>2.57</v>
      </c>
      <c r="H836" s="300">
        <v>0.23129999999999998</v>
      </c>
      <c r="I836" s="300">
        <v>2.8012999999999999</v>
      </c>
      <c r="J836" s="300">
        <v>2.15735124875747</v>
      </c>
      <c r="K836" s="4" t="s">
        <v>816</v>
      </c>
      <c r="L836" s="4"/>
      <c r="M836" s="4" t="s">
        <v>816</v>
      </c>
      <c r="N836" s="4" t="s">
        <v>402</v>
      </c>
      <c r="O836" s="134" t="str">
        <f>_xlfn.XLOOKUP(N836,[1]!costcategory[Account Code],[1]!costcategory[Cost Category],"ERROR")</f>
        <v>Travelling Expenses</v>
      </c>
      <c r="P836" s="4" t="s">
        <v>523</v>
      </c>
      <c r="Q836" s="147" t="str">
        <f>_xlfn.XLOOKUP(P836,[1]!Table2[Department],[1]!Table2[Group],"ERROR")</f>
        <v>General &amp; Administrative</v>
      </c>
      <c r="U836" s="4"/>
      <c r="V836" s="2"/>
    </row>
    <row r="837" spans="1:22" customFormat="1" hidden="1" x14ac:dyDescent="0.2">
      <c r="A837" s="2" t="s">
        <v>15</v>
      </c>
      <c r="B837" s="2" t="s">
        <v>1</v>
      </c>
      <c r="C837" s="93">
        <v>46104</v>
      </c>
      <c r="D837" s="3">
        <v>46104</v>
      </c>
      <c r="E837" s="126">
        <v>46101</v>
      </c>
      <c r="F837" s="2" t="s">
        <v>77</v>
      </c>
      <c r="G837" s="300">
        <v>49.28</v>
      </c>
      <c r="H837" s="300">
        <v>4.4352</v>
      </c>
      <c r="I837" s="300">
        <v>53.715200000000003</v>
      </c>
      <c r="J837" s="300">
        <v>41.367420053995382</v>
      </c>
      <c r="K837" s="4" t="s">
        <v>817</v>
      </c>
      <c r="L837" s="4"/>
      <c r="M837" s="4" t="s">
        <v>818</v>
      </c>
      <c r="N837" s="4" t="s">
        <v>390</v>
      </c>
      <c r="O837" s="134" t="str">
        <f>_xlfn.XLOOKUP(N837,[1]!costcategory[Account Code],[1]!costcategory[Cost Category],"ERROR")</f>
        <v>Employee Benefits</v>
      </c>
      <c r="P837" s="4" t="s">
        <v>523</v>
      </c>
      <c r="Q837" s="147" t="str">
        <f>_xlfn.XLOOKUP(P837,[1]!Table2[Department],[1]!Table2[Group],"ERROR")</f>
        <v>General &amp; Administrative</v>
      </c>
      <c r="U837" s="4"/>
      <c r="V837" s="2"/>
    </row>
    <row r="838" spans="1:22" customFormat="1" hidden="1" x14ac:dyDescent="0.2">
      <c r="A838" s="2" t="s">
        <v>15</v>
      </c>
      <c r="B838" s="2" t="s">
        <v>1</v>
      </c>
      <c r="C838" s="93">
        <v>46105</v>
      </c>
      <c r="D838" s="3">
        <v>46105</v>
      </c>
      <c r="E838" s="126">
        <v>46101</v>
      </c>
      <c r="F838" s="2" t="s">
        <v>77</v>
      </c>
      <c r="G838" s="300">
        <v>91.95</v>
      </c>
      <c r="H838" s="300">
        <v>8.2754999999999992</v>
      </c>
      <c r="I838" s="300">
        <v>100.2255</v>
      </c>
      <c r="J838" s="300">
        <v>77.18616627363788</v>
      </c>
      <c r="K838" s="4" t="s">
        <v>819</v>
      </c>
      <c r="L838" s="4"/>
      <c r="M838" s="4" t="s">
        <v>820</v>
      </c>
      <c r="N838" s="4" t="s">
        <v>527</v>
      </c>
      <c r="O838" s="134" t="str">
        <f>_xlfn.XLOOKUP(N838,[1]!costcategory[Account Code],[1]!costcategory[Cost Category],"ERROR")</f>
        <v>Sales Expenses</v>
      </c>
      <c r="P838" s="4" t="s">
        <v>523</v>
      </c>
      <c r="Q838" s="147" t="str">
        <f>_xlfn.XLOOKUP(P838,[1]!Table2[Department],[1]!Table2[Group],"ERROR")</f>
        <v>General &amp; Administrative</v>
      </c>
      <c r="U838" s="4"/>
      <c r="V838" s="2"/>
    </row>
    <row r="839" spans="1:22" customFormat="1" hidden="1" x14ac:dyDescent="0.2">
      <c r="A839" s="2" t="s">
        <v>15</v>
      </c>
      <c r="B839" s="2" t="s">
        <v>1</v>
      </c>
      <c r="C839" s="93">
        <v>46108</v>
      </c>
      <c r="D839" s="3">
        <v>46108</v>
      </c>
      <c r="E839" s="126">
        <v>46102</v>
      </c>
      <c r="F839" s="2" t="s">
        <v>77</v>
      </c>
      <c r="G839" s="300">
        <v>203.83</v>
      </c>
      <c r="H839" s="300">
        <v>0</v>
      </c>
      <c r="I839" s="300">
        <v>203.83</v>
      </c>
      <c r="J839" s="300">
        <v>156.97458502632176</v>
      </c>
      <c r="K839" s="4" t="s">
        <v>821</v>
      </c>
      <c r="L839" s="4"/>
      <c r="M839" s="4" t="s">
        <v>822</v>
      </c>
      <c r="N839" s="4" t="s">
        <v>390</v>
      </c>
      <c r="O839" s="134" t="str">
        <f>_xlfn.XLOOKUP(N839,[1]!costcategory[Account Code],[1]!costcategory[Cost Category],"ERROR")</f>
        <v>Employee Benefits</v>
      </c>
      <c r="P839" s="4" t="s">
        <v>523</v>
      </c>
      <c r="Q839" s="147" t="str">
        <f>_xlfn.XLOOKUP(P839,[1]!Table2[Department],[1]!Table2[Group],"ERROR")</f>
        <v>General &amp; Administrative</v>
      </c>
      <c r="U839" s="4"/>
      <c r="V839" s="2"/>
    </row>
    <row r="840" spans="1:22" customFormat="1" hidden="1" x14ac:dyDescent="0.2">
      <c r="A840" s="2" t="s">
        <v>15</v>
      </c>
      <c r="B840" s="2" t="s">
        <v>1</v>
      </c>
      <c r="C840" s="93">
        <v>46104</v>
      </c>
      <c r="D840" s="3">
        <v>46104</v>
      </c>
      <c r="E840" s="126">
        <v>46104</v>
      </c>
      <c r="F840" s="2" t="s">
        <v>77</v>
      </c>
      <c r="G840" s="300">
        <v>62.7</v>
      </c>
      <c r="H840" s="300">
        <v>5.6429999999999998</v>
      </c>
      <c r="I840" s="300">
        <v>68.343000000000004</v>
      </c>
      <c r="J840" s="300">
        <v>52.632654979413765</v>
      </c>
      <c r="K840" s="4" t="s">
        <v>823</v>
      </c>
      <c r="L840" s="4"/>
      <c r="M840" s="4" t="s">
        <v>823</v>
      </c>
      <c r="N840" s="4" t="s">
        <v>390</v>
      </c>
      <c r="O840" s="134" t="str">
        <f>_xlfn.XLOOKUP(N840,[1]!costcategory[Account Code],[1]!costcategory[Cost Category],"ERROR")</f>
        <v>Employee Benefits</v>
      </c>
      <c r="P840" s="4" t="s">
        <v>523</v>
      </c>
      <c r="Q840" s="147" t="str">
        <f>_xlfn.XLOOKUP(P840,[1]!Table2[Department],[1]!Table2[Group],"ERROR")</f>
        <v>General &amp; Administrative</v>
      </c>
      <c r="U840" s="4"/>
      <c r="V840" s="2"/>
    </row>
    <row r="841" spans="1:22" customFormat="1" hidden="1" x14ac:dyDescent="0.2">
      <c r="A841" s="2" t="s">
        <v>15</v>
      </c>
      <c r="B841" s="2" t="s">
        <v>1</v>
      </c>
      <c r="C841" s="93">
        <v>46104</v>
      </c>
      <c r="D841" s="3">
        <v>46104</v>
      </c>
      <c r="E841" s="126">
        <v>46104</v>
      </c>
      <c r="F841" s="2" t="s">
        <v>77</v>
      </c>
      <c r="G841" s="300">
        <v>108.46</v>
      </c>
      <c r="H841" s="300">
        <v>9.7613999999999983</v>
      </c>
      <c r="I841" s="300">
        <v>118.22139999999999</v>
      </c>
      <c r="J841" s="300">
        <v>91.045259315266605</v>
      </c>
      <c r="K841" s="4" t="s">
        <v>824</v>
      </c>
      <c r="L841" s="4"/>
      <c r="M841" s="4" t="s">
        <v>824</v>
      </c>
      <c r="N841" s="4" t="s">
        <v>527</v>
      </c>
      <c r="O841" s="134" t="str">
        <f>_xlfn.XLOOKUP(N841,[1]!costcategory[Account Code],[1]!costcategory[Cost Category],"ERROR")</f>
        <v>Sales Expenses</v>
      </c>
      <c r="P841" s="4" t="s">
        <v>523</v>
      </c>
      <c r="Q841" s="147" t="str">
        <f>_xlfn.XLOOKUP(P841,[1]!Table2[Department],[1]!Table2[Group],"ERROR")</f>
        <v>General &amp; Administrative</v>
      </c>
      <c r="U841" s="4"/>
      <c r="V841" s="2"/>
    </row>
    <row r="842" spans="1:22" customFormat="1" hidden="1" x14ac:dyDescent="0.2">
      <c r="A842" s="2" t="s">
        <v>15</v>
      </c>
      <c r="B842" s="2" t="s">
        <v>1</v>
      </c>
      <c r="C842" s="93">
        <v>46106</v>
      </c>
      <c r="D842" s="3">
        <v>46106</v>
      </c>
      <c r="E842" s="126">
        <v>46104</v>
      </c>
      <c r="F842" s="2" t="s">
        <v>77</v>
      </c>
      <c r="G842" s="300">
        <v>214.04</v>
      </c>
      <c r="H842" s="300">
        <v>19.260000000000002</v>
      </c>
      <c r="I842" s="300">
        <v>233.29999999999998</v>
      </c>
      <c r="J842" s="300">
        <v>179.67016968376029</v>
      </c>
      <c r="K842" s="4" t="s">
        <v>825</v>
      </c>
      <c r="L842" s="4"/>
      <c r="M842" s="4" t="s">
        <v>826</v>
      </c>
      <c r="N842" s="4" t="s">
        <v>390</v>
      </c>
      <c r="O842" s="134" t="str">
        <f>_xlfn.XLOOKUP(N842,[1]!costcategory[Account Code],[1]!costcategory[Cost Category],"ERROR")</f>
        <v>Employee Benefits</v>
      </c>
      <c r="P842" s="4" t="s">
        <v>523</v>
      </c>
      <c r="Q842" s="147" t="str">
        <f>_xlfn.XLOOKUP(P842,[1]!Table2[Department],[1]!Table2[Group],"ERROR")</f>
        <v>General &amp; Administrative</v>
      </c>
      <c r="U842" s="4"/>
      <c r="V842" s="2"/>
    </row>
    <row r="843" spans="1:22" customFormat="1" hidden="1" x14ac:dyDescent="0.2">
      <c r="A843" s="2" t="s">
        <v>15</v>
      </c>
      <c r="B843" s="2" t="s">
        <v>1</v>
      </c>
      <c r="C843" s="93">
        <v>46107</v>
      </c>
      <c r="D843" s="3">
        <v>46107</v>
      </c>
      <c r="E843" s="126">
        <v>46105</v>
      </c>
      <c r="F843" s="2" t="s">
        <v>77</v>
      </c>
      <c r="G843" s="300">
        <v>112.66</v>
      </c>
      <c r="H843" s="300">
        <v>10.14</v>
      </c>
      <c r="I843" s="300">
        <v>122.8</v>
      </c>
      <c r="J843" s="300">
        <v>94.571353781250608</v>
      </c>
      <c r="K843" s="4" t="s">
        <v>827</v>
      </c>
      <c r="L843" s="4"/>
      <c r="M843" s="4" t="s">
        <v>828</v>
      </c>
      <c r="N843" s="4" t="s">
        <v>390</v>
      </c>
      <c r="O843" s="134" t="str">
        <f>_xlfn.XLOOKUP(N843,[1]!costcategory[Account Code],[1]!costcategory[Cost Category],"ERROR")</f>
        <v>Employee Benefits</v>
      </c>
      <c r="P843" s="4" t="s">
        <v>523</v>
      </c>
      <c r="Q843" s="147" t="str">
        <f>_xlfn.XLOOKUP(P843,[1]!Table2[Department],[1]!Table2[Group],"ERROR")</f>
        <v>General &amp; Administrative</v>
      </c>
      <c r="U843" s="4"/>
      <c r="V843" s="2"/>
    </row>
    <row r="844" spans="1:22" customFormat="1" hidden="1" x14ac:dyDescent="0.2">
      <c r="A844" s="2" t="s">
        <v>15</v>
      </c>
      <c r="B844" s="2" t="s">
        <v>1</v>
      </c>
      <c r="C844" s="93">
        <v>46106</v>
      </c>
      <c r="D844" s="3">
        <v>46106</v>
      </c>
      <c r="E844" s="126">
        <v>46106</v>
      </c>
      <c r="F844" s="2" t="s">
        <v>77</v>
      </c>
      <c r="G844" s="300">
        <v>-126960</v>
      </c>
      <c r="H844" s="300">
        <v>0</v>
      </c>
      <c r="I844" s="300">
        <v>-126960</v>
      </c>
      <c r="J844" s="300">
        <v>-97775.073909345097</v>
      </c>
      <c r="K844" s="4" t="s">
        <v>670</v>
      </c>
      <c r="L844" s="4" t="s">
        <v>528</v>
      </c>
      <c r="M844" s="4" t="s">
        <v>696</v>
      </c>
      <c r="N844" s="4" t="s">
        <v>418</v>
      </c>
      <c r="O844" s="134" t="str">
        <f>_xlfn.XLOOKUP(N844,[1]!costcategory[Account Code],[1]!costcategory[Cost Category],"ERROR")</f>
        <v>Internal Fund Transfer</v>
      </c>
      <c r="P844" s="4" t="s">
        <v>333</v>
      </c>
      <c r="Q844" s="147" t="str">
        <f>_xlfn.XLOOKUP(P844,[1]!Table2[Department],[1]!Table2[Group],"ERROR")</f>
        <v>General &amp; Administrative</v>
      </c>
      <c r="U844" s="4"/>
      <c r="V844" s="2"/>
    </row>
    <row r="845" spans="1:22" customFormat="1" hidden="1" x14ac:dyDescent="0.2">
      <c r="A845" s="2" t="s">
        <v>15</v>
      </c>
      <c r="B845" s="2" t="s">
        <v>1</v>
      </c>
      <c r="C845" s="93">
        <v>46107</v>
      </c>
      <c r="D845" s="3">
        <v>46107</v>
      </c>
      <c r="E845" s="126">
        <v>46107</v>
      </c>
      <c r="F845" s="2" t="s">
        <v>77</v>
      </c>
      <c r="G845" s="300">
        <v>-3.39</v>
      </c>
      <c r="H845" s="300">
        <v>0</v>
      </c>
      <c r="I845" s="300">
        <v>-3.39</v>
      </c>
      <c r="J845" s="300">
        <v>-2.6107238543846871</v>
      </c>
      <c r="K845" s="4" t="s">
        <v>670</v>
      </c>
      <c r="L845" s="4"/>
      <c r="M845" s="4" t="s">
        <v>715</v>
      </c>
      <c r="N845" s="4" t="s">
        <v>384</v>
      </c>
      <c r="O845" s="134" t="str">
        <f>_xlfn.XLOOKUP(N845,[1]!costcategory[Account Code],[1]!costcategory[Cost Category],"ERROR")</f>
        <v>Other Income</v>
      </c>
      <c r="P845" s="4" t="s">
        <v>333</v>
      </c>
      <c r="Q845" s="147" t="str">
        <f>_xlfn.XLOOKUP(P845,[1]!Table2[Department],[1]!Table2[Group],"ERROR")</f>
        <v>General &amp; Administrative</v>
      </c>
      <c r="U845" s="4"/>
      <c r="V845" s="2"/>
    </row>
    <row r="846" spans="1:22" customFormat="1" hidden="1" x14ac:dyDescent="0.2">
      <c r="A846" s="2" t="s">
        <v>15</v>
      </c>
      <c r="B846" s="2" t="s">
        <v>1</v>
      </c>
      <c r="C846" s="93">
        <v>46108</v>
      </c>
      <c r="D846" s="3">
        <v>46108</v>
      </c>
      <c r="E846" s="126">
        <v>46108</v>
      </c>
      <c r="F846" s="2" t="s">
        <v>77</v>
      </c>
      <c r="G846" s="300">
        <v>-9664.67</v>
      </c>
      <c r="H846" s="300">
        <v>0</v>
      </c>
      <c r="I846" s="300">
        <v>-9664.67</v>
      </c>
      <c r="J846" s="300">
        <v>-7443.0042813439686</v>
      </c>
      <c r="K846" s="4" t="s">
        <v>105</v>
      </c>
      <c r="L846" s="4" t="s">
        <v>106</v>
      </c>
      <c r="M846" s="4" t="s">
        <v>829</v>
      </c>
      <c r="N846" s="4" t="s">
        <v>382</v>
      </c>
      <c r="O846" s="134" t="str">
        <f>_xlfn.XLOOKUP(N846,[1]!costcategory[Account Code],[1]!costcategory[Cost Category],"ERROR")</f>
        <v>Revenue</v>
      </c>
      <c r="P846" s="4" t="s">
        <v>438</v>
      </c>
      <c r="Q846" s="147" t="str">
        <f>_xlfn.XLOOKUP(P846,[1]!Table2[Department],[1]!Table2[Group],"ERROR")</f>
        <v>Sales &amp; Marketing</v>
      </c>
      <c r="U846" s="4"/>
      <c r="V846" s="2"/>
    </row>
    <row r="847" spans="1:22" customFormat="1" hidden="1" x14ac:dyDescent="0.2">
      <c r="A847" s="2" t="s">
        <v>15</v>
      </c>
      <c r="B847" s="2" t="s">
        <v>1</v>
      </c>
      <c r="C847" s="93">
        <v>46109</v>
      </c>
      <c r="D847" s="3">
        <v>46109</v>
      </c>
      <c r="E847" s="126">
        <v>46109</v>
      </c>
      <c r="F847" s="2" t="s">
        <v>77</v>
      </c>
      <c r="G847" s="300">
        <v>-5000</v>
      </c>
      <c r="H847" s="300">
        <v>0</v>
      </c>
      <c r="I847" s="300">
        <v>-5000</v>
      </c>
      <c r="J847" s="300">
        <v>-3850.6251539597151</v>
      </c>
      <c r="K847" s="4" t="s">
        <v>759</v>
      </c>
      <c r="L847" s="4"/>
      <c r="M847" s="4" t="s">
        <v>1712</v>
      </c>
      <c r="N847" s="4" t="s">
        <v>571</v>
      </c>
      <c r="O847" s="134" t="str">
        <f>_xlfn.XLOOKUP(N847,[1]!costcategory[Account Code],[1]!costcategory[Cost Category],"ERROR")</f>
        <v>Current Asset</v>
      </c>
      <c r="P847" s="4" t="s">
        <v>340</v>
      </c>
      <c r="Q847" s="147" t="str">
        <f>_xlfn.XLOOKUP(P847,[1]!Table2[Department],[1]!Table2[Group],"ERROR")</f>
        <v>General &amp; Administrative</v>
      </c>
      <c r="U847" s="4"/>
      <c r="V847" s="2"/>
    </row>
    <row r="848" spans="1:22" customFormat="1" hidden="1" x14ac:dyDescent="0.2">
      <c r="A848" s="2" t="s">
        <v>15</v>
      </c>
      <c r="B848" s="2" t="s">
        <v>1</v>
      </c>
      <c r="C848" s="93">
        <v>46111</v>
      </c>
      <c r="D848" s="3">
        <v>46111</v>
      </c>
      <c r="E848" s="126">
        <v>46111</v>
      </c>
      <c r="F848" s="2" t="s">
        <v>77</v>
      </c>
      <c r="G848" s="300">
        <v>1323.04</v>
      </c>
      <c r="H848" s="300">
        <v>0</v>
      </c>
      <c r="I848" s="300">
        <v>1323.04</v>
      </c>
      <c r="J848" s="300">
        <v>1018.9062207389724</v>
      </c>
      <c r="K848" s="4" t="s">
        <v>830</v>
      </c>
      <c r="L848" s="4" t="s">
        <v>831</v>
      </c>
      <c r="M848" s="4" t="s">
        <v>832</v>
      </c>
      <c r="N848" s="4" t="s">
        <v>68</v>
      </c>
      <c r="O848" s="134" t="str">
        <f>_xlfn.XLOOKUP(N848,[1]!costcategory[Account Code],[1]!costcategory[Cost Category],"ERROR")</f>
        <v>Marketing Expense</v>
      </c>
      <c r="P848" s="4" t="s">
        <v>658</v>
      </c>
      <c r="Q848" s="147" t="str">
        <f>_xlfn.XLOOKUP(P848,[1]!Table2[Department],[1]!Table2[Group],"ERROR")</f>
        <v>Sales &amp; Marketing</v>
      </c>
      <c r="U848" s="4"/>
      <c r="V848" s="2"/>
    </row>
    <row r="849" spans="1:22" customFormat="1" hidden="1" x14ac:dyDescent="0.2">
      <c r="A849" s="2" t="s">
        <v>15</v>
      </c>
      <c r="B849" s="2" t="s">
        <v>1</v>
      </c>
      <c r="C849" s="93">
        <v>46111</v>
      </c>
      <c r="D849" s="3">
        <v>46111</v>
      </c>
      <c r="E849" s="126">
        <v>46111</v>
      </c>
      <c r="F849" s="2" t="s">
        <v>77</v>
      </c>
      <c r="G849" s="300">
        <v>211.45</v>
      </c>
      <c r="H849" s="300">
        <v>0</v>
      </c>
      <c r="I849" s="300">
        <v>211.45</v>
      </c>
      <c r="J849" s="300">
        <v>162.84293776095635</v>
      </c>
      <c r="K849" s="4" t="s">
        <v>774</v>
      </c>
      <c r="L849" s="4" t="s">
        <v>833</v>
      </c>
      <c r="M849" s="4" t="s">
        <v>776</v>
      </c>
      <c r="N849" s="4" t="s">
        <v>60</v>
      </c>
      <c r="O849" s="134" t="str">
        <f>_xlfn.XLOOKUP(N849,[1]!costcategory[Account Code],[1]!costcategory[Cost Category],"ERROR")</f>
        <v>Subscription Fee</v>
      </c>
      <c r="P849" s="4" t="s">
        <v>333</v>
      </c>
      <c r="Q849" s="147" t="str">
        <f>_xlfn.XLOOKUP(P849,[1]!Table2[Department],[1]!Table2[Group],"ERROR")</f>
        <v>General &amp; Administrative</v>
      </c>
      <c r="U849" s="4"/>
      <c r="V849" s="2"/>
    </row>
    <row r="850" spans="1:22" customFormat="1" hidden="1" x14ac:dyDescent="0.2">
      <c r="A850" s="2" t="s">
        <v>15</v>
      </c>
      <c r="B850" s="2" t="s">
        <v>1</v>
      </c>
      <c r="C850" s="93">
        <v>46112</v>
      </c>
      <c r="D850" s="3">
        <v>46112</v>
      </c>
      <c r="E850" s="126">
        <v>46112</v>
      </c>
      <c r="F850" s="2" t="s">
        <v>77</v>
      </c>
      <c r="G850" s="300">
        <v>70.5</v>
      </c>
      <c r="H850" s="300">
        <v>0</v>
      </c>
      <c r="I850" s="300">
        <v>70.5</v>
      </c>
      <c r="J850" s="300">
        <v>54.293814670831985</v>
      </c>
      <c r="K850" s="4" t="s">
        <v>834</v>
      </c>
      <c r="L850" s="4" t="s">
        <v>835</v>
      </c>
      <c r="M850" s="4" t="s">
        <v>776</v>
      </c>
      <c r="N850" s="4" t="s">
        <v>657</v>
      </c>
      <c r="O850" s="134" t="str">
        <f>_xlfn.XLOOKUP(N850,[1]!costcategory[Account Code],[1]!costcategory[Cost Category],"ERROR")</f>
        <v>Intercompany</v>
      </c>
      <c r="P850" s="4" t="s">
        <v>333</v>
      </c>
      <c r="Q850" s="147" t="str">
        <f>_xlfn.XLOOKUP(P850,[1]!Table2[Department],[1]!Table2[Group],"ERROR")</f>
        <v>General &amp; Administrative</v>
      </c>
      <c r="U850" s="4"/>
      <c r="V850" s="2"/>
    </row>
    <row r="851" spans="1:22" customFormat="1" hidden="1" x14ac:dyDescent="0.2">
      <c r="A851" s="2" t="s">
        <v>15</v>
      </c>
      <c r="B851" s="2" t="s">
        <v>1</v>
      </c>
      <c r="C851" s="93">
        <v>46112</v>
      </c>
      <c r="D851" s="3">
        <v>46112</v>
      </c>
      <c r="E851" s="126">
        <v>46112</v>
      </c>
      <c r="F851" s="2" t="s">
        <v>77</v>
      </c>
      <c r="G851" s="300">
        <v>-186.36</v>
      </c>
      <c r="H851" s="300">
        <v>0</v>
      </c>
      <c r="I851" s="300">
        <v>-186.36</v>
      </c>
      <c r="J851" s="300">
        <v>-143.52050073838652</v>
      </c>
      <c r="K851" s="4" t="s">
        <v>790</v>
      </c>
      <c r="L851" s="4"/>
      <c r="M851" s="4" t="s">
        <v>836</v>
      </c>
      <c r="N851" s="4" t="s">
        <v>364</v>
      </c>
      <c r="O851" s="134" t="str">
        <f>_xlfn.XLOOKUP(N851,[1]!costcategory[Account Code],[1]!costcategory[Cost Category],"ERROR")</f>
        <v>Headcount Costs</v>
      </c>
      <c r="P851" s="4" t="s">
        <v>350</v>
      </c>
      <c r="Q851" s="147" t="str">
        <f>_xlfn.XLOOKUP(P851,[1]!Table2[Department],[1]!Table2[Group],"ERROR")</f>
        <v>General &amp; Administrative</v>
      </c>
      <c r="U851" s="4"/>
      <c r="V851" s="2"/>
    </row>
    <row r="852" spans="1:22" customFormat="1" hidden="1" x14ac:dyDescent="0.2">
      <c r="A852" s="2" t="s">
        <v>15</v>
      </c>
      <c r="B852" s="2" t="s">
        <v>1</v>
      </c>
      <c r="C852" s="93">
        <v>46112</v>
      </c>
      <c r="D852" s="3">
        <v>46112</v>
      </c>
      <c r="E852" s="126">
        <v>46112</v>
      </c>
      <c r="F852" s="2" t="s">
        <v>77</v>
      </c>
      <c r="G852" s="300">
        <v>23892</v>
      </c>
      <c r="H852" s="300">
        <v>2150.2799999999997</v>
      </c>
      <c r="I852" s="300">
        <v>26042.28</v>
      </c>
      <c r="J852" s="300">
        <v>20055.811686892401</v>
      </c>
      <c r="K852" s="4" t="s">
        <v>759</v>
      </c>
      <c r="L852" s="4" t="s">
        <v>837</v>
      </c>
      <c r="M852" s="4" t="s">
        <v>838</v>
      </c>
      <c r="N852" s="4" t="s">
        <v>409</v>
      </c>
      <c r="O852" s="134" t="str">
        <f>_xlfn.XLOOKUP(N852,[1]!costcategory[Account Code],[1]!costcategory[Cost Category],"ERROR")</f>
        <v>Rental</v>
      </c>
      <c r="P852" s="4" t="s">
        <v>340</v>
      </c>
      <c r="Q852" s="147" t="str">
        <f>_xlfn.XLOOKUP(P852,[1]!Table2[Department],[1]!Table2[Group],"ERROR")</f>
        <v>General &amp; Administrative</v>
      </c>
      <c r="U852" s="4"/>
      <c r="V852" s="2"/>
    </row>
    <row r="853" spans="1:22" customFormat="1" hidden="1" x14ac:dyDescent="0.2">
      <c r="A853" s="2" t="s">
        <v>15</v>
      </c>
      <c r="B853" s="2" t="s">
        <v>1</v>
      </c>
      <c r="C853" s="93">
        <v>46112</v>
      </c>
      <c r="D853" s="3">
        <v>46112</v>
      </c>
      <c r="E853" s="126">
        <v>46112</v>
      </c>
      <c r="F853" s="2" t="s">
        <v>77</v>
      </c>
      <c r="G853" s="300">
        <v>84.84</v>
      </c>
      <c r="H853" s="300">
        <v>0</v>
      </c>
      <c r="I853" s="300">
        <v>84.84</v>
      </c>
      <c r="J853" s="300">
        <v>65.337407612388446</v>
      </c>
      <c r="K853" s="4" t="s">
        <v>839</v>
      </c>
      <c r="L853" s="4" t="s">
        <v>840</v>
      </c>
      <c r="M853" s="4" t="s">
        <v>344</v>
      </c>
      <c r="N853" s="4" t="s">
        <v>344</v>
      </c>
      <c r="O853" s="134" t="str">
        <f>_xlfn.XLOOKUP(N853,[1]!costcategory[Account Code],[1]!costcategory[Cost Category],"ERROR")</f>
        <v>Courier Charges</v>
      </c>
      <c r="P853" s="4" t="s">
        <v>340</v>
      </c>
      <c r="Q853" s="147" t="str">
        <f>_xlfn.XLOOKUP(P853,[1]!Table2[Department],[1]!Table2[Group],"ERROR")</f>
        <v>General &amp; Administrative</v>
      </c>
      <c r="U853" s="4"/>
      <c r="V853" s="2"/>
    </row>
    <row r="854" spans="1:22" customFormat="1" hidden="1" x14ac:dyDescent="0.2">
      <c r="A854" s="2" t="s">
        <v>15</v>
      </c>
      <c r="B854" s="2" t="s">
        <v>1</v>
      </c>
      <c r="C854" s="93">
        <v>46112</v>
      </c>
      <c r="D854" s="3">
        <v>46112</v>
      </c>
      <c r="E854" s="126">
        <v>46112</v>
      </c>
      <c r="F854" s="2" t="s">
        <v>77</v>
      </c>
      <c r="G854" s="300">
        <v>2937</v>
      </c>
      <c r="H854" s="300">
        <v>270</v>
      </c>
      <c r="I854" s="300">
        <v>3207</v>
      </c>
      <c r="J854" s="300">
        <v>2469.7909737497612</v>
      </c>
      <c r="K854" s="4" t="s">
        <v>841</v>
      </c>
      <c r="L854" s="4" t="s">
        <v>842</v>
      </c>
      <c r="M854" s="4" t="s">
        <v>843</v>
      </c>
      <c r="N854" s="4" t="s">
        <v>801</v>
      </c>
      <c r="O854" s="134" t="str">
        <f>_xlfn.XLOOKUP(N854,[1]!costcategory[Account Code],[1]!costcategory[Cost Category],"ERROR")</f>
        <v>Recruitment Related Fees</v>
      </c>
      <c r="P854" s="4" t="s">
        <v>350</v>
      </c>
      <c r="Q854" s="147" t="str">
        <f>_xlfn.XLOOKUP(P854,[1]!Table2[Department],[1]!Table2[Group],"ERROR")</f>
        <v>General &amp; Administrative</v>
      </c>
      <c r="U854" s="4"/>
      <c r="V854" s="2"/>
    </row>
    <row r="855" spans="1:22" customFormat="1" hidden="1" x14ac:dyDescent="0.2">
      <c r="A855" s="2" t="s">
        <v>15</v>
      </c>
      <c r="B855" s="2" t="s">
        <v>1</v>
      </c>
      <c r="C855" s="93">
        <v>46112</v>
      </c>
      <c r="D855" s="3">
        <v>46112</v>
      </c>
      <c r="E855" s="126">
        <v>46112</v>
      </c>
      <c r="F855" s="2" t="s">
        <v>77</v>
      </c>
      <c r="G855" s="300">
        <v>1200</v>
      </c>
      <c r="H855" s="300">
        <v>108</v>
      </c>
      <c r="I855" s="300">
        <v>1308</v>
      </c>
      <c r="J855" s="300">
        <v>1007.3235402758615</v>
      </c>
      <c r="K855" s="4" t="s">
        <v>844</v>
      </c>
      <c r="L855" s="4" t="s">
        <v>845</v>
      </c>
      <c r="M855" s="4" t="s">
        <v>846</v>
      </c>
      <c r="N855" s="4" t="s">
        <v>367</v>
      </c>
      <c r="O855" s="134" t="str">
        <f>_xlfn.XLOOKUP(N855,[1]!costcategory[Account Code],[1]!costcategory[Cost Category],"ERROR")</f>
        <v>Professional &amp; Consultancy Fees</v>
      </c>
      <c r="P855" s="4" t="s">
        <v>333</v>
      </c>
      <c r="Q855" s="147" t="str">
        <f>_xlfn.XLOOKUP(P855,[1]!Table2[Department],[1]!Table2[Group],"ERROR")</f>
        <v>General &amp; Administrative</v>
      </c>
      <c r="U855" s="4"/>
      <c r="V855" s="2"/>
    </row>
    <row r="856" spans="1:22" customFormat="1" hidden="1" x14ac:dyDescent="0.2">
      <c r="A856" s="2" t="s">
        <v>15</v>
      </c>
      <c r="B856" s="2" t="s">
        <v>1</v>
      </c>
      <c r="C856" s="93">
        <v>46112</v>
      </c>
      <c r="D856" s="3">
        <v>46112</v>
      </c>
      <c r="E856" s="126">
        <v>46112</v>
      </c>
      <c r="F856" s="2" t="s">
        <v>77</v>
      </c>
      <c r="G856" s="300">
        <v>300</v>
      </c>
      <c r="H856" s="300">
        <v>0</v>
      </c>
      <c r="I856" s="300">
        <v>300</v>
      </c>
      <c r="J856" s="300">
        <v>231.03750923758292</v>
      </c>
      <c r="K856" s="4" t="s">
        <v>844</v>
      </c>
      <c r="L856" s="4" t="s">
        <v>847</v>
      </c>
      <c r="M856" s="4" t="s">
        <v>848</v>
      </c>
      <c r="N856" s="4" t="s">
        <v>849</v>
      </c>
      <c r="O856" s="134" t="str">
        <f>_xlfn.XLOOKUP(N856,[1]!costcategory[Account Code],[1]!costcategory[Cost Category],"ERROR")</f>
        <v>Penalty</v>
      </c>
      <c r="P856" s="4" t="s">
        <v>333</v>
      </c>
      <c r="Q856" s="147" t="str">
        <f>_xlfn.XLOOKUP(P856,[1]!Table2[Department],[1]!Table2[Group],"ERROR")</f>
        <v>General &amp; Administrative</v>
      </c>
      <c r="U856" s="4"/>
      <c r="V856" s="2"/>
    </row>
    <row r="857" spans="1:22" customFormat="1" hidden="1" x14ac:dyDescent="0.2">
      <c r="A857" s="2" t="s">
        <v>15</v>
      </c>
      <c r="B857" s="2" t="s">
        <v>1</v>
      </c>
      <c r="C857" s="93">
        <v>46112</v>
      </c>
      <c r="D857" s="3">
        <v>46112</v>
      </c>
      <c r="E857" s="126">
        <v>46112</v>
      </c>
      <c r="F857" s="2" t="s">
        <v>77</v>
      </c>
      <c r="G857" s="300">
        <v>5731.44</v>
      </c>
      <c r="H857" s="300">
        <v>515.83000000000004</v>
      </c>
      <c r="I857" s="300">
        <v>6247.2599999999993</v>
      </c>
      <c r="J857" s="300">
        <v>4811.1712998652738</v>
      </c>
      <c r="K857" s="4" t="s">
        <v>661</v>
      </c>
      <c r="L857" s="4" t="s">
        <v>850</v>
      </c>
      <c r="M857" s="4" t="s">
        <v>851</v>
      </c>
      <c r="N857" s="4" t="s">
        <v>58</v>
      </c>
      <c r="O857" s="134" t="str">
        <f>_xlfn.XLOOKUP(N857,[1]!costcategory[Account Code],[1]!costcategory[Cost Category],"ERROR")</f>
        <v>Network &amp; Server</v>
      </c>
      <c r="P857" s="4" t="s">
        <v>59</v>
      </c>
      <c r="Q857" s="147" t="str">
        <f>_xlfn.XLOOKUP(P857,[1]!Table2[Department],[1]!Table2[Group],"ERROR")</f>
        <v>Research &amp; Development</v>
      </c>
      <c r="U857" s="4"/>
      <c r="V857" s="2"/>
    </row>
    <row r="858" spans="1:22" customFormat="1" hidden="1" x14ac:dyDescent="0.2">
      <c r="A858" s="2" t="s">
        <v>15</v>
      </c>
      <c r="B858" s="2" t="s">
        <v>1</v>
      </c>
      <c r="C858" s="93">
        <v>46112</v>
      </c>
      <c r="D858" s="3">
        <v>46112</v>
      </c>
      <c r="E858" s="126">
        <v>46112</v>
      </c>
      <c r="F858" s="2" t="s">
        <v>77</v>
      </c>
      <c r="G858" s="300">
        <v>188.52</v>
      </c>
      <c r="H858" s="300">
        <v>16.97</v>
      </c>
      <c r="I858" s="300">
        <v>205.49</v>
      </c>
      <c r="J858" s="300">
        <v>158.25299257743637</v>
      </c>
      <c r="K858" s="4" t="s">
        <v>661</v>
      </c>
      <c r="L858" s="4" t="s">
        <v>850</v>
      </c>
      <c r="M858" s="4" t="s">
        <v>851</v>
      </c>
      <c r="N858" s="4" t="s">
        <v>58</v>
      </c>
      <c r="O858" s="134" t="str">
        <f>_xlfn.XLOOKUP(N858,[1]!costcategory[Account Code],[1]!costcategory[Cost Category],"ERROR")</f>
        <v>Network &amp; Server</v>
      </c>
      <c r="P858" s="4" t="s">
        <v>56</v>
      </c>
      <c r="Q858" s="147" t="str">
        <f>_xlfn.XLOOKUP(P858,[1]!Table2[Department],[1]!Table2[Group],"ERROR")</f>
        <v>Research &amp; Development</v>
      </c>
      <c r="U858" s="4"/>
      <c r="V858" s="2"/>
    </row>
    <row r="859" spans="1:22" customFormat="1" hidden="1" x14ac:dyDescent="0.2">
      <c r="A859" s="2" t="s">
        <v>15</v>
      </c>
      <c r="B859" s="2" t="s">
        <v>1</v>
      </c>
      <c r="C859" s="93">
        <v>46112</v>
      </c>
      <c r="D859" s="3">
        <v>46112</v>
      </c>
      <c r="E859" s="126">
        <v>46112</v>
      </c>
      <c r="F859" s="2" t="s">
        <v>77</v>
      </c>
      <c r="G859" s="300">
        <v>141.85</v>
      </c>
      <c r="H859" s="300">
        <v>12.77</v>
      </c>
      <c r="I859" s="300">
        <v>154.62</v>
      </c>
      <c r="J859" s="300">
        <v>119.07673226105024</v>
      </c>
      <c r="K859" s="4" t="s">
        <v>661</v>
      </c>
      <c r="L859" s="4" t="s">
        <v>850</v>
      </c>
      <c r="M859" s="4" t="s">
        <v>851</v>
      </c>
      <c r="N859" s="4" t="s">
        <v>58</v>
      </c>
      <c r="O859" s="134" t="str">
        <f>_xlfn.XLOOKUP(N859,[1]!costcategory[Account Code],[1]!costcategory[Cost Category],"ERROR")</f>
        <v>Network &amp; Server</v>
      </c>
      <c r="P859" s="4" t="s">
        <v>57</v>
      </c>
      <c r="Q859" s="147" t="str">
        <f>_xlfn.XLOOKUP(P859,[1]!Table2[Department],[1]!Table2[Group],"ERROR")</f>
        <v>Research &amp; Development</v>
      </c>
      <c r="U859" s="4"/>
      <c r="V859" s="2"/>
    </row>
    <row r="860" spans="1:22" customFormat="1" hidden="1" x14ac:dyDescent="0.2">
      <c r="A860" s="2" t="s">
        <v>15</v>
      </c>
      <c r="B860" s="2" t="s">
        <v>1</v>
      </c>
      <c r="C860" s="93">
        <v>46112</v>
      </c>
      <c r="D860" s="3">
        <v>46112</v>
      </c>
      <c r="E860" s="126">
        <v>46112</v>
      </c>
      <c r="F860" s="2" t="s">
        <v>77</v>
      </c>
      <c r="G860" s="300">
        <v>128.76</v>
      </c>
      <c r="H860" s="300">
        <v>11.59</v>
      </c>
      <c r="I860" s="300">
        <v>140.35</v>
      </c>
      <c r="J860" s="300">
        <v>108.08704807164921</v>
      </c>
      <c r="K860" s="4" t="s">
        <v>667</v>
      </c>
      <c r="L860" s="4" t="s">
        <v>852</v>
      </c>
      <c r="M860" s="4" t="s">
        <v>853</v>
      </c>
      <c r="N860" s="4" t="s">
        <v>58</v>
      </c>
      <c r="O860" s="134" t="str">
        <f>_xlfn.XLOOKUP(N860,[1]!costcategory[Account Code],[1]!costcategory[Cost Category],"ERROR")</f>
        <v>Network &amp; Server</v>
      </c>
      <c r="P860" s="4" t="s">
        <v>376</v>
      </c>
      <c r="Q860" s="147" t="str">
        <f>_xlfn.XLOOKUP(P860,[1]!Table2[Department],[1]!Table2[Group],"ERROR")</f>
        <v>General &amp; Administrative</v>
      </c>
      <c r="U860" s="4"/>
      <c r="V860" s="2"/>
    </row>
    <row r="861" spans="1:22" customFormat="1" hidden="1" x14ac:dyDescent="0.2">
      <c r="A861" s="2" t="s">
        <v>15</v>
      </c>
      <c r="B861" s="2" t="s">
        <v>1</v>
      </c>
      <c r="C861" s="93">
        <v>46112</v>
      </c>
      <c r="D861" s="3">
        <v>46112</v>
      </c>
      <c r="E861" s="126">
        <v>46112</v>
      </c>
      <c r="F861" s="2" t="s">
        <v>77</v>
      </c>
      <c r="G861" s="300"/>
      <c r="H861" s="300"/>
      <c r="I861" s="300"/>
      <c r="J861" s="300">
        <v>5693.45</v>
      </c>
      <c r="K861" s="4" t="s">
        <v>1641</v>
      </c>
      <c r="L861" s="4"/>
      <c r="M861" s="4" t="s">
        <v>412</v>
      </c>
      <c r="N861" s="4" t="s">
        <v>387</v>
      </c>
      <c r="O861" s="134" t="str">
        <f>_xlfn.XLOOKUP(N861,[1]!costcategory[Account Code],[1]!costcategory[Cost Category],"ERROR")</f>
        <v>Headcount Costs</v>
      </c>
      <c r="P861" s="4" t="s">
        <v>354</v>
      </c>
      <c r="Q861" s="147" t="str">
        <f>_xlfn.XLOOKUP(P861,[1]!Table2[Department],[1]!Table2[Group],"ERROR")</f>
        <v>Sales &amp; Marketing</v>
      </c>
      <c r="U861" s="4"/>
      <c r="V861" s="2"/>
    </row>
    <row r="862" spans="1:22" customFormat="1" hidden="1" x14ac:dyDescent="0.2">
      <c r="A862" s="2" t="s">
        <v>15</v>
      </c>
      <c r="B862" s="2" t="s">
        <v>1</v>
      </c>
      <c r="C862" s="93">
        <v>46112</v>
      </c>
      <c r="D862" s="3">
        <v>46112</v>
      </c>
      <c r="E862" s="126">
        <v>46112</v>
      </c>
      <c r="F862" s="2" t="s">
        <v>77</v>
      </c>
      <c r="G862" s="300"/>
      <c r="H862" s="300"/>
      <c r="I862" s="300"/>
      <c r="J862" s="300">
        <v>15992.49</v>
      </c>
      <c r="K862" s="4" t="s">
        <v>1641</v>
      </c>
      <c r="L862" s="4"/>
      <c r="M862" s="4" t="s">
        <v>412</v>
      </c>
      <c r="N862" s="4" t="s">
        <v>387</v>
      </c>
      <c r="O862" s="134" t="str">
        <f>_xlfn.XLOOKUP(N862,[1]!costcategory[Account Code],[1]!costcategory[Cost Category],"ERROR")</f>
        <v>Headcount Costs</v>
      </c>
      <c r="P862" s="4" t="s">
        <v>45</v>
      </c>
      <c r="Q862" s="147" t="str">
        <f>_xlfn.XLOOKUP(P862,[1]!Table2[Department],[1]!Table2[Group],"ERROR")</f>
        <v>DSC</v>
      </c>
      <c r="U862" s="4"/>
      <c r="V862" s="2"/>
    </row>
    <row r="863" spans="1:22" customFormat="1" hidden="1" x14ac:dyDescent="0.2">
      <c r="A863" s="2" t="s">
        <v>15</v>
      </c>
      <c r="B863" s="2" t="s">
        <v>1</v>
      </c>
      <c r="C863" s="93">
        <v>46112</v>
      </c>
      <c r="D863" s="3">
        <v>46112</v>
      </c>
      <c r="E863" s="126">
        <v>46112</v>
      </c>
      <c r="F863" s="2" t="s">
        <v>77</v>
      </c>
      <c r="G863" s="300"/>
      <c r="H863" s="300"/>
      <c r="I863" s="300"/>
      <c r="J863" s="300">
        <v>7466.21</v>
      </c>
      <c r="K863" s="4" t="s">
        <v>1641</v>
      </c>
      <c r="L863" s="4"/>
      <c r="M863" s="4" t="s">
        <v>412</v>
      </c>
      <c r="N863" s="4" t="s">
        <v>387</v>
      </c>
      <c r="O863" s="134" t="str">
        <f>_xlfn.XLOOKUP(N863,[1]!costcategory[Account Code],[1]!costcategory[Cost Category],"ERROR")</f>
        <v>Headcount Costs</v>
      </c>
      <c r="P863" s="4" t="s">
        <v>658</v>
      </c>
      <c r="Q863" s="147" t="str">
        <f>_xlfn.XLOOKUP(P863,[1]!Table2[Department],[1]!Table2[Group],"ERROR")</f>
        <v>Sales &amp; Marketing</v>
      </c>
      <c r="U863" s="4"/>
      <c r="V863" s="2"/>
    </row>
    <row r="864" spans="1:22" customFormat="1" hidden="1" x14ac:dyDescent="0.2">
      <c r="A864" s="2" t="s">
        <v>15</v>
      </c>
      <c r="B864" s="2" t="s">
        <v>1</v>
      </c>
      <c r="C864" s="93">
        <v>46112</v>
      </c>
      <c r="D864" s="3">
        <v>46112</v>
      </c>
      <c r="E864" s="126">
        <v>46112</v>
      </c>
      <c r="F864" s="2" t="s">
        <v>77</v>
      </c>
      <c r="G864" s="300"/>
      <c r="H864" s="300"/>
      <c r="I864" s="300"/>
      <c r="J864" s="300">
        <v>930.18</v>
      </c>
      <c r="K864" s="4" t="s">
        <v>1641</v>
      </c>
      <c r="L864" s="4"/>
      <c r="M864" s="4" t="s">
        <v>1711</v>
      </c>
      <c r="N864" s="4" t="s">
        <v>387</v>
      </c>
      <c r="O864" s="134" t="str">
        <f>_xlfn.XLOOKUP(N864,[1]!costcategory[Account Code],[1]!costcategory[Cost Category],"ERROR")</f>
        <v>Headcount Costs</v>
      </c>
      <c r="P864" s="4" t="s">
        <v>658</v>
      </c>
      <c r="Q864" s="147" t="str">
        <f>_xlfn.XLOOKUP(P864,[1]!Table2[Department],[1]!Table2[Group],"ERROR")</f>
        <v>Sales &amp; Marketing</v>
      </c>
      <c r="U864" s="4"/>
      <c r="V864" s="2"/>
    </row>
    <row r="865" spans="1:22" customFormat="1" hidden="1" x14ac:dyDescent="0.2">
      <c r="A865" s="2" t="s">
        <v>15</v>
      </c>
      <c r="B865" s="2" t="s">
        <v>1</v>
      </c>
      <c r="C865" s="93">
        <v>46112</v>
      </c>
      <c r="D865" s="3">
        <v>46112</v>
      </c>
      <c r="E865" s="126">
        <v>46112</v>
      </c>
      <c r="F865" s="2" t="s">
        <v>77</v>
      </c>
      <c r="G865" s="300"/>
      <c r="H865" s="300"/>
      <c r="I865" s="300"/>
      <c r="J865" s="300">
        <v>14604.53</v>
      </c>
      <c r="K865" s="4" t="s">
        <v>1641</v>
      </c>
      <c r="L865" s="4"/>
      <c r="M865" s="4" t="s">
        <v>412</v>
      </c>
      <c r="N865" s="4" t="s">
        <v>387</v>
      </c>
      <c r="O865" s="134" t="str">
        <f>_xlfn.XLOOKUP(N865,[1]!costcategory[Account Code],[1]!costcategory[Cost Category],"ERROR")</f>
        <v>Headcount Costs</v>
      </c>
      <c r="P865" s="4" t="s">
        <v>350</v>
      </c>
      <c r="Q865" s="147" t="str">
        <f>_xlfn.XLOOKUP(P865,[1]!Table2[Department],[1]!Table2[Group],"ERROR")</f>
        <v>General &amp; Administrative</v>
      </c>
      <c r="U865" s="4"/>
      <c r="V865" s="2"/>
    </row>
    <row r="866" spans="1:22" customFormat="1" hidden="1" x14ac:dyDescent="0.2">
      <c r="A866" s="2" t="s">
        <v>15</v>
      </c>
      <c r="B866" s="2" t="s">
        <v>1</v>
      </c>
      <c r="C866" s="93">
        <v>46112</v>
      </c>
      <c r="D866" s="3">
        <v>46112</v>
      </c>
      <c r="E866" s="126">
        <v>46112</v>
      </c>
      <c r="F866" s="2" t="s">
        <v>77</v>
      </c>
      <c r="G866" s="300"/>
      <c r="H866" s="300"/>
      <c r="I866" s="300"/>
      <c r="J866" s="300">
        <v>1550.29</v>
      </c>
      <c r="K866" s="4" t="s">
        <v>1641</v>
      </c>
      <c r="L866" s="4"/>
      <c r="M866" s="4" t="s">
        <v>1711</v>
      </c>
      <c r="N866" s="4" t="s">
        <v>387</v>
      </c>
      <c r="O866" s="134" t="str">
        <f>_xlfn.XLOOKUP(N866,[1]!costcategory[Account Code],[1]!costcategory[Cost Category],"ERROR")</f>
        <v>Headcount Costs</v>
      </c>
      <c r="P866" s="4" t="s">
        <v>350</v>
      </c>
      <c r="Q866" s="147" t="str">
        <f>_xlfn.XLOOKUP(P866,[1]!Table2[Department],[1]!Table2[Group],"ERROR")</f>
        <v>General &amp; Administrative</v>
      </c>
      <c r="U866" s="4"/>
      <c r="V866" s="2"/>
    </row>
    <row r="867" spans="1:22" customFormat="1" hidden="1" x14ac:dyDescent="0.2">
      <c r="A867" s="2" t="s">
        <v>15</v>
      </c>
      <c r="B867" s="2" t="s">
        <v>1</v>
      </c>
      <c r="C867" s="93">
        <v>46112</v>
      </c>
      <c r="D867" s="3">
        <v>46112</v>
      </c>
      <c r="E867" s="126">
        <v>46112</v>
      </c>
      <c r="F867" s="2" t="s">
        <v>77</v>
      </c>
      <c r="G867" s="300"/>
      <c r="H867" s="300"/>
      <c r="I867" s="300"/>
      <c r="J867" s="300">
        <v>986.3</v>
      </c>
      <c r="K867" s="4" t="s">
        <v>1641</v>
      </c>
      <c r="L867" s="4"/>
      <c r="M867" s="4" t="s">
        <v>412</v>
      </c>
      <c r="N867" s="4" t="s">
        <v>387</v>
      </c>
      <c r="O867" s="134" t="str">
        <f>_xlfn.XLOOKUP(N867,[1]!costcategory[Account Code],[1]!costcategory[Cost Category],"ERROR")</f>
        <v>Headcount Costs</v>
      </c>
      <c r="P867" s="4" t="s">
        <v>376</v>
      </c>
      <c r="Q867" s="147" t="str">
        <f>_xlfn.XLOOKUP(P867,[1]!Table2[Department],[1]!Table2[Group],"ERROR")</f>
        <v>General &amp; Administrative</v>
      </c>
      <c r="U867" s="4"/>
      <c r="V867" s="2"/>
    </row>
    <row r="868" spans="1:22" customFormat="1" hidden="1" x14ac:dyDescent="0.2">
      <c r="A868" s="2" t="s">
        <v>15</v>
      </c>
      <c r="B868" s="2" t="s">
        <v>1</v>
      </c>
      <c r="C868" s="93">
        <v>46112</v>
      </c>
      <c r="D868" s="3">
        <v>46112</v>
      </c>
      <c r="E868" s="126">
        <v>46112</v>
      </c>
      <c r="F868" s="2" t="s">
        <v>77</v>
      </c>
      <c r="G868" s="300"/>
      <c r="H868" s="300"/>
      <c r="I868" s="300"/>
      <c r="J868" s="300">
        <v>43485.69</v>
      </c>
      <c r="K868" s="4" t="s">
        <v>1641</v>
      </c>
      <c r="L868" s="4"/>
      <c r="M868" s="4" t="s">
        <v>412</v>
      </c>
      <c r="N868" s="4" t="s">
        <v>387</v>
      </c>
      <c r="O868" s="134" t="str">
        <f>_xlfn.XLOOKUP(N868,[1]!costcategory[Account Code],[1]!costcategory[Cost Category],"ERROR")</f>
        <v>Headcount Costs</v>
      </c>
      <c r="P868" s="4" t="s">
        <v>523</v>
      </c>
      <c r="Q868" s="147" t="str">
        <f>_xlfn.XLOOKUP(P868,[1]!Table2[Department],[1]!Table2[Group],"ERROR")</f>
        <v>General &amp; Administrative</v>
      </c>
      <c r="U868" s="4"/>
      <c r="V868" s="2"/>
    </row>
    <row r="869" spans="1:22" customFormat="1" hidden="1" x14ac:dyDescent="0.2">
      <c r="A869" s="2" t="s">
        <v>15</v>
      </c>
      <c r="B869" s="2" t="s">
        <v>1</v>
      </c>
      <c r="C869" s="93">
        <v>46112</v>
      </c>
      <c r="D869" s="3">
        <v>46112</v>
      </c>
      <c r="E869" s="126">
        <v>46112</v>
      </c>
      <c r="F869" s="2" t="s">
        <v>77</v>
      </c>
      <c r="G869" s="300"/>
      <c r="H869" s="300"/>
      <c r="I869" s="300"/>
      <c r="J869" s="300">
        <v>24669.48</v>
      </c>
      <c r="K869" s="4" t="s">
        <v>1641</v>
      </c>
      <c r="L869" s="4"/>
      <c r="M869" s="4" t="s">
        <v>412</v>
      </c>
      <c r="N869" s="4" t="s">
        <v>387</v>
      </c>
      <c r="O869" s="134" t="str">
        <f>_xlfn.XLOOKUP(N869,[1]!costcategory[Account Code],[1]!costcategory[Cost Category],"ERROR")</f>
        <v>Headcount Costs</v>
      </c>
      <c r="P869" s="4" t="s">
        <v>56</v>
      </c>
      <c r="Q869" s="147" t="str">
        <f>_xlfn.XLOOKUP(P869,[1]!Table2[Department],[1]!Table2[Group],"ERROR")</f>
        <v>Research &amp; Development</v>
      </c>
      <c r="U869" s="4"/>
      <c r="V869" s="2"/>
    </row>
    <row r="870" spans="1:22" customFormat="1" hidden="1" x14ac:dyDescent="0.2">
      <c r="A870" s="2" t="s">
        <v>15</v>
      </c>
      <c r="B870" s="2" t="s">
        <v>1</v>
      </c>
      <c r="C870" s="93">
        <v>46112</v>
      </c>
      <c r="D870" s="3">
        <v>46112</v>
      </c>
      <c r="E870" s="126">
        <v>46112</v>
      </c>
      <c r="F870" s="2" t="s">
        <v>77</v>
      </c>
      <c r="G870" s="300"/>
      <c r="H870" s="300"/>
      <c r="I870" s="300"/>
      <c r="J870" s="300">
        <v>1550.29</v>
      </c>
      <c r="K870" s="4" t="s">
        <v>1641</v>
      </c>
      <c r="L870" s="4"/>
      <c r="M870" s="4" t="s">
        <v>1711</v>
      </c>
      <c r="N870" s="4" t="s">
        <v>387</v>
      </c>
      <c r="O870" s="134" t="str">
        <f>_xlfn.XLOOKUP(N870,[1]!costcategory[Account Code],[1]!costcategory[Cost Category],"ERROR")</f>
        <v>Headcount Costs</v>
      </c>
      <c r="P870" s="4" t="s">
        <v>56</v>
      </c>
      <c r="Q870" s="147" t="str">
        <f>_xlfn.XLOOKUP(P870,[1]!Table2[Department],[1]!Table2[Group],"ERROR")</f>
        <v>Research &amp; Development</v>
      </c>
      <c r="U870" s="4"/>
      <c r="V870" s="2"/>
    </row>
    <row r="871" spans="1:22" customFormat="1" hidden="1" x14ac:dyDescent="0.2">
      <c r="A871" s="2" t="s">
        <v>15</v>
      </c>
      <c r="B871" s="2" t="s">
        <v>1</v>
      </c>
      <c r="C871" s="93">
        <v>46112</v>
      </c>
      <c r="D871" s="3">
        <v>46112</v>
      </c>
      <c r="E871" s="126">
        <v>46112</v>
      </c>
      <c r="F871" s="2" t="s">
        <v>77</v>
      </c>
      <c r="G871" s="300"/>
      <c r="H871" s="300"/>
      <c r="I871" s="300"/>
      <c r="J871" s="300">
        <v>33082.46</v>
      </c>
      <c r="K871" s="4" t="s">
        <v>1641</v>
      </c>
      <c r="L871" s="4"/>
      <c r="M871" s="4" t="s">
        <v>412</v>
      </c>
      <c r="N871" s="4" t="s">
        <v>387</v>
      </c>
      <c r="O871" s="134" t="str">
        <f>_xlfn.XLOOKUP(N871,[1]!costcategory[Account Code],[1]!costcategory[Cost Category],"ERROR")</f>
        <v>Headcount Costs</v>
      </c>
      <c r="P871" s="4" t="s">
        <v>59</v>
      </c>
      <c r="Q871" s="147" t="str">
        <f>_xlfn.XLOOKUP(P871,[1]!Table2[Department],[1]!Table2[Group],"ERROR")</f>
        <v>Research &amp; Development</v>
      </c>
      <c r="U871" s="4"/>
      <c r="V871" s="2"/>
    </row>
    <row r="872" spans="1:22" customFormat="1" hidden="1" x14ac:dyDescent="0.2">
      <c r="A872" s="2" t="s">
        <v>15</v>
      </c>
      <c r="B872" s="2" t="s">
        <v>1</v>
      </c>
      <c r="C872" s="93">
        <v>46112</v>
      </c>
      <c r="D872" s="3">
        <v>46112</v>
      </c>
      <c r="E872" s="126">
        <v>46112</v>
      </c>
      <c r="F872" s="2" t="s">
        <v>77</v>
      </c>
      <c r="G872" s="300"/>
      <c r="H872" s="300"/>
      <c r="I872" s="300"/>
      <c r="J872" s="300">
        <v>12026.28</v>
      </c>
      <c r="K872" s="4" t="s">
        <v>1641</v>
      </c>
      <c r="L872" s="4"/>
      <c r="M872" s="4" t="s">
        <v>412</v>
      </c>
      <c r="N872" s="4" t="s">
        <v>387</v>
      </c>
      <c r="O872" s="134" t="str">
        <f>_xlfn.XLOOKUP(N872,[1]!costcategory[Account Code],[1]!costcategory[Cost Category],"ERROR")</f>
        <v>Headcount Costs</v>
      </c>
      <c r="P872" s="4" t="s">
        <v>438</v>
      </c>
      <c r="Q872" s="147" t="str">
        <f>_xlfn.XLOOKUP(P872,[1]!Table2[Department],[1]!Table2[Group],"ERROR")</f>
        <v>Sales &amp; Marketing</v>
      </c>
      <c r="U872" s="4"/>
      <c r="V872" s="2"/>
    </row>
    <row r="873" spans="1:22" customFormat="1" hidden="1" x14ac:dyDescent="0.2">
      <c r="A873" s="2" t="s">
        <v>15</v>
      </c>
      <c r="B873" s="2" t="s">
        <v>1</v>
      </c>
      <c r="C873" s="93">
        <v>46114</v>
      </c>
      <c r="D873" s="3">
        <v>46110</v>
      </c>
      <c r="E873" s="126">
        <v>46113</v>
      </c>
      <c r="F873" s="2" t="s">
        <v>77</v>
      </c>
      <c r="G873" s="300">
        <v>142.9</v>
      </c>
      <c r="H873" s="300">
        <v>12.86</v>
      </c>
      <c r="I873" s="300">
        <v>155.76</v>
      </c>
      <c r="J873" s="300">
        <v>119.95467479615304</v>
      </c>
      <c r="K873" s="4" t="s">
        <v>854</v>
      </c>
      <c r="L873" s="4" t="s">
        <v>855</v>
      </c>
      <c r="M873" s="4" t="s">
        <v>856</v>
      </c>
      <c r="N873" s="4" t="s">
        <v>527</v>
      </c>
      <c r="O873" s="134" t="str">
        <f>_xlfn.XLOOKUP(N873,[1]!costcategory[Account Code],[1]!costcategory[Cost Category],"ERROR")</f>
        <v>Sales Expenses</v>
      </c>
      <c r="P873" s="4" t="s">
        <v>523</v>
      </c>
      <c r="Q873" s="147" t="str">
        <f>_xlfn.XLOOKUP(P873,[1]!Table2[Department],[1]!Table2[Group],"ERROR")</f>
        <v>General &amp; Administrative</v>
      </c>
      <c r="R873" t="s">
        <v>459</v>
      </c>
      <c r="U873" s="4"/>
      <c r="V873" s="2"/>
    </row>
    <row r="874" spans="1:22" customFormat="1" hidden="1" x14ac:dyDescent="0.2">
      <c r="A874" s="2" t="s">
        <v>15</v>
      </c>
      <c r="B874" s="2" t="s">
        <v>1</v>
      </c>
      <c r="C874" s="93">
        <v>46114</v>
      </c>
      <c r="D874" s="3">
        <v>46110</v>
      </c>
      <c r="E874" s="126">
        <v>46113</v>
      </c>
      <c r="F874" s="2" t="s">
        <v>77</v>
      </c>
      <c r="G874" s="300">
        <v>39.450000000000003</v>
      </c>
      <c r="H874" s="300">
        <v>3.55</v>
      </c>
      <c r="I874" s="300">
        <v>43</v>
      </c>
      <c r="J874" s="300">
        <v>33.11537632405355</v>
      </c>
      <c r="K874" s="4" t="s">
        <v>857</v>
      </c>
      <c r="L874" s="4" t="s">
        <v>855</v>
      </c>
      <c r="M874" s="4" t="s">
        <v>858</v>
      </c>
      <c r="N874" s="4" t="s">
        <v>527</v>
      </c>
      <c r="O874" s="134" t="str">
        <f>_xlfn.XLOOKUP(N874,[1]!costcategory[Account Code],[1]!costcategory[Cost Category],"ERROR")</f>
        <v>Sales Expenses</v>
      </c>
      <c r="P874" s="4" t="s">
        <v>523</v>
      </c>
      <c r="Q874" s="147" t="str">
        <f>_xlfn.XLOOKUP(P874,[1]!Table2[Department],[1]!Table2[Group],"ERROR")</f>
        <v>General &amp; Administrative</v>
      </c>
      <c r="R874" t="s">
        <v>459</v>
      </c>
      <c r="U874" s="4"/>
      <c r="V874" s="2"/>
    </row>
    <row r="875" spans="1:22" customFormat="1" hidden="1" x14ac:dyDescent="0.2">
      <c r="A875" s="2" t="s">
        <v>15</v>
      </c>
      <c r="B875" s="2" t="s">
        <v>1</v>
      </c>
      <c r="C875" s="93">
        <v>46113</v>
      </c>
      <c r="D875" s="3">
        <v>46112</v>
      </c>
      <c r="E875" s="126">
        <v>46113</v>
      </c>
      <c r="F875" s="2" t="s">
        <v>77</v>
      </c>
      <c r="G875" s="300">
        <v>487.52</v>
      </c>
      <c r="H875" s="300">
        <v>43.88</v>
      </c>
      <c r="I875" s="300">
        <v>531.4</v>
      </c>
      <c r="J875" s="300">
        <v>409.24444136283853</v>
      </c>
      <c r="K875" s="4" t="s">
        <v>1710</v>
      </c>
      <c r="L875" s="4" t="s">
        <v>855</v>
      </c>
      <c r="M875" s="4" t="s">
        <v>859</v>
      </c>
      <c r="N875" s="4" t="s">
        <v>527</v>
      </c>
      <c r="O875" s="134" t="str">
        <f>_xlfn.XLOOKUP(N875,[1]!costcategory[Account Code],[1]!costcategory[Cost Category],"ERROR")</f>
        <v>Sales Expenses</v>
      </c>
      <c r="P875" s="4" t="s">
        <v>523</v>
      </c>
      <c r="Q875" s="147" t="str">
        <f>_xlfn.XLOOKUP(P875,[1]!Table2[Department],[1]!Table2[Group],"ERROR")</f>
        <v>General &amp; Administrative</v>
      </c>
      <c r="R875" t="s">
        <v>459</v>
      </c>
      <c r="U875" s="4"/>
      <c r="V875" s="2"/>
    </row>
    <row r="876" spans="1:22" customFormat="1" hidden="1" x14ac:dyDescent="0.2">
      <c r="A876" s="2" t="s">
        <v>15</v>
      </c>
      <c r="B876" s="2" t="s">
        <v>1</v>
      </c>
      <c r="C876" s="93">
        <v>46116</v>
      </c>
      <c r="D876" s="3">
        <v>46114</v>
      </c>
      <c r="E876" s="126">
        <v>46116</v>
      </c>
      <c r="F876" s="2" t="s">
        <v>77</v>
      </c>
      <c r="G876" s="300">
        <v>100.21</v>
      </c>
      <c r="H876" s="300">
        <v>9.02</v>
      </c>
      <c r="I876" s="300">
        <v>109.22999999999999</v>
      </c>
      <c r="J876" s="300">
        <v>84.120757113403926</v>
      </c>
      <c r="K876" s="4" t="s">
        <v>823</v>
      </c>
      <c r="L876" s="4" t="s">
        <v>855</v>
      </c>
      <c r="M876" s="4" t="s">
        <v>860</v>
      </c>
      <c r="N876" s="4" t="s">
        <v>527</v>
      </c>
      <c r="O876" s="134" t="str">
        <f>_xlfn.XLOOKUP(N876,[1]!costcategory[Account Code],[1]!costcategory[Cost Category],"ERROR")</f>
        <v>Sales Expenses</v>
      </c>
      <c r="P876" s="4" t="s">
        <v>523</v>
      </c>
      <c r="Q876" s="147" t="str">
        <f>_xlfn.XLOOKUP(P876,[1]!Table2[Department],[1]!Table2[Group],"ERROR")</f>
        <v>General &amp; Administrative</v>
      </c>
      <c r="R876" t="s">
        <v>459</v>
      </c>
      <c r="U876" s="4"/>
      <c r="V876" s="2"/>
    </row>
    <row r="877" spans="1:22" customFormat="1" hidden="1" x14ac:dyDescent="0.2">
      <c r="A877" s="2" t="s">
        <v>15</v>
      </c>
      <c r="B877" s="2" t="s">
        <v>1</v>
      </c>
      <c r="C877" s="93">
        <v>46118</v>
      </c>
      <c r="D877" s="3">
        <v>46118</v>
      </c>
      <c r="E877" s="126">
        <v>46118</v>
      </c>
      <c r="F877" s="2" t="s">
        <v>77</v>
      </c>
      <c r="G877" s="300">
        <v>10</v>
      </c>
      <c r="H877" s="300">
        <v>0</v>
      </c>
      <c r="I877" s="301">
        <f>SUM(G877:H877)</f>
        <v>10</v>
      </c>
      <c r="J877" s="300">
        <v>0.30225956240240875</v>
      </c>
      <c r="K877" s="4" t="s">
        <v>670</v>
      </c>
      <c r="L877" s="4" t="s">
        <v>861</v>
      </c>
      <c r="M877" s="4" t="s">
        <v>332</v>
      </c>
      <c r="N877" s="4" t="s">
        <v>332</v>
      </c>
      <c r="O877" s="134" t="str">
        <f>_xlfn.XLOOKUP(N877,[1]!costcategory[Account Code],[1]!costcategory[Cost Category],"ERROR")</f>
        <v>Bank Charges</v>
      </c>
      <c r="P877" s="4" t="s">
        <v>333</v>
      </c>
      <c r="Q877" s="147" t="str">
        <f>_xlfn.XLOOKUP(P877,[1]!Table2[Department],[1]!Table2[Group],"ERROR")</f>
        <v>General &amp; Administrative</v>
      </c>
      <c r="U877" s="4"/>
      <c r="V877" s="2"/>
    </row>
    <row r="878" spans="1:22" customFormat="1" hidden="1" x14ac:dyDescent="0.2">
      <c r="A878" s="2" t="s">
        <v>15</v>
      </c>
      <c r="B878" s="2" t="s">
        <v>1</v>
      </c>
      <c r="C878" s="93">
        <v>46084</v>
      </c>
      <c r="D878" s="3">
        <v>46084</v>
      </c>
      <c r="E878" s="126">
        <v>46120</v>
      </c>
      <c r="F878" s="2" t="s">
        <v>77</v>
      </c>
      <c r="G878" s="300"/>
      <c r="H878" s="300"/>
      <c r="I878" s="300"/>
      <c r="J878" s="300">
        <v>89.14</v>
      </c>
      <c r="K878" s="4" t="s">
        <v>1641</v>
      </c>
      <c r="L878" s="4"/>
      <c r="M878" s="4" t="s">
        <v>412</v>
      </c>
      <c r="N878" s="4" t="s">
        <v>387</v>
      </c>
      <c r="O878" s="134" t="str">
        <f>_xlfn.XLOOKUP(N878,[1]!costcategory[Account Code],[1]!costcategory[Cost Category],"ERROR")</f>
        <v>Headcount Costs</v>
      </c>
      <c r="P878" s="4" t="s">
        <v>45</v>
      </c>
      <c r="Q878" s="147" t="str">
        <f>_xlfn.XLOOKUP(P878,[1]!Table2[Department],[1]!Table2[Group],"ERROR")</f>
        <v>DSC</v>
      </c>
      <c r="U878" s="4"/>
      <c r="V878" s="2"/>
    </row>
    <row r="879" spans="1:22" customFormat="1" hidden="1" x14ac:dyDescent="0.2">
      <c r="A879" s="2" t="s">
        <v>15</v>
      </c>
      <c r="B879" s="2" t="s">
        <v>1</v>
      </c>
      <c r="C879" s="93">
        <v>46084</v>
      </c>
      <c r="D879" s="3">
        <v>46084</v>
      </c>
      <c r="E879" s="126">
        <v>46120</v>
      </c>
      <c r="F879" s="2" t="s">
        <v>77</v>
      </c>
      <c r="G879" s="300"/>
      <c r="H879" s="300"/>
      <c r="I879" s="300"/>
      <c r="J879" s="300">
        <v>90.92</v>
      </c>
      <c r="K879" s="4" t="s">
        <v>1641</v>
      </c>
      <c r="L879" s="4"/>
      <c r="M879" s="4" t="s">
        <v>1709</v>
      </c>
      <c r="N879" s="4" t="s">
        <v>364</v>
      </c>
      <c r="O879" s="134" t="str">
        <f>_xlfn.XLOOKUP(N879,[1]!costcategory[Account Code],[1]!costcategory[Cost Category],"ERROR")</f>
        <v>Headcount Costs</v>
      </c>
      <c r="P879" s="4" t="s">
        <v>45</v>
      </c>
      <c r="Q879" s="147" t="str">
        <f>_xlfn.XLOOKUP(P879,[1]!Table2[Department],[1]!Table2[Group],"ERROR")</f>
        <v>DSC</v>
      </c>
      <c r="U879" s="4"/>
      <c r="V879" s="2"/>
    </row>
    <row r="880" spans="1:22" customFormat="1" hidden="1" x14ac:dyDescent="0.2">
      <c r="A880" s="2" t="s">
        <v>15</v>
      </c>
      <c r="B880" s="2" t="s">
        <v>1</v>
      </c>
      <c r="C880" s="93">
        <v>46098</v>
      </c>
      <c r="D880" s="3">
        <v>46098</v>
      </c>
      <c r="E880" s="126">
        <v>46120</v>
      </c>
      <c r="F880" s="2" t="s">
        <v>77</v>
      </c>
      <c r="G880" s="300"/>
      <c r="H880" s="300"/>
      <c r="I880" s="300"/>
      <c r="J880" s="300">
        <v>8.7200000000000006</v>
      </c>
      <c r="K880" s="4" t="s">
        <v>1641</v>
      </c>
      <c r="L880" s="4"/>
      <c r="M880" s="4" t="s">
        <v>1709</v>
      </c>
      <c r="N880" s="4" t="s">
        <v>364</v>
      </c>
      <c r="O880" s="134" t="str">
        <f>_xlfn.XLOOKUP(N880,[1]!costcategory[Account Code],[1]!costcategory[Cost Category],"ERROR")</f>
        <v>Headcount Costs</v>
      </c>
      <c r="P880" s="4" t="s">
        <v>57</v>
      </c>
      <c r="Q880" s="147" t="str">
        <f>_xlfn.XLOOKUP(P880,[1]!Table2[Department],[1]!Table2[Group],"ERROR")</f>
        <v>Research &amp; Development</v>
      </c>
      <c r="U880" s="4"/>
      <c r="V880" s="2"/>
    </row>
    <row r="881" spans="1:22" customFormat="1" hidden="1" x14ac:dyDescent="0.2">
      <c r="A881" s="2" t="s">
        <v>15</v>
      </c>
      <c r="B881" s="2" t="s">
        <v>1</v>
      </c>
      <c r="C881" s="93">
        <v>46112</v>
      </c>
      <c r="D881" s="3">
        <v>46112</v>
      </c>
      <c r="E881" s="126">
        <v>46120</v>
      </c>
      <c r="F881" s="2" t="s">
        <v>77</v>
      </c>
      <c r="G881" s="300"/>
      <c r="H881" s="300"/>
      <c r="I881" s="300"/>
      <c r="J881" s="300">
        <v>2.33</v>
      </c>
      <c r="K881" s="4" t="s">
        <v>1641</v>
      </c>
      <c r="L881" s="4"/>
      <c r="M881" s="4" t="s">
        <v>412</v>
      </c>
      <c r="N881" s="4" t="s">
        <v>387</v>
      </c>
      <c r="O881" s="134" t="str">
        <f>_xlfn.XLOOKUP(N881,[1]!costcategory[Account Code],[1]!costcategory[Cost Category],"ERROR")</f>
        <v>Headcount Costs</v>
      </c>
      <c r="P881" s="4" t="s">
        <v>354</v>
      </c>
      <c r="Q881" s="147" t="str">
        <f>_xlfn.XLOOKUP(P881,[1]!Table2[Department],[1]!Table2[Group],"ERROR")</f>
        <v>Sales &amp; Marketing</v>
      </c>
      <c r="U881" s="4"/>
      <c r="V881" s="2"/>
    </row>
    <row r="882" spans="1:22" customFormat="1" hidden="1" x14ac:dyDescent="0.2">
      <c r="A882" s="2" t="s">
        <v>15</v>
      </c>
      <c r="B882" s="2" t="s">
        <v>1</v>
      </c>
      <c r="C882" s="93">
        <v>46112</v>
      </c>
      <c r="D882" s="3">
        <v>46112</v>
      </c>
      <c r="E882" s="126">
        <v>46120</v>
      </c>
      <c r="F882" s="2" t="s">
        <v>77</v>
      </c>
      <c r="G882" s="300"/>
      <c r="H882" s="300"/>
      <c r="I882" s="300"/>
      <c r="J882" s="300">
        <v>2642.67</v>
      </c>
      <c r="K882" s="4" t="s">
        <v>1641</v>
      </c>
      <c r="L882" s="4"/>
      <c r="M882" s="4" t="s">
        <v>1709</v>
      </c>
      <c r="N882" s="4" t="s">
        <v>364</v>
      </c>
      <c r="O882" s="134" t="str">
        <f>_xlfn.XLOOKUP(N882,[1]!costcategory[Account Code],[1]!costcategory[Cost Category],"ERROR")</f>
        <v>Headcount Costs</v>
      </c>
      <c r="P882" s="4" t="s">
        <v>354</v>
      </c>
      <c r="Q882" s="147" t="str">
        <f>_xlfn.XLOOKUP(P882,[1]!Table2[Department],[1]!Table2[Group],"ERROR")</f>
        <v>Sales &amp; Marketing</v>
      </c>
      <c r="U882" s="4"/>
      <c r="V882" s="2"/>
    </row>
    <row r="883" spans="1:22" customFormat="1" hidden="1" x14ac:dyDescent="0.2">
      <c r="A883" s="2" t="s">
        <v>15</v>
      </c>
      <c r="B883" s="2" t="s">
        <v>1</v>
      </c>
      <c r="C883" s="93">
        <v>46112</v>
      </c>
      <c r="D883" s="3">
        <v>46112</v>
      </c>
      <c r="E883" s="126">
        <v>46120</v>
      </c>
      <c r="F883" s="2" t="s">
        <v>77</v>
      </c>
      <c r="G883" s="300"/>
      <c r="H883" s="300"/>
      <c r="I883" s="300"/>
      <c r="J883" s="300">
        <v>5.04</v>
      </c>
      <c r="K883" s="4" t="s">
        <v>1641</v>
      </c>
      <c r="L883" s="4"/>
      <c r="M883" s="4" t="s">
        <v>412</v>
      </c>
      <c r="N883" s="4" t="s">
        <v>387</v>
      </c>
      <c r="O883" s="134" t="str">
        <f>_xlfn.XLOOKUP(N883,[1]!costcategory[Account Code],[1]!costcategory[Cost Category],"ERROR")</f>
        <v>Headcount Costs</v>
      </c>
      <c r="P883" s="4" t="s">
        <v>45</v>
      </c>
      <c r="Q883" s="147" t="str">
        <f>_xlfn.XLOOKUP(P883,[1]!Table2[Department],[1]!Table2[Group],"ERROR")</f>
        <v>DSC</v>
      </c>
      <c r="U883" s="4"/>
      <c r="V883" s="2"/>
    </row>
    <row r="884" spans="1:22" customFormat="1" hidden="1" x14ac:dyDescent="0.2">
      <c r="A884" s="2" t="s">
        <v>15</v>
      </c>
      <c r="B884" s="2" t="s">
        <v>1</v>
      </c>
      <c r="C884" s="93">
        <v>46112</v>
      </c>
      <c r="D884" s="3">
        <v>46112</v>
      </c>
      <c r="E884" s="126">
        <v>46120</v>
      </c>
      <c r="F884" s="2" t="s">
        <v>77</v>
      </c>
      <c r="G884" s="300"/>
      <c r="H884" s="300"/>
      <c r="I884" s="300"/>
      <c r="J884" s="300">
        <v>5472.45</v>
      </c>
      <c r="K884" s="4" t="s">
        <v>1641</v>
      </c>
      <c r="L884" s="4"/>
      <c r="M884" s="4" t="s">
        <v>1709</v>
      </c>
      <c r="N884" s="4" t="s">
        <v>364</v>
      </c>
      <c r="O884" s="134" t="str">
        <f>_xlfn.XLOOKUP(N884,[1]!costcategory[Account Code],[1]!costcategory[Cost Category],"ERROR")</f>
        <v>Headcount Costs</v>
      </c>
      <c r="P884" s="4" t="s">
        <v>45</v>
      </c>
      <c r="Q884" s="147" t="str">
        <f>_xlfn.XLOOKUP(P884,[1]!Table2[Department],[1]!Table2[Group],"ERROR")</f>
        <v>DSC</v>
      </c>
      <c r="U884" s="4"/>
      <c r="V884" s="2"/>
    </row>
    <row r="885" spans="1:22" customFormat="1" hidden="1" x14ac:dyDescent="0.2">
      <c r="A885" s="2" t="s">
        <v>15</v>
      </c>
      <c r="B885" s="2" t="s">
        <v>1</v>
      </c>
      <c r="C885" s="93">
        <v>46112</v>
      </c>
      <c r="D885" s="3">
        <v>46112</v>
      </c>
      <c r="E885" s="126">
        <v>46120</v>
      </c>
      <c r="F885" s="2" t="s">
        <v>77</v>
      </c>
      <c r="G885" s="300"/>
      <c r="H885" s="300"/>
      <c r="I885" s="300"/>
      <c r="J885" s="300">
        <v>2.33</v>
      </c>
      <c r="K885" s="4" t="s">
        <v>1641</v>
      </c>
      <c r="L885" s="4"/>
      <c r="M885" s="4" t="s">
        <v>412</v>
      </c>
      <c r="N885" s="4" t="s">
        <v>387</v>
      </c>
      <c r="O885" s="134" t="str">
        <f>_xlfn.XLOOKUP(N885,[1]!costcategory[Account Code],[1]!costcategory[Cost Category],"ERROR")</f>
        <v>Headcount Costs</v>
      </c>
      <c r="P885" s="4" t="s">
        <v>658</v>
      </c>
      <c r="Q885" s="147" t="str">
        <f>_xlfn.XLOOKUP(P885,[1]!Table2[Department],[1]!Table2[Group],"ERROR")</f>
        <v>Sales &amp; Marketing</v>
      </c>
      <c r="U885" s="4"/>
      <c r="V885" s="2"/>
    </row>
    <row r="886" spans="1:22" customFormat="1" hidden="1" x14ac:dyDescent="0.2">
      <c r="A886" s="2" t="s">
        <v>15</v>
      </c>
      <c r="B886" s="2" t="s">
        <v>1</v>
      </c>
      <c r="C886" s="93">
        <v>46112</v>
      </c>
      <c r="D886" s="3">
        <v>46112</v>
      </c>
      <c r="E886" s="126">
        <v>46120</v>
      </c>
      <c r="F886" s="2" t="s">
        <v>77</v>
      </c>
      <c r="G886" s="300"/>
      <c r="H886" s="300"/>
      <c r="I886" s="300"/>
      <c r="J886" s="300">
        <v>3809.26</v>
      </c>
      <c r="K886" s="4" t="s">
        <v>1641</v>
      </c>
      <c r="L886" s="4"/>
      <c r="M886" s="4" t="s">
        <v>1709</v>
      </c>
      <c r="N886" s="4" t="s">
        <v>364</v>
      </c>
      <c r="O886" s="134" t="str">
        <f>_xlfn.XLOOKUP(N886,[1]!costcategory[Account Code],[1]!costcategory[Cost Category],"ERROR")</f>
        <v>Headcount Costs</v>
      </c>
      <c r="P886" s="4" t="s">
        <v>658</v>
      </c>
      <c r="Q886" s="147" t="str">
        <f>_xlfn.XLOOKUP(P886,[1]!Table2[Department],[1]!Table2[Group],"ERROR")</f>
        <v>Sales &amp; Marketing</v>
      </c>
      <c r="U886" s="4"/>
      <c r="V886" s="2"/>
    </row>
    <row r="887" spans="1:22" customFormat="1" hidden="1" x14ac:dyDescent="0.2">
      <c r="A887" s="2" t="s">
        <v>15</v>
      </c>
      <c r="B887" s="2" t="s">
        <v>1</v>
      </c>
      <c r="C887" s="93">
        <v>46112</v>
      </c>
      <c r="D887" s="3">
        <v>46112</v>
      </c>
      <c r="E887" s="126">
        <v>46120</v>
      </c>
      <c r="F887" s="2" t="s">
        <v>77</v>
      </c>
      <c r="G887" s="300"/>
      <c r="H887" s="300"/>
      <c r="I887" s="300"/>
      <c r="J887" s="300">
        <v>4.6500000000000004</v>
      </c>
      <c r="K887" s="4" t="s">
        <v>1641</v>
      </c>
      <c r="L887" s="4"/>
      <c r="M887" s="4" t="s">
        <v>412</v>
      </c>
      <c r="N887" s="4" t="s">
        <v>387</v>
      </c>
      <c r="O887" s="134" t="str">
        <f>_xlfn.XLOOKUP(N887,[1]!costcategory[Account Code],[1]!costcategory[Cost Category],"ERROR")</f>
        <v>Headcount Costs</v>
      </c>
      <c r="P887" s="4" t="s">
        <v>350</v>
      </c>
      <c r="Q887" s="147" t="str">
        <f>_xlfn.XLOOKUP(P887,[1]!Table2[Department],[1]!Table2[Group],"ERROR")</f>
        <v>General &amp; Administrative</v>
      </c>
      <c r="U887" s="4"/>
      <c r="V887" s="2"/>
    </row>
    <row r="888" spans="1:22" customFormat="1" hidden="1" x14ac:dyDescent="0.2">
      <c r="A888" s="2" t="s">
        <v>15</v>
      </c>
      <c r="B888" s="2" t="s">
        <v>1</v>
      </c>
      <c r="C888" s="93">
        <v>46112</v>
      </c>
      <c r="D888" s="3">
        <v>46112</v>
      </c>
      <c r="E888" s="126">
        <v>46120</v>
      </c>
      <c r="F888" s="2" t="s">
        <v>77</v>
      </c>
      <c r="G888" s="300"/>
      <c r="H888" s="300"/>
      <c r="I888" s="300"/>
      <c r="J888" s="300">
        <v>4993.88</v>
      </c>
      <c r="K888" s="4" t="s">
        <v>1641</v>
      </c>
      <c r="L888" s="4"/>
      <c r="M888" s="4" t="s">
        <v>1709</v>
      </c>
      <c r="N888" s="4" t="s">
        <v>364</v>
      </c>
      <c r="O888" s="134" t="str">
        <f>_xlfn.XLOOKUP(N888,[1]!costcategory[Account Code],[1]!costcategory[Cost Category],"ERROR")</f>
        <v>Headcount Costs</v>
      </c>
      <c r="P888" s="4" t="s">
        <v>350</v>
      </c>
      <c r="Q888" s="147" t="str">
        <f>_xlfn.XLOOKUP(P888,[1]!Table2[Department],[1]!Table2[Group],"ERROR")</f>
        <v>General &amp; Administrative</v>
      </c>
      <c r="U888" s="4"/>
      <c r="V888" s="2"/>
    </row>
    <row r="889" spans="1:22" customFormat="1" hidden="1" x14ac:dyDescent="0.2">
      <c r="A889" s="2" t="s">
        <v>15</v>
      </c>
      <c r="B889" s="2" t="s">
        <v>1</v>
      </c>
      <c r="C889" s="93">
        <v>46112</v>
      </c>
      <c r="D889" s="3">
        <v>46112</v>
      </c>
      <c r="E889" s="126">
        <v>46120</v>
      </c>
      <c r="F889" s="2" t="s">
        <v>77</v>
      </c>
      <c r="G889" s="300"/>
      <c r="H889" s="300"/>
      <c r="I889" s="300"/>
      <c r="J889" s="300">
        <v>0.39</v>
      </c>
      <c r="K889" s="4" t="s">
        <v>1641</v>
      </c>
      <c r="L889" s="4"/>
      <c r="M889" s="4" t="s">
        <v>412</v>
      </c>
      <c r="N889" s="4" t="s">
        <v>387</v>
      </c>
      <c r="O889" s="134" t="str">
        <f>_xlfn.XLOOKUP(N889,[1]!costcategory[Account Code],[1]!costcategory[Cost Category],"ERROR")</f>
        <v>Headcount Costs</v>
      </c>
      <c r="P889" s="4" t="s">
        <v>376</v>
      </c>
      <c r="Q889" s="147" t="str">
        <f>_xlfn.XLOOKUP(P889,[1]!Table2[Department],[1]!Table2[Group],"ERROR")</f>
        <v>General &amp; Administrative</v>
      </c>
      <c r="U889" s="4"/>
      <c r="V889" s="2"/>
    </row>
    <row r="890" spans="1:22" customFormat="1" hidden="1" x14ac:dyDescent="0.2">
      <c r="A890" s="2" t="s">
        <v>15</v>
      </c>
      <c r="B890" s="2" t="s">
        <v>1</v>
      </c>
      <c r="C890" s="93">
        <v>46112</v>
      </c>
      <c r="D890" s="3">
        <v>46112</v>
      </c>
      <c r="E890" s="126">
        <v>46120</v>
      </c>
      <c r="F890" s="2" t="s">
        <v>77</v>
      </c>
      <c r="G890" s="300"/>
      <c r="H890" s="300"/>
      <c r="I890" s="300"/>
      <c r="J890" s="300">
        <v>459.65</v>
      </c>
      <c r="K890" s="4" t="s">
        <v>1641</v>
      </c>
      <c r="L890" s="4"/>
      <c r="M890" s="4" t="s">
        <v>1709</v>
      </c>
      <c r="N890" s="4" t="s">
        <v>364</v>
      </c>
      <c r="O890" s="134" t="str">
        <f>_xlfn.XLOOKUP(N890,[1]!costcategory[Account Code],[1]!costcategory[Cost Category],"ERROR")</f>
        <v>Headcount Costs</v>
      </c>
      <c r="P890" s="4" t="s">
        <v>376</v>
      </c>
      <c r="Q890" s="147" t="str">
        <f>_xlfn.XLOOKUP(P890,[1]!Table2[Department],[1]!Table2[Group],"ERROR")</f>
        <v>General &amp; Administrative</v>
      </c>
      <c r="U890" s="4"/>
      <c r="V890" s="2"/>
    </row>
    <row r="891" spans="1:22" customFormat="1" hidden="1" x14ac:dyDescent="0.2">
      <c r="A891" s="2" t="s">
        <v>15</v>
      </c>
      <c r="B891" s="2" t="s">
        <v>1</v>
      </c>
      <c r="C891" s="93">
        <v>46112</v>
      </c>
      <c r="D891" s="3">
        <v>46112</v>
      </c>
      <c r="E891" s="126">
        <v>46120</v>
      </c>
      <c r="F891" s="2" t="s">
        <v>77</v>
      </c>
      <c r="G891" s="300"/>
      <c r="H891" s="300"/>
      <c r="I891" s="300"/>
      <c r="J891" s="300">
        <v>17.440000000000001</v>
      </c>
      <c r="K891" s="4" t="s">
        <v>1641</v>
      </c>
      <c r="L891" s="4"/>
      <c r="M891" s="4" t="s">
        <v>1709</v>
      </c>
      <c r="N891" s="4" t="s">
        <v>364</v>
      </c>
      <c r="O891" s="134" t="str">
        <f>_xlfn.XLOOKUP(N891,[1]!costcategory[Account Code],[1]!costcategory[Cost Category],"ERROR")</f>
        <v>Headcount Costs</v>
      </c>
      <c r="P891" s="4" t="s">
        <v>523</v>
      </c>
      <c r="Q891" s="147" t="str">
        <f>_xlfn.XLOOKUP(P891,[1]!Table2[Department],[1]!Table2[Group],"ERROR")</f>
        <v>General &amp; Administrative</v>
      </c>
      <c r="U891" s="4"/>
      <c r="V891" s="2"/>
    </row>
    <row r="892" spans="1:22" customFormat="1" hidden="1" x14ac:dyDescent="0.2">
      <c r="A892" s="2" t="s">
        <v>15</v>
      </c>
      <c r="B892" s="2" t="s">
        <v>1</v>
      </c>
      <c r="C892" s="93">
        <v>46112</v>
      </c>
      <c r="D892" s="3">
        <v>46112</v>
      </c>
      <c r="E892" s="126">
        <v>46120</v>
      </c>
      <c r="F892" s="2" t="s">
        <v>77</v>
      </c>
      <c r="G892" s="300"/>
      <c r="H892" s="300"/>
      <c r="I892" s="300"/>
      <c r="J892" s="300">
        <v>3.1</v>
      </c>
      <c r="K892" s="4" t="s">
        <v>1641</v>
      </c>
      <c r="L892" s="4"/>
      <c r="M892" s="4" t="s">
        <v>412</v>
      </c>
      <c r="N892" s="4" t="s">
        <v>387</v>
      </c>
      <c r="O892" s="134" t="str">
        <f>_xlfn.XLOOKUP(N892,[1]!costcategory[Account Code],[1]!costcategory[Cost Category],"ERROR")</f>
        <v>Headcount Costs</v>
      </c>
      <c r="P892" s="4" t="s">
        <v>56</v>
      </c>
      <c r="Q892" s="147" t="str">
        <f>_xlfn.XLOOKUP(P892,[1]!Table2[Department],[1]!Table2[Group],"ERROR")</f>
        <v>Research &amp; Development</v>
      </c>
      <c r="U892" s="4"/>
      <c r="V892" s="2"/>
    </row>
    <row r="893" spans="1:22" customFormat="1" hidden="1" x14ac:dyDescent="0.2">
      <c r="A893" s="2" t="s">
        <v>15</v>
      </c>
      <c r="B893" s="2" t="s">
        <v>1</v>
      </c>
      <c r="C893" s="93">
        <v>46112</v>
      </c>
      <c r="D893" s="3">
        <v>46112</v>
      </c>
      <c r="E893" s="126">
        <v>46120</v>
      </c>
      <c r="F893" s="2" t="s">
        <v>77</v>
      </c>
      <c r="G893" s="300"/>
      <c r="H893" s="300"/>
      <c r="I893" s="300"/>
      <c r="J893" s="300">
        <v>4984.76</v>
      </c>
      <c r="K893" s="4" t="s">
        <v>1641</v>
      </c>
      <c r="L893" s="4"/>
      <c r="M893" s="4" t="s">
        <v>1709</v>
      </c>
      <c r="N893" s="4" t="s">
        <v>364</v>
      </c>
      <c r="O893" s="134" t="str">
        <f>_xlfn.XLOOKUP(N893,[1]!costcategory[Account Code],[1]!costcategory[Cost Category],"ERROR")</f>
        <v>Headcount Costs</v>
      </c>
      <c r="P893" s="4" t="s">
        <v>56</v>
      </c>
      <c r="Q893" s="147" t="str">
        <f>_xlfn.XLOOKUP(P893,[1]!Table2[Department],[1]!Table2[Group],"ERROR")</f>
        <v>Research &amp; Development</v>
      </c>
      <c r="U893" s="4"/>
      <c r="V893" s="2"/>
    </row>
    <row r="894" spans="1:22" customFormat="1" hidden="1" x14ac:dyDescent="0.2">
      <c r="A894" s="2" t="s">
        <v>15</v>
      </c>
      <c r="B894" s="2" t="s">
        <v>1</v>
      </c>
      <c r="C894" s="93">
        <v>46112</v>
      </c>
      <c r="D894" s="3">
        <v>46112</v>
      </c>
      <c r="E894" s="126">
        <v>46120</v>
      </c>
      <c r="F894" s="2" t="s">
        <v>77</v>
      </c>
      <c r="G894" s="300"/>
      <c r="H894" s="300"/>
      <c r="I894" s="300"/>
      <c r="J894" s="300">
        <v>17.440000000000001</v>
      </c>
      <c r="K894" s="4" t="s">
        <v>1641</v>
      </c>
      <c r="L894" s="4"/>
      <c r="M894" s="4" t="s">
        <v>1709</v>
      </c>
      <c r="N894" s="4" t="s">
        <v>364</v>
      </c>
      <c r="O894" s="134" t="str">
        <f>_xlfn.XLOOKUP(N894,[1]!costcategory[Account Code],[1]!costcategory[Cost Category],"ERROR")</f>
        <v>Headcount Costs</v>
      </c>
      <c r="P894" s="4" t="s">
        <v>59</v>
      </c>
      <c r="Q894" s="147" t="str">
        <f>_xlfn.XLOOKUP(P894,[1]!Table2[Department],[1]!Table2[Group],"ERROR")</f>
        <v>Research &amp; Development</v>
      </c>
      <c r="U894" s="4"/>
      <c r="V894" s="2"/>
    </row>
    <row r="895" spans="1:22" customFormat="1" hidden="1" x14ac:dyDescent="0.2">
      <c r="A895" s="2" t="s">
        <v>15</v>
      </c>
      <c r="B895" s="2" t="s">
        <v>1</v>
      </c>
      <c r="C895" s="93">
        <v>46112</v>
      </c>
      <c r="D895" s="3">
        <v>46112</v>
      </c>
      <c r="E895" s="126">
        <v>46120</v>
      </c>
      <c r="F895" s="2" t="s">
        <v>77</v>
      </c>
      <c r="G895" s="300"/>
      <c r="H895" s="300"/>
      <c r="I895" s="300"/>
      <c r="J895" s="300">
        <v>3.49</v>
      </c>
      <c r="K895" s="4" t="s">
        <v>1641</v>
      </c>
      <c r="L895" s="4"/>
      <c r="M895" s="4" t="s">
        <v>412</v>
      </c>
      <c r="N895" s="4" t="s">
        <v>387</v>
      </c>
      <c r="O895" s="134" t="str">
        <f>_xlfn.XLOOKUP(N895,[1]!costcategory[Account Code],[1]!costcategory[Cost Category],"ERROR")</f>
        <v>Headcount Costs</v>
      </c>
      <c r="P895" s="4" t="s">
        <v>438</v>
      </c>
      <c r="Q895" s="147" t="str">
        <f>_xlfn.XLOOKUP(P895,[1]!Table2[Department],[1]!Table2[Group],"ERROR")</f>
        <v>Sales &amp; Marketing</v>
      </c>
      <c r="U895" s="4"/>
      <c r="V895" s="2"/>
    </row>
    <row r="896" spans="1:22" customFormat="1" hidden="1" x14ac:dyDescent="0.2">
      <c r="A896" s="2" t="s">
        <v>15</v>
      </c>
      <c r="B896" s="2" t="s">
        <v>1</v>
      </c>
      <c r="C896" s="93">
        <v>46112</v>
      </c>
      <c r="D896" s="3">
        <v>46112</v>
      </c>
      <c r="E896" s="126">
        <v>46120</v>
      </c>
      <c r="F896" s="2" t="s">
        <v>77</v>
      </c>
      <c r="G896" s="300"/>
      <c r="H896" s="300"/>
      <c r="I896" s="300"/>
      <c r="J896" s="300">
        <v>3311.11</v>
      </c>
      <c r="K896" s="4" t="s">
        <v>1641</v>
      </c>
      <c r="L896" s="4"/>
      <c r="M896" s="4" t="s">
        <v>1709</v>
      </c>
      <c r="N896" s="4" t="s">
        <v>364</v>
      </c>
      <c r="O896" s="134" t="str">
        <f>_xlfn.XLOOKUP(N896,[1]!costcategory[Account Code],[1]!costcategory[Cost Category],"ERROR")</f>
        <v>Headcount Costs</v>
      </c>
      <c r="P896" s="4" t="s">
        <v>438</v>
      </c>
      <c r="Q896" s="147" t="str">
        <f>_xlfn.XLOOKUP(P896,[1]!Table2[Department],[1]!Table2[Group],"ERROR")</f>
        <v>Sales &amp; Marketing</v>
      </c>
      <c r="U896" s="4"/>
      <c r="V896" s="2"/>
    </row>
    <row r="897" spans="1:22" customFormat="1" hidden="1" x14ac:dyDescent="0.2">
      <c r="A897" s="2" t="s">
        <v>15</v>
      </c>
      <c r="B897" s="2" t="s">
        <v>1</v>
      </c>
      <c r="C897" s="93">
        <v>46120</v>
      </c>
      <c r="D897" s="3">
        <v>46119</v>
      </c>
      <c r="E897" s="126">
        <v>46120</v>
      </c>
      <c r="F897" s="2" t="s">
        <v>77</v>
      </c>
      <c r="G897" s="300">
        <v>109.1</v>
      </c>
      <c r="H897" s="300">
        <v>0</v>
      </c>
      <c r="I897" s="300">
        <v>109.1</v>
      </c>
      <c r="J897" s="300">
        <v>84.020640859400984</v>
      </c>
      <c r="K897" s="4" t="s">
        <v>862</v>
      </c>
      <c r="L897" s="4" t="s">
        <v>855</v>
      </c>
      <c r="M897" s="4" t="s">
        <v>863</v>
      </c>
      <c r="N897" s="4" t="s">
        <v>527</v>
      </c>
      <c r="O897" s="134" t="str">
        <f>_xlfn.XLOOKUP(N897,[1]!costcategory[Account Code],[1]!costcategory[Cost Category],"ERROR")</f>
        <v>Sales Expenses</v>
      </c>
      <c r="P897" s="4" t="s">
        <v>523</v>
      </c>
      <c r="Q897" s="147" t="str">
        <f>_xlfn.XLOOKUP(P897,[1]!Table2[Department],[1]!Table2[Group],"ERROR")</f>
        <v>General &amp; Administrative</v>
      </c>
      <c r="R897" t="s">
        <v>459</v>
      </c>
      <c r="U897" s="4"/>
      <c r="V897" s="2"/>
    </row>
    <row r="898" spans="1:22" customFormat="1" hidden="1" x14ac:dyDescent="0.2">
      <c r="A898" s="2" t="s">
        <v>15</v>
      </c>
      <c r="B898" s="2" t="s">
        <v>1</v>
      </c>
      <c r="C898" s="93">
        <v>46120</v>
      </c>
      <c r="D898" s="3">
        <v>46120</v>
      </c>
      <c r="E898" s="126">
        <v>46120</v>
      </c>
      <c r="F898" s="2" t="s">
        <v>77</v>
      </c>
      <c r="G898" s="300">
        <v>33437</v>
      </c>
      <c r="H898" s="300">
        <v>0</v>
      </c>
      <c r="I898" s="300">
        <v>33437</v>
      </c>
      <c r="J898" s="300">
        <v>25750.670654590202</v>
      </c>
      <c r="K898" s="4" t="s">
        <v>672</v>
      </c>
      <c r="L898" s="4" t="s">
        <v>864</v>
      </c>
      <c r="M898" s="4" t="s">
        <v>865</v>
      </c>
      <c r="N898" s="4" t="s">
        <v>387</v>
      </c>
      <c r="O898" s="134" t="str">
        <f>_xlfn.XLOOKUP(N898,[1]!costcategory[Account Code],[1]!costcategory[Cost Category],"ERROR")</f>
        <v>Headcount Costs</v>
      </c>
      <c r="P898" s="4" t="s">
        <v>350</v>
      </c>
      <c r="Q898" s="147" t="str">
        <f>_xlfn.XLOOKUP(P898,[1]!Table2[Department],[1]!Table2[Group],"ERROR")</f>
        <v>General &amp; Administrative</v>
      </c>
      <c r="U898" s="4"/>
      <c r="V898" s="2"/>
    </row>
    <row r="899" spans="1:22" customFormat="1" hidden="1" x14ac:dyDescent="0.2">
      <c r="A899" s="2" t="s">
        <v>15</v>
      </c>
      <c r="B899" s="2" t="s">
        <v>1</v>
      </c>
      <c r="C899" s="93">
        <v>46121</v>
      </c>
      <c r="D899" s="3">
        <v>46121</v>
      </c>
      <c r="E899" s="126">
        <v>46121</v>
      </c>
      <c r="F899" s="2" t="s">
        <v>77</v>
      </c>
      <c r="G899" s="300">
        <v>-4650</v>
      </c>
      <c r="H899" s="300">
        <v>0</v>
      </c>
      <c r="I899" s="300">
        <v>-4650</v>
      </c>
      <c r="J899" s="300">
        <v>-3581.0813931825351</v>
      </c>
      <c r="K899" s="4" t="s">
        <v>866</v>
      </c>
      <c r="L899" s="4"/>
      <c r="M899" s="4" t="s">
        <v>867</v>
      </c>
      <c r="N899" s="4" t="s">
        <v>795</v>
      </c>
      <c r="O899" s="134" t="str">
        <f>_xlfn.XLOOKUP(N899,[1]!costcategory[Account Code],[1]!costcategory[Cost Category],"ERROR")</f>
        <v>Other Income</v>
      </c>
      <c r="P899" s="4" t="s">
        <v>350</v>
      </c>
      <c r="Q899" s="147" t="str">
        <f>_xlfn.XLOOKUP(P899,[1]!Table2[Department],[1]!Table2[Group],"ERROR")</f>
        <v>General &amp; Administrative</v>
      </c>
      <c r="U899" s="4"/>
      <c r="V899" s="2"/>
    </row>
    <row r="900" spans="1:22" customFormat="1" hidden="1" x14ac:dyDescent="0.2">
      <c r="A900" s="2" t="s">
        <v>15</v>
      </c>
      <c r="B900" s="2" t="s">
        <v>1</v>
      </c>
      <c r="C900" s="93">
        <v>46125</v>
      </c>
      <c r="D900" s="3">
        <v>46125</v>
      </c>
      <c r="E900" s="126">
        <v>46121</v>
      </c>
      <c r="F900" s="2" t="s">
        <v>77</v>
      </c>
      <c r="G900" s="300">
        <v>131.94</v>
      </c>
      <c r="H900" s="300">
        <v>0</v>
      </c>
      <c r="I900" s="300">
        <v>131.94</v>
      </c>
      <c r="J900" s="300">
        <v>101.61029656268896</v>
      </c>
      <c r="K900" s="4" t="s">
        <v>868</v>
      </c>
      <c r="L900" s="4"/>
      <c r="M900" s="4" t="s">
        <v>1708</v>
      </c>
      <c r="N900" s="4" t="s">
        <v>684</v>
      </c>
      <c r="O900" s="134" t="str">
        <f>_xlfn.XLOOKUP(N900,[1]!costcategory[Account Code],[1]!costcategory[Cost Category],"ERROR")</f>
        <v>Sales Expenses</v>
      </c>
      <c r="P900" s="4" t="s">
        <v>523</v>
      </c>
      <c r="Q900" s="147" t="str">
        <f>_xlfn.XLOOKUP(P900,[1]!Table2[Department],[1]!Table2[Group],"ERROR")</f>
        <v>General &amp; Administrative</v>
      </c>
      <c r="R900" t="s">
        <v>459</v>
      </c>
      <c r="U900" s="4"/>
      <c r="V900" s="2"/>
    </row>
    <row r="901" spans="1:22" customFormat="1" hidden="1" x14ac:dyDescent="0.2">
      <c r="A901" s="2" t="s">
        <v>15</v>
      </c>
      <c r="B901" s="2" t="s">
        <v>1</v>
      </c>
      <c r="C901" s="93">
        <v>46125</v>
      </c>
      <c r="D901" s="3">
        <v>46125</v>
      </c>
      <c r="E901" s="126">
        <v>46122</v>
      </c>
      <c r="F901" s="2" t="s">
        <v>77</v>
      </c>
      <c r="G901" s="300">
        <v>337.97</v>
      </c>
      <c r="H901" s="300">
        <v>0</v>
      </c>
      <c r="I901" s="300">
        <v>337.97</v>
      </c>
      <c r="J901" s="300">
        <v>260.279156656753</v>
      </c>
      <c r="K901" s="4" t="s">
        <v>869</v>
      </c>
      <c r="L901" s="4"/>
      <c r="M901" s="4" t="s">
        <v>870</v>
      </c>
      <c r="N901" s="4" t="s">
        <v>684</v>
      </c>
      <c r="O901" s="134" t="str">
        <f>_xlfn.XLOOKUP(N901,[1]!costcategory[Account Code],[1]!costcategory[Cost Category],"ERROR")</f>
        <v>Sales Expenses</v>
      </c>
      <c r="P901" s="4" t="s">
        <v>523</v>
      </c>
      <c r="Q901" s="147" t="str">
        <f>_xlfn.XLOOKUP(P901,[1]!Table2[Department],[1]!Table2[Group],"ERROR")</f>
        <v>General &amp; Administrative</v>
      </c>
      <c r="R901" t="s">
        <v>459</v>
      </c>
      <c r="U901" s="4"/>
      <c r="V901" s="2"/>
    </row>
    <row r="902" spans="1:22" customFormat="1" hidden="1" x14ac:dyDescent="0.2">
      <c r="A902" s="2" t="s">
        <v>15</v>
      </c>
      <c r="B902" s="2" t="s">
        <v>1</v>
      </c>
      <c r="C902" s="93">
        <v>46125</v>
      </c>
      <c r="D902" s="3">
        <v>46125</v>
      </c>
      <c r="E902" s="126">
        <v>46125</v>
      </c>
      <c r="F902" s="2" t="s">
        <v>77</v>
      </c>
      <c r="G902" s="300">
        <v>-31457.926605504585</v>
      </c>
      <c r="H902" s="300">
        <v>-2831.2133944954126</v>
      </c>
      <c r="I902" s="300">
        <v>-34289.14</v>
      </c>
      <c r="J902" s="300">
        <v>-26406.924998329247</v>
      </c>
      <c r="K902" s="4" t="s">
        <v>109</v>
      </c>
      <c r="L902" s="4" t="s">
        <v>1707</v>
      </c>
      <c r="M902" s="4" t="s">
        <v>871</v>
      </c>
      <c r="N902" s="4" t="s">
        <v>382</v>
      </c>
      <c r="O902" s="134" t="str">
        <f>_xlfn.XLOOKUP(N902,[1]!costcategory[Account Code],[1]!costcategory[Cost Category],"ERROR")</f>
        <v>Revenue</v>
      </c>
      <c r="P902" s="4" t="s">
        <v>56</v>
      </c>
      <c r="Q902" s="147" t="str">
        <f>_xlfn.XLOOKUP(P902,[1]!Table2[Department],[1]!Table2[Group],"ERROR")</f>
        <v>Research &amp; Development</v>
      </c>
      <c r="U902" s="4"/>
      <c r="V902" s="2"/>
    </row>
    <row r="903" spans="1:22" customFormat="1" hidden="1" x14ac:dyDescent="0.2">
      <c r="A903" s="2" t="s">
        <v>15</v>
      </c>
      <c r="B903" s="2" t="s">
        <v>1</v>
      </c>
      <c r="C903" s="93">
        <v>46126</v>
      </c>
      <c r="D903" s="3">
        <v>46125</v>
      </c>
      <c r="E903" s="126">
        <v>46125</v>
      </c>
      <c r="F903" s="2" t="s">
        <v>77</v>
      </c>
      <c r="G903" s="300">
        <v>-1350</v>
      </c>
      <c r="H903" s="300">
        <v>0</v>
      </c>
      <c r="I903" s="300">
        <v>-1350</v>
      </c>
      <c r="J903" s="300">
        <v>-1039.6687915691232</v>
      </c>
      <c r="K903" s="4" t="s">
        <v>872</v>
      </c>
      <c r="L903" s="4"/>
      <c r="M903" s="4" t="s">
        <v>873</v>
      </c>
      <c r="N903" s="4" t="s">
        <v>571</v>
      </c>
      <c r="O903" s="134" t="str">
        <f>_xlfn.XLOOKUP(N903,[1]!costcategory[Account Code],[1]!costcategory[Cost Category],"ERROR")</f>
        <v>Current Asset</v>
      </c>
      <c r="P903" s="4" t="s">
        <v>340</v>
      </c>
      <c r="Q903" s="147" t="str">
        <f>_xlfn.XLOOKUP(P903,[1]!Table2[Department],[1]!Table2[Group],"ERROR")</f>
        <v>General &amp; Administrative</v>
      </c>
      <c r="U903" s="4"/>
      <c r="V903" s="2"/>
    </row>
    <row r="904" spans="1:22" customFormat="1" hidden="1" x14ac:dyDescent="0.2">
      <c r="A904" s="2" t="s">
        <v>15</v>
      </c>
      <c r="B904" s="2" t="s">
        <v>1</v>
      </c>
      <c r="C904" s="93">
        <v>46127</v>
      </c>
      <c r="D904" s="3">
        <v>46127</v>
      </c>
      <c r="E904" s="126">
        <v>46127</v>
      </c>
      <c r="F904" s="2" t="s">
        <v>77</v>
      </c>
      <c r="G904" s="300">
        <v>384</v>
      </c>
      <c r="H904" s="300">
        <v>0</v>
      </c>
      <c r="I904" s="300">
        <v>384</v>
      </c>
      <c r="J904" s="300">
        <v>295.72801182410615</v>
      </c>
      <c r="K904" s="4" t="s">
        <v>586</v>
      </c>
      <c r="L904" s="4" t="s">
        <v>586</v>
      </c>
      <c r="M904" s="4" t="s">
        <v>474</v>
      </c>
      <c r="N904" s="4" t="s">
        <v>475</v>
      </c>
      <c r="O904" s="134" t="str">
        <f>_xlfn.XLOOKUP(N904,[1]!costcategory[Account Code],[1]!costcategory[Cost Category],"ERROR")</f>
        <v>Travelling Expenses</v>
      </c>
      <c r="P904" s="4" t="s">
        <v>354</v>
      </c>
      <c r="Q904" s="147" t="str">
        <f>_xlfn.XLOOKUP(P904,[1]!Table2[Department],[1]!Table2[Group],"ERROR")</f>
        <v>Sales &amp; Marketing</v>
      </c>
      <c r="U904" s="4"/>
      <c r="V904" s="2"/>
    </row>
    <row r="905" spans="1:22" customFormat="1" hidden="1" x14ac:dyDescent="0.2">
      <c r="A905" s="2" t="s">
        <v>15</v>
      </c>
      <c r="B905" s="2" t="s">
        <v>1</v>
      </c>
      <c r="C905" s="93">
        <v>46127</v>
      </c>
      <c r="D905" s="3">
        <v>46127</v>
      </c>
      <c r="E905" s="126">
        <v>46127</v>
      </c>
      <c r="F905" s="2" t="s">
        <v>77</v>
      </c>
      <c r="G905" s="300">
        <v>306.64999999999998</v>
      </c>
      <c r="H905" s="300">
        <v>0</v>
      </c>
      <c r="I905" s="300">
        <v>306.64999999999998</v>
      </c>
      <c r="J905" s="300">
        <v>236.15884069234932</v>
      </c>
      <c r="K905" s="4" t="s">
        <v>586</v>
      </c>
      <c r="L905" s="4" t="s">
        <v>586</v>
      </c>
      <c r="M905" s="4" t="s">
        <v>474</v>
      </c>
      <c r="N905" s="4" t="s">
        <v>475</v>
      </c>
      <c r="O905" s="134" t="str">
        <f>_xlfn.XLOOKUP(N905,[1]!costcategory[Account Code],[1]!costcategory[Cost Category],"ERROR")</f>
        <v>Travelling Expenses</v>
      </c>
      <c r="P905" s="4" t="s">
        <v>56</v>
      </c>
      <c r="Q905" s="147" t="str">
        <f>_xlfn.XLOOKUP(P905,[1]!Table2[Department],[1]!Table2[Group],"ERROR")</f>
        <v>Research &amp; Development</v>
      </c>
      <c r="U905" s="4"/>
      <c r="V905" s="2"/>
    </row>
    <row r="906" spans="1:22" customFormat="1" hidden="1" x14ac:dyDescent="0.2">
      <c r="A906" s="2" t="s">
        <v>15</v>
      </c>
      <c r="B906" s="2" t="s">
        <v>1</v>
      </c>
      <c r="C906" s="93">
        <v>46127</v>
      </c>
      <c r="D906" s="3">
        <v>46127</v>
      </c>
      <c r="E906" s="126">
        <v>46127</v>
      </c>
      <c r="F906" s="2" t="s">
        <v>77</v>
      </c>
      <c r="G906" s="300">
        <v>36.83</v>
      </c>
      <c r="H906" s="300">
        <v>0</v>
      </c>
      <c r="I906" s="300">
        <v>36.83</v>
      </c>
      <c r="J906" s="300">
        <v>28.363704884067261</v>
      </c>
      <c r="K906" s="4" t="s">
        <v>586</v>
      </c>
      <c r="L906" s="4" t="s">
        <v>586</v>
      </c>
      <c r="M906" s="4" t="s">
        <v>389</v>
      </c>
      <c r="N906" s="4" t="s">
        <v>684</v>
      </c>
      <c r="O906" s="134" t="str">
        <f>_xlfn.XLOOKUP(N906,[1]!costcategory[Account Code],[1]!costcategory[Cost Category],"ERROR")</f>
        <v>Sales Expenses</v>
      </c>
      <c r="P906" s="4" t="s">
        <v>56</v>
      </c>
      <c r="Q906" s="147" t="str">
        <f>_xlfn.XLOOKUP(P906,[1]!Table2[Department],[1]!Table2[Group],"ERROR")</f>
        <v>Research &amp; Development</v>
      </c>
      <c r="U906" s="4"/>
      <c r="V906" s="2"/>
    </row>
    <row r="907" spans="1:22" customFormat="1" hidden="1" x14ac:dyDescent="0.2">
      <c r="A907" s="2" t="s">
        <v>15</v>
      </c>
      <c r="B907" s="2" t="s">
        <v>1</v>
      </c>
      <c r="C907" s="93">
        <v>46127</v>
      </c>
      <c r="D907" s="3">
        <v>46127</v>
      </c>
      <c r="E907" s="126">
        <v>46127</v>
      </c>
      <c r="F907" s="2" t="s">
        <v>77</v>
      </c>
      <c r="G907" s="300">
        <v>2395.5299999999997</v>
      </c>
      <c r="H907" s="300">
        <v>204.19999999999996</v>
      </c>
      <c r="I907" s="300">
        <v>2599.7299999999996</v>
      </c>
      <c r="J907" s="300">
        <v>2002.1171463007379</v>
      </c>
      <c r="K907" s="4" t="s">
        <v>586</v>
      </c>
      <c r="L907" s="4" t="s">
        <v>586</v>
      </c>
      <c r="M907" s="4" t="s">
        <v>526</v>
      </c>
      <c r="N907" s="4" t="s">
        <v>527</v>
      </c>
      <c r="O907" s="134" t="str">
        <f>_xlfn.XLOOKUP(N907,[1]!costcategory[Account Code],[1]!costcategory[Cost Category],"ERROR")</f>
        <v>Sales Expenses</v>
      </c>
      <c r="P907" s="4" t="s">
        <v>523</v>
      </c>
      <c r="Q907" s="147" t="str">
        <f>_xlfn.XLOOKUP(P907,[1]!Table2[Department],[1]!Table2[Group],"ERROR")</f>
        <v>General &amp; Administrative</v>
      </c>
      <c r="U907" s="4"/>
      <c r="V907" s="2"/>
    </row>
    <row r="908" spans="1:22" customFormat="1" hidden="1" x14ac:dyDescent="0.2">
      <c r="A908" s="2" t="s">
        <v>15</v>
      </c>
      <c r="B908" s="2" t="s">
        <v>1</v>
      </c>
      <c r="C908" s="93">
        <v>46127</v>
      </c>
      <c r="D908" s="3">
        <v>46127</v>
      </c>
      <c r="E908" s="126">
        <v>46127</v>
      </c>
      <c r="F908" s="2" t="s">
        <v>77</v>
      </c>
      <c r="G908" s="300">
        <v>5.05</v>
      </c>
      <c r="H908" s="300">
        <v>0.45</v>
      </c>
      <c r="I908" s="300">
        <v>5.5</v>
      </c>
      <c r="J908" s="300">
        <v>4.2356876693556869</v>
      </c>
      <c r="K908" s="4" t="s">
        <v>586</v>
      </c>
      <c r="L908" s="4" t="s">
        <v>586</v>
      </c>
      <c r="M908" s="4" t="s">
        <v>345</v>
      </c>
      <c r="N908" s="4" t="s">
        <v>346</v>
      </c>
      <c r="O908" s="134" t="str">
        <f>_xlfn.XLOOKUP(N908,[1]!costcategory[Account Code],[1]!costcategory[Cost Category],"ERROR")</f>
        <v>General Expenses</v>
      </c>
      <c r="P908" s="4" t="s">
        <v>333</v>
      </c>
      <c r="Q908" s="147" t="str">
        <f>_xlfn.XLOOKUP(P908,[1]!Table2[Department],[1]!Table2[Group],"ERROR")</f>
        <v>General &amp; Administrative</v>
      </c>
      <c r="U908" s="4"/>
      <c r="V908" s="2"/>
    </row>
    <row r="909" spans="1:22" customFormat="1" hidden="1" x14ac:dyDescent="0.2">
      <c r="A909" s="2" t="s">
        <v>15</v>
      </c>
      <c r="B909" s="2" t="s">
        <v>1</v>
      </c>
      <c r="C909" s="93">
        <v>46127</v>
      </c>
      <c r="D909" s="3">
        <v>46127</v>
      </c>
      <c r="E909" s="126">
        <v>46127</v>
      </c>
      <c r="F909" s="2" t="s">
        <v>77</v>
      </c>
      <c r="G909" s="300">
        <v>2834.2</v>
      </c>
      <c r="H909" s="300">
        <v>0</v>
      </c>
      <c r="I909" s="300">
        <v>2834.2</v>
      </c>
      <c r="J909" s="300">
        <v>2182.688362270525</v>
      </c>
      <c r="K909" s="4" t="s">
        <v>586</v>
      </c>
      <c r="L909" s="4" t="s">
        <v>586</v>
      </c>
      <c r="M909" s="4" t="s">
        <v>348</v>
      </c>
      <c r="N909" s="4" t="s">
        <v>349</v>
      </c>
      <c r="O909" s="134" t="str">
        <f>_xlfn.XLOOKUP(N909,[1]!costcategory[Account Code],[1]!costcategory[Cost Category],"ERROR")</f>
        <v>Employee Benefits</v>
      </c>
      <c r="P909" s="4" t="s">
        <v>523</v>
      </c>
      <c r="Q909" s="147" t="str">
        <f>_xlfn.XLOOKUP(P909,[1]!Table2[Department],[1]!Table2[Group],"ERROR")</f>
        <v>General &amp; Administrative</v>
      </c>
      <c r="U909" s="4"/>
      <c r="V909" s="2"/>
    </row>
    <row r="910" spans="1:22" customFormat="1" hidden="1" x14ac:dyDescent="0.2">
      <c r="A910" s="2" t="s">
        <v>15</v>
      </c>
      <c r="B910" s="2" t="s">
        <v>1</v>
      </c>
      <c r="C910" s="93">
        <v>46127</v>
      </c>
      <c r="D910" s="3">
        <v>46127</v>
      </c>
      <c r="E910" s="126">
        <v>46127</v>
      </c>
      <c r="F910" s="2" t="s">
        <v>77</v>
      </c>
      <c r="G910" s="300">
        <v>9.08</v>
      </c>
      <c r="H910" s="300">
        <v>0.82</v>
      </c>
      <c r="I910" s="300">
        <v>9.9</v>
      </c>
      <c r="J910" s="300">
        <v>7.6242378048402362</v>
      </c>
      <c r="K910" s="4" t="s">
        <v>586</v>
      </c>
      <c r="L910" s="4" t="s">
        <v>586</v>
      </c>
      <c r="M910" s="4" t="s">
        <v>351</v>
      </c>
      <c r="N910" s="4" t="s">
        <v>50</v>
      </c>
      <c r="O910" s="134" t="str">
        <f>_xlfn.XLOOKUP(N910,[1]!costcategory[Account Code],[1]!costcategory[Cost Category],"ERROR")</f>
        <v>Office Supplies</v>
      </c>
      <c r="P910" s="4" t="s">
        <v>340</v>
      </c>
      <c r="Q910" s="147" t="str">
        <f>_xlfn.XLOOKUP(P910,[1]!Table2[Department],[1]!Table2[Group],"ERROR")</f>
        <v>General &amp; Administrative</v>
      </c>
      <c r="U910" s="4"/>
      <c r="V910" s="2"/>
    </row>
    <row r="911" spans="1:22" customFormat="1" hidden="1" x14ac:dyDescent="0.2">
      <c r="A911" s="2" t="s">
        <v>15</v>
      </c>
      <c r="B911" s="2" t="s">
        <v>1</v>
      </c>
      <c r="C911" s="93">
        <v>46127</v>
      </c>
      <c r="D911" s="3">
        <v>46127</v>
      </c>
      <c r="E911" s="126">
        <v>46127</v>
      </c>
      <c r="F911" s="2" t="s">
        <v>77</v>
      </c>
      <c r="G911" s="300">
        <v>36.56</v>
      </c>
      <c r="H911" s="300">
        <v>0</v>
      </c>
      <c r="I911" s="300">
        <v>36.56</v>
      </c>
      <c r="J911" s="300">
        <v>28.155771125753439</v>
      </c>
      <c r="K911" s="4" t="s">
        <v>586</v>
      </c>
      <c r="L911" s="4" t="s">
        <v>586</v>
      </c>
      <c r="M911" s="4" t="s">
        <v>352</v>
      </c>
      <c r="N911" s="4" t="s">
        <v>391</v>
      </c>
      <c r="O911" s="134" t="str">
        <f>_xlfn.XLOOKUP(N911,[1]!costcategory[Account Code],[1]!costcategory[Cost Category],"ERROR")</f>
        <v>Travelling Expenses</v>
      </c>
      <c r="P911" s="4" t="s">
        <v>523</v>
      </c>
      <c r="Q911" s="147" t="str">
        <f>_xlfn.XLOOKUP(P911,[1]!Table2[Department],[1]!Table2[Group],"ERROR")</f>
        <v>General &amp; Administrative</v>
      </c>
      <c r="U911" s="4"/>
      <c r="V911" s="2"/>
    </row>
    <row r="912" spans="1:22" customFormat="1" hidden="1" x14ac:dyDescent="0.2">
      <c r="A912" s="2" t="s">
        <v>15</v>
      </c>
      <c r="B912" s="2" t="s">
        <v>1</v>
      </c>
      <c r="C912" s="93">
        <v>46127</v>
      </c>
      <c r="D912" s="3">
        <v>46127</v>
      </c>
      <c r="E912" s="126">
        <v>46127</v>
      </c>
      <c r="F912" s="2" t="s">
        <v>77</v>
      </c>
      <c r="G912" s="300">
        <v>42.56</v>
      </c>
      <c r="H912" s="300">
        <v>3.83</v>
      </c>
      <c r="I912" s="300">
        <v>46.39</v>
      </c>
      <c r="J912" s="300">
        <v>35.726100178438237</v>
      </c>
      <c r="K912" s="4" t="s">
        <v>586</v>
      </c>
      <c r="L912" s="4" t="s">
        <v>586</v>
      </c>
      <c r="M912" s="4" t="s">
        <v>355</v>
      </c>
      <c r="N912" s="4" t="s">
        <v>402</v>
      </c>
      <c r="O912" s="134" t="str">
        <f>_xlfn.XLOOKUP(N912,[1]!costcategory[Account Code],[1]!costcategory[Cost Category],"ERROR")</f>
        <v>Travelling Expenses</v>
      </c>
      <c r="P912" s="4" t="s">
        <v>523</v>
      </c>
      <c r="Q912" s="147" t="str">
        <f>_xlfn.XLOOKUP(P912,[1]!Table2[Department],[1]!Table2[Group],"ERROR")</f>
        <v>General &amp; Administrative</v>
      </c>
      <c r="U912" s="4"/>
      <c r="V912" s="2"/>
    </row>
    <row r="913" spans="1:22" customFormat="1" hidden="1" x14ac:dyDescent="0.2">
      <c r="A913" s="2" t="s">
        <v>15</v>
      </c>
      <c r="B913" s="2" t="s">
        <v>1</v>
      </c>
      <c r="C913" s="93">
        <v>46127</v>
      </c>
      <c r="D913" s="3">
        <v>46127</v>
      </c>
      <c r="E913" s="126">
        <v>46127</v>
      </c>
      <c r="F913" s="2" t="s">
        <v>77</v>
      </c>
      <c r="G913" s="300">
        <v>2.57</v>
      </c>
      <c r="H913" s="300">
        <v>0</v>
      </c>
      <c r="I913" s="300">
        <v>2.57</v>
      </c>
      <c r="J913" s="300">
        <v>1.9792213291352936</v>
      </c>
      <c r="K913" s="4" t="s">
        <v>586</v>
      </c>
      <c r="L913" s="4" t="s">
        <v>586</v>
      </c>
      <c r="M913" s="4" t="s">
        <v>469</v>
      </c>
      <c r="N913" s="4" t="s">
        <v>470</v>
      </c>
      <c r="O913" s="134" t="str">
        <f>_xlfn.XLOOKUP(N913,[1]!costcategory[Account Code],[1]!costcategory[Cost Category],"ERROR")</f>
        <v>Office Supplies</v>
      </c>
      <c r="P913" s="4" t="s">
        <v>340</v>
      </c>
      <c r="Q913" s="147" t="str">
        <f>_xlfn.XLOOKUP(P913,[1]!Table2[Department],[1]!Table2[Group],"ERROR")</f>
        <v>General &amp; Administrative</v>
      </c>
      <c r="U913" s="4"/>
      <c r="V913" s="2"/>
    </row>
    <row r="914" spans="1:22" customFormat="1" hidden="1" x14ac:dyDescent="0.2">
      <c r="A914" s="2" t="s">
        <v>15</v>
      </c>
      <c r="B914" s="2" t="s">
        <v>1</v>
      </c>
      <c r="C914" s="93">
        <v>46127</v>
      </c>
      <c r="D914" s="3">
        <v>46127</v>
      </c>
      <c r="E914" s="126">
        <v>46127</v>
      </c>
      <c r="F914" s="2" t="s">
        <v>77</v>
      </c>
      <c r="G914" s="300">
        <v>10000</v>
      </c>
      <c r="H914" s="300">
        <v>0</v>
      </c>
      <c r="I914" s="300">
        <v>10000</v>
      </c>
      <c r="J914" s="300">
        <v>7701.2503079194303</v>
      </c>
      <c r="K914" s="4" t="s">
        <v>586</v>
      </c>
      <c r="L914" s="4" t="s">
        <v>586</v>
      </c>
      <c r="M914" s="4" t="s">
        <v>874</v>
      </c>
      <c r="N914" s="4" t="s">
        <v>875</v>
      </c>
      <c r="O914" s="134" t="str">
        <f>_xlfn.XLOOKUP(N914,[1]!costcategory[Account Code],[1]!costcategory[Cost Category],"ERROR")</f>
        <v>Headcount Costs</v>
      </c>
      <c r="P914" s="4" t="s">
        <v>59</v>
      </c>
      <c r="Q914" s="147" t="str">
        <f>_xlfn.XLOOKUP(P914,[1]!Table2[Department],[1]!Table2[Group],"ERROR")</f>
        <v>Research &amp; Development</v>
      </c>
      <c r="U914" s="4"/>
      <c r="V914" s="2"/>
    </row>
    <row r="915" spans="1:22" customFormat="1" hidden="1" x14ac:dyDescent="0.2">
      <c r="A915" s="2" t="s">
        <v>15</v>
      </c>
      <c r="B915" s="2" t="s">
        <v>1</v>
      </c>
      <c r="C915" s="93">
        <v>46127</v>
      </c>
      <c r="D915" s="3">
        <v>46127</v>
      </c>
      <c r="E915" s="126">
        <v>46127</v>
      </c>
      <c r="F915" s="2" t="s">
        <v>77</v>
      </c>
      <c r="G915" s="300">
        <v>158.66</v>
      </c>
      <c r="H915" s="300">
        <v>14.28</v>
      </c>
      <c r="I915" s="300">
        <v>172.94</v>
      </c>
      <c r="J915" s="300">
        <v>133.18542282515864</v>
      </c>
      <c r="K915" s="4" t="s">
        <v>586</v>
      </c>
      <c r="L915" s="4" t="s">
        <v>586</v>
      </c>
      <c r="M915" s="4" t="s">
        <v>392</v>
      </c>
      <c r="N915" s="4" t="s">
        <v>393</v>
      </c>
      <c r="O915" s="134" t="str">
        <f>_xlfn.XLOOKUP(N915,[1]!costcategory[Account Code],[1]!costcategory[Cost Category],"ERROR")</f>
        <v>Employee Benefits</v>
      </c>
      <c r="P915" s="4" t="s">
        <v>350</v>
      </c>
      <c r="Q915" s="147" t="str">
        <f>_xlfn.XLOOKUP(P915,[1]!Table2[Department],[1]!Table2[Group],"ERROR")</f>
        <v>General &amp; Administrative</v>
      </c>
      <c r="U915" s="4"/>
      <c r="V915" s="2"/>
    </row>
    <row r="916" spans="1:22" customFormat="1" hidden="1" x14ac:dyDescent="0.2">
      <c r="A916" s="2" t="s">
        <v>15</v>
      </c>
      <c r="B916" s="2" t="s">
        <v>1</v>
      </c>
      <c r="C916" s="93">
        <v>46127</v>
      </c>
      <c r="D916" s="3">
        <v>46127</v>
      </c>
      <c r="E916" s="126">
        <v>46127</v>
      </c>
      <c r="F916" s="2" t="s">
        <v>77</v>
      </c>
      <c r="G916" s="300">
        <v>1722.8700000000001</v>
      </c>
      <c r="H916" s="300">
        <v>103.67</v>
      </c>
      <c r="I916" s="300">
        <v>1826.5400000000002</v>
      </c>
      <c r="J916" s="300">
        <v>1406.6641737427158</v>
      </c>
      <c r="K916" s="4" t="s">
        <v>586</v>
      </c>
      <c r="L916" s="4" t="s">
        <v>586</v>
      </c>
      <c r="M916" s="4" t="s">
        <v>416</v>
      </c>
      <c r="N916" s="4" t="s">
        <v>390</v>
      </c>
      <c r="O916" s="134" t="str">
        <f>_xlfn.XLOOKUP(N916,[1]!costcategory[Account Code],[1]!costcategory[Cost Category],"ERROR")</f>
        <v>Employee Benefits</v>
      </c>
      <c r="P916" s="4" t="s">
        <v>523</v>
      </c>
      <c r="Q916" s="147" t="str">
        <f>_xlfn.XLOOKUP(P916,[1]!Table2[Department],[1]!Table2[Group],"ERROR")</f>
        <v>General &amp; Administrative</v>
      </c>
      <c r="U916" s="4"/>
      <c r="V916" s="2"/>
    </row>
    <row r="917" spans="1:22" customFormat="1" hidden="1" x14ac:dyDescent="0.2">
      <c r="A917" s="2" t="s">
        <v>15</v>
      </c>
      <c r="B917" s="2" t="s">
        <v>1</v>
      </c>
      <c r="C917" s="93">
        <v>46127</v>
      </c>
      <c r="D917" s="3">
        <v>46127</v>
      </c>
      <c r="E917" s="126">
        <v>46127</v>
      </c>
      <c r="F917" s="2" t="s">
        <v>77</v>
      </c>
      <c r="G917" s="300">
        <v>31.56</v>
      </c>
      <c r="H917" s="300">
        <v>2.84</v>
      </c>
      <c r="I917" s="300">
        <v>34.4</v>
      </c>
      <c r="J917" s="300">
        <v>26.492301059242841</v>
      </c>
      <c r="K917" s="4" t="s">
        <v>586</v>
      </c>
      <c r="L917" s="4" t="s">
        <v>586</v>
      </c>
      <c r="M917" s="4" t="s">
        <v>416</v>
      </c>
      <c r="N917" s="4" t="s">
        <v>390</v>
      </c>
      <c r="O917" s="134" t="str">
        <f>_xlfn.XLOOKUP(N917,[1]!costcategory[Account Code],[1]!costcategory[Cost Category],"ERROR")</f>
        <v>Employee Benefits</v>
      </c>
      <c r="P917" s="4" t="s">
        <v>340</v>
      </c>
      <c r="Q917" s="147" t="str">
        <f>_xlfn.XLOOKUP(P917,[1]!Table2[Department],[1]!Table2[Group],"ERROR")</f>
        <v>General &amp; Administrative</v>
      </c>
      <c r="U917" s="4"/>
      <c r="V917" s="2"/>
    </row>
    <row r="918" spans="1:22" customFormat="1" hidden="1" x14ac:dyDescent="0.2">
      <c r="A918" s="2" t="s">
        <v>15</v>
      </c>
      <c r="B918" s="2" t="s">
        <v>1</v>
      </c>
      <c r="C918" s="93">
        <v>46127</v>
      </c>
      <c r="D918" s="3">
        <v>46127</v>
      </c>
      <c r="E918" s="126">
        <v>46127</v>
      </c>
      <c r="F918" s="2" t="s">
        <v>77</v>
      </c>
      <c r="G918" s="300">
        <v>348.04</v>
      </c>
      <c r="H918" s="300">
        <v>9.43</v>
      </c>
      <c r="I918" s="300">
        <v>357.47</v>
      </c>
      <c r="J918" s="300">
        <v>275.29659475719592</v>
      </c>
      <c r="K918" s="4" t="s">
        <v>586</v>
      </c>
      <c r="L918" s="4" t="s">
        <v>586</v>
      </c>
      <c r="M918" s="4" t="s">
        <v>358</v>
      </c>
      <c r="N918" s="4" t="s">
        <v>60</v>
      </c>
      <c r="O918" s="134" t="str">
        <f>_xlfn.XLOOKUP(N918,[1]!costcategory[Account Code],[1]!costcategory[Cost Category],"ERROR")</f>
        <v>Subscription Fee</v>
      </c>
      <c r="P918" s="4" t="s">
        <v>56</v>
      </c>
      <c r="Q918" s="147" t="str">
        <f>_xlfn.XLOOKUP(P918,[1]!Table2[Department],[1]!Table2[Group],"ERROR")</f>
        <v>Research &amp; Development</v>
      </c>
      <c r="U918" s="4"/>
      <c r="V918" s="2"/>
    </row>
    <row r="919" spans="1:22" customFormat="1" hidden="1" x14ac:dyDescent="0.2">
      <c r="A919" s="2" t="s">
        <v>15</v>
      </c>
      <c r="B919" s="2" t="s">
        <v>1</v>
      </c>
      <c r="C919" s="93">
        <v>46127</v>
      </c>
      <c r="D919" s="3">
        <v>46127</v>
      </c>
      <c r="E919" s="126">
        <v>46127</v>
      </c>
      <c r="F919" s="2" t="s">
        <v>77</v>
      </c>
      <c r="G919" s="300">
        <v>28.89</v>
      </c>
      <c r="H919" s="300">
        <v>0</v>
      </c>
      <c r="I919" s="300">
        <v>28.89</v>
      </c>
      <c r="J919" s="300">
        <v>22.248912139579236</v>
      </c>
      <c r="K919" s="4" t="s">
        <v>586</v>
      </c>
      <c r="L919" s="4" t="s">
        <v>586</v>
      </c>
      <c r="M919" s="4" t="s">
        <v>358</v>
      </c>
      <c r="N919" s="4" t="s">
        <v>60</v>
      </c>
      <c r="O919" s="134" t="str">
        <f>_xlfn.XLOOKUP(N919,[1]!costcategory[Account Code],[1]!costcategory[Cost Category],"ERROR")</f>
        <v>Subscription Fee</v>
      </c>
      <c r="P919" s="4" t="s">
        <v>658</v>
      </c>
      <c r="Q919" s="147" t="str">
        <f>_xlfn.XLOOKUP(P919,[1]!Table2[Department],[1]!Table2[Group],"ERROR")</f>
        <v>Sales &amp; Marketing</v>
      </c>
      <c r="U919" s="4"/>
      <c r="V919" s="2"/>
    </row>
    <row r="920" spans="1:22" customFormat="1" hidden="1" x14ac:dyDescent="0.2">
      <c r="A920" s="2" t="s">
        <v>15</v>
      </c>
      <c r="B920" s="2" t="s">
        <v>1</v>
      </c>
      <c r="C920" s="93">
        <v>46127</v>
      </c>
      <c r="D920" s="3">
        <v>46127</v>
      </c>
      <c r="E920" s="126">
        <v>46127</v>
      </c>
      <c r="F920" s="2" t="s">
        <v>77</v>
      </c>
      <c r="G920" s="300">
        <v>298.17</v>
      </c>
      <c r="H920" s="300">
        <v>0</v>
      </c>
      <c r="I920" s="300">
        <v>298.17</v>
      </c>
      <c r="J920" s="300">
        <v>229.62818043123366</v>
      </c>
      <c r="K920" s="4" t="s">
        <v>586</v>
      </c>
      <c r="L920" s="4" t="s">
        <v>586</v>
      </c>
      <c r="M920" s="4" t="s">
        <v>360</v>
      </c>
      <c r="N920" s="4" t="s">
        <v>353</v>
      </c>
      <c r="O920" s="134" t="str">
        <f>_xlfn.XLOOKUP(N920,[1]!costcategory[Account Code],[1]!costcategory[Cost Category],"ERROR")</f>
        <v>Travelling Expenses</v>
      </c>
      <c r="P920" s="4" t="s">
        <v>523</v>
      </c>
      <c r="Q920" s="147" t="str">
        <f>_xlfn.XLOOKUP(P920,[1]!Table2[Department],[1]!Table2[Group],"ERROR")</f>
        <v>General &amp; Administrative</v>
      </c>
      <c r="U920" s="4"/>
      <c r="V920" s="2"/>
    </row>
    <row r="921" spans="1:22" customFormat="1" hidden="1" x14ac:dyDescent="0.2">
      <c r="A921" s="2" t="s">
        <v>15</v>
      </c>
      <c r="B921" s="2" t="s">
        <v>1</v>
      </c>
      <c r="C921" s="93">
        <v>46127</v>
      </c>
      <c r="D921" s="3">
        <v>46127</v>
      </c>
      <c r="E921" s="126">
        <v>46127</v>
      </c>
      <c r="F921" s="2" t="s">
        <v>77</v>
      </c>
      <c r="G921" s="300">
        <v>1087.8800000000001</v>
      </c>
      <c r="H921" s="300">
        <v>0</v>
      </c>
      <c r="I921" s="300">
        <v>1087.8800000000001</v>
      </c>
      <c r="J921" s="300">
        <v>837.80361849793906</v>
      </c>
      <c r="K921" s="4" t="s">
        <v>586</v>
      </c>
      <c r="L921" s="4" t="s">
        <v>586</v>
      </c>
      <c r="M921" s="4" t="s">
        <v>360</v>
      </c>
      <c r="N921" s="4" t="s">
        <v>353</v>
      </c>
      <c r="O921" s="134" t="str">
        <f>_xlfn.XLOOKUP(N921,[1]!costcategory[Account Code],[1]!costcategory[Cost Category],"ERROR")</f>
        <v>Travelling Expenses</v>
      </c>
      <c r="P921" s="4" t="s">
        <v>59</v>
      </c>
      <c r="Q921" s="147" t="str">
        <f>_xlfn.XLOOKUP(P921,[1]!Table2[Department],[1]!Table2[Group],"ERROR")</f>
        <v>Research &amp; Development</v>
      </c>
      <c r="U921" s="4"/>
      <c r="V921" s="2"/>
    </row>
    <row r="922" spans="1:22" s="2" customFormat="1" hidden="1" x14ac:dyDescent="0.2">
      <c r="A922" s="2" t="s">
        <v>15</v>
      </c>
      <c r="B922" s="2" t="s">
        <v>1</v>
      </c>
      <c r="C922" s="93">
        <v>46127</v>
      </c>
      <c r="D922" s="3">
        <v>46127</v>
      </c>
      <c r="E922" s="126">
        <v>46127</v>
      </c>
      <c r="F922" s="2" t="s">
        <v>77</v>
      </c>
      <c r="G922" s="300">
        <v>478.34</v>
      </c>
      <c r="H922" s="300">
        <v>0</v>
      </c>
      <c r="I922" s="300">
        <v>478.34</v>
      </c>
      <c r="J922" s="300">
        <v>368.38160722901802</v>
      </c>
      <c r="K922" s="4" t="s">
        <v>586</v>
      </c>
      <c r="L922" s="4" t="s">
        <v>586</v>
      </c>
      <c r="M922" s="4" t="s">
        <v>360</v>
      </c>
      <c r="N922" s="4" t="s">
        <v>353</v>
      </c>
      <c r="O922" s="134" t="str">
        <f>_xlfn.XLOOKUP(N922,[1]!costcategory[Account Code],[1]!costcategory[Cost Category],"ERROR")</f>
        <v>Travelling Expenses</v>
      </c>
      <c r="P922" s="4" t="s">
        <v>56</v>
      </c>
      <c r="Q922" s="147" t="str">
        <f>_xlfn.XLOOKUP(P922,[1]!Table2[Department],[1]!Table2[Group],"ERROR")</f>
        <v>Research &amp; Development</v>
      </c>
      <c r="R922"/>
      <c r="S922"/>
      <c r="T922"/>
      <c r="U922" s="4"/>
    </row>
    <row r="923" spans="1:22" s="2" customFormat="1" hidden="1" x14ac:dyDescent="0.2">
      <c r="A923" s="2" t="s">
        <v>15</v>
      </c>
      <c r="B923" s="2" t="s">
        <v>1</v>
      </c>
      <c r="C923" s="93">
        <v>46127</v>
      </c>
      <c r="D923" s="3">
        <v>46127</v>
      </c>
      <c r="E923" s="126">
        <v>46127</v>
      </c>
      <c r="F923" s="2" t="s">
        <v>77</v>
      </c>
      <c r="G923" s="300">
        <v>2119.8900000000003</v>
      </c>
      <c r="H923" s="300">
        <v>0</v>
      </c>
      <c r="I923" s="300">
        <v>2119.8900000000003</v>
      </c>
      <c r="J923" s="300">
        <v>1632.5803515255325</v>
      </c>
      <c r="K923" s="4" t="s">
        <v>586</v>
      </c>
      <c r="L923" s="4" t="s">
        <v>586</v>
      </c>
      <c r="M923" s="4" t="s">
        <v>361</v>
      </c>
      <c r="N923" s="4" t="s">
        <v>356</v>
      </c>
      <c r="O923" s="134" t="str">
        <f>_xlfn.XLOOKUP(N923,[1]!costcategory[Account Code],[1]!costcategory[Cost Category],"ERROR")</f>
        <v>Travelling Expenses</v>
      </c>
      <c r="P923" s="4" t="s">
        <v>523</v>
      </c>
      <c r="Q923" s="147" t="str">
        <f>_xlfn.XLOOKUP(P923,[1]!Table2[Department],[1]!Table2[Group],"ERROR")</f>
        <v>General &amp; Administrative</v>
      </c>
      <c r="R923"/>
      <c r="S923"/>
      <c r="T923"/>
      <c r="U923" s="4"/>
    </row>
    <row r="924" spans="1:22" s="2" customFormat="1" hidden="1" x14ac:dyDescent="0.2">
      <c r="A924" s="2" t="s">
        <v>15</v>
      </c>
      <c r="B924" s="2" t="s">
        <v>1</v>
      </c>
      <c r="C924" s="93">
        <v>46127</v>
      </c>
      <c r="D924" s="3">
        <v>46127</v>
      </c>
      <c r="E924" s="126">
        <v>46127</v>
      </c>
      <c r="F924" s="2" t="s">
        <v>77</v>
      </c>
      <c r="G924" s="300">
        <v>100.72</v>
      </c>
      <c r="H924" s="300">
        <v>0</v>
      </c>
      <c r="I924" s="300">
        <v>100.72</v>
      </c>
      <c r="J924" s="300">
        <v>77.566993101364503</v>
      </c>
      <c r="K924" s="4" t="s">
        <v>586</v>
      </c>
      <c r="L924" s="4" t="s">
        <v>586</v>
      </c>
      <c r="M924" s="4" t="s">
        <v>361</v>
      </c>
      <c r="N924" s="4" t="s">
        <v>356</v>
      </c>
      <c r="O924" s="134" t="str">
        <f>_xlfn.XLOOKUP(N924,[1]!costcategory[Account Code],[1]!costcategory[Cost Category],"ERROR")</f>
        <v>Travelling Expenses</v>
      </c>
      <c r="P924" s="4" t="s">
        <v>56</v>
      </c>
      <c r="Q924" s="147" t="str">
        <f>_xlfn.XLOOKUP(P924,[1]!Table2[Department],[1]!Table2[Group],"ERROR")</f>
        <v>Research &amp; Development</v>
      </c>
      <c r="R924"/>
      <c r="S924"/>
      <c r="T924"/>
      <c r="U924" s="4"/>
    </row>
    <row r="925" spans="1:22" s="2" customFormat="1" hidden="1" x14ac:dyDescent="0.2">
      <c r="A925" s="2" t="s">
        <v>15</v>
      </c>
      <c r="B925" s="2" t="s">
        <v>1</v>
      </c>
      <c r="C925" s="93">
        <v>46127</v>
      </c>
      <c r="D925" s="3">
        <v>46127</v>
      </c>
      <c r="E925" s="126">
        <v>46127</v>
      </c>
      <c r="F925" s="2" t="s">
        <v>77</v>
      </c>
      <c r="G925" s="300">
        <v>38.010000000000005</v>
      </c>
      <c r="H925" s="300">
        <v>0</v>
      </c>
      <c r="I925" s="300">
        <v>38.010000000000005</v>
      </c>
      <c r="J925" s="300">
        <v>29.272452420401759</v>
      </c>
      <c r="K925" s="4" t="s">
        <v>586</v>
      </c>
      <c r="L925" s="4" t="s">
        <v>586</v>
      </c>
      <c r="M925" s="4" t="s">
        <v>361</v>
      </c>
      <c r="N925" s="4" t="s">
        <v>356</v>
      </c>
      <c r="O925" s="134" t="str">
        <f>_xlfn.XLOOKUP(N925,[1]!costcategory[Account Code],[1]!costcategory[Cost Category],"ERROR")</f>
        <v>Travelling Expenses</v>
      </c>
      <c r="P925" s="4" t="s">
        <v>59</v>
      </c>
      <c r="Q925" s="147" t="str">
        <f>_xlfn.XLOOKUP(P925,[1]!Table2[Department],[1]!Table2[Group],"ERROR")</f>
        <v>Research &amp; Development</v>
      </c>
      <c r="R925"/>
      <c r="S925"/>
      <c r="T925"/>
      <c r="U925" s="4"/>
    </row>
    <row r="926" spans="1:22" s="2" customFormat="1" hidden="1" x14ac:dyDescent="0.2">
      <c r="A926" s="2" t="s">
        <v>15</v>
      </c>
      <c r="B926" s="2" t="s">
        <v>1</v>
      </c>
      <c r="C926" s="93">
        <v>46127</v>
      </c>
      <c r="D926" s="3">
        <v>46127</v>
      </c>
      <c r="E926" s="126">
        <v>46127</v>
      </c>
      <c r="F926" s="2" t="s">
        <v>77</v>
      </c>
      <c r="G926" s="300">
        <v>63</v>
      </c>
      <c r="H926" s="300">
        <v>0</v>
      </c>
      <c r="I926" s="300">
        <v>63</v>
      </c>
      <c r="J926" s="300">
        <v>48.51787693989241</v>
      </c>
      <c r="K926" s="4" t="s">
        <v>841</v>
      </c>
      <c r="L926" s="4" t="s">
        <v>842</v>
      </c>
      <c r="M926" s="4" t="s">
        <v>843</v>
      </c>
      <c r="N926" s="4" t="s">
        <v>801</v>
      </c>
      <c r="O926" s="134" t="str">
        <f>_xlfn.XLOOKUP(N926,[1]!costcategory[Account Code],[1]!costcategory[Cost Category],"ERROR")</f>
        <v>Recruitment Related Fees</v>
      </c>
      <c r="P926" s="4" t="s">
        <v>350</v>
      </c>
      <c r="Q926" s="147" t="str">
        <f>_xlfn.XLOOKUP(P926,[1]!Table2[Department],[1]!Table2[Group],"ERROR")</f>
        <v>General &amp; Administrative</v>
      </c>
      <c r="R926"/>
      <c r="S926"/>
      <c r="T926"/>
      <c r="U926" s="4"/>
    </row>
    <row r="927" spans="1:22" s="2" customFormat="1" hidden="1" x14ac:dyDescent="0.2">
      <c r="A927" s="2" t="s">
        <v>15</v>
      </c>
      <c r="B927" s="2" t="s">
        <v>1</v>
      </c>
      <c r="C927" s="93">
        <v>46127</v>
      </c>
      <c r="D927" s="3">
        <v>46127</v>
      </c>
      <c r="E927" s="126">
        <v>46127</v>
      </c>
      <c r="F927" s="2" t="s">
        <v>77</v>
      </c>
      <c r="G927" s="300">
        <v>600</v>
      </c>
      <c r="H927" s="300">
        <v>0</v>
      </c>
      <c r="I927" s="300">
        <v>600</v>
      </c>
      <c r="J927" s="300">
        <v>462.07501847516585</v>
      </c>
      <c r="K927" s="4" t="s">
        <v>757</v>
      </c>
      <c r="L927" s="4" t="s">
        <v>1706</v>
      </c>
      <c r="M927" s="4" t="s">
        <v>876</v>
      </c>
      <c r="N927" s="4" t="s">
        <v>621</v>
      </c>
      <c r="O927" s="134" t="str">
        <f>_xlfn.XLOOKUP(N927,[1]!costcategory[Account Code],[1]!costcategory[Cost Category],"ERROR")</f>
        <v>Upkeep of Office</v>
      </c>
      <c r="P927" s="4" t="s">
        <v>340</v>
      </c>
      <c r="Q927" s="147" t="str">
        <f>_xlfn.XLOOKUP(P927,[1]!Table2[Department],[1]!Table2[Group],"ERROR")</f>
        <v>General &amp; Administrative</v>
      </c>
      <c r="R927"/>
      <c r="S927"/>
      <c r="T927"/>
      <c r="U927" s="4"/>
    </row>
    <row r="928" spans="1:22" s="2" customFormat="1" hidden="1" x14ac:dyDescent="0.2">
      <c r="A928" s="2" t="s">
        <v>15</v>
      </c>
      <c r="B928" s="2" t="s">
        <v>1</v>
      </c>
      <c r="C928" s="93">
        <v>46128</v>
      </c>
      <c r="D928" s="3">
        <v>46128</v>
      </c>
      <c r="E928" s="126">
        <v>46128</v>
      </c>
      <c r="F928" s="2" t="s">
        <v>77</v>
      </c>
      <c r="G928" s="300">
        <v>279.45</v>
      </c>
      <c r="H928" s="300">
        <v>0</v>
      </c>
      <c r="I928" s="300">
        <v>279.45</v>
      </c>
      <c r="J928" s="300">
        <v>215.21143985480848</v>
      </c>
      <c r="K928" s="4" t="s">
        <v>877</v>
      </c>
      <c r="L928" s="4"/>
      <c r="M928" s="4" t="s">
        <v>878</v>
      </c>
      <c r="N928" s="4" t="s">
        <v>390</v>
      </c>
      <c r="O928" s="134" t="str">
        <f>_xlfn.XLOOKUP(N928,[1]!costcategory[Account Code],[1]!costcategory[Cost Category],"ERROR")</f>
        <v>Employee Benefits</v>
      </c>
      <c r="P928" s="4" t="s">
        <v>523</v>
      </c>
      <c r="Q928" s="147" t="str">
        <f>_xlfn.XLOOKUP(P928,[1]!Table2[Department],[1]!Table2[Group],"ERROR")</f>
        <v>General &amp; Administrative</v>
      </c>
      <c r="R928"/>
      <c r="S928"/>
      <c r="T928"/>
      <c r="U928" s="4"/>
    </row>
    <row r="929" spans="1:21" s="2" customFormat="1" hidden="1" x14ac:dyDescent="0.2">
      <c r="A929" s="2" t="s">
        <v>15</v>
      </c>
      <c r="B929" s="2" t="s">
        <v>1</v>
      </c>
      <c r="C929" s="93">
        <v>46132</v>
      </c>
      <c r="D929" s="3">
        <v>46132</v>
      </c>
      <c r="E929" s="126">
        <v>46132</v>
      </c>
      <c r="F929" s="2" t="s">
        <v>77</v>
      </c>
      <c r="G929" s="300">
        <v>196.9</v>
      </c>
      <c r="H929" s="300">
        <v>17.72</v>
      </c>
      <c r="I929" s="300">
        <v>214.62</v>
      </c>
      <c r="J929" s="300">
        <v>165.28423410856684</v>
      </c>
      <c r="K929" s="4" t="s">
        <v>879</v>
      </c>
      <c r="L929" s="4"/>
      <c r="M929" s="4" t="s">
        <v>880</v>
      </c>
      <c r="N929" s="4" t="s">
        <v>527</v>
      </c>
      <c r="O929" s="134" t="str">
        <f>_xlfn.XLOOKUP(N929,[1]!costcategory[Account Code],[1]!costcategory[Cost Category],"ERROR")</f>
        <v>Sales Expenses</v>
      </c>
      <c r="P929" s="4" t="s">
        <v>523</v>
      </c>
      <c r="Q929" s="147" t="str">
        <f>_xlfn.XLOOKUP(P929,[1]!Table2[Department],[1]!Table2[Group],"ERROR")</f>
        <v>General &amp; Administrative</v>
      </c>
      <c r="R929"/>
      <c r="S929"/>
      <c r="T929"/>
      <c r="U929" s="4"/>
    </row>
    <row r="930" spans="1:21" s="2" customFormat="1" hidden="1" x14ac:dyDescent="0.2">
      <c r="A930" s="2" t="s">
        <v>15</v>
      </c>
      <c r="B930" s="2" t="s">
        <v>1</v>
      </c>
      <c r="C930" s="93">
        <v>46132</v>
      </c>
      <c r="D930" s="3">
        <v>46132</v>
      </c>
      <c r="E930" s="126">
        <v>46132</v>
      </c>
      <c r="F930" s="2" t="s">
        <v>77</v>
      </c>
      <c r="G930" s="300">
        <v>540.85</v>
      </c>
      <c r="H930" s="300">
        <v>0</v>
      </c>
      <c r="I930" s="300">
        <v>540.85</v>
      </c>
      <c r="J930" s="300">
        <v>416.52212290382244</v>
      </c>
      <c r="K930" s="4" t="s">
        <v>1705</v>
      </c>
      <c r="L930" s="4"/>
      <c r="M930" s="4" t="s">
        <v>1704</v>
      </c>
      <c r="N930" s="4" t="s">
        <v>353</v>
      </c>
      <c r="O930" s="134" t="str">
        <f>_xlfn.XLOOKUP(N930,[1]!costcategory[Account Code],[1]!costcategory[Cost Category],"ERROR")</f>
        <v>Travelling Expenses</v>
      </c>
      <c r="P930" s="4" t="s">
        <v>523</v>
      </c>
      <c r="Q930" s="147" t="str">
        <f>_xlfn.XLOOKUP(P930,[1]!Table2[Department],[1]!Table2[Group],"ERROR")</f>
        <v>General &amp; Administrative</v>
      </c>
      <c r="R930"/>
      <c r="S930"/>
      <c r="T930"/>
      <c r="U930" s="4"/>
    </row>
    <row r="931" spans="1:21" s="2" customFormat="1" hidden="1" x14ac:dyDescent="0.2">
      <c r="A931" s="2" t="s">
        <v>15</v>
      </c>
      <c r="B931" s="2" t="s">
        <v>1</v>
      </c>
      <c r="C931" s="93">
        <v>46135</v>
      </c>
      <c r="D931" s="3">
        <v>46135</v>
      </c>
      <c r="E931" s="126">
        <v>46135</v>
      </c>
      <c r="F931" s="2" t="s">
        <v>77</v>
      </c>
      <c r="G931" s="300">
        <v>-250000</v>
      </c>
      <c r="H931" s="300">
        <v>0</v>
      </c>
      <c r="I931" s="300">
        <v>-250000</v>
      </c>
      <c r="J931" s="300">
        <v>-192531.25769798577</v>
      </c>
      <c r="K931" s="4" t="s">
        <v>455</v>
      </c>
      <c r="L931" s="4" t="s">
        <v>881</v>
      </c>
      <c r="M931" s="4" t="s">
        <v>882</v>
      </c>
      <c r="N931" s="4" t="s">
        <v>418</v>
      </c>
      <c r="O931" s="134" t="str">
        <f>_xlfn.XLOOKUP(N931,[1]!costcategory[Account Code],[1]!costcategory[Cost Category],"ERROR")</f>
        <v>Internal Fund Transfer</v>
      </c>
      <c r="P931" s="4" t="s">
        <v>66</v>
      </c>
      <c r="Q931" s="147" t="str">
        <f>_xlfn.XLOOKUP(P931,[1]!Table2[Department],[1]!Table2[Group],"ERROR")</f>
        <v>Others</v>
      </c>
      <c r="R931"/>
      <c r="S931"/>
      <c r="T931" t="s">
        <v>610</v>
      </c>
      <c r="U931" s="4" t="s">
        <v>113</v>
      </c>
    </row>
    <row r="932" spans="1:21" s="2" customFormat="1" hidden="1" x14ac:dyDescent="0.2">
      <c r="A932" s="2" t="s">
        <v>15</v>
      </c>
      <c r="B932" s="2" t="s">
        <v>1</v>
      </c>
      <c r="C932" s="93">
        <v>46135</v>
      </c>
      <c r="D932" s="3">
        <v>46135</v>
      </c>
      <c r="E932" s="126">
        <v>46135</v>
      </c>
      <c r="F932" s="2" t="s">
        <v>77</v>
      </c>
      <c r="G932" s="300">
        <v>161.76</v>
      </c>
      <c r="H932" s="300">
        <v>0</v>
      </c>
      <c r="I932" s="300">
        <v>161.76</v>
      </c>
      <c r="J932" s="300">
        <v>124.5754249809047</v>
      </c>
      <c r="K932" s="4" t="s">
        <v>659</v>
      </c>
      <c r="L932" s="4" t="s">
        <v>883</v>
      </c>
      <c r="M932" s="4" t="s">
        <v>884</v>
      </c>
      <c r="N932" s="4" t="s">
        <v>370</v>
      </c>
      <c r="O932" s="134" t="str">
        <f>_xlfn.XLOOKUP(N932,[1]!costcategory[Account Code],[1]!costcategory[Cost Category],"ERROR")</f>
        <v>Utilities</v>
      </c>
      <c r="P932" s="4" t="s">
        <v>340</v>
      </c>
      <c r="Q932" s="147" t="str">
        <f>_xlfn.XLOOKUP(P932,[1]!Table2[Department],[1]!Table2[Group],"ERROR")</f>
        <v>General &amp; Administrative</v>
      </c>
      <c r="R932"/>
      <c r="S932"/>
      <c r="T932"/>
      <c r="U932" s="4" t="s">
        <v>104</v>
      </c>
    </row>
    <row r="933" spans="1:21" s="2" customFormat="1" hidden="1" x14ac:dyDescent="0.2">
      <c r="A933" s="2" t="s">
        <v>15</v>
      </c>
      <c r="B933" s="2" t="s">
        <v>1</v>
      </c>
      <c r="C933" s="93">
        <v>46139</v>
      </c>
      <c r="D933" s="3">
        <v>46139</v>
      </c>
      <c r="E933" s="126">
        <v>46139</v>
      </c>
      <c r="F933" s="2" t="s">
        <v>77</v>
      </c>
      <c r="G933" s="300">
        <v>4275.6400000000003</v>
      </c>
      <c r="H933" s="300">
        <v>0</v>
      </c>
      <c r="I933" s="300">
        <v>4275.6400000000003</v>
      </c>
      <c r="J933" s="300">
        <v>3292.7773866552639</v>
      </c>
      <c r="K933" s="4" t="s">
        <v>885</v>
      </c>
      <c r="L933" s="4" t="s">
        <v>855</v>
      </c>
      <c r="M933" s="4" t="s">
        <v>886</v>
      </c>
      <c r="N933" s="4" t="s">
        <v>353</v>
      </c>
      <c r="O933" s="134" t="str">
        <f>_xlfn.XLOOKUP(N933,[1]!costcategory[Account Code],[1]!costcategory[Cost Category],"ERROR")</f>
        <v>Travelling Expenses</v>
      </c>
      <c r="P933" s="4" t="s">
        <v>523</v>
      </c>
      <c r="Q933" s="147" t="str">
        <f>_xlfn.XLOOKUP(P933,[1]!Table2[Department],[1]!Table2[Group],"ERROR")</f>
        <v>General &amp; Administrative</v>
      </c>
      <c r="R933"/>
      <c r="S933"/>
      <c r="T933"/>
      <c r="U933" s="4"/>
    </row>
    <row r="934" spans="1:21" s="2" customFormat="1" hidden="1" x14ac:dyDescent="0.2">
      <c r="A934" s="2" t="s">
        <v>15</v>
      </c>
      <c r="B934" s="2" t="s">
        <v>1</v>
      </c>
      <c r="C934" s="93">
        <v>46056</v>
      </c>
      <c r="D934" s="3">
        <v>46086</v>
      </c>
      <c r="E934" s="126">
        <v>46140</v>
      </c>
      <c r="F934" s="2" t="s">
        <v>77</v>
      </c>
      <c r="G934" s="300">
        <v>-9664.67</v>
      </c>
      <c r="H934" s="300">
        <v>0</v>
      </c>
      <c r="I934" s="300">
        <v>-9664.67</v>
      </c>
      <c r="J934" s="300">
        <v>-7443.0042813439686</v>
      </c>
      <c r="K934" s="4" t="s">
        <v>105</v>
      </c>
      <c r="L934" s="4" t="s">
        <v>117</v>
      </c>
      <c r="M934" s="4" t="s">
        <v>887</v>
      </c>
      <c r="N934" s="4" t="s">
        <v>382</v>
      </c>
      <c r="O934" s="134" t="str">
        <f>_xlfn.XLOOKUP(N934,[1]!costcategory[Account Code],[1]!costcategory[Cost Category],"ERROR")</f>
        <v>Revenue</v>
      </c>
      <c r="P934" s="4" t="s">
        <v>438</v>
      </c>
      <c r="Q934" s="147" t="str">
        <f>_xlfn.XLOOKUP(P934,[1]!Table2[Department],[1]!Table2[Group],"ERROR")</f>
        <v>Sales &amp; Marketing</v>
      </c>
      <c r="R934" t="s">
        <v>670</v>
      </c>
      <c r="S934"/>
      <c r="T934"/>
      <c r="U934" s="4"/>
    </row>
    <row r="935" spans="1:21" s="2" customFormat="1" hidden="1" x14ac:dyDescent="0.2">
      <c r="A935" s="2" t="s">
        <v>15</v>
      </c>
      <c r="B935" s="2" t="s">
        <v>1</v>
      </c>
      <c r="C935" s="93">
        <v>46106</v>
      </c>
      <c r="D935" s="3">
        <v>46136</v>
      </c>
      <c r="E935" s="126">
        <v>46142</v>
      </c>
      <c r="F935" s="2" t="s">
        <v>77</v>
      </c>
      <c r="G935" s="300">
        <v>5304.13</v>
      </c>
      <c r="H935" s="300">
        <v>477.37</v>
      </c>
      <c r="I935" s="300">
        <v>5781.5</v>
      </c>
      <c r="J935" s="300">
        <v>4452.4778655236187</v>
      </c>
      <c r="K935" s="4" t="s">
        <v>661</v>
      </c>
      <c r="L935" s="4" t="s">
        <v>888</v>
      </c>
      <c r="M935" s="4" t="s">
        <v>889</v>
      </c>
      <c r="N935" s="4" t="s">
        <v>58</v>
      </c>
      <c r="O935" s="134" t="str">
        <f>_xlfn.XLOOKUP(N935,[1]!costcategory[Account Code],[1]!costcategory[Cost Category],"ERROR")</f>
        <v>Network &amp; Server</v>
      </c>
      <c r="P935" s="4" t="s">
        <v>59</v>
      </c>
      <c r="Q935" s="147" t="str">
        <f>_xlfn.XLOOKUP(P935,[1]!Table2[Department],[1]!Table2[Group],"ERROR")</f>
        <v>Research &amp; Development</v>
      </c>
      <c r="R935" t="s">
        <v>670</v>
      </c>
      <c r="S935"/>
      <c r="T935"/>
      <c r="U935" s="4"/>
    </row>
    <row r="936" spans="1:21" s="2" customFormat="1" hidden="1" x14ac:dyDescent="0.2">
      <c r="A936" s="2" t="s">
        <v>15</v>
      </c>
      <c r="B936" s="2" t="s">
        <v>1</v>
      </c>
      <c r="C936" s="93">
        <v>46106</v>
      </c>
      <c r="D936" s="3">
        <v>46136</v>
      </c>
      <c r="E936" s="126">
        <v>46142</v>
      </c>
      <c r="F936" s="2" t="s">
        <v>77</v>
      </c>
      <c r="G936" s="300">
        <v>159.63999999999999</v>
      </c>
      <c r="H936" s="300">
        <v>14.37</v>
      </c>
      <c r="I936" s="300">
        <v>174.01</v>
      </c>
      <c r="J936" s="300">
        <v>134.00945660810601</v>
      </c>
      <c r="K936" s="4" t="s">
        <v>661</v>
      </c>
      <c r="L936" s="4" t="s">
        <v>888</v>
      </c>
      <c r="M936" s="4" t="s">
        <v>889</v>
      </c>
      <c r="N936" s="4" t="s">
        <v>58</v>
      </c>
      <c r="O936" s="134" t="str">
        <f>_xlfn.XLOOKUP(N936,[1]!costcategory[Account Code],[1]!costcategory[Cost Category],"ERROR")</f>
        <v>Network &amp; Server</v>
      </c>
      <c r="P936" s="4" t="s">
        <v>56</v>
      </c>
      <c r="Q936" s="147" t="str">
        <f>_xlfn.XLOOKUP(P936,[1]!Table2[Department],[1]!Table2[Group],"ERROR")</f>
        <v>Research &amp; Development</v>
      </c>
      <c r="R936" t="s">
        <v>670</v>
      </c>
      <c r="S936"/>
      <c r="T936"/>
      <c r="U936" s="4"/>
    </row>
    <row r="937" spans="1:21" s="2" customFormat="1" hidden="1" x14ac:dyDescent="0.2">
      <c r="A937" s="2" t="s">
        <v>15</v>
      </c>
      <c r="B937" s="2" t="s">
        <v>1</v>
      </c>
      <c r="C937" s="93">
        <v>46106</v>
      </c>
      <c r="D937" s="3">
        <v>46136</v>
      </c>
      <c r="E937" s="126">
        <v>46142</v>
      </c>
      <c r="F937" s="2" t="s">
        <v>77</v>
      </c>
      <c r="G937" s="300">
        <v>131.11000000000001</v>
      </c>
      <c r="H937" s="300">
        <v>11.8</v>
      </c>
      <c r="I937" s="300">
        <v>142.91000000000003</v>
      </c>
      <c r="J937" s="300">
        <v>110.0585681504766</v>
      </c>
      <c r="K937" s="4" t="s">
        <v>661</v>
      </c>
      <c r="L937" s="4" t="s">
        <v>888</v>
      </c>
      <c r="M937" s="4" t="s">
        <v>889</v>
      </c>
      <c r="N937" s="4" t="s">
        <v>58</v>
      </c>
      <c r="O937" s="134" t="str">
        <f>_xlfn.XLOOKUP(N937,[1]!costcategory[Account Code],[1]!costcategory[Cost Category],"ERROR")</f>
        <v>Network &amp; Server</v>
      </c>
      <c r="P937" s="4" t="s">
        <v>57</v>
      </c>
      <c r="Q937" s="147" t="str">
        <f>_xlfn.XLOOKUP(P937,[1]!Table2[Department],[1]!Table2[Group],"ERROR")</f>
        <v>Research &amp; Development</v>
      </c>
      <c r="R937" t="s">
        <v>670</v>
      </c>
      <c r="S937"/>
      <c r="T937"/>
      <c r="U937" s="4"/>
    </row>
    <row r="938" spans="1:21" s="2" customFormat="1" hidden="1" x14ac:dyDescent="0.2">
      <c r="A938" s="2" t="s">
        <v>15</v>
      </c>
      <c r="B938" s="2" t="s">
        <v>1</v>
      </c>
      <c r="C938" s="93">
        <v>46140</v>
      </c>
      <c r="D938" s="3">
        <v>46140</v>
      </c>
      <c r="E938" s="126">
        <v>46142</v>
      </c>
      <c r="F938" s="2" t="s">
        <v>77</v>
      </c>
      <c r="G938" s="300">
        <v>162.21999999999997</v>
      </c>
      <c r="H938" s="300">
        <v>0</v>
      </c>
      <c r="I938" s="300">
        <v>162.21999999999997</v>
      </c>
      <c r="J938" s="300">
        <v>124.92968249506897</v>
      </c>
      <c r="K938" s="4" t="s">
        <v>774</v>
      </c>
      <c r="L938" s="4" t="s">
        <v>890</v>
      </c>
      <c r="M938" s="4" t="s">
        <v>891</v>
      </c>
      <c r="N938" s="4" t="s">
        <v>60</v>
      </c>
      <c r="O938" s="134" t="str">
        <f>_xlfn.XLOOKUP(N938,[1]!costcategory[Account Code],[1]!costcategory[Cost Category],"ERROR")</f>
        <v>Subscription Fee</v>
      </c>
      <c r="P938" s="4" t="s">
        <v>333</v>
      </c>
      <c r="Q938" s="147" t="str">
        <f>_xlfn.XLOOKUP(P938,[1]!Table2[Department],[1]!Table2[Group],"ERROR")</f>
        <v>General &amp; Administrative</v>
      </c>
      <c r="R938" t="s">
        <v>670</v>
      </c>
      <c r="S938"/>
      <c r="T938"/>
      <c r="U938" s="4"/>
    </row>
    <row r="939" spans="1:21" s="2" customFormat="1" hidden="1" x14ac:dyDescent="0.2">
      <c r="A939" s="2" t="s">
        <v>15</v>
      </c>
      <c r="B939" s="2" t="s">
        <v>1</v>
      </c>
      <c r="C939" s="93">
        <v>46140</v>
      </c>
      <c r="D939" s="3">
        <v>46140</v>
      </c>
      <c r="E939" s="126">
        <v>46142</v>
      </c>
      <c r="F939" s="2" t="s">
        <v>77</v>
      </c>
      <c r="G939" s="300">
        <v>75.23</v>
      </c>
      <c r="H939" s="300">
        <v>0</v>
      </c>
      <c r="I939" s="300">
        <v>75.23</v>
      </c>
      <c r="J939" s="300">
        <v>57.936506066477882</v>
      </c>
      <c r="K939" s="4" t="s">
        <v>774</v>
      </c>
      <c r="L939" s="4" t="s">
        <v>890</v>
      </c>
      <c r="M939" s="4" t="s">
        <v>892</v>
      </c>
      <c r="N939" s="4" t="s">
        <v>60</v>
      </c>
      <c r="O939" s="134" t="str">
        <f>_xlfn.XLOOKUP(N939,[1]!costcategory[Account Code],[1]!costcategory[Cost Category],"ERROR")</f>
        <v>Subscription Fee</v>
      </c>
      <c r="P939" s="4" t="s">
        <v>354</v>
      </c>
      <c r="Q939" s="147" t="str">
        <f>_xlfn.XLOOKUP(P939,[1]!Table2[Department],[1]!Table2[Group],"ERROR")</f>
        <v>Sales &amp; Marketing</v>
      </c>
      <c r="R939" t="s">
        <v>670</v>
      </c>
      <c r="S939"/>
      <c r="T939"/>
      <c r="U939" s="4"/>
    </row>
    <row r="940" spans="1:21" s="2" customFormat="1" hidden="1" x14ac:dyDescent="0.2">
      <c r="A940" s="2" t="s">
        <v>15</v>
      </c>
      <c r="B940" s="2" t="s">
        <v>1</v>
      </c>
      <c r="C940" s="93">
        <v>46140</v>
      </c>
      <c r="D940" s="3">
        <v>46140</v>
      </c>
      <c r="E940" s="126">
        <v>46142</v>
      </c>
      <c r="F940" s="2" t="s">
        <v>77</v>
      </c>
      <c r="G940" s="300">
        <v>63.32</v>
      </c>
      <c r="H940" s="300">
        <v>0</v>
      </c>
      <c r="I940" s="300">
        <v>63.32</v>
      </c>
      <c r="J940" s="300">
        <v>48.764316949745833</v>
      </c>
      <c r="K940" s="4" t="s">
        <v>893</v>
      </c>
      <c r="L940" s="4" t="s">
        <v>894</v>
      </c>
      <c r="M940" s="4" t="s">
        <v>895</v>
      </c>
      <c r="N940" s="4" t="s">
        <v>657</v>
      </c>
      <c r="O940" s="134" t="str">
        <f>_xlfn.XLOOKUP(N940,[1]!costcategory[Account Code],[1]!costcategory[Cost Category],"ERROR")</f>
        <v>Intercompany</v>
      </c>
      <c r="P940" s="4" t="s">
        <v>333</v>
      </c>
      <c r="Q940" s="147" t="str">
        <f>_xlfn.XLOOKUP(P940,[1]!Table2[Department],[1]!Table2[Group],"ERROR")</f>
        <v>General &amp; Administrative</v>
      </c>
      <c r="R940" t="s">
        <v>670</v>
      </c>
      <c r="S940"/>
      <c r="T940"/>
      <c r="U940" s="4"/>
    </row>
    <row r="941" spans="1:21" s="2" customFormat="1" hidden="1" x14ac:dyDescent="0.2">
      <c r="A941" s="2" t="s">
        <v>15</v>
      </c>
      <c r="B941" s="2" t="s">
        <v>1</v>
      </c>
      <c r="C941" s="93">
        <v>46142</v>
      </c>
      <c r="D941" s="3">
        <v>46142</v>
      </c>
      <c r="E941" s="126">
        <v>46142</v>
      </c>
      <c r="F941" s="2" t="s">
        <v>77</v>
      </c>
      <c r="G941" s="300">
        <v>-8.77</v>
      </c>
      <c r="H941" s="300">
        <v>0</v>
      </c>
      <c r="I941" s="300">
        <v>-8.77</v>
      </c>
      <c r="J941" s="300">
        <v>-6.75399652004534</v>
      </c>
      <c r="K941" s="4" t="s">
        <v>670</v>
      </c>
      <c r="L941" s="4"/>
      <c r="M941" s="4" t="s">
        <v>715</v>
      </c>
      <c r="N941" s="4" t="s">
        <v>384</v>
      </c>
      <c r="O941" s="134" t="str">
        <f>_xlfn.XLOOKUP(N941,[1]!costcategory[Account Code],[1]!costcategory[Cost Category],"ERROR")</f>
        <v>Other Income</v>
      </c>
      <c r="P941" s="4" t="s">
        <v>333</v>
      </c>
      <c r="Q941" s="147" t="str">
        <f>_xlfn.XLOOKUP(P941,[1]!Table2[Department],[1]!Table2[Group],"ERROR")</f>
        <v>General &amp; Administrative</v>
      </c>
      <c r="R941" t="s">
        <v>670</v>
      </c>
      <c r="S941"/>
      <c r="T941"/>
      <c r="U941" s="4"/>
    </row>
    <row r="942" spans="1:21" s="2" customFormat="1" hidden="1" x14ac:dyDescent="0.2">
      <c r="A942" s="2" t="s">
        <v>15</v>
      </c>
      <c r="B942" s="2" t="s">
        <v>1</v>
      </c>
      <c r="C942" s="93">
        <v>46142</v>
      </c>
      <c r="D942" s="3">
        <v>46142</v>
      </c>
      <c r="E942" s="126">
        <v>46142</v>
      </c>
      <c r="F942" s="2" t="s">
        <v>77</v>
      </c>
      <c r="G942" s="300">
        <v>600</v>
      </c>
      <c r="H942" s="300">
        <v>0</v>
      </c>
      <c r="I942" s="300">
        <v>600</v>
      </c>
      <c r="J942" s="300">
        <v>462.07501847516585</v>
      </c>
      <c r="K942" s="4" t="s">
        <v>757</v>
      </c>
      <c r="L942" s="150" t="s">
        <v>1703</v>
      </c>
      <c r="M942" s="4" t="s">
        <v>896</v>
      </c>
      <c r="N942" s="4" t="s">
        <v>621</v>
      </c>
      <c r="O942" s="134" t="str">
        <f>_xlfn.XLOOKUP(N942,[1]!costcategory[Account Code],[1]!costcategory[Cost Category],"ERROR")</f>
        <v>Upkeep of Office</v>
      </c>
      <c r="P942" s="4" t="s">
        <v>340</v>
      </c>
      <c r="Q942" s="147" t="str">
        <f>_xlfn.XLOOKUP(P942,[1]!Table2[Department],[1]!Table2[Group],"ERROR")</f>
        <v>General &amp; Administrative</v>
      </c>
      <c r="R942" t="s">
        <v>670</v>
      </c>
      <c r="S942"/>
      <c r="T942"/>
      <c r="U942" s="4" t="s">
        <v>419</v>
      </c>
    </row>
    <row r="943" spans="1:21" s="2" customFormat="1" hidden="1" x14ac:dyDescent="0.2">
      <c r="A943" s="2" t="s">
        <v>15</v>
      </c>
      <c r="B943" s="2" t="s">
        <v>1</v>
      </c>
      <c r="C943" s="93">
        <v>46142</v>
      </c>
      <c r="D943" s="3">
        <v>46142</v>
      </c>
      <c r="E943" s="126">
        <v>46142</v>
      </c>
      <c r="F943" s="2" t="s">
        <v>77</v>
      </c>
      <c r="G943" s="300">
        <v>-10035.68</v>
      </c>
      <c r="H943" s="300">
        <v>0</v>
      </c>
      <c r="I943" s="300">
        <v>-10035.68</v>
      </c>
      <c r="J943" s="300">
        <v>-7728.7283690180875</v>
      </c>
      <c r="K943" s="4" t="s">
        <v>790</v>
      </c>
      <c r="L943" s="4" t="s">
        <v>897</v>
      </c>
      <c r="M943" s="4" t="s">
        <v>898</v>
      </c>
      <c r="N943" s="4" t="s">
        <v>499</v>
      </c>
      <c r="O943" s="134" t="str">
        <f>_xlfn.XLOOKUP(N943,[1]!costcategory[Account Code],[1]!costcategory[Cost Category],"ERROR")</f>
        <v>Tax Expenses (GST/SST/VAT)</v>
      </c>
      <c r="P943" s="4" t="s">
        <v>333</v>
      </c>
      <c r="Q943" s="147" t="str">
        <f>_xlfn.XLOOKUP(P943,[1]!Table2[Department],[1]!Table2[Group],"ERROR")</f>
        <v>General &amp; Administrative</v>
      </c>
      <c r="R943" t="s">
        <v>670</v>
      </c>
      <c r="S943"/>
      <c r="T943"/>
      <c r="U943" s="4"/>
    </row>
    <row r="944" spans="1:21" s="2" customFormat="1" hidden="1" x14ac:dyDescent="0.2">
      <c r="A944" s="2" t="s">
        <v>15</v>
      </c>
      <c r="B944" s="2" t="s">
        <v>1</v>
      </c>
      <c r="C944" s="93">
        <v>46142</v>
      </c>
      <c r="D944" s="3">
        <v>46142</v>
      </c>
      <c r="E944" s="126">
        <v>46142</v>
      </c>
      <c r="F944" s="2" t="s">
        <v>77</v>
      </c>
      <c r="G944" s="300"/>
      <c r="H944" s="300"/>
      <c r="I944" s="300"/>
      <c r="J944" s="300">
        <v>3962.55</v>
      </c>
      <c r="K944" s="4" t="s">
        <v>1641</v>
      </c>
      <c r="L944" s="4"/>
      <c r="M944" s="4" t="s">
        <v>420</v>
      </c>
      <c r="N944" s="4" t="s">
        <v>387</v>
      </c>
      <c r="O944" s="134" t="str">
        <f>_xlfn.XLOOKUP(N944,[1]!costcategory[Account Code],[1]!costcategory[Cost Category],"ERROR")</f>
        <v>Headcount Costs</v>
      </c>
      <c r="P944" s="4" t="s">
        <v>354</v>
      </c>
      <c r="Q944" s="147" t="str">
        <f>_xlfn.XLOOKUP(P944,[1]!Table2[Department],[1]!Table2[Group],"ERROR")</f>
        <v>Sales &amp; Marketing</v>
      </c>
      <c r="R944"/>
      <c r="S944"/>
      <c r="T944"/>
      <c r="U944" s="4"/>
    </row>
    <row r="945" spans="1:22" s="2" customFormat="1" hidden="1" x14ac:dyDescent="0.2">
      <c r="A945" s="2" t="s">
        <v>15</v>
      </c>
      <c r="B945" s="2" t="s">
        <v>1</v>
      </c>
      <c r="C945" s="93">
        <v>46142</v>
      </c>
      <c r="D945" s="3">
        <v>46142</v>
      </c>
      <c r="E945" s="126">
        <v>46142</v>
      </c>
      <c r="F945" s="2" t="s">
        <v>77</v>
      </c>
      <c r="G945" s="300"/>
      <c r="H945" s="300"/>
      <c r="I945" s="300"/>
      <c r="J945" s="300">
        <v>16605.95</v>
      </c>
      <c r="K945" s="4" t="s">
        <v>1641</v>
      </c>
      <c r="L945" s="4"/>
      <c r="M945" s="4" t="s">
        <v>420</v>
      </c>
      <c r="N945" s="4" t="s">
        <v>387</v>
      </c>
      <c r="O945" s="134" t="str">
        <f>_xlfn.XLOOKUP(N945,[1]!costcategory[Account Code],[1]!costcategory[Cost Category],"ERROR")</f>
        <v>Headcount Costs</v>
      </c>
      <c r="P945" s="4" t="s">
        <v>45</v>
      </c>
      <c r="Q945" s="147" t="str">
        <f>_xlfn.XLOOKUP(P945,[1]!Table2[Department],[1]!Table2[Group],"ERROR")</f>
        <v>DSC</v>
      </c>
      <c r="R945"/>
      <c r="S945"/>
      <c r="T945"/>
      <c r="U945" s="4"/>
    </row>
    <row r="946" spans="1:22" s="2" customFormat="1" hidden="1" x14ac:dyDescent="0.2">
      <c r="A946" s="2" t="s">
        <v>15</v>
      </c>
      <c r="B946" s="2" t="s">
        <v>1</v>
      </c>
      <c r="C946" s="93">
        <v>46142</v>
      </c>
      <c r="D946" s="3">
        <v>46142</v>
      </c>
      <c r="E946" s="126">
        <v>46142</v>
      </c>
      <c r="F946" s="2" t="s">
        <v>77</v>
      </c>
      <c r="G946" s="300"/>
      <c r="H946" s="300"/>
      <c r="I946" s="300"/>
      <c r="J946" s="300">
        <v>30647.72</v>
      </c>
      <c r="K946" s="4" t="s">
        <v>1641</v>
      </c>
      <c r="L946" s="4"/>
      <c r="M946" s="4" t="s">
        <v>420</v>
      </c>
      <c r="N946" s="4" t="s">
        <v>387</v>
      </c>
      <c r="O946" s="134" t="str">
        <f>_xlfn.XLOOKUP(N946,[1]!costcategory[Account Code],[1]!costcategory[Cost Category],"ERROR")</f>
        <v>Headcount Costs</v>
      </c>
      <c r="P946" s="4" t="s">
        <v>658</v>
      </c>
      <c r="Q946" s="147" t="str">
        <f>_xlfn.XLOOKUP(P946,[1]!Table2[Department],[1]!Table2[Group],"ERROR")</f>
        <v>Sales &amp; Marketing</v>
      </c>
      <c r="R946"/>
      <c r="S946"/>
      <c r="T946"/>
      <c r="U946" s="4"/>
    </row>
    <row r="947" spans="1:22" s="2" customFormat="1" hidden="1" x14ac:dyDescent="0.2">
      <c r="A947" s="2" t="s">
        <v>15</v>
      </c>
      <c r="B947" s="2" t="s">
        <v>1</v>
      </c>
      <c r="C947" s="93">
        <v>46142</v>
      </c>
      <c r="D947" s="3">
        <v>46142</v>
      </c>
      <c r="E947" s="126">
        <v>46142</v>
      </c>
      <c r="F947" s="2" t="s">
        <v>77</v>
      </c>
      <c r="G947" s="300"/>
      <c r="H947" s="300"/>
      <c r="I947" s="300"/>
      <c r="J947" s="300">
        <v>1873.88</v>
      </c>
      <c r="K947" s="4" t="s">
        <v>1641</v>
      </c>
      <c r="L947" s="4"/>
      <c r="M947" s="4" t="s">
        <v>420</v>
      </c>
      <c r="N947" s="4" t="s">
        <v>387</v>
      </c>
      <c r="O947" s="134" t="str">
        <f>_xlfn.XLOOKUP(N947,[1]!costcategory[Account Code],[1]!costcategory[Cost Category],"ERROR")</f>
        <v>Headcount Costs</v>
      </c>
      <c r="P947" s="4" t="s">
        <v>333</v>
      </c>
      <c r="Q947" s="147" t="str">
        <f>_xlfn.XLOOKUP(P947,[1]!Table2[Department],[1]!Table2[Group],"ERROR")</f>
        <v>General &amp; Administrative</v>
      </c>
      <c r="R947"/>
      <c r="S947"/>
      <c r="T947"/>
      <c r="U947" s="4"/>
    </row>
    <row r="948" spans="1:22" s="2" customFormat="1" hidden="1" x14ac:dyDescent="0.2">
      <c r="A948" s="2" t="s">
        <v>15</v>
      </c>
      <c r="B948" s="2" t="s">
        <v>1</v>
      </c>
      <c r="C948" s="93">
        <v>46142</v>
      </c>
      <c r="D948" s="3">
        <v>46142</v>
      </c>
      <c r="E948" s="126">
        <v>46142</v>
      </c>
      <c r="F948" s="2" t="s">
        <v>77</v>
      </c>
      <c r="G948" s="300"/>
      <c r="H948" s="300"/>
      <c r="I948" s="300"/>
      <c r="J948" s="300">
        <v>23721.02</v>
      </c>
      <c r="K948" s="4" t="s">
        <v>1641</v>
      </c>
      <c r="L948" s="4"/>
      <c r="M948" s="4" t="s">
        <v>420</v>
      </c>
      <c r="N948" s="4" t="s">
        <v>387</v>
      </c>
      <c r="O948" s="134" t="str">
        <f>_xlfn.XLOOKUP(N948,[1]!costcategory[Account Code],[1]!costcategory[Cost Category],"ERROR")</f>
        <v>Headcount Costs</v>
      </c>
      <c r="P948" s="4" t="s">
        <v>350</v>
      </c>
      <c r="Q948" s="147" t="str">
        <f>_xlfn.XLOOKUP(P948,[1]!Table2[Department],[1]!Table2[Group],"ERROR")</f>
        <v>General &amp; Administrative</v>
      </c>
      <c r="R948"/>
      <c r="S948"/>
      <c r="T948"/>
      <c r="U948" s="4"/>
    </row>
    <row r="949" spans="1:22" s="2" customFormat="1" hidden="1" x14ac:dyDescent="0.2">
      <c r="A949" s="2" t="s">
        <v>15</v>
      </c>
      <c r="B949" s="2" t="s">
        <v>1</v>
      </c>
      <c r="C949" s="93">
        <v>46142</v>
      </c>
      <c r="D949" s="3">
        <v>46142</v>
      </c>
      <c r="E949" s="126">
        <v>46142</v>
      </c>
      <c r="F949" s="2" t="s">
        <v>77</v>
      </c>
      <c r="G949" s="300"/>
      <c r="H949" s="300"/>
      <c r="I949" s="300"/>
      <c r="J949" s="300">
        <v>2958.91</v>
      </c>
      <c r="K949" s="4" t="s">
        <v>1641</v>
      </c>
      <c r="L949" s="4"/>
      <c r="M949" s="4" t="s">
        <v>420</v>
      </c>
      <c r="N949" s="4" t="s">
        <v>387</v>
      </c>
      <c r="O949" s="134" t="str">
        <f>_xlfn.XLOOKUP(N949,[1]!costcategory[Account Code],[1]!costcategory[Cost Category],"ERROR")</f>
        <v>Headcount Costs</v>
      </c>
      <c r="P949" s="4" t="s">
        <v>376</v>
      </c>
      <c r="Q949" s="147" t="str">
        <f>_xlfn.XLOOKUP(P949,[1]!Table2[Department],[1]!Table2[Group],"ERROR")</f>
        <v>General &amp; Administrative</v>
      </c>
      <c r="R949"/>
      <c r="S949"/>
      <c r="T949"/>
      <c r="U949" s="4"/>
    </row>
    <row r="950" spans="1:22" s="2" customFormat="1" hidden="1" x14ac:dyDescent="0.2">
      <c r="A950" s="2" t="s">
        <v>15</v>
      </c>
      <c r="B950" s="2" t="s">
        <v>1</v>
      </c>
      <c r="C950" s="93">
        <v>46142</v>
      </c>
      <c r="D950" s="3">
        <v>46142</v>
      </c>
      <c r="E950" s="126">
        <v>46142</v>
      </c>
      <c r="F950" s="2" t="s">
        <v>77</v>
      </c>
      <c r="G950" s="300"/>
      <c r="H950" s="300"/>
      <c r="I950" s="300"/>
      <c r="J950" s="300">
        <v>18409.72</v>
      </c>
      <c r="K950" s="4" t="s">
        <v>1641</v>
      </c>
      <c r="L950" s="4"/>
      <c r="M950" s="4" t="s">
        <v>420</v>
      </c>
      <c r="N950" s="4" t="s">
        <v>387</v>
      </c>
      <c r="O950" s="134" t="str">
        <f>_xlfn.XLOOKUP(N950,[1]!costcategory[Account Code],[1]!costcategory[Cost Category],"ERROR")</f>
        <v>Headcount Costs</v>
      </c>
      <c r="P950" s="4" t="s">
        <v>523</v>
      </c>
      <c r="Q950" s="147" t="str">
        <f>_xlfn.XLOOKUP(P950,[1]!Table2[Department],[1]!Table2[Group],"ERROR")</f>
        <v>General &amp; Administrative</v>
      </c>
      <c r="R950"/>
      <c r="S950"/>
      <c r="T950"/>
      <c r="U950" s="4"/>
    </row>
    <row r="951" spans="1:22" s="2" customFormat="1" hidden="1" x14ac:dyDescent="0.2">
      <c r="A951" s="2" t="s">
        <v>15</v>
      </c>
      <c r="B951" s="2" t="s">
        <v>1</v>
      </c>
      <c r="C951" s="93">
        <v>46142</v>
      </c>
      <c r="D951" s="3">
        <v>46142</v>
      </c>
      <c r="E951" s="126">
        <v>46142</v>
      </c>
      <c r="F951" s="2" t="s">
        <v>77</v>
      </c>
      <c r="G951" s="300"/>
      <c r="H951" s="300"/>
      <c r="I951" s="300"/>
      <c r="J951" s="300">
        <v>13228.64</v>
      </c>
      <c r="K951" s="4" t="s">
        <v>1641</v>
      </c>
      <c r="L951" s="4"/>
      <c r="M951" s="4" t="s">
        <v>420</v>
      </c>
      <c r="N951" s="4" t="s">
        <v>387</v>
      </c>
      <c r="O951" s="134" t="str">
        <f>_xlfn.XLOOKUP(N951,[1]!costcategory[Account Code],[1]!costcategory[Cost Category],"ERROR")</f>
        <v>Headcount Costs</v>
      </c>
      <c r="P951" s="4" t="s">
        <v>56</v>
      </c>
      <c r="Q951" s="147" t="str">
        <f>_xlfn.XLOOKUP(P951,[1]!Table2[Department],[1]!Table2[Group],"ERROR")</f>
        <v>Research &amp; Development</v>
      </c>
      <c r="R951"/>
      <c r="S951"/>
      <c r="T951"/>
      <c r="U951" s="4"/>
    </row>
    <row r="952" spans="1:22" s="2" customFormat="1" hidden="1" x14ac:dyDescent="0.2">
      <c r="A952" s="2" t="s">
        <v>15</v>
      </c>
      <c r="B952" s="2" t="s">
        <v>1</v>
      </c>
      <c r="C952" s="93">
        <v>46142</v>
      </c>
      <c r="D952" s="3">
        <v>46142</v>
      </c>
      <c r="E952" s="126">
        <v>46142</v>
      </c>
      <c r="F952" s="2" t="s">
        <v>77</v>
      </c>
      <c r="G952" s="300"/>
      <c r="H952" s="300"/>
      <c r="I952" s="300"/>
      <c r="J952" s="300">
        <v>23459.79</v>
      </c>
      <c r="K952" s="4" t="s">
        <v>1641</v>
      </c>
      <c r="L952" s="4"/>
      <c r="M952" s="4" t="s">
        <v>420</v>
      </c>
      <c r="N952" s="4" t="s">
        <v>387</v>
      </c>
      <c r="O952" s="134" t="str">
        <f>_xlfn.XLOOKUP(N952,[1]!costcategory[Account Code],[1]!costcategory[Cost Category],"ERROR")</f>
        <v>Headcount Costs</v>
      </c>
      <c r="P952" s="4" t="s">
        <v>59</v>
      </c>
      <c r="Q952" s="147" t="str">
        <f>_xlfn.XLOOKUP(P952,[1]!Table2[Department],[1]!Table2[Group],"ERROR")</f>
        <v>Research &amp; Development</v>
      </c>
      <c r="R952"/>
      <c r="S952"/>
      <c r="T952"/>
      <c r="U952" s="4"/>
    </row>
    <row r="953" spans="1:22" s="2" customFormat="1" hidden="1" x14ac:dyDescent="0.2">
      <c r="A953" s="2" t="s">
        <v>15</v>
      </c>
      <c r="B953" s="2" t="s">
        <v>1</v>
      </c>
      <c r="C953" s="93">
        <v>46142</v>
      </c>
      <c r="D953" s="3">
        <v>46142</v>
      </c>
      <c r="E953" s="126">
        <v>46142</v>
      </c>
      <c r="F953" s="2" t="s">
        <v>77</v>
      </c>
      <c r="G953" s="300"/>
      <c r="H953" s="300"/>
      <c r="I953" s="300"/>
      <c r="J953" s="300">
        <v>12983.34</v>
      </c>
      <c r="K953" s="4" t="s">
        <v>1641</v>
      </c>
      <c r="L953" s="4"/>
      <c r="M953" s="4" t="s">
        <v>420</v>
      </c>
      <c r="N953" s="4" t="s">
        <v>387</v>
      </c>
      <c r="O953" s="134" t="str">
        <f>_xlfn.XLOOKUP(N953,[1]!costcategory[Account Code],[1]!costcategory[Cost Category],"ERROR")</f>
        <v>Headcount Costs</v>
      </c>
      <c r="P953" s="4" t="s">
        <v>438</v>
      </c>
      <c r="Q953" s="147" t="str">
        <f>_xlfn.XLOOKUP(P953,[1]!Table2[Department],[1]!Table2[Group],"ERROR")</f>
        <v>Sales &amp; Marketing</v>
      </c>
      <c r="R953"/>
      <c r="S953"/>
      <c r="T953"/>
      <c r="U953" s="4"/>
    </row>
    <row r="954" spans="1:22" customFormat="1" hidden="1" x14ac:dyDescent="0.2">
      <c r="A954" s="2" t="s">
        <v>15</v>
      </c>
      <c r="B954" s="2" t="s">
        <v>1</v>
      </c>
      <c r="C954" s="93">
        <v>46143</v>
      </c>
      <c r="D954" s="3">
        <v>46143</v>
      </c>
      <c r="E954" s="126">
        <v>46142</v>
      </c>
      <c r="F954" s="2" t="s">
        <v>77</v>
      </c>
      <c r="G954" s="300">
        <v>26042.28</v>
      </c>
      <c r="H954" s="300">
        <v>0</v>
      </c>
      <c r="I954" s="300">
        <v>26042.28</v>
      </c>
      <c r="J954" s="300">
        <v>20055.811686892401</v>
      </c>
      <c r="K954" s="4" t="s">
        <v>759</v>
      </c>
      <c r="L954" s="4" t="s">
        <v>899</v>
      </c>
      <c r="M954" s="4" t="s">
        <v>900</v>
      </c>
      <c r="N954" s="4" t="s">
        <v>409</v>
      </c>
      <c r="O954" s="134" t="str">
        <f>_xlfn.XLOOKUP(N954,[1]!costcategory[Account Code],[1]!costcategory[Cost Category],"ERROR")</f>
        <v>Rental</v>
      </c>
      <c r="P954" s="4" t="s">
        <v>340</v>
      </c>
      <c r="Q954" s="147" t="str">
        <f>_xlfn.XLOOKUP(P954,[1]!Table2[Department],[1]!Table2[Group],"ERROR")</f>
        <v>General &amp; Administrative</v>
      </c>
      <c r="R954" t="s">
        <v>670</v>
      </c>
      <c r="U954" s="4"/>
      <c r="V954" s="2"/>
    </row>
    <row r="955" spans="1:22" customFormat="1" hidden="1" x14ac:dyDescent="0.2">
      <c r="A955" s="2" t="s">
        <v>15</v>
      </c>
      <c r="B955" s="2" t="s">
        <v>1</v>
      </c>
      <c r="C955" s="93">
        <v>46129</v>
      </c>
      <c r="D955" s="3">
        <v>46144</v>
      </c>
      <c r="E955" s="126">
        <v>46142</v>
      </c>
      <c r="F955" s="2" t="s">
        <v>77</v>
      </c>
      <c r="G955" s="300">
        <v>140.35</v>
      </c>
      <c r="H955" s="300">
        <v>0</v>
      </c>
      <c r="I955" s="300">
        <v>140.35</v>
      </c>
      <c r="J955" s="300">
        <v>108.08704807164921</v>
      </c>
      <c r="K955" s="4" t="s">
        <v>667</v>
      </c>
      <c r="L955" s="4" t="s">
        <v>901</v>
      </c>
      <c r="M955" s="4" t="s">
        <v>902</v>
      </c>
      <c r="N955" s="4" t="s">
        <v>58</v>
      </c>
      <c r="O955" s="134" t="str">
        <f>_xlfn.XLOOKUP(N955,[1]!costcategory[Account Code],[1]!costcategory[Cost Category],"ERROR")</f>
        <v>Network &amp; Server</v>
      </c>
      <c r="P955" s="4" t="s">
        <v>376</v>
      </c>
      <c r="Q955" s="147" t="str">
        <f>_xlfn.XLOOKUP(P955,[1]!Table2[Department],[1]!Table2[Group],"ERROR")</f>
        <v>General &amp; Administrative</v>
      </c>
      <c r="R955" t="s">
        <v>670</v>
      </c>
      <c r="U955" s="4"/>
      <c r="V955" s="2"/>
    </row>
    <row r="956" spans="1:22" customFormat="1" hidden="1" x14ac:dyDescent="0.2">
      <c r="A956" s="2" t="s">
        <v>15</v>
      </c>
      <c r="B956" s="2" t="s">
        <v>1</v>
      </c>
      <c r="C956" s="93">
        <v>46129</v>
      </c>
      <c r="D956" s="3">
        <v>46159</v>
      </c>
      <c r="E956" s="126">
        <v>46142</v>
      </c>
      <c r="F956" s="2" t="s">
        <v>77</v>
      </c>
      <c r="G956" s="300">
        <v>287.06</v>
      </c>
      <c r="H956" s="300">
        <v>0</v>
      </c>
      <c r="I956" s="300">
        <v>287.06</v>
      </c>
      <c r="J956" s="300">
        <v>221.07209133913517</v>
      </c>
      <c r="K956" s="4" t="s">
        <v>903</v>
      </c>
      <c r="L956" s="4" t="s">
        <v>904</v>
      </c>
      <c r="M956" s="4" t="s">
        <v>905</v>
      </c>
      <c r="N956" s="4" t="s">
        <v>349</v>
      </c>
      <c r="O956" s="134" t="str">
        <f>_xlfn.XLOOKUP(N956,[1]!costcategory[Account Code],[1]!costcategory[Cost Category],"ERROR")</f>
        <v>Employee Benefits</v>
      </c>
      <c r="P956" s="4" t="s">
        <v>340</v>
      </c>
      <c r="Q956" s="147" t="str">
        <f>_xlfn.XLOOKUP(P956,[1]!Table2[Department],[1]!Table2[Group],"ERROR")</f>
        <v>General &amp; Administrative</v>
      </c>
      <c r="R956" t="s">
        <v>670</v>
      </c>
      <c r="U956" s="4"/>
      <c r="V956" s="2"/>
    </row>
    <row r="957" spans="1:22" customFormat="1" hidden="1" x14ac:dyDescent="0.2">
      <c r="A957" s="2" t="s">
        <v>15</v>
      </c>
      <c r="B957" s="2" t="s">
        <v>1</v>
      </c>
      <c r="C957" s="93">
        <v>46146</v>
      </c>
      <c r="D957" s="3">
        <v>46146</v>
      </c>
      <c r="E957" s="126">
        <v>46146</v>
      </c>
      <c r="F957" s="2" t="s">
        <v>77</v>
      </c>
      <c r="G957" s="300">
        <v>10</v>
      </c>
      <c r="H957" s="300">
        <v>0</v>
      </c>
      <c r="I957" s="301">
        <f>SUM(G957:H957)</f>
        <v>10</v>
      </c>
      <c r="J957" s="300">
        <v>0.30225956240240875</v>
      </c>
      <c r="K957" s="4" t="s">
        <v>670</v>
      </c>
      <c r="L957" s="4" t="s">
        <v>906</v>
      </c>
      <c r="M957" s="4" t="s">
        <v>332</v>
      </c>
      <c r="N957" s="4" t="s">
        <v>332</v>
      </c>
      <c r="O957" s="134" t="str">
        <f>_xlfn.XLOOKUP(N957,[1]!costcategory[Account Code],[1]!costcategory[Cost Category],"ERROR")</f>
        <v>Bank Charges</v>
      </c>
      <c r="P957" s="4" t="s">
        <v>333</v>
      </c>
      <c r="Q957" s="147" t="str">
        <f>_xlfn.XLOOKUP(P957,[1]!Table2[Department],[1]!Table2[Group],"ERROR")</f>
        <v>General &amp; Administrative</v>
      </c>
      <c r="R957" t="s">
        <v>670</v>
      </c>
      <c r="U957" s="4"/>
      <c r="V957" s="2"/>
    </row>
    <row r="958" spans="1:22" customFormat="1" hidden="1" x14ac:dyDescent="0.2">
      <c r="A958" s="2" t="s">
        <v>15</v>
      </c>
      <c r="B958" s="2" t="s">
        <v>1</v>
      </c>
      <c r="C958" s="93">
        <v>46142</v>
      </c>
      <c r="D958" s="3">
        <v>46142</v>
      </c>
      <c r="E958" s="126">
        <v>46148</v>
      </c>
      <c r="F958" s="2" t="s">
        <v>77</v>
      </c>
      <c r="G958" s="300"/>
      <c r="H958" s="300"/>
      <c r="I958" s="300"/>
      <c r="J958" s="300">
        <v>1.55</v>
      </c>
      <c r="K958" s="4" t="s">
        <v>1641</v>
      </c>
      <c r="L958" s="4"/>
      <c r="M958" s="4" t="s">
        <v>420</v>
      </c>
      <c r="N958" s="4" t="s">
        <v>387</v>
      </c>
      <c r="O958" s="134" t="str">
        <f>_xlfn.XLOOKUP(N958,[1]!costcategory[Account Code],[1]!costcategory[Cost Category],"ERROR")</f>
        <v>Headcount Costs</v>
      </c>
      <c r="P958" s="4" t="s">
        <v>354</v>
      </c>
      <c r="Q958" s="147" t="str">
        <f>_xlfn.XLOOKUP(P958,[1]!Table2[Department],[1]!Table2[Group],"ERROR")</f>
        <v>Sales &amp; Marketing</v>
      </c>
      <c r="U958" s="4"/>
      <c r="V958" s="2"/>
    </row>
    <row r="959" spans="1:22" customFormat="1" hidden="1" x14ac:dyDescent="0.2">
      <c r="A959" s="2" t="s">
        <v>15</v>
      </c>
      <c r="B959" s="2" t="s">
        <v>1</v>
      </c>
      <c r="C959" s="93">
        <v>46142</v>
      </c>
      <c r="D959" s="3">
        <v>46142</v>
      </c>
      <c r="E959" s="126">
        <v>46148</v>
      </c>
      <c r="F959" s="2" t="s">
        <v>77</v>
      </c>
      <c r="G959" s="300"/>
      <c r="H959" s="300"/>
      <c r="I959" s="300"/>
      <c r="J959" s="300">
        <v>1841.94</v>
      </c>
      <c r="K959" s="4" t="s">
        <v>1641</v>
      </c>
      <c r="L959" s="4"/>
      <c r="M959" s="4" t="s">
        <v>1702</v>
      </c>
      <c r="N959" s="4" t="s">
        <v>364</v>
      </c>
      <c r="O959" s="134" t="str">
        <f>_xlfn.XLOOKUP(N959,[1]!costcategory[Account Code],[1]!costcategory[Cost Category],"ERROR")</f>
        <v>Headcount Costs</v>
      </c>
      <c r="P959" s="4" t="s">
        <v>354</v>
      </c>
      <c r="Q959" s="147" t="str">
        <f>_xlfn.XLOOKUP(P959,[1]!Table2[Department],[1]!Table2[Group],"ERROR")</f>
        <v>Sales &amp; Marketing</v>
      </c>
      <c r="U959" s="4"/>
      <c r="V959" s="2"/>
    </row>
    <row r="960" spans="1:22" customFormat="1" hidden="1" x14ac:dyDescent="0.2">
      <c r="A960" s="2" t="s">
        <v>15</v>
      </c>
      <c r="B960" s="2" t="s">
        <v>1</v>
      </c>
      <c r="C960" s="93">
        <v>46142</v>
      </c>
      <c r="D960" s="3">
        <v>46142</v>
      </c>
      <c r="E960" s="126">
        <v>46148</v>
      </c>
      <c r="F960" s="2" t="s">
        <v>77</v>
      </c>
      <c r="G960" s="300"/>
      <c r="H960" s="300"/>
      <c r="I960" s="300"/>
      <c r="J960" s="300">
        <v>5.43</v>
      </c>
      <c r="K960" s="4" t="s">
        <v>1641</v>
      </c>
      <c r="L960" s="4"/>
      <c r="M960" s="4" t="s">
        <v>420</v>
      </c>
      <c r="N960" s="4" t="s">
        <v>387</v>
      </c>
      <c r="O960" s="134" t="str">
        <f>_xlfn.XLOOKUP(N960,[1]!costcategory[Account Code],[1]!costcategory[Cost Category],"ERROR")</f>
        <v>Headcount Costs</v>
      </c>
      <c r="P960" s="4" t="s">
        <v>45</v>
      </c>
      <c r="Q960" s="147" t="str">
        <f>_xlfn.XLOOKUP(P960,[1]!Table2[Department],[1]!Table2[Group],"ERROR")</f>
        <v>DSC</v>
      </c>
      <c r="U960" s="4"/>
      <c r="V960" s="2"/>
    </row>
    <row r="961" spans="1:22" customFormat="1" hidden="1" x14ac:dyDescent="0.2">
      <c r="A961" s="2" t="s">
        <v>15</v>
      </c>
      <c r="B961" s="2" t="s">
        <v>1</v>
      </c>
      <c r="C961" s="93">
        <v>46142</v>
      </c>
      <c r="D961" s="3">
        <v>46142</v>
      </c>
      <c r="E961" s="126">
        <v>46148</v>
      </c>
      <c r="F961" s="2" t="s">
        <v>77</v>
      </c>
      <c r="G961" s="300"/>
      <c r="H961" s="300"/>
      <c r="I961" s="300"/>
      <c r="J961" s="300">
        <v>5757.01</v>
      </c>
      <c r="K961" s="4" t="s">
        <v>1641</v>
      </c>
      <c r="L961" s="4"/>
      <c r="M961" s="4" t="s">
        <v>1702</v>
      </c>
      <c r="N961" s="4" t="s">
        <v>364</v>
      </c>
      <c r="O961" s="134" t="str">
        <f>_xlfn.XLOOKUP(N961,[1]!costcategory[Account Code],[1]!costcategory[Cost Category],"ERROR")</f>
        <v>Headcount Costs</v>
      </c>
      <c r="P961" s="4" t="s">
        <v>45</v>
      </c>
      <c r="Q961" s="147" t="str">
        <f>_xlfn.XLOOKUP(P961,[1]!Table2[Department],[1]!Table2[Group],"ERROR")</f>
        <v>DSC</v>
      </c>
      <c r="U961" s="4"/>
      <c r="V961" s="2"/>
    </row>
    <row r="962" spans="1:22" customFormat="1" hidden="1" x14ac:dyDescent="0.2">
      <c r="A962" s="2" t="s">
        <v>15</v>
      </c>
      <c r="B962" s="2" t="s">
        <v>1</v>
      </c>
      <c r="C962" s="93">
        <v>46142</v>
      </c>
      <c r="D962" s="3">
        <v>46142</v>
      </c>
      <c r="E962" s="126">
        <v>46148</v>
      </c>
      <c r="F962" s="2" t="s">
        <v>77</v>
      </c>
      <c r="G962" s="300"/>
      <c r="H962" s="300"/>
      <c r="I962" s="300"/>
      <c r="J962" s="300">
        <v>2.33</v>
      </c>
      <c r="K962" s="4" t="s">
        <v>1641</v>
      </c>
      <c r="L962" s="4"/>
      <c r="M962" s="4" t="s">
        <v>420</v>
      </c>
      <c r="N962" s="4" t="s">
        <v>387</v>
      </c>
      <c r="O962" s="134" t="str">
        <f>_xlfn.XLOOKUP(N962,[1]!costcategory[Account Code],[1]!costcategory[Cost Category],"ERROR")</f>
        <v>Headcount Costs</v>
      </c>
      <c r="P962" s="4" t="s">
        <v>658</v>
      </c>
      <c r="Q962" s="147" t="str">
        <f>_xlfn.XLOOKUP(P962,[1]!Table2[Department],[1]!Table2[Group],"ERROR")</f>
        <v>Sales &amp; Marketing</v>
      </c>
      <c r="U962" s="4"/>
      <c r="V962" s="2"/>
    </row>
    <row r="963" spans="1:22" customFormat="1" hidden="1" x14ac:dyDescent="0.2">
      <c r="A963" s="2" t="s">
        <v>15</v>
      </c>
      <c r="B963" s="2" t="s">
        <v>1</v>
      </c>
      <c r="C963" s="93">
        <v>46142</v>
      </c>
      <c r="D963" s="3">
        <v>46142</v>
      </c>
      <c r="E963" s="126">
        <v>46148</v>
      </c>
      <c r="F963" s="2" t="s">
        <v>77</v>
      </c>
      <c r="G963" s="300"/>
      <c r="H963" s="300"/>
      <c r="I963" s="300"/>
      <c r="J963" s="300">
        <v>2311.87</v>
      </c>
      <c r="K963" s="4" t="s">
        <v>1641</v>
      </c>
      <c r="L963" s="4"/>
      <c r="M963" s="4" t="s">
        <v>1702</v>
      </c>
      <c r="N963" s="4" t="s">
        <v>364</v>
      </c>
      <c r="O963" s="134" t="str">
        <f>_xlfn.XLOOKUP(N963,[1]!costcategory[Account Code],[1]!costcategory[Cost Category],"ERROR")</f>
        <v>Headcount Costs</v>
      </c>
      <c r="P963" s="4" t="s">
        <v>658</v>
      </c>
      <c r="Q963" s="147" t="str">
        <f>_xlfn.XLOOKUP(P963,[1]!Table2[Department],[1]!Table2[Group],"ERROR")</f>
        <v>Sales &amp; Marketing</v>
      </c>
      <c r="U963" s="4"/>
      <c r="V963" s="2"/>
    </row>
    <row r="964" spans="1:22" customFormat="1" hidden="1" x14ac:dyDescent="0.2">
      <c r="A964" s="2" t="s">
        <v>15</v>
      </c>
      <c r="B964" s="2" t="s">
        <v>1</v>
      </c>
      <c r="C964" s="93">
        <v>46142</v>
      </c>
      <c r="D964" s="3">
        <v>46142</v>
      </c>
      <c r="E964" s="126">
        <v>46148</v>
      </c>
      <c r="F964" s="2" t="s">
        <v>77</v>
      </c>
      <c r="G964" s="300"/>
      <c r="H964" s="300"/>
      <c r="I964" s="300"/>
      <c r="J964" s="300">
        <v>0.78</v>
      </c>
      <c r="K964" s="4" t="s">
        <v>1641</v>
      </c>
      <c r="L964" s="4"/>
      <c r="M964" s="4" t="s">
        <v>420</v>
      </c>
      <c r="N964" s="4" t="s">
        <v>387</v>
      </c>
      <c r="O964" s="134" t="str">
        <f>_xlfn.XLOOKUP(N964,[1]!costcategory[Account Code],[1]!costcategory[Cost Category],"ERROR")</f>
        <v>Headcount Costs</v>
      </c>
      <c r="P964" s="4" t="s">
        <v>333</v>
      </c>
      <c r="Q964" s="147" t="str">
        <f>_xlfn.XLOOKUP(P964,[1]!Table2[Department],[1]!Table2[Group],"ERROR")</f>
        <v>General &amp; Administrative</v>
      </c>
      <c r="U964" s="4"/>
      <c r="V964" s="2"/>
    </row>
    <row r="965" spans="1:22" customFormat="1" hidden="1" x14ac:dyDescent="0.2">
      <c r="A965" s="2" t="s">
        <v>15</v>
      </c>
      <c r="B965" s="2" t="s">
        <v>1</v>
      </c>
      <c r="C965" s="93">
        <v>46142</v>
      </c>
      <c r="D965" s="3">
        <v>46142</v>
      </c>
      <c r="E965" s="126">
        <v>46148</v>
      </c>
      <c r="F965" s="2" t="s">
        <v>77</v>
      </c>
      <c r="G965" s="300"/>
      <c r="H965" s="300"/>
      <c r="I965" s="300"/>
      <c r="J965" s="300">
        <v>182.44</v>
      </c>
      <c r="K965" s="4" t="s">
        <v>1641</v>
      </c>
      <c r="L965" s="4"/>
      <c r="M965" s="4" t="s">
        <v>1702</v>
      </c>
      <c r="N965" s="4" t="s">
        <v>364</v>
      </c>
      <c r="O965" s="134" t="str">
        <f>_xlfn.XLOOKUP(N965,[1]!costcategory[Account Code],[1]!costcategory[Cost Category],"ERROR")</f>
        <v>Headcount Costs</v>
      </c>
      <c r="P965" s="4" t="s">
        <v>333</v>
      </c>
      <c r="Q965" s="147" t="str">
        <f>_xlfn.XLOOKUP(P965,[1]!Table2[Department],[1]!Table2[Group],"ERROR")</f>
        <v>General &amp; Administrative</v>
      </c>
      <c r="U965" s="4"/>
      <c r="V965" s="2"/>
    </row>
    <row r="966" spans="1:22" customFormat="1" hidden="1" x14ac:dyDescent="0.2">
      <c r="A966" s="2" t="s">
        <v>15</v>
      </c>
      <c r="B966" s="2" t="s">
        <v>1</v>
      </c>
      <c r="C966" s="93">
        <v>46142</v>
      </c>
      <c r="D966" s="3">
        <v>46142</v>
      </c>
      <c r="E966" s="126">
        <v>46148</v>
      </c>
      <c r="F966" s="2" t="s">
        <v>77</v>
      </c>
      <c r="G966" s="300"/>
      <c r="H966" s="300"/>
      <c r="I966" s="300"/>
      <c r="J966" s="300">
        <v>3.88</v>
      </c>
      <c r="K966" s="4" t="s">
        <v>1641</v>
      </c>
      <c r="L966" s="4"/>
      <c r="M966" s="4" t="s">
        <v>420</v>
      </c>
      <c r="N966" s="4" t="s">
        <v>387</v>
      </c>
      <c r="O966" s="134" t="str">
        <f>_xlfn.XLOOKUP(N966,[1]!costcategory[Account Code],[1]!costcategory[Cost Category],"ERROR")</f>
        <v>Headcount Costs</v>
      </c>
      <c r="P966" s="4" t="s">
        <v>350</v>
      </c>
      <c r="Q966" s="147" t="str">
        <f>_xlfn.XLOOKUP(P966,[1]!Table2[Department],[1]!Table2[Group],"ERROR")</f>
        <v>General &amp; Administrative</v>
      </c>
      <c r="U966" s="4"/>
      <c r="V966" s="2"/>
    </row>
    <row r="967" spans="1:22" customFormat="1" hidden="1" x14ac:dyDescent="0.2">
      <c r="A967" s="2" t="s">
        <v>15</v>
      </c>
      <c r="B967" s="2" t="s">
        <v>1</v>
      </c>
      <c r="C967" s="93">
        <v>46142</v>
      </c>
      <c r="D967" s="3">
        <v>46142</v>
      </c>
      <c r="E967" s="126">
        <v>46148</v>
      </c>
      <c r="F967" s="2" t="s">
        <v>77</v>
      </c>
      <c r="G967" s="300"/>
      <c r="H967" s="300"/>
      <c r="I967" s="300"/>
      <c r="J967" s="300">
        <v>5854.29</v>
      </c>
      <c r="K967" s="4" t="s">
        <v>1641</v>
      </c>
      <c r="L967" s="4"/>
      <c r="M967" s="4" t="s">
        <v>1702</v>
      </c>
      <c r="N967" s="4" t="s">
        <v>364</v>
      </c>
      <c r="O967" s="134" t="str">
        <f>_xlfn.XLOOKUP(N967,[1]!costcategory[Account Code],[1]!costcategory[Cost Category],"ERROR")</f>
        <v>Headcount Costs</v>
      </c>
      <c r="P967" s="4" t="s">
        <v>350</v>
      </c>
      <c r="Q967" s="147" t="str">
        <f>_xlfn.XLOOKUP(P967,[1]!Table2[Department],[1]!Table2[Group],"ERROR")</f>
        <v>General &amp; Administrative</v>
      </c>
      <c r="U967" s="4"/>
      <c r="V967" s="2"/>
    </row>
    <row r="968" spans="1:22" customFormat="1" hidden="1" x14ac:dyDescent="0.2">
      <c r="A968" s="2" t="s">
        <v>15</v>
      </c>
      <c r="B968" s="2" t="s">
        <v>1</v>
      </c>
      <c r="C968" s="93">
        <v>46142</v>
      </c>
      <c r="D968" s="3">
        <v>46142</v>
      </c>
      <c r="E968" s="126">
        <v>46148</v>
      </c>
      <c r="F968" s="2" t="s">
        <v>77</v>
      </c>
      <c r="G968" s="300"/>
      <c r="H968" s="300"/>
      <c r="I968" s="300"/>
      <c r="J968" s="300">
        <v>1.1599999999999999</v>
      </c>
      <c r="K968" s="4" t="s">
        <v>1641</v>
      </c>
      <c r="L968" s="4"/>
      <c r="M968" s="4" t="s">
        <v>420</v>
      </c>
      <c r="N968" s="4" t="s">
        <v>387</v>
      </c>
      <c r="O968" s="134" t="str">
        <f>_xlfn.XLOOKUP(N968,[1]!costcategory[Account Code],[1]!costcategory[Cost Category],"ERROR")</f>
        <v>Headcount Costs</v>
      </c>
      <c r="P968" s="4" t="s">
        <v>376</v>
      </c>
      <c r="Q968" s="147" t="str">
        <f>_xlfn.XLOOKUP(P968,[1]!Table2[Department],[1]!Table2[Group],"ERROR")</f>
        <v>General &amp; Administrative</v>
      </c>
      <c r="U968" s="4"/>
      <c r="V968" s="2"/>
    </row>
    <row r="969" spans="1:22" customFormat="1" hidden="1" x14ac:dyDescent="0.2">
      <c r="A969" s="2" t="s">
        <v>15</v>
      </c>
      <c r="B969" s="2" t="s">
        <v>1</v>
      </c>
      <c r="C969" s="93">
        <v>46142</v>
      </c>
      <c r="D969" s="3">
        <v>46142</v>
      </c>
      <c r="E969" s="126">
        <v>46148</v>
      </c>
      <c r="F969" s="2" t="s">
        <v>77</v>
      </c>
      <c r="G969" s="300"/>
      <c r="H969" s="300"/>
      <c r="I969" s="300"/>
      <c r="J969" s="300">
        <v>1377.63</v>
      </c>
      <c r="K969" s="4" t="s">
        <v>1641</v>
      </c>
      <c r="L969" s="4"/>
      <c r="M969" s="4" t="s">
        <v>1702</v>
      </c>
      <c r="N969" s="4" t="s">
        <v>364</v>
      </c>
      <c r="O969" s="134" t="str">
        <f>_xlfn.XLOOKUP(N969,[1]!costcategory[Account Code],[1]!costcategory[Cost Category],"ERROR")</f>
        <v>Headcount Costs</v>
      </c>
      <c r="P969" s="4" t="s">
        <v>376</v>
      </c>
      <c r="Q969" s="147" t="str">
        <f>_xlfn.XLOOKUP(P969,[1]!Table2[Department],[1]!Table2[Group],"ERROR")</f>
        <v>General &amp; Administrative</v>
      </c>
      <c r="U969" s="4"/>
      <c r="V969" s="2"/>
    </row>
    <row r="970" spans="1:22" hidden="1" x14ac:dyDescent="0.2">
      <c r="A970" s="2" t="s">
        <v>15</v>
      </c>
      <c r="B970" s="2" t="s">
        <v>1</v>
      </c>
      <c r="C970" s="93">
        <v>46142</v>
      </c>
      <c r="D970" s="3">
        <v>46142</v>
      </c>
      <c r="E970" s="126">
        <v>46148</v>
      </c>
      <c r="F970" s="2" t="s">
        <v>77</v>
      </c>
      <c r="J970" s="300">
        <v>8.7200000000000006</v>
      </c>
      <c r="K970" s="4" t="s">
        <v>1641</v>
      </c>
      <c r="M970" s="4" t="s">
        <v>1702</v>
      </c>
      <c r="N970" s="4" t="s">
        <v>364</v>
      </c>
      <c r="O970" s="134" t="str">
        <f>_xlfn.XLOOKUP(N970,[1]!costcategory[Account Code],[1]!costcategory[Cost Category],"ERROR")</f>
        <v>Headcount Costs</v>
      </c>
      <c r="P970" s="4" t="s">
        <v>523</v>
      </c>
      <c r="Q970" s="147" t="str">
        <f>_xlfn.XLOOKUP(P970,[1]!Table2[Department],[1]!Table2[Group],"ERROR")</f>
        <v>General &amp; Administrative</v>
      </c>
    </row>
    <row r="971" spans="1:22" hidden="1" x14ac:dyDescent="0.2">
      <c r="A971" s="2" t="s">
        <v>15</v>
      </c>
      <c r="B971" s="2" t="s">
        <v>1</v>
      </c>
      <c r="C971" s="93">
        <v>46142</v>
      </c>
      <c r="D971" s="3">
        <v>46142</v>
      </c>
      <c r="E971" s="126">
        <v>46148</v>
      </c>
      <c r="F971" s="2" t="s">
        <v>77</v>
      </c>
      <c r="J971" s="300">
        <v>2.33</v>
      </c>
      <c r="K971" s="4" t="s">
        <v>1641</v>
      </c>
      <c r="M971" s="4" t="s">
        <v>420</v>
      </c>
      <c r="N971" s="4" t="s">
        <v>387</v>
      </c>
      <c r="O971" s="134" t="str">
        <f>_xlfn.XLOOKUP(N971,[1]!costcategory[Account Code],[1]!costcategory[Cost Category],"ERROR")</f>
        <v>Headcount Costs</v>
      </c>
      <c r="P971" s="4" t="s">
        <v>56</v>
      </c>
      <c r="Q971" s="147" t="str">
        <f>_xlfn.XLOOKUP(P971,[1]!Table2[Department],[1]!Table2[Group],"ERROR")</f>
        <v>Research &amp; Development</v>
      </c>
    </row>
    <row r="972" spans="1:22" hidden="1" x14ac:dyDescent="0.2">
      <c r="A972" s="2" t="s">
        <v>15</v>
      </c>
      <c r="B972" s="2" t="s">
        <v>1</v>
      </c>
      <c r="C972" s="93">
        <v>46142</v>
      </c>
      <c r="D972" s="3">
        <v>46142</v>
      </c>
      <c r="E972" s="126">
        <v>46148</v>
      </c>
      <c r="F972" s="2" t="s">
        <v>77</v>
      </c>
      <c r="J972" s="300">
        <v>2311.87</v>
      </c>
      <c r="K972" s="4" t="s">
        <v>1641</v>
      </c>
      <c r="M972" s="4" t="s">
        <v>1702</v>
      </c>
      <c r="N972" s="4" t="s">
        <v>364</v>
      </c>
      <c r="O972" s="134" t="str">
        <f>_xlfn.XLOOKUP(N972,[1]!costcategory[Account Code],[1]!costcategory[Cost Category],"ERROR")</f>
        <v>Headcount Costs</v>
      </c>
      <c r="P972" s="4" t="s">
        <v>56</v>
      </c>
      <c r="Q972" s="147" t="str">
        <f>_xlfn.XLOOKUP(P972,[1]!Table2[Department],[1]!Table2[Group],"ERROR")</f>
        <v>Research &amp; Development</v>
      </c>
    </row>
    <row r="973" spans="1:22" hidden="1" x14ac:dyDescent="0.2">
      <c r="A973" s="2" t="s">
        <v>15</v>
      </c>
      <c r="B973" s="2" t="s">
        <v>1</v>
      </c>
      <c r="C973" s="93">
        <v>46142</v>
      </c>
      <c r="D973" s="3">
        <v>46142</v>
      </c>
      <c r="E973" s="126">
        <v>46148</v>
      </c>
      <c r="F973" s="2" t="s">
        <v>77</v>
      </c>
      <c r="J973" s="300">
        <v>17.440000000000001</v>
      </c>
      <c r="K973" s="4" t="s">
        <v>1641</v>
      </c>
      <c r="M973" s="4" t="s">
        <v>1702</v>
      </c>
      <c r="N973" s="4" t="s">
        <v>364</v>
      </c>
      <c r="O973" s="134" t="str">
        <f>_xlfn.XLOOKUP(N973,[1]!costcategory[Account Code],[1]!costcategory[Cost Category],"ERROR")</f>
        <v>Headcount Costs</v>
      </c>
      <c r="P973" s="4" t="s">
        <v>59</v>
      </c>
      <c r="Q973" s="147" t="str">
        <f>_xlfn.XLOOKUP(P973,[1]!Table2[Department],[1]!Table2[Group],"ERROR")</f>
        <v>Research &amp; Development</v>
      </c>
    </row>
    <row r="974" spans="1:22" hidden="1" x14ac:dyDescent="0.2">
      <c r="A974" s="2" t="s">
        <v>15</v>
      </c>
      <c r="B974" s="2" t="s">
        <v>1</v>
      </c>
      <c r="C974" s="93">
        <v>46142</v>
      </c>
      <c r="D974" s="3">
        <v>46142</v>
      </c>
      <c r="E974" s="126">
        <v>46148</v>
      </c>
      <c r="F974" s="2" t="s">
        <v>77</v>
      </c>
      <c r="J974" s="300">
        <v>3.88</v>
      </c>
      <c r="K974" s="4" t="s">
        <v>1641</v>
      </c>
      <c r="M974" s="4" t="s">
        <v>420</v>
      </c>
      <c r="N974" s="4" t="s">
        <v>387</v>
      </c>
      <c r="O974" s="134" t="str">
        <f>_xlfn.XLOOKUP(N974,[1]!costcategory[Account Code],[1]!costcategory[Cost Category],"ERROR")</f>
        <v>Headcount Costs</v>
      </c>
      <c r="P974" s="4" t="s">
        <v>438</v>
      </c>
      <c r="Q974" s="147" t="str">
        <f>_xlfn.XLOOKUP(P974,[1]!Table2[Department],[1]!Table2[Group],"ERROR")</f>
        <v>Sales &amp; Marketing</v>
      </c>
    </row>
    <row r="975" spans="1:22" hidden="1" x14ac:dyDescent="0.2">
      <c r="A975" s="2" t="s">
        <v>15</v>
      </c>
      <c r="B975" s="2" t="s">
        <v>1</v>
      </c>
      <c r="C975" s="93">
        <v>46142</v>
      </c>
      <c r="D975" s="3">
        <v>46142</v>
      </c>
      <c r="E975" s="126">
        <v>46148</v>
      </c>
      <c r="F975" s="2" t="s">
        <v>77</v>
      </c>
      <c r="J975" s="300">
        <v>3757.48</v>
      </c>
      <c r="K975" s="4" t="s">
        <v>1641</v>
      </c>
      <c r="M975" s="4" t="s">
        <v>1702</v>
      </c>
      <c r="N975" s="4" t="s">
        <v>364</v>
      </c>
      <c r="O975" s="134" t="str">
        <f>_xlfn.XLOOKUP(N975,[1]!costcategory[Account Code],[1]!costcategory[Cost Category],"ERROR")</f>
        <v>Headcount Costs</v>
      </c>
      <c r="P975" s="4" t="s">
        <v>438</v>
      </c>
      <c r="Q975" s="147" t="str">
        <f>_xlfn.XLOOKUP(P975,[1]!Table2[Department],[1]!Table2[Group],"ERROR")</f>
        <v>Sales &amp; Marketing</v>
      </c>
    </row>
    <row r="976" spans="1:22" hidden="1" x14ac:dyDescent="0.2">
      <c r="A976" s="2" t="s">
        <v>15</v>
      </c>
      <c r="B976" s="2" t="s">
        <v>1</v>
      </c>
      <c r="C976" s="93">
        <v>46142</v>
      </c>
      <c r="D976" s="3">
        <v>46148</v>
      </c>
      <c r="E976" s="126">
        <v>46148</v>
      </c>
      <c r="F976" s="2" t="s">
        <v>77</v>
      </c>
      <c r="G976" s="300">
        <v>30241.5</v>
      </c>
      <c r="H976" s="300" t="s">
        <v>1700</v>
      </c>
      <c r="I976" s="300">
        <v>30241.5</v>
      </c>
      <c r="J976" s="300">
        <v>23441.58</v>
      </c>
      <c r="K976" s="4" t="s">
        <v>672</v>
      </c>
      <c r="L976" s="4" t="s">
        <v>907</v>
      </c>
      <c r="M976" s="4" t="s">
        <v>908</v>
      </c>
      <c r="N976" s="4" t="s">
        <v>387</v>
      </c>
      <c r="O976" s="134" t="str">
        <f>_xlfn.XLOOKUP(N976,[1]!costcategory[Account Code],[1]!costcategory[Cost Category],"ERROR")</f>
        <v>Headcount Costs</v>
      </c>
      <c r="P976" s="4" t="s">
        <v>350</v>
      </c>
      <c r="Q976" s="147" t="str">
        <f>_xlfn.XLOOKUP(P976,[1]!Table2[Department],[1]!Table2[Group],"ERROR")</f>
        <v>General &amp; Administrative</v>
      </c>
      <c r="R976" t="s">
        <v>670</v>
      </c>
    </row>
    <row r="977" spans="1:24" hidden="1" x14ac:dyDescent="0.2">
      <c r="A977" s="2" t="s">
        <v>15</v>
      </c>
      <c r="B977" s="2" t="s">
        <v>1</v>
      </c>
      <c r="C977" s="93">
        <v>46084</v>
      </c>
      <c r="D977" s="3">
        <v>46114</v>
      </c>
      <c r="E977" s="126">
        <v>46149</v>
      </c>
      <c r="F977" s="2" t="s">
        <v>77</v>
      </c>
      <c r="G977" s="300">
        <v>-8866.67</v>
      </c>
      <c r="H977" s="300">
        <v>-798</v>
      </c>
      <c r="I977" s="300">
        <v>-9664.67</v>
      </c>
      <c r="J977" s="300">
        <v>-7491.53</v>
      </c>
      <c r="K977" s="4" t="s">
        <v>105</v>
      </c>
      <c r="L977" s="4" t="s">
        <v>132</v>
      </c>
      <c r="M977" s="4" t="s">
        <v>909</v>
      </c>
      <c r="N977" s="4" t="s">
        <v>382</v>
      </c>
      <c r="O977" s="134" t="str">
        <f>_xlfn.XLOOKUP(N977,[1]!costcategory[Account Code],[1]!costcategory[Cost Category],"ERROR")</f>
        <v>Revenue</v>
      </c>
      <c r="P977" s="4" t="s">
        <v>438</v>
      </c>
      <c r="Q977" s="147" t="str">
        <f>_xlfn.XLOOKUP(P977,[1]!Table2[Department],[1]!Table2[Group],"ERROR")</f>
        <v>Sales &amp; Marketing</v>
      </c>
      <c r="R977" t="s">
        <v>670</v>
      </c>
    </row>
    <row r="978" spans="1:24" hidden="1" x14ac:dyDescent="0.2">
      <c r="A978" s="2" t="s">
        <v>15</v>
      </c>
      <c r="B978" s="2" t="s">
        <v>1</v>
      </c>
      <c r="C978" s="93">
        <v>46147</v>
      </c>
      <c r="D978" s="3">
        <v>46147</v>
      </c>
      <c r="E978" s="126">
        <v>46150</v>
      </c>
      <c r="F978" s="2" t="s">
        <v>77</v>
      </c>
      <c r="G978" s="300">
        <v>225.75</v>
      </c>
      <c r="H978" s="300" t="s">
        <v>1700</v>
      </c>
      <c r="I978" s="300">
        <v>225.75</v>
      </c>
      <c r="J978" s="300">
        <v>174.99</v>
      </c>
      <c r="K978" s="4" t="s">
        <v>910</v>
      </c>
      <c r="M978" s="4" t="s">
        <v>910</v>
      </c>
      <c r="N978" s="4" t="s">
        <v>390</v>
      </c>
      <c r="O978" s="134" t="str">
        <f>_xlfn.XLOOKUP(N978,[1]!costcategory[Account Code],[1]!costcategory[Cost Category],"ERROR")</f>
        <v>Employee Benefits</v>
      </c>
      <c r="P978" s="4" t="s">
        <v>523</v>
      </c>
      <c r="Q978" s="147" t="str">
        <f>_xlfn.XLOOKUP(P978,[1]!Table2[Department],[1]!Table2[Group],"ERROR")</f>
        <v>General &amp; Administrative</v>
      </c>
      <c r="R978" t="s">
        <v>670</v>
      </c>
    </row>
    <row r="979" spans="1:24" hidden="1" x14ac:dyDescent="0.2">
      <c r="A979" s="2" t="s">
        <v>15</v>
      </c>
      <c r="B979" s="2" t="s">
        <v>1</v>
      </c>
      <c r="C979" s="93">
        <v>46150</v>
      </c>
      <c r="D979" s="3">
        <v>46150</v>
      </c>
      <c r="E979" s="126">
        <v>46150</v>
      </c>
      <c r="F979" s="2" t="s">
        <v>77</v>
      </c>
      <c r="J979" s="300">
        <v>1963.31</v>
      </c>
      <c r="K979" s="4" t="s">
        <v>1641</v>
      </c>
      <c r="M979" s="4" t="s">
        <v>443</v>
      </c>
      <c r="N979" s="4" t="s">
        <v>387</v>
      </c>
      <c r="O979" s="134" t="str">
        <f>_xlfn.XLOOKUP(N979,[1]!costcategory[Account Code],[1]!costcategory[Cost Category],"ERROR")</f>
        <v>Headcount Costs</v>
      </c>
      <c r="P979" s="4" t="s">
        <v>438</v>
      </c>
      <c r="Q979" s="147" t="str">
        <f>_xlfn.XLOOKUP(P979,[1]!Table2[Department],[1]!Table2[Group],"ERROR")</f>
        <v>Sales &amp; Marketing</v>
      </c>
    </row>
    <row r="980" spans="1:24" hidden="1" x14ac:dyDescent="0.2">
      <c r="A980" s="2" t="s">
        <v>15</v>
      </c>
      <c r="B980" s="2" t="s">
        <v>1</v>
      </c>
      <c r="C980" s="93">
        <v>46148</v>
      </c>
      <c r="D980" s="3">
        <v>46148</v>
      </c>
      <c r="E980" s="126">
        <v>46151</v>
      </c>
      <c r="F980" s="2" t="s">
        <v>77</v>
      </c>
      <c r="G980" s="300">
        <v>170.72</v>
      </c>
      <c r="H980" s="300">
        <v>15.36</v>
      </c>
      <c r="I980" s="300">
        <v>186.08</v>
      </c>
      <c r="J980" s="300">
        <v>144.24</v>
      </c>
      <c r="K980" s="4" t="s">
        <v>911</v>
      </c>
      <c r="M980" s="4" t="s">
        <v>912</v>
      </c>
      <c r="N980" s="4" t="s">
        <v>527</v>
      </c>
      <c r="O980" s="134" t="str">
        <f>_xlfn.XLOOKUP(N980,[1]!costcategory[Account Code],[1]!costcategory[Cost Category],"ERROR")</f>
        <v>Sales Expenses</v>
      </c>
      <c r="P980" s="4" t="s">
        <v>523</v>
      </c>
      <c r="Q980" s="147" t="str">
        <f>_xlfn.XLOOKUP(P980,[1]!Table2[Department],[1]!Table2[Group],"ERROR")</f>
        <v>General &amp; Administrative</v>
      </c>
      <c r="R980" t="s">
        <v>670</v>
      </c>
    </row>
    <row r="981" spans="1:24" hidden="1" x14ac:dyDescent="0.2">
      <c r="A981" s="2" t="s">
        <v>15</v>
      </c>
      <c r="B981" s="2" t="s">
        <v>1</v>
      </c>
      <c r="C981" s="93">
        <v>46149</v>
      </c>
      <c r="D981" s="3">
        <v>46149</v>
      </c>
      <c r="E981" s="126">
        <v>46151</v>
      </c>
      <c r="F981" s="2" t="s">
        <v>77</v>
      </c>
      <c r="G981" s="300">
        <v>1172.6400000000001</v>
      </c>
      <c r="H981" s="300" t="s">
        <v>1700</v>
      </c>
      <c r="I981" s="300">
        <v>1172.6400000000001</v>
      </c>
      <c r="J981" s="300">
        <v>908.97</v>
      </c>
      <c r="K981" s="4" t="s">
        <v>913</v>
      </c>
      <c r="L981" s="4" t="s">
        <v>914</v>
      </c>
      <c r="M981" s="4" t="s">
        <v>915</v>
      </c>
      <c r="N981" s="4" t="s">
        <v>751</v>
      </c>
      <c r="O981" s="134" t="str">
        <f>_xlfn.XLOOKUP(N981,[1]!costcategory[Account Code],[1]!costcategory[Cost Category],"ERROR")</f>
        <v>Employee Benefits</v>
      </c>
      <c r="P981" s="4" t="s">
        <v>350</v>
      </c>
      <c r="Q981" s="147" t="str">
        <f>_xlfn.XLOOKUP(P981,[1]!Table2[Department],[1]!Table2[Group],"ERROR")</f>
        <v>General &amp; Administrative</v>
      </c>
      <c r="R981" t="s">
        <v>670</v>
      </c>
    </row>
    <row r="982" spans="1:24" hidden="1" x14ac:dyDescent="0.2">
      <c r="A982" s="2" t="s">
        <v>15</v>
      </c>
      <c r="B982" s="2" t="s">
        <v>1</v>
      </c>
      <c r="C982" s="93">
        <v>46149</v>
      </c>
      <c r="D982" s="3">
        <v>46149</v>
      </c>
      <c r="E982" s="126">
        <v>46153</v>
      </c>
      <c r="F982" s="2" t="s">
        <v>77</v>
      </c>
      <c r="G982" s="300">
        <v>46.2</v>
      </c>
      <c r="H982" s="300">
        <v>4.16</v>
      </c>
      <c r="I982" s="300">
        <v>50.36</v>
      </c>
      <c r="J982" s="300">
        <v>39.04</v>
      </c>
      <c r="K982" s="4" t="s">
        <v>916</v>
      </c>
      <c r="M982" s="4" t="s">
        <v>917</v>
      </c>
      <c r="N982" s="4" t="s">
        <v>527</v>
      </c>
      <c r="O982" s="134" t="str">
        <f>_xlfn.XLOOKUP(N982,[1]!costcategory[Account Code],[1]!costcategory[Cost Category],"ERROR")</f>
        <v>Sales Expenses</v>
      </c>
      <c r="P982" s="4" t="s">
        <v>523</v>
      </c>
      <c r="Q982" s="147" t="str">
        <f>_xlfn.XLOOKUP(P982,[1]!Table2[Department],[1]!Table2[Group],"ERROR")</f>
        <v>General &amp; Administrative</v>
      </c>
      <c r="R982" t="s">
        <v>670</v>
      </c>
    </row>
    <row r="983" spans="1:24" hidden="1" x14ac:dyDescent="0.2">
      <c r="A983" s="304" t="s">
        <v>15</v>
      </c>
      <c r="B983" s="304" t="s">
        <v>1</v>
      </c>
      <c r="C983" s="93">
        <v>46150</v>
      </c>
      <c r="D983" s="306">
        <v>46150</v>
      </c>
      <c r="E983" s="326">
        <v>46182</v>
      </c>
      <c r="F983" s="304" t="s">
        <v>77</v>
      </c>
      <c r="G983" s="305"/>
      <c r="H983" s="305"/>
      <c r="I983" s="305"/>
      <c r="J983" s="305">
        <v>0.39</v>
      </c>
      <c r="K983" s="165" t="s">
        <v>1641</v>
      </c>
      <c r="L983" s="165"/>
      <c r="M983" s="165" t="s">
        <v>443</v>
      </c>
      <c r="N983" s="165" t="s">
        <v>387</v>
      </c>
      <c r="O983" s="165" t="s">
        <v>47</v>
      </c>
      <c r="P983" s="165" t="s">
        <v>438</v>
      </c>
      <c r="Q983" s="165" t="str">
        <f>_xlfn.XLOOKUP(P983,[1]!Table2[Department],[1]!Table2[Group],"ERROR")</f>
        <v>Sales &amp; Marketing</v>
      </c>
      <c r="U983" s="165"/>
      <c r="V983" s="304"/>
      <c r="W983" s="165"/>
      <c r="X983" s="2"/>
    </row>
    <row r="984" spans="1:24" hidden="1" x14ac:dyDescent="0.2">
      <c r="A984" s="304" t="s">
        <v>15</v>
      </c>
      <c r="B984" s="304" t="s">
        <v>1</v>
      </c>
      <c r="C984" s="93">
        <v>46150</v>
      </c>
      <c r="D984" s="306">
        <v>46150</v>
      </c>
      <c r="E984" s="326">
        <v>46182</v>
      </c>
      <c r="F984" s="304" t="s">
        <v>77</v>
      </c>
      <c r="G984" s="305"/>
      <c r="H984" s="305"/>
      <c r="I984" s="305"/>
      <c r="J984" s="305">
        <v>58.91</v>
      </c>
      <c r="K984" s="165" t="s">
        <v>1641</v>
      </c>
      <c r="L984" s="165"/>
      <c r="M984" s="165" t="s">
        <v>1701</v>
      </c>
      <c r="N984" s="165" t="s">
        <v>364</v>
      </c>
      <c r="O984" s="165" t="s">
        <v>47</v>
      </c>
      <c r="P984" s="165" t="s">
        <v>438</v>
      </c>
      <c r="Q984" s="165" t="str">
        <f>_xlfn.XLOOKUP(P984,[1]!Table2[Department],[1]!Table2[Group],"ERROR")</f>
        <v>Sales &amp; Marketing</v>
      </c>
      <c r="U984" s="165"/>
      <c r="V984" s="304"/>
      <c r="W984" s="165"/>
      <c r="X984" s="2"/>
    </row>
    <row r="985" spans="1:24" hidden="1" x14ac:dyDescent="0.2">
      <c r="A985" s="2" t="s">
        <v>15</v>
      </c>
      <c r="B985" s="2" t="s">
        <v>1</v>
      </c>
      <c r="C985" s="93">
        <v>46150</v>
      </c>
      <c r="D985" s="3">
        <v>46150</v>
      </c>
      <c r="E985" s="126">
        <v>46153</v>
      </c>
      <c r="F985" s="2" t="s">
        <v>77</v>
      </c>
      <c r="G985" s="300">
        <v>288.70999999999998</v>
      </c>
      <c r="H985" s="300" t="s">
        <v>1700</v>
      </c>
      <c r="I985" s="300">
        <v>288.70999999999998</v>
      </c>
      <c r="J985" s="300">
        <v>223.79</v>
      </c>
      <c r="K985" s="4" t="s">
        <v>918</v>
      </c>
      <c r="M985" s="4" t="s">
        <v>918</v>
      </c>
      <c r="N985" s="4" t="s">
        <v>390</v>
      </c>
      <c r="O985" s="134" t="str">
        <f>_xlfn.XLOOKUP(N985,[1]!costcategory[Account Code],[1]!costcategory[Cost Category],"ERROR")</f>
        <v>Employee Benefits</v>
      </c>
      <c r="P985" s="4" t="s">
        <v>523</v>
      </c>
      <c r="Q985" s="147" t="str">
        <f>_xlfn.XLOOKUP(P985,[1]!Table2[Department],[1]!Table2[Group],"ERROR")</f>
        <v>General &amp; Administrative</v>
      </c>
      <c r="R985" t="s">
        <v>670</v>
      </c>
    </row>
    <row r="986" spans="1:24" customFormat="1" hidden="1" x14ac:dyDescent="0.2">
      <c r="A986" s="2" t="s">
        <v>15</v>
      </c>
      <c r="B986" s="2" t="s">
        <v>1</v>
      </c>
      <c r="C986" s="93">
        <v>46153</v>
      </c>
      <c r="D986" s="3">
        <v>46153</v>
      </c>
      <c r="E986" s="126">
        <v>46153</v>
      </c>
      <c r="F986" s="2" t="s">
        <v>77</v>
      </c>
      <c r="G986" s="300">
        <v>-585.13</v>
      </c>
      <c r="H986" s="300">
        <v>-52.66</v>
      </c>
      <c r="I986" s="300">
        <v>-637.79</v>
      </c>
      <c r="J986" s="300">
        <v>-494.38</v>
      </c>
      <c r="K986" s="4" t="s">
        <v>109</v>
      </c>
      <c r="L986" s="4" t="s">
        <v>130</v>
      </c>
      <c r="M986" s="4" t="s">
        <v>131</v>
      </c>
      <c r="N986" s="4" t="s">
        <v>382</v>
      </c>
      <c r="O986" s="134" t="str">
        <f>_xlfn.XLOOKUP(N986,[1]!costcategory[Account Code],[1]!costcategory[Cost Category],"ERROR")</f>
        <v>Revenue</v>
      </c>
      <c r="P986" s="4" t="s">
        <v>438</v>
      </c>
      <c r="Q986" s="147" t="str">
        <f>_xlfn.XLOOKUP(P986,[1]!Table2[Department],[1]!Table2[Group],"ERROR")</f>
        <v>Sales &amp; Marketing</v>
      </c>
      <c r="R986" t="s">
        <v>670</v>
      </c>
      <c r="U986" s="4"/>
      <c r="V986" s="2"/>
    </row>
    <row r="987" spans="1:24" customFormat="1" hidden="1" x14ac:dyDescent="0.2">
      <c r="A987" s="2" t="s">
        <v>15</v>
      </c>
      <c r="B987" s="2" t="s">
        <v>1</v>
      </c>
      <c r="C987" s="93">
        <v>46153</v>
      </c>
      <c r="D987" s="3">
        <v>46153</v>
      </c>
      <c r="E987" s="126">
        <v>46153</v>
      </c>
      <c r="F987" s="2" t="s">
        <v>77</v>
      </c>
      <c r="G987" s="300">
        <v>-46400</v>
      </c>
      <c r="H987" s="300">
        <v>-4176</v>
      </c>
      <c r="I987" s="300">
        <v>-50576</v>
      </c>
      <c r="J987" s="300">
        <v>-39203.78</v>
      </c>
      <c r="K987" s="4" t="s">
        <v>109</v>
      </c>
      <c r="L987" s="4" t="s">
        <v>142</v>
      </c>
      <c r="M987" s="4" t="s">
        <v>143</v>
      </c>
      <c r="N987" s="4" t="s">
        <v>382</v>
      </c>
      <c r="O987" s="134" t="str">
        <f>_xlfn.XLOOKUP(N987,[1]!costcategory[Account Code],[1]!costcategory[Cost Category],"ERROR")</f>
        <v>Revenue</v>
      </c>
      <c r="P987" s="4" t="s">
        <v>438</v>
      </c>
      <c r="Q987" s="147" t="str">
        <f>_xlfn.XLOOKUP(P987,[1]!Table2[Department],[1]!Table2[Group],"ERROR")</f>
        <v>Sales &amp; Marketing</v>
      </c>
      <c r="R987" t="s">
        <v>670</v>
      </c>
      <c r="U987" s="4"/>
      <c r="V987" s="2"/>
    </row>
    <row r="988" spans="1:24" customFormat="1" hidden="1" x14ac:dyDescent="0.2">
      <c r="A988" s="2" t="s">
        <v>15</v>
      </c>
      <c r="B988" s="2" t="s">
        <v>1</v>
      </c>
      <c r="C988" s="93">
        <v>46153</v>
      </c>
      <c r="D988" s="3">
        <v>46153</v>
      </c>
      <c r="E988" s="126">
        <v>46153</v>
      </c>
      <c r="F988" s="2" t="s">
        <v>77</v>
      </c>
      <c r="G988" s="300">
        <v>-107.91</v>
      </c>
      <c r="H988" s="300" t="s">
        <v>1700</v>
      </c>
      <c r="I988" s="300">
        <v>-107.91</v>
      </c>
      <c r="J988" s="300">
        <v>-83.65</v>
      </c>
      <c r="K988" s="4" t="s">
        <v>138</v>
      </c>
      <c r="L988" s="4" t="s">
        <v>165</v>
      </c>
      <c r="M988" s="4" t="s">
        <v>919</v>
      </c>
      <c r="N988" s="4" t="s">
        <v>382</v>
      </c>
      <c r="O988" s="134" t="str">
        <f>_xlfn.XLOOKUP(N988,[1]!costcategory[Account Code],[1]!costcategory[Cost Category],"ERROR")</f>
        <v>Revenue</v>
      </c>
      <c r="P988" s="4" t="s">
        <v>438</v>
      </c>
      <c r="Q988" s="147" t="str">
        <f>_xlfn.XLOOKUP(P988,[1]!Table2[Department],[1]!Table2[Group],"ERROR")</f>
        <v>Sales &amp; Marketing</v>
      </c>
      <c r="R988" t="s">
        <v>670</v>
      </c>
      <c r="U988" s="4"/>
      <c r="V988" s="2"/>
    </row>
    <row r="989" spans="1:24" customFormat="1" hidden="1" x14ac:dyDescent="0.2">
      <c r="A989" s="2" t="s">
        <v>15</v>
      </c>
      <c r="B989" s="2" t="s">
        <v>1</v>
      </c>
      <c r="C989" s="93">
        <v>46155</v>
      </c>
      <c r="D989" s="3">
        <v>46155</v>
      </c>
      <c r="E989" s="126">
        <v>46155</v>
      </c>
      <c r="F989" s="2" t="s">
        <v>77</v>
      </c>
      <c r="G989" s="300">
        <v>79.09</v>
      </c>
      <c r="H989" s="300">
        <v>7.12</v>
      </c>
      <c r="I989" s="300">
        <v>86.21</v>
      </c>
      <c r="J989" s="300">
        <v>66.83</v>
      </c>
      <c r="K989" s="4" t="s">
        <v>860</v>
      </c>
      <c r="L989" s="4"/>
      <c r="M989" s="4" t="s">
        <v>860</v>
      </c>
      <c r="N989" s="4" t="s">
        <v>527</v>
      </c>
      <c r="O989" s="134" t="str">
        <f>_xlfn.XLOOKUP(N989,[1]!costcategory[Account Code],[1]!costcategory[Cost Category],"ERROR")</f>
        <v>Sales Expenses</v>
      </c>
      <c r="P989" s="4" t="s">
        <v>523</v>
      </c>
      <c r="Q989" s="147" t="str">
        <f>_xlfn.XLOOKUP(P989,[1]!Table2[Department],[1]!Table2[Group],"ERROR")</f>
        <v>General &amp; Administrative</v>
      </c>
      <c r="R989" t="s">
        <v>670</v>
      </c>
      <c r="U989" s="4"/>
      <c r="V989" s="2"/>
    </row>
    <row r="990" spans="1:24" customFormat="1" hidden="1" x14ac:dyDescent="0.2">
      <c r="A990" s="2" t="s">
        <v>15</v>
      </c>
      <c r="B990" s="2" t="s">
        <v>1</v>
      </c>
      <c r="C990" s="93">
        <v>46126</v>
      </c>
      <c r="D990" s="3">
        <v>46156</v>
      </c>
      <c r="E990" s="126">
        <v>46155</v>
      </c>
      <c r="F990" s="2" t="s">
        <v>77</v>
      </c>
      <c r="G990" s="300">
        <v>-1318.69</v>
      </c>
      <c r="H990" s="300" t="s">
        <v>1700</v>
      </c>
      <c r="I990" s="300">
        <v>-1318.69</v>
      </c>
      <c r="J990" s="300">
        <v>-1022.18</v>
      </c>
      <c r="K990" s="4" t="s">
        <v>145</v>
      </c>
      <c r="L990" s="4" t="s">
        <v>168</v>
      </c>
      <c r="M990" s="4" t="s">
        <v>169</v>
      </c>
      <c r="N990" s="4" t="s">
        <v>382</v>
      </c>
      <c r="O990" s="134" t="str">
        <f>_xlfn.XLOOKUP(N990,[1]!costcategory[Account Code],[1]!costcategory[Cost Category],"ERROR")</f>
        <v>Revenue</v>
      </c>
      <c r="P990" s="4" t="s">
        <v>438</v>
      </c>
      <c r="Q990" s="147" t="str">
        <f>_xlfn.XLOOKUP(P990,[1]!Table2[Department],[1]!Table2[Group],"ERROR")</f>
        <v>Sales &amp; Marketing</v>
      </c>
      <c r="R990" t="s">
        <v>670</v>
      </c>
      <c r="U990" s="4"/>
      <c r="V990" s="2"/>
    </row>
    <row r="991" spans="1:24" customFormat="1" hidden="1" x14ac:dyDescent="0.2">
      <c r="A991" s="2" t="s">
        <v>15</v>
      </c>
      <c r="B991" s="2" t="s">
        <v>1</v>
      </c>
      <c r="C991" s="93">
        <v>46112</v>
      </c>
      <c r="D991" s="3">
        <v>46142</v>
      </c>
      <c r="E991" s="126">
        <v>46157</v>
      </c>
      <c r="F991" s="2" t="s">
        <v>77</v>
      </c>
      <c r="G991" s="300">
        <v>47.85</v>
      </c>
      <c r="H991" s="300">
        <v>0</v>
      </c>
      <c r="I991" s="204">
        <v>47.85</v>
      </c>
      <c r="J991" s="300">
        <v>37.090736100000001</v>
      </c>
      <c r="K991" s="4" t="s">
        <v>839</v>
      </c>
      <c r="L991" s="4" t="s">
        <v>920</v>
      </c>
      <c r="M991" s="4" t="s">
        <v>921</v>
      </c>
      <c r="N991" s="4" t="s">
        <v>344</v>
      </c>
      <c r="O991" s="134" t="str">
        <f>_xlfn.XLOOKUP(N991,[1]!costcategory[Account Code],[1]!costcategory[Cost Category],"ERROR")</f>
        <v>Courier Charges</v>
      </c>
      <c r="P991" s="4" t="s">
        <v>340</v>
      </c>
      <c r="Q991" s="147" t="str">
        <f>_xlfn.XLOOKUP(P991,[1]!Table2[Department],[1]!Table2[Group],"ERROR")</f>
        <v>General &amp; Administrative</v>
      </c>
      <c r="U991" s="4"/>
      <c r="V991" s="2"/>
    </row>
    <row r="992" spans="1:24" customFormat="1" hidden="1" x14ac:dyDescent="0.2">
      <c r="A992" s="2" t="s">
        <v>15</v>
      </c>
      <c r="B992" s="2" t="s">
        <v>1</v>
      </c>
      <c r="C992" s="93">
        <v>46122</v>
      </c>
      <c r="D992" s="3">
        <v>46152</v>
      </c>
      <c r="E992" s="126">
        <v>46157</v>
      </c>
      <c r="F992" s="2" t="s">
        <v>77</v>
      </c>
      <c r="G992" s="300">
        <v>21.4</v>
      </c>
      <c r="H992" s="300">
        <v>1.93</v>
      </c>
      <c r="I992" s="204">
        <v>23.33</v>
      </c>
      <c r="J992" s="300">
        <v>18.084156179999997</v>
      </c>
      <c r="K992" s="4" t="s">
        <v>839</v>
      </c>
      <c r="L992" s="4" t="s">
        <v>922</v>
      </c>
      <c r="M992" s="4" t="s">
        <v>923</v>
      </c>
      <c r="N992" s="4" t="s">
        <v>344</v>
      </c>
      <c r="O992" s="134" t="str">
        <f>_xlfn.XLOOKUP(N992,[1]!costcategory[Account Code],[1]!costcategory[Cost Category],"ERROR")</f>
        <v>Courier Charges</v>
      </c>
      <c r="P992" s="4" t="s">
        <v>340</v>
      </c>
      <c r="Q992" s="147" t="str">
        <f>_xlfn.XLOOKUP(P992,[1]!Table2[Department],[1]!Table2[Group],"ERROR")</f>
        <v>General &amp; Administrative</v>
      </c>
      <c r="U992" s="4"/>
      <c r="V992" s="2"/>
    </row>
    <row r="993" spans="1:22" customFormat="1" hidden="1" x14ac:dyDescent="0.2">
      <c r="A993" s="2" t="s">
        <v>15</v>
      </c>
      <c r="B993" s="2" t="s">
        <v>1</v>
      </c>
      <c r="C993" s="93">
        <v>46157</v>
      </c>
      <c r="D993" s="3">
        <v>46157</v>
      </c>
      <c r="E993" s="126">
        <v>46157</v>
      </c>
      <c r="F993" s="2" t="s">
        <v>77</v>
      </c>
      <c r="G993" s="300">
        <v>139.47</v>
      </c>
      <c r="H993" s="300">
        <v>0</v>
      </c>
      <c r="I993" s="204">
        <v>139.47</v>
      </c>
      <c r="J993" s="300">
        <v>108.10961261999999</v>
      </c>
      <c r="K993" s="4" t="s">
        <v>626</v>
      </c>
      <c r="L993" s="4" t="s">
        <v>626</v>
      </c>
      <c r="M993" s="4" t="s">
        <v>474</v>
      </c>
      <c r="N993" s="4" t="s">
        <v>475</v>
      </c>
      <c r="O993" s="134" t="str">
        <f>_xlfn.XLOOKUP(N993,[1]!costcategory[Account Code],[1]!costcategory[Cost Category],"ERROR")</f>
        <v>Travelling Expenses</v>
      </c>
      <c r="P993" s="4" t="s">
        <v>350</v>
      </c>
      <c r="Q993" s="147" t="str">
        <f>_xlfn.XLOOKUP(P993,[1]!Table2[Department],[1]!Table2[Group],"ERROR")</f>
        <v>General &amp; Administrative</v>
      </c>
      <c r="U993" s="4"/>
      <c r="V993" s="2"/>
    </row>
    <row r="994" spans="1:22" customFormat="1" hidden="1" x14ac:dyDescent="0.2">
      <c r="A994" s="2" t="s">
        <v>15</v>
      </c>
      <c r="B994" s="2" t="s">
        <v>1</v>
      </c>
      <c r="C994" s="93">
        <v>46157</v>
      </c>
      <c r="D994" s="3">
        <v>46157</v>
      </c>
      <c r="E994" s="126">
        <v>46157</v>
      </c>
      <c r="F994" s="2" t="s">
        <v>77</v>
      </c>
      <c r="G994" s="300">
        <v>918.96</v>
      </c>
      <c r="H994" s="300">
        <v>0</v>
      </c>
      <c r="I994" s="204">
        <v>918.96</v>
      </c>
      <c r="J994" s="300">
        <v>712.32816816000002</v>
      </c>
      <c r="K994" s="4" t="s">
        <v>626</v>
      </c>
      <c r="L994" s="4" t="s">
        <v>626</v>
      </c>
      <c r="M994" s="4" t="s">
        <v>474</v>
      </c>
      <c r="N994" s="4" t="s">
        <v>475</v>
      </c>
      <c r="O994" s="134" t="str">
        <f>_xlfn.XLOOKUP(N994,[1]!costcategory[Account Code],[1]!costcategory[Cost Category],"ERROR")</f>
        <v>Travelling Expenses</v>
      </c>
      <c r="P994" s="4" t="s">
        <v>523</v>
      </c>
      <c r="Q994" s="147" t="str">
        <f>_xlfn.XLOOKUP(P994,[1]!Table2[Department],[1]!Table2[Group],"ERROR")</f>
        <v>General &amp; Administrative</v>
      </c>
      <c r="U994" s="4"/>
      <c r="V994" s="2"/>
    </row>
    <row r="995" spans="1:22" customFormat="1" hidden="1" x14ac:dyDescent="0.2">
      <c r="A995" s="2" t="s">
        <v>15</v>
      </c>
      <c r="B995" s="2" t="s">
        <v>1</v>
      </c>
      <c r="C995" s="93">
        <v>46157</v>
      </c>
      <c r="D995" s="3">
        <v>46157</v>
      </c>
      <c r="E995" s="126">
        <v>46157</v>
      </c>
      <c r="F995" s="2" t="s">
        <v>77</v>
      </c>
      <c r="G995" s="300">
        <v>371.57</v>
      </c>
      <c r="H995" s="300">
        <v>0</v>
      </c>
      <c r="I995" s="204">
        <v>371.57</v>
      </c>
      <c r="J995" s="300">
        <v>288.02099922000002</v>
      </c>
      <c r="K995" s="4" t="s">
        <v>626</v>
      </c>
      <c r="L995" s="4" t="s">
        <v>626</v>
      </c>
      <c r="M995" s="4" t="s">
        <v>474</v>
      </c>
      <c r="N995" s="4" t="s">
        <v>475</v>
      </c>
      <c r="O995" s="134" t="str">
        <f>_xlfn.XLOOKUP(N995,[1]!costcategory[Account Code],[1]!costcategory[Cost Category],"ERROR")</f>
        <v>Travelling Expenses</v>
      </c>
      <c r="P995" s="4" t="s">
        <v>658</v>
      </c>
      <c r="Q995" s="147" t="str">
        <f>_xlfn.XLOOKUP(P995,[1]!Table2[Department],[1]!Table2[Group],"ERROR")</f>
        <v>Sales &amp; Marketing</v>
      </c>
      <c r="U995" s="4"/>
      <c r="V995" s="2"/>
    </row>
    <row r="996" spans="1:22" customFormat="1" hidden="1" x14ac:dyDescent="0.2">
      <c r="A996" s="2" t="s">
        <v>15</v>
      </c>
      <c r="B996" s="2" t="s">
        <v>1</v>
      </c>
      <c r="C996" s="93">
        <v>46157</v>
      </c>
      <c r="D996" s="3">
        <v>46157</v>
      </c>
      <c r="E996" s="126">
        <v>46157</v>
      </c>
      <c r="F996" s="2" t="s">
        <v>77</v>
      </c>
      <c r="G996" s="300">
        <v>943.02</v>
      </c>
      <c r="H996" s="300">
        <v>0</v>
      </c>
      <c r="I996" s="204">
        <v>943.02</v>
      </c>
      <c r="J996" s="300">
        <v>730.97818092</v>
      </c>
      <c r="K996" s="4" t="s">
        <v>626</v>
      </c>
      <c r="L996" s="4" t="s">
        <v>626</v>
      </c>
      <c r="M996" s="4" t="s">
        <v>474</v>
      </c>
      <c r="N996" s="4" t="s">
        <v>475</v>
      </c>
      <c r="O996" s="134" t="str">
        <f>_xlfn.XLOOKUP(N996,[1]!costcategory[Account Code],[1]!costcategory[Cost Category],"ERROR")</f>
        <v>Travelling Expenses</v>
      </c>
      <c r="P996" s="4" t="s">
        <v>56</v>
      </c>
      <c r="Q996" s="147" t="str">
        <f>_xlfn.XLOOKUP(P996,[1]!Table2[Department],[1]!Table2[Group],"ERROR")</f>
        <v>Research &amp; Development</v>
      </c>
      <c r="U996" s="4"/>
      <c r="V996" s="2"/>
    </row>
    <row r="997" spans="1:22" customFormat="1" hidden="1" x14ac:dyDescent="0.2">
      <c r="A997" s="2" t="s">
        <v>15</v>
      </c>
      <c r="B997" s="2" t="s">
        <v>1</v>
      </c>
      <c r="C997" s="93">
        <v>46157</v>
      </c>
      <c r="D997" s="3">
        <v>46157</v>
      </c>
      <c r="E997" s="126">
        <v>46157</v>
      </c>
      <c r="F997" s="2" t="s">
        <v>77</v>
      </c>
      <c r="G997" s="300">
        <v>30.53</v>
      </c>
      <c r="H997" s="300">
        <v>2.75</v>
      </c>
      <c r="I997" s="204">
        <v>33.28</v>
      </c>
      <c r="J997" s="300">
        <v>25.796858880000002</v>
      </c>
      <c r="K997" s="4" t="s">
        <v>626</v>
      </c>
      <c r="L997" s="4" t="s">
        <v>626</v>
      </c>
      <c r="M997" s="4" t="s">
        <v>798</v>
      </c>
      <c r="N997" s="4" t="s">
        <v>799</v>
      </c>
      <c r="O997" s="134" t="str">
        <f>_xlfn.XLOOKUP(N997,[1]!costcategory[Account Code],[1]!costcategory[Cost Category],"ERROR")</f>
        <v>Sales Expenses</v>
      </c>
      <c r="P997" s="4" t="s">
        <v>438</v>
      </c>
      <c r="Q997" s="147" t="str">
        <f>_xlfn.XLOOKUP(P997,[1]!Table2[Department],[1]!Table2[Group],"ERROR")</f>
        <v>Sales &amp; Marketing</v>
      </c>
      <c r="U997" s="4"/>
      <c r="V997" s="2"/>
    </row>
    <row r="998" spans="1:22" customFormat="1" hidden="1" x14ac:dyDescent="0.2">
      <c r="A998" s="2" t="s">
        <v>15</v>
      </c>
      <c r="B998" s="2" t="s">
        <v>1</v>
      </c>
      <c r="C998" s="93">
        <v>46157</v>
      </c>
      <c r="D998" s="3">
        <v>46157</v>
      </c>
      <c r="E998" s="126">
        <v>46157</v>
      </c>
      <c r="F998" s="2" t="s">
        <v>77</v>
      </c>
      <c r="G998" s="300">
        <v>185.02</v>
      </c>
      <c r="H998" s="300">
        <v>0</v>
      </c>
      <c r="I998" s="204">
        <v>185.02</v>
      </c>
      <c r="J998" s="300">
        <v>143.41751292000001</v>
      </c>
      <c r="K998" s="4" t="s">
        <v>626</v>
      </c>
      <c r="L998" s="4" t="s">
        <v>626</v>
      </c>
      <c r="M998" s="4" t="s">
        <v>389</v>
      </c>
      <c r="N998" s="4" t="s">
        <v>684</v>
      </c>
      <c r="O998" s="134" t="str">
        <f>_xlfn.XLOOKUP(N998,[1]!costcategory[Account Code],[1]!costcategory[Cost Category],"ERROR")</f>
        <v>Sales Expenses</v>
      </c>
      <c r="P998" s="4" t="s">
        <v>523</v>
      </c>
      <c r="Q998" s="147" t="str">
        <f>_xlfn.XLOOKUP(P998,[1]!Table2[Department],[1]!Table2[Group],"ERROR")</f>
        <v>General &amp; Administrative</v>
      </c>
      <c r="U998" s="4"/>
      <c r="V998" s="2"/>
    </row>
    <row r="999" spans="1:22" customFormat="1" hidden="1" x14ac:dyDescent="0.2">
      <c r="A999" s="2" t="s">
        <v>15</v>
      </c>
      <c r="B999" s="2" t="s">
        <v>1</v>
      </c>
      <c r="C999" s="93">
        <v>46157</v>
      </c>
      <c r="D999" s="3">
        <v>46157</v>
      </c>
      <c r="E999" s="126">
        <v>46157</v>
      </c>
      <c r="F999" s="2" t="s">
        <v>77</v>
      </c>
      <c r="G999" s="300">
        <v>19.88</v>
      </c>
      <c r="H999" s="300">
        <v>0</v>
      </c>
      <c r="I999" s="204">
        <v>19.88</v>
      </c>
      <c r="J999" s="300">
        <v>15.40990248</v>
      </c>
      <c r="K999" s="4" t="s">
        <v>626</v>
      </c>
      <c r="L999" s="4" t="s">
        <v>626</v>
      </c>
      <c r="M999" s="4" t="s">
        <v>389</v>
      </c>
      <c r="N999" s="4" t="s">
        <v>684</v>
      </c>
      <c r="O999" s="134" t="str">
        <f>_xlfn.XLOOKUP(N999,[1]!costcategory[Account Code],[1]!costcategory[Cost Category],"ERROR")</f>
        <v>Sales Expenses</v>
      </c>
      <c r="P999" s="4" t="s">
        <v>56</v>
      </c>
      <c r="Q999" s="147" t="str">
        <f>_xlfn.XLOOKUP(P999,[1]!Table2[Department],[1]!Table2[Group],"ERROR")</f>
        <v>Research &amp; Development</v>
      </c>
      <c r="U999" s="4"/>
      <c r="V999" s="2"/>
    </row>
    <row r="1000" spans="1:22" customFormat="1" hidden="1" x14ac:dyDescent="0.2">
      <c r="A1000" s="2" t="s">
        <v>15</v>
      </c>
      <c r="B1000" s="2" t="s">
        <v>1</v>
      </c>
      <c r="C1000" s="93">
        <v>46157</v>
      </c>
      <c r="D1000" s="3">
        <v>46157</v>
      </c>
      <c r="E1000" s="126">
        <v>46157</v>
      </c>
      <c r="F1000" s="2" t="s">
        <v>77</v>
      </c>
      <c r="G1000" s="300">
        <v>74.28</v>
      </c>
      <c r="H1000" s="300">
        <v>0</v>
      </c>
      <c r="I1000" s="204">
        <v>74.28</v>
      </c>
      <c r="J1000" s="300">
        <v>57.577844880000001</v>
      </c>
      <c r="K1000" s="4" t="s">
        <v>626</v>
      </c>
      <c r="L1000" s="4" t="s">
        <v>626</v>
      </c>
      <c r="M1000" s="4" t="s">
        <v>389</v>
      </c>
      <c r="N1000" s="4" t="s">
        <v>684</v>
      </c>
      <c r="O1000" s="134" t="str">
        <f>_xlfn.XLOOKUP(N1000,[1]!costcategory[Account Code],[1]!costcategory[Cost Category],"ERROR")</f>
        <v>Sales Expenses</v>
      </c>
      <c r="P1000" s="4" t="s">
        <v>658</v>
      </c>
      <c r="Q1000" s="147" t="str">
        <f>_xlfn.XLOOKUP(P1000,[1]!Table2[Department],[1]!Table2[Group],"ERROR")</f>
        <v>Sales &amp; Marketing</v>
      </c>
      <c r="U1000" s="4"/>
      <c r="V1000" s="2"/>
    </row>
    <row r="1001" spans="1:22" customFormat="1" hidden="1" x14ac:dyDescent="0.2">
      <c r="A1001" s="2" t="s">
        <v>15</v>
      </c>
      <c r="B1001" s="2" t="s">
        <v>1</v>
      </c>
      <c r="C1001" s="93">
        <v>46157</v>
      </c>
      <c r="D1001" s="3">
        <v>46157</v>
      </c>
      <c r="E1001" s="126">
        <v>46157</v>
      </c>
      <c r="F1001" s="2" t="s">
        <v>77</v>
      </c>
      <c r="G1001" s="300">
        <v>1780.8700000000001</v>
      </c>
      <c r="H1001" s="300">
        <v>152.28</v>
      </c>
      <c r="I1001" s="204">
        <v>1933.15</v>
      </c>
      <c r="J1001" s="300">
        <v>1498.4734899</v>
      </c>
      <c r="K1001" s="4" t="s">
        <v>626</v>
      </c>
      <c r="L1001" s="4" t="s">
        <v>626</v>
      </c>
      <c r="M1001" s="4" t="s">
        <v>526</v>
      </c>
      <c r="N1001" s="4" t="s">
        <v>527</v>
      </c>
      <c r="O1001" s="134" t="str">
        <f>_xlfn.XLOOKUP(N1001,[1]!costcategory[Account Code],[1]!costcategory[Cost Category],"ERROR")</f>
        <v>Sales Expenses</v>
      </c>
      <c r="P1001" s="4" t="s">
        <v>523</v>
      </c>
      <c r="Q1001" s="147" t="str">
        <f>_xlfn.XLOOKUP(P1001,[1]!Table2[Department],[1]!Table2[Group],"ERROR")</f>
        <v>General &amp; Administrative</v>
      </c>
      <c r="U1001" s="4"/>
      <c r="V1001" s="2"/>
    </row>
    <row r="1002" spans="1:22" customFormat="1" hidden="1" x14ac:dyDescent="0.2">
      <c r="A1002" s="2" t="s">
        <v>15</v>
      </c>
      <c r="B1002" s="2" t="s">
        <v>1</v>
      </c>
      <c r="C1002" s="93">
        <v>46157</v>
      </c>
      <c r="D1002" s="3">
        <v>46157</v>
      </c>
      <c r="E1002" s="126">
        <v>46157</v>
      </c>
      <c r="F1002" s="2" t="s">
        <v>77</v>
      </c>
      <c r="G1002" s="300">
        <v>29.8</v>
      </c>
      <c r="H1002" s="300">
        <v>2.68</v>
      </c>
      <c r="I1002" s="204">
        <v>32.480000000000004</v>
      </c>
      <c r="J1002" s="300">
        <v>25.176742080000004</v>
      </c>
      <c r="K1002" s="4" t="s">
        <v>626</v>
      </c>
      <c r="L1002" s="4" t="s">
        <v>626</v>
      </c>
      <c r="M1002" s="4" t="s">
        <v>526</v>
      </c>
      <c r="N1002" s="4" t="s">
        <v>527</v>
      </c>
      <c r="O1002" s="134" t="str">
        <f>_xlfn.XLOOKUP(N1002,[1]!costcategory[Account Code],[1]!costcategory[Cost Category],"ERROR")</f>
        <v>Sales Expenses</v>
      </c>
      <c r="P1002" s="4" t="s">
        <v>658</v>
      </c>
      <c r="Q1002" s="147" t="str">
        <f>_xlfn.XLOOKUP(P1002,[1]!Table2[Department],[1]!Table2[Group],"ERROR")</f>
        <v>Sales &amp; Marketing</v>
      </c>
      <c r="U1002" s="4"/>
      <c r="V1002" s="2"/>
    </row>
    <row r="1003" spans="1:22" customFormat="1" hidden="1" x14ac:dyDescent="0.2">
      <c r="A1003" s="2" t="s">
        <v>15</v>
      </c>
      <c r="B1003" s="2" t="s">
        <v>1</v>
      </c>
      <c r="C1003" s="93">
        <v>46157</v>
      </c>
      <c r="D1003" s="3">
        <v>46157</v>
      </c>
      <c r="E1003" s="126">
        <v>46157</v>
      </c>
      <c r="F1003" s="2" t="s">
        <v>77</v>
      </c>
      <c r="G1003" s="300">
        <v>55.5</v>
      </c>
      <c r="H1003" s="300">
        <v>0</v>
      </c>
      <c r="I1003" s="204">
        <v>55.5</v>
      </c>
      <c r="J1003" s="300">
        <v>43.020603000000001</v>
      </c>
      <c r="K1003" s="4" t="s">
        <v>626</v>
      </c>
      <c r="L1003" s="4" t="s">
        <v>626</v>
      </c>
      <c r="M1003" s="4" t="s">
        <v>345</v>
      </c>
      <c r="N1003" s="4" t="s">
        <v>346</v>
      </c>
      <c r="O1003" s="134" t="str">
        <f>_xlfn.XLOOKUP(N1003,[1]!costcategory[Account Code],[1]!costcategory[Cost Category],"ERROR")</f>
        <v>General Expenses</v>
      </c>
      <c r="P1003" s="4" t="s">
        <v>340</v>
      </c>
      <c r="Q1003" s="147" t="str">
        <f>_xlfn.XLOOKUP(P1003,[1]!Table2[Department],[1]!Table2[Group],"ERROR")</f>
        <v>General &amp; Administrative</v>
      </c>
      <c r="U1003" s="4"/>
      <c r="V1003" s="2"/>
    </row>
    <row r="1004" spans="1:22" customFormat="1" hidden="1" x14ac:dyDescent="0.2">
      <c r="A1004" s="2" t="s">
        <v>15</v>
      </c>
      <c r="B1004" s="2" t="s">
        <v>1</v>
      </c>
      <c r="C1004" s="93">
        <v>46157</v>
      </c>
      <c r="D1004" s="3">
        <v>46157</v>
      </c>
      <c r="E1004" s="126">
        <v>46157</v>
      </c>
      <c r="F1004" s="2" t="s">
        <v>77</v>
      </c>
      <c r="G1004" s="300">
        <v>1437.79</v>
      </c>
      <c r="H1004" s="300">
        <v>0</v>
      </c>
      <c r="I1004" s="204">
        <v>1437.79</v>
      </c>
      <c r="J1004" s="300">
        <v>1114.49716734</v>
      </c>
      <c r="K1004" s="4" t="s">
        <v>626</v>
      </c>
      <c r="L1004" s="4" t="s">
        <v>626</v>
      </c>
      <c r="M1004" s="4" t="s">
        <v>348</v>
      </c>
      <c r="N1004" s="4" t="s">
        <v>349</v>
      </c>
      <c r="O1004" s="134" t="str">
        <f>_xlfn.XLOOKUP(N1004,[1]!costcategory[Account Code],[1]!costcategory[Cost Category],"ERROR")</f>
        <v>Employee Benefits</v>
      </c>
      <c r="P1004" s="4" t="s">
        <v>523</v>
      </c>
      <c r="Q1004" s="147" t="str">
        <f>_xlfn.XLOOKUP(P1004,[1]!Table2[Department],[1]!Table2[Group],"ERROR")</f>
        <v>General &amp; Administrative</v>
      </c>
      <c r="U1004" s="4"/>
      <c r="V1004" s="2"/>
    </row>
    <row r="1005" spans="1:22" customFormat="1" hidden="1" x14ac:dyDescent="0.2">
      <c r="A1005" s="2" t="s">
        <v>15</v>
      </c>
      <c r="B1005" s="2" t="s">
        <v>1</v>
      </c>
      <c r="C1005" s="93">
        <v>46157</v>
      </c>
      <c r="D1005" s="3">
        <v>46157</v>
      </c>
      <c r="E1005" s="126">
        <v>46157</v>
      </c>
      <c r="F1005" s="2" t="s">
        <v>77</v>
      </c>
      <c r="G1005" s="300">
        <v>399</v>
      </c>
      <c r="H1005" s="300">
        <v>0</v>
      </c>
      <c r="I1005" s="204">
        <v>399</v>
      </c>
      <c r="J1005" s="300">
        <v>309.283254</v>
      </c>
      <c r="K1005" s="4" t="s">
        <v>626</v>
      </c>
      <c r="L1005" s="4" t="s">
        <v>626</v>
      </c>
      <c r="M1005" s="4" t="s">
        <v>800</v>
      </c>
      <c r="N1005" s="4" t="s">
        <v>924</v>
      </c>
      <c r="O1005" s="134" t="str">
        <f>_xlfn.XLOOKUP(N1005,[1]!costcategory[Account Code],[1]!costcategory[Cost Category],"ERROR")</f>
        <v>License Fee</v>
      </c>
      <c r="P1005" s="4" t="s">
        <v>376</v>
      </c>
      <c r="Q1005" s="147" t="str">
        <f>_xlfn.XLOOKUP(P1005,[1]!Table2[Department],[1]!Table2[Group],"ERROR")</f>
        <v>General &amp; Administrative</v>
      </c>
      <c r="U1005" s="4"/>
      <c r="V1005" s="2"/>
    </row>
    <row r="1006" spans="1:22" customFormat="1" hidden="1" x14ac:dyDescent="0.2">
      <c r="A1006" s="2" t="s">
        <v>15</v>
      </c>
      <c r="B1006" s="2" t="s">
        <v>1</v>
      </c>
      <c r="C1006" s="93">
        <v>46157</v>
      </c>
      <c r="D1006" s="3">
        <v>46157</v>
      </c>
      <c r="E1006" s="126">
        <v>46157</v>
      </c>
      <c r="F1006" s="2" t="s">
        <v>77</v>
      </c>
      <c r="G1006" s="300">
        <v>210</v>
      </c>
      <c r="H1006" s="300">
        <v>18.899999999999999</v>
      </c>
      <c r="I1006" s="204">
        <v>228.9</v>
      </c>
      <c r="J1006" s="300">
        <v>177.43091939999999</v>
      </c>
      <c r="K1006" s="4" t="s">
        <v>626</v>
      </c>
      <c r="L1006" s="4" t="s">
        <v>626</v>
      </c>
      <c r="M1006" s="4" t="s">
        <v>802</v>
      </c>
      <c r="N1006" s="4" t="s">
        <v>68</v>
      </c>
      <c r="O1006" s="134" t="str">
        <f>_xlfn.XLOOKUP(N1006,[1]!costcategory[Account Code],[1]!costcategory[Cost Category],"ERROR")</f>
        <v>Marketing Expense</v>
      </c>
      <c r="P1006" s="4" t="s">
        <v>658</v>
      </c>
      <c r="Q1006" s="147" t="str">
        <f>_xlfn.XLOOKUP(P1006,[1]!Table2[Department],[1]!Table2[Group],"ERROR")</f>
        <v>Sales &amp; Marketing</v>
      </c>
      <c r="U1006" s="4"/>
      <c r="V1006" s="2"/>
    </row>
    <row r="1007" spans="1:22" customFormat="1" hidden="1" x14ac:dyDescent="0.2">
      <c r="A1007" s="2" t="s">
        <v>15</v>
      </c>
      <c r="B1007" s="2" t="s">
        <v>1</v>
      </c>
      <c r="C1007" s="93">
        <v>46157</v>
      </c>
      <c r="D1007" s="3">
        <v>46157</v>
      </c>
      <c r="E1007" s="126">
        <v>46157</v>
      </c>
      <c r="F1007" s="2" t="s">
        <v>77</v>
      </c>
      <c r="G1007" s="300">
        <v>45.87</v>
      </c>
      <c r="H1007" s="300">
        <v>4.13</v>
      </c>
      <c r="I1007" s="204">
        <v>50</v>
      </c>
      <c r="J1007" s="300">
        <v>38.757300000000001</v>
      </c>
      <c r="K1007" s="4" t="s">
        <v>626</v>
      </c>
      <c r="L1007" s="4" t="s">
        <v>626</v>
      </c>
      <c r="M1007" s="4" t="s">
        <v>351</v>
      </c>
      <c r="N1007" s="4" t="s">
        <v>50</v>
      </c>
      <c r="O1007" s="134" t="str">
        <f>_xlfn.XLOOKUP(N1007,[1]!costcategory[Account Code],[1]!costcategory[Cost Category],"ERROR")</f>
        <v>Office Supplies</v>
      </c>
      <c r="P1007" s="4" t="s">
        <v>340</v>
      </c>
      <c r="Q1007" s="147" t="str">
        <f>_xlfn.XLOOKUP(P1007,[1]!Table2[Department],[1]!Table2[Group],"ERROR")</f>
        <v>General &amp; Administrative</v>
      </c>
      <c r="U1007" s="4"/>
      <c r="V1007" s="2"/>
    </row>
    <row r="1008" spans="1:22" customFormat="1" hidden="1" x14ac:dyDescent="0.2">
      <c r="A1008" s="2" t="s">
        <v>15</v>
      </c>
      <c r="B1008" s="2" t="s">
        <v>1</v>
      </c>
      <c r="C1008" s="93">
        <v>46157</v>
      </c>
      <c r="D1008" s="3">
        <v>46157</v>
      </c>
      <c r="E1008" s="126">
        <v>46157</v>
      </c>
      <c r="F1008" s="2" t="s">
        <v>77</v>
      </c>
      <c r="G1008" s="300">
        <v>109.16</v>
      </c>
      <c r="H1008" s="300">
        <v>0</v>
      </c>
      <c r="I1008" s="204">
        <v>109.16</v>
      </c>
      <c r="J1008" s="300">
        <v>84.614937359999999</v>
      </c>
      <c r="K1008" s="4" t="s">
        <v>626</v>
      </c>
      <c r="L1008" s="4" t="s">
        <v>626</v>
      </c>
      <c r="M1008" s="4" t="s">
        <v>351</v>
      </c>
      <c r="N1008" s="4" t="s">
        <v>50</v>
      </c>
      <c r="O1008" s="134" t="str">
        <f>_xlfn.XLOOKUP(N1008,[1]!costcategory[Account Code],[1]!costcategory[Cost Category],"ERROR")</f>
        <v>Office Supplies</v>
      </c>
      <c r="P1008" s="4" t="s">
        <v>56</v>
      </c>
      <c r="Q1008" s="147" t="str">
        <f>_xlfn.XLOOKUP(P1008,[1]!Table2[Department],[1]!Table2[Group],"ERROR")</f>
        <v>Research &amp; Development</v>
      </c>
      <c r="U1008" s="4"/>
      <c r="V1008" s="2"/>
    </row>
    <row r="1009" spans="1:22" customFormat="1" hidden="1" x14ac:dyDescent="0.2">
      <c r="A1009" s="2" t="s">
        <v>15</v>
      </c>
      <c r="B1009" s="2" t="s">
        <v>1</v>
      </c>
      <c r="C1009" s="93">
        <v>46157</v>
      </c>
      <c r="D1009" s="3">
        <v>46157</v>
      </c>
      <c r="E1009" s="126">
        <v>46157</v>
      </c>
      <c r="F1009" s="2" t="s">
        <v>77</v>
      </c>
      <c r="G1009" s="300">
        <v>5.7</v>
      </c>
      <c r="H1009" s="300">
        <v>0</v>
      </c>
      <c r="I1009" s="204">
        <v>5.7</v>
      </c>
      <c r="J1009" s="300">
        <v>4.4183322</v>
      </c>
      <c r="K1009" s="4" t="s">
        <v>626</v>
      </c>
      <c r="L1009" s="4" t="s">
        <v>626</v>
      </c>
      <c r="M1009" s="4" t="s">
        <v>351</v>
      </c>
      <c r="N1009" s="4" t="s">
        <v>50</v>
      </c>
      <c r="O1009" s="134" t="str">
        <f>_xlfn.XLOOKUP(N1009,[1]!costcategory[Account Code],[1]!costcategory[Cost Category],"ERROR")</f>
        <v>Office Supplies</v>
      </c>
      <c r="P1009" s="4" t="s">
        <v>376</v>
      </c>
      <c r="Q1009" s="147" t="str">
        <f>_xlfn.XLOOKUP(P1009,[1]!Table2[Department],[1]!Table2[Group],"ERROR")</f>
        <v>General &amp; Administrative</v>
      </c>
      <c r="U1009" s="4"/>
      <c r="V1009" s="2"/>
    </row>
    <row r="1010" spans="1:22" customFormat="1" hidden="1" x14ac:dyDescent="0.2">
      <c r="A1010" s="2" t="s">
        <v>15</v>
      </c>
      <c r="B1010" s="2" t="s">
        <v>1</v>
      </c>
      <c r="C1010" s="93">
        <v>46157</v>
      </c>
      <c r="D1010" s="3">
        <v>46157</v>
      </c>
      <c r="E1010" s="126">
        <v>46157</v>
      </c>
      <c r="F1010" s="2" t="s">
        <v>77</v>
      </c>
      <c r="G1010" s="300">
        <v>6.76</v>
      </c>
      <c r="H1010" s="300">
        <v>0</v>
      </c>
      <c r="I1010" s="204">
        <v>6.76</v>
      </c>
      <c r="J1010" s="300">
        <v>5.2399869599999995</v>
      </c>
      <c r="K1010" s="4" t="s">
        <v>626</v>
      </c>
      <c r="L1010" s="4" t="s">
        <v>626</v>
      </c>
      <c r="M1010" s="4" t="s">
        <v>352</v>
      </c>
      <c r="N1010" s="4" t="s">
        <v>391</v>
      </c>
      <c r="O1010" s="134" t="str">
        <f>_xlfn.XLOOKUP(N1010,[1]!costcategory[Account Code],[1]!costcategory[Cost Category],"ERROR")</f>
        <v>Travelling Expenses</v>
      </c>
      <c r="P1010" s="4" t="s">
        <v>523</v>
      </c>
      <c r="Q1010" s="147" t="str">
        <f>_xlfn.XLOOKUP(P1010,[1]!Table2[Department],[1]!Table2[Group],"ERROR")</f>
        <v>General &amp; Administrative</v>
      </c>
      <c r="U1010" s="4"/>
      <c r="V1010" s="2"/>
    </row>
    <row r="1011" spans="1:22" customFormat="1" hidden="1" x14ac:dyDescent="0.2">
      <c r="A1011" s="2" t="s">
        <v>15</v>
      </c>
      <c r="B1011" s="2" t="s">
        <v>1</v>
      </c>
      <c r="C1011" s="93">
        <v>46157</v>
      </c>
      <c r="D1011" s="3">
        <v>46157</v>
      </c>
      <c r="E1011" s="126">
        <v>46157</v>
      </c>
      <c r="F1011" s="2" t="s">
        <v>77</v>
      </c>
      <c r="G1011" s="300">
        <v>198.72</v>
      </c>
      <c r="H1011" s="300">
        <v>0</v>
      </c>
      <c r="I1011" s="204">
        <v>198.72</v>
      </c>
      <c r="J1011" s="300">
        <v>154.03701312000001</v>
      </c>
      <c r="K1011" s="4" t="s">
        <v>626</v>
      </c>
      <c r="L1011" s="4" t="s">
        <v>626</v>
      </c>
      <c r="M1011" s="4" t="s">
        <v>352</v>
      </c>
      <c r="N1011" s="4" t="s">
        <v>391</v>
      </c>
      <c r="O1011" s="134" t="str">
        <f>_xlfn.XLOOKUP(N1011,[1]!costcategory[Account Code],[1]!costcategory[Cost Category],"ERROR")</f>
        <v>Travelling Expenses</v>
      </c>
      <c r="P1011" s="4" t="s">
        <v>56</v>
      </c>
      <c r="Q1011" s="147" t="str">
        <f>_xlfn.XLOOKUP(P1011,[1]!Table2[Department],[1]!Table2[Group],"ERROR")</f>
        <v>Research &amp; Development</v>
      </c>
      <c r="U1011" s="4"/>
      <c r="V1011" s="2"/>
    </row>
    <row r="1012" spans="1:22" customFormat="1" hidden="1" x14ac:dyDescent="0.2">
      <c r="A1012" s="2" t="s">
        <v>15</v>
      </c>
      <c r="B1012" s="2" t="s">
        <v>1</v>
      </c>
      <c r="C1012" s="93">
        <v>46157</v>
      </c>
      <c r="D1012" s="3">
        <v>46157</v>
      </c>
      <c r="E1012" s="126">
        <v>46157</v>
      </c>
      <c r="F1012" s="2" t="s">
        <v>77</v>
      </c>
      <c r="G1012" s="300">
        <v>10.09</v>
      </c>
      <c r="H1012" s="300">
        <v>0</v>
      </c>
      <c r="I1012" s="204">
        <v>10.09</v>
      </c>
      <c r="J1012" s="300">
        <v>7.8212231399999999</v>
      </c>
      <c r="K1012" s="4" t="s">
        <v>626</v>
      </c>
      <c r="L1012" s="4" t="s">
        <v>626</v>
      </c>
      <c r="M1012" s="4" t="s">
        <v>352</v>
      </c>
      <c r="N1012" s="4" t="s">
        <v>391</v>
      </c>
      <c r="O1012" s="134" t="str">
        <f>_xlfn.XLOOKUP(N1012,[1]!costcategory[Account Code],[1]!costcategory[Cost Category],"ERROR")</f>
        <v>Travelling Expenses</v>
      </c>
      <c r="P1012" s="4" t="s">
        <v>658</v>
      </c>
      <c r="Q1012" s="147" t="str">
        <f>_xlfn.XLOOKUP(P1012,[1]!Table2[Department],[1]!Table2[Group],"ERROR")</f>
        <v>Sales &amp; Marketing</v>
      </c>
      <c r="U1012" s="4"/>
      <c r="V1012" s="2"/>
    </row>
    <row r="1013" spans="1:22" customFormat="1" hidden="1" x14ac:dyDescent="0.2">
      <c r="A1013" s="2" t="s">
        <v>15</v>
      </c>
      <c r="B1013" s="2" t="s">
        <v>1</v>
      </c>
      <c r="C1013" s="93">
        <v>46157</v>
      </c>
      <c r="D1013" s="3">
        <v>46157</v>
      </c>
      <c r="E1013" s="126">
        <v>46157</v>
      </c>
      <c r="F1013" s="2" t="s">
        <v>77</v>
      </c>
      <c r="G1013" s="300">
        <v>16.84</v>
      </c>
      <c r="H1013" s="300">
        <v>1.5099999999999998</v>
      </c>
      <c r="I1013" s="204">
        <v>18.350000000000001</v>
      </c>
      <c r="J1013" s="300">
        <v>14.223929100000001</v>
      </c>
      <c r="K1013" s="4" t="s">
        <v>626</v>
      </c>
      <c r="L1013" s="4" t="s">
        <v>626</v>
      </c>
      <c r="M1013" s="4" t="s">
        <v>355</v>
      </c>
      <c r="N1013" s="4" t="s">
        <v>402</v>
      </c>
      <c r="O1013" s="134" t="str">
        <f>_xlfn.XLOOKUP(N1013,[1]!costcategory[Account Code],[1]!costcategory[Cost Category],"ERROR")</f>
        <v>Travelling Expenses</v>
      </c>
      <c r="P1013" s="4" t="s">
        <v>523</v>
      </c>
      <c r="Q1013" s="147" t="str">
        <f>_xlfn.XLOOKUP(P1013,[1]!Table2[Department],[1]!Table2[Group],"ERROR")</f>
        <v>General &amp; Administrative</v>
      </c>
      <c r="U1013" s="4"/>
      <c r="V1013" s="2"/>
    </row>
    <row r="1014" spans="1:22" customFormat="1" hidden="1" x14ac:dyDescent="0.2">
      <c r="A1014" s="2" t="s">
        <v>15</v>
      </c>
      <c r="B1014" s="2" t="s">
        <v>1</v>
      </c>
      <c r="C1014" s="93">
        <v>46157</v>
      </c>
      <c r="D1014" s="3">
        <v>46157</v>
      </c>
      <c r="E1014" s="126">
        <v>46157</v>
      </c>
      <c r="F1014" s="2" t="s">
        <v>77</v>
      </c>
      <c r="G1014" s="300">
        <v>109.31</v>
      </c>
      <c r="H1014" s="300">
        <v>8.74</v>
      </c>
      <c r="I1014" s="204">
        <v>118.05</v>
      </c>
      <c r="J1014" s="300">
        <v>91.505985299999992</v>
      </c>
      <c r="K1014" s="4" t="s">
        <v>626</v>
      </c>
      <c r="L1014" s="4" t="s">
        <v>626</v>
      </c>
      <c r="M1014" s="4" t="s">
        <v>469</v>
      </c>
      <c r="N1014" s="4" t="s">
        <v>470</v>
      </c>
      <c r="O1014" s="134" t="str">
        <f>_xlfn.XLOOKUP(N1014,[1]!costcategory[Account Code],[1]!costcategory[Cost Category],"ERROR")</f>
        <v>Office Supplies</v>
      </c>
      <c r="P1014" s="4" t="s">
        <v>340</v>
      </c>
      <c r="Q1014" s="147" t="str">
        <f>_xlfn.XLOOKUP(P1014,[1]!Table2[Department],[1]!Table2[Group],"ERROR")</f>
        <v>General &amp; Administrative</v>
      </c>
      <c r="U1014" s="4"/>
      <c r="V1014" s="2"/>
    </row>
    <row r="1015" spans="1:22" customFormat="1" hidden="1" x14ac:dyDescent="0.2">
      <c r="A1015" s="2" t="s">
        <v>15</v>
      </c>
      <c r="B1015" s="2" t="s">
        <v>1</v>
      </c>
      <c r="C1015" s="93">
        <v>46157</v>
      </c>
      <c r="D1015" s="3">
        <v>46157</v>
      </c>
      <c r="E1015" s="126">
        <v>46157</v>
      </c>
      <c r="F1015" s="2" t="s">
        <v>77</v>
      </c>
      <c r="G1015" s="300">
        <v>255</v>
      </c>
      <c r="H1015" s="300">
        <v>0</v>
      </c>
      <c r="I1015" s="204">
        <v>255</v>
      </c>
      <c r="J1015" s="300">
        <v>197.66222999999999</v>
      </c>
      <c r="K1015" s="4" t="s">
        <v>626</v>
      </c>
      <c r="L1015" s="4" t="s">
        <v>626</v>
      </c>
      <c r="M1015" s="4" t="s">
        <v>925</v>
      </c>
      <c r="N1015" s="4" t="s">
        <v>801</v>
      </c>
      <c r="O1015" s="134" t="str">
        <f>_xlfn.XLOOKUP(N1015,[1]!costcategory[Account Code],[1]!costcategory[Cost Category],"ERROR")</f>
        <v>Recruitment Related Fees</v>
      </c>
      <c r="P1015" s="4" t="s">
        <v>350</v>
      </c>
      <c r="Q1015" s="147" t="str">
        <f>_xlfn.XLOOKUP(P1015,[1]!Table2[Department],[1]!Table2[Group],"ERROR")</f>
        <v>General &amp; Administrative</v>
      </c>
      <c r="U1015" s="4"/>
      <c r="V1015" s="2"/>
    </row>
    <row r="1016" spans="1:22" customFormat="1" hidden="1" x14ac:dyDescent="0.2">
      <c r="A1016" s="2" t="s">
        <v>15</v>
      </c>
      <c r="B1016" s="2" t="s">
        <v>1</v>
      </c>
      <c r="C1016" s="93">
        <v>46157</v>
      </c>
      <c r="D1016" s="3">
        <v>46157</v>
      </c>
      <c r="E1016" s="126">
        <v>46157</v>
      </c>
      <c r="F1016" s="2" t="s">
        <v>77</v>
      </c>
      <c r="G1016" s="300">
        <v>63.67</v>
      </c>
      <c r="H1016" s="300">
        <v>0</v>
      </c>
      <c r="I1016" s="204">
        <v>63.67</v>
      </c>
      <c r="J1016" s="300">
        <v>49.353545820000001</v>
      </c>
      <c r="K1016" s="4" t="s">
        <v>626</v>
      </c>
      <c r="L1016" s="4" t="s">
        <v>626</v>
      </c>
      <c r="M1016" s="4" t="s">
        <v>392</v>
      </c>
      <c r="N1016" s="4" t="s">
        <v>393</v>
      </c>
      <c r="O1016" s="134" t="str">
        <f>_xlfn.XLOOKUP(N1016,[1]!costcategory[Account Code],[1]!costcategory[Cost Category],"ERROR")</f>
        <v>Employee Benefits</v>
      </c>
      <c r="P1016" s="4" t="s">
        <v>45</v>
      </c>
      <c r="Q1016" s="147" t="str">
        <f>_xlfn.XLOOKUP(P1016,[1]!Table2[Department],[1]!Table2[Group],"ERROR")</f>
        <v>DSC</v>
      </c>
      <c r="U1016" s="4"/>
      <c r="V1016" s="2"/>
    </row>
    <row r="1017" spans="1:22" customFormat="1" hidden="1" x14ac:dyDescent="0.2">
      <c r="A1017" s="2" t="s">
        <v>15</v>
      </c>
      <c r="B1017" s="2" t="s">
        <v>1</v>
      </c>
      <c r="C1017" s="93">
        <v>46157</v>
      </c>
      <c r="D1017" s="3">
        <v>46157</v>
      </c>
      <c r="E1017" s="126">
        <v>46157</v>
      </c>
      <c r="F1017" s="2" t="s">
        <v>77</v>
      </c>
      <c r="G1017" s="300">
        <v>63.33</v>
      </c>
      <c r="H1017" s="300">
        <v>0</v>
      </c>
      <c r="I1017" s="204">
        <v>63.33</v>
      </c>
      <c r="J1017" s="300">
        <v>49.08999618</v>
      </c>
      <c r="K1017" s="4" t="s">
        <v>626</v>
      </c>
      <c r="L1017" s="4" t="s">
        <v>626</v>
      </c>
      <c r="M1017" s="4" t="s">
        <v>392</v>
      </c>
      <c r="N1017" s="4" t="s">
        <v>393</v>
      </c>
      <c r="O1017" s="134" t="str">
        <f>_xlfn.XLOOKUP(N1017,[1]!costcategory[Account Code],[1]!costcategory[Cost Category],"ERROR")</f>
        <v>Employee Benefits</v>
      </c>
      <c r="P1017" s="4" t="s">
        <v>350</v>
      </c>
      <c r="Q1017" s="147" t="str">
        <f>_xlfn.XLOOKUP(P1017,[1]!Table2[Department],[1]!Table2[Group],"ERROR")</f>
        <v>General &amp; Administrative</v>
      </c>
      <c r="U1017" s="4"/>
      <c r="V1017" s="2"/>
    </row>
    <row r="1018" spans="1:22" customFormat="1" hidden="1" x14ac:dyDescent="0.2">
      <c r="A1018" s="2" t="s">
        <v>15</v>
      </c>
      <c r="B1018" s="2" t="s">
        <v>1</v>
      </c>
      <c r="C1018" s="93">
        <v>46157</v>
      </c>
      <c r="D1018" s="3">
        <v>46157</v>
      </c>
      <c r="E1018" s="126">
        <v>46157</v>
      </c>
      <c r="F1018" s="2" t="s">
        <v>77</v>
      </c>
      <c r="G1018" s="300">
        <v>981.7399999999999</v>
      </c>
      <c r="H1018" s="300">
        <v>40.46</v>
      </c>
      <c r="I1018" s="204">
        <v>1022.1999999999999</v>
      </c>
      <c r="J1018" s="300">
        <v>792.35424119999993</v>
      </c>
      <c r="K1018" s="4" t="s">
        <v>626</v>
      </c>
      <c r="L1018" s="4" t="s">
        <v>626</v>
      </c>
      <c r="M1018" s="4" t="s">
        <v>416</v>
      </c>
      <c r="N1018" s="4" t="s">
        <v>390</v>
      </c>
      <c r="O1018" s="134" t="str">
        <f>_xlfn.XLOOKUP(N1018,[1]!costcategory[Account Code],[1]!costcategory[Cost Category],"ERROR")</f>
        <v>Employee Benefits</v>
      </c>
      <c r="P1018" s="4" t="s">
        <v>523</v>
      </c>
      <c r="Q1018" s="147" t="str">
        <f>_xlfn.XLOOKUP(P1018,[1]!Table2[Department],[1]!Table2[Group],"ERROR")</f>
        <v>General &amp; Administrative</v>
      </c>
      <c r="U1018" s="4"/>
      <c r="V1018" s="2"/>
    </row>
    <row r="1019" spans="1:22" customFormat="1" hidden="1" x14ac:dyDescent="0.2">
      <c r="A1019" s="2" t="s">
        <v>15</v>
      </c>
      <c r="B1019" s="2" t="s">
        <v>1</v>
      </c>
      <c r="C1019" s="93">
        <v>46157</v>
      </c>
      <c r="D1019" s="3">
        <v>46157</v>
      </c>
      <c r="E1019" s="126">
        <v>46157</v>
      </c>
      <c r="F1019" s="2" t="s">
        <v>77</v>
      </c>
      <c r="G1019" s="300">
        <v>77.87</v>
      </c>
      <c r="H1019" s="300">
        <v>7.01</v>
      </c>
      <c r="I1019" s="204">
        <v>84.88000000000001</v>
      </c>
      <c r="J1019" s="300">
        <v>65.794392480000013</v>
      </c>
      <c r="K1019" s="4" t="s">
        <v>626</v>
      </c>
      <c r="L1019" s="4" t="s">
        <v>626</v>
      </c>
      <c r="M1019" s="4" t="s">
        <v>416</v>
      </c>
      <c r="N1019" s="4" t="s">
        <v>390</v>
      </c>
      <c r="O1019" s="134" t="str">
        <f>_xlfn.XLOOKUP(N1019,[1]!costcategory[Account Code],[1]!costcategory[Cost Category],"ERROR")</f>
        <v>Employee Benefits</v>
      </c>
      <c r="P1019" s="4" t="s">
        <v>340</v>
      </c>
      <c r="Q1019" s="147" t="str">
        <f>_xlfn.XLOOKUP(P1019,[1]!Table2[Department],[1]!Table2[Group],"ERROR")</f>
        <v>General &amp; Administrative</v>
      </c>
      <c r="U1019" s="4"/>
      <c r="V1019" s="2"/>
    </row>
    <row r="1020" spans="1:22" customFormat="1" hidden="1" x14ac:dyDescent="0.2">
      <c r="A1020" s="2" t="s">
        <v>15</v>
      </c>
      <c r="B1020" s="2" t="s">
        <v>1</v>
      </c>
      <c r="C1020" s="93">
        <v>46157</v>
      </c>
      <c r="D1020" s="3">
        <v>46157</v>
      </c>
      <c r="E1020" s="126">
        <v>46157</v>
      </c>
      <c r="F1020" s="2" t="s">
        <v>77</v>
      </c>
      <c r="G1020" s="300">
        <v>136.5</v>
      </c>
      <c r="H1020" s="300">
        <v>0</v>
      </c>
      <c r="I1020" s="204">
        <v>136.5</v>
      </c>
      <c r="J1020" s="300">
        <v>105.807429</v>
      </c>
      <c r="K1020" s="4" t="s">
        <v>626</v>
      </c>
      <c r="L1020" s="4" t="s">
        <v>626</v>
      </c>
      <c r="M1020" s="4" t="s">
        <v>750</v>
      </c>
      <c r="N1020" s="4" t="s">
        <v>751</v>
      </c>
      <c r="O1020" s="134" t="str">
        <f>_xlfn.XLOOKUP(N1020,[1]!costcategory[Account Code],[1]!costcategory[Cost Category],"ERROR")</f>
        <v>Employee Benefits</v>
      </c>
      <c r="P1020" s="4" t="s">
        <v>350</v>
      </c>
      <c r="Q1020" s="147" t="str">
        <f>_xlfn.XLOOKUP(P1020,[1]!Table2[Department],[1]!Table2[Group],"ERROR")</f>
        <v>General &amp; Administrative</v>
      </c>
      <c r="U1020" s="4"/>
      <c r="V1020" s="2"/>
    </row>
    <row r="1021" spans="1:22" customFormat="1" hidden="1" x14ac:dyDescent="0.2">
      <c r="A1021" s="2" t="s">
        <v>15</v>
      </c>
      <c r="B1021" s="2" t="s">
        <v>1</v>
      </c>
      <c r="C1021" s="93">
        <v>46157</v>
      </c>
      <c r="D1021" s="3">
        <v>46157</v>
      </c>
      <c r="E1021" s="126">
        <v>46157</v>
      </c>
      <c r="F1021" s="2" t="s">
        <v>77</v>
      </c>
      <c r="G1021" s="300">
        <v>177.74</v>
      </c>
      <c r="H1021" s="300">
        <v>15.989999999999998</v>
      </c>
      <c r="I1021" s="204">
        <v>193.73000000000002</v>
      </c>
      <c r="J1021" s="300">
        <v>150.16903458000002</v>
      </c>
      <c r="K1021" s="4" t="s">
        <v>626</v>
      </c>
      <c r="L1021" s="4" t="s">
        <v>626</v>
      </c>
      <c r="M1021" s="4" t="s">
        <v>358</v>
      </c>
      <c r="N1021" s="4" t="s">
        <v>60</v>
      </c>
      <c r="O1021" s="134" t="str">
        <f>_xlfn.XLOOKUP(N1021,[1]!costcategory[Account Code],[1]!costcategory[Cost Category],"ERROR")</f>
        <v>Subscription Fee</v>
      </c>
      <c r="P1021" s="4" t="s">
        <v>658</v>
      </c>
      <c r="Q1021" s="147" t="str">
        <f>_xlfn.XLOOKUP(P1021,[1]!Table2[Department],[1]!Table2[Group],"ERROR")</f>
        <v>Sales &amp; Marketing</v>
      </c>
      <c r="U1021" s="4"/>
      <c r="V1021" s="2"/>
    </row>
    <row r="1022" spans="1:22" customFormat="1" hidden="1" x14ac:dyDescent="0.2">
      <c r="A1022" s="2" t="s">
        <v>15</v>
      </c>
      <c r="B1022" s="2" t="s">
        <v>1</v>
      </c>
      <c r="C1022" s="93">
        <v>46157</v>
      </c>
      <c r="D1022" s="3">
        <v>46157</v>
      </c>
      <c r="E1022" s="126">
        <v>46157</v>
      </c>
      <c r="F1022" s="2" t="s">
        <v>77</v>
      </c>
      <c r="G1022" s="300">
        <v>64.849999999999994</v>
      </c>
      <c r="H1022" s="300">
        <v>0</v>
      </c>
      <c r="I1022" s="204">
        <v>64.849999999999994</v>
      </c>
      <c r="J1022" s="300">
        <v>50.268218099999999</v>
      </c>
      <c r="K1022" s="4" t="s">
        <v>626</v>
      </c>
      <c r="L1022" s="4" t="s">
        <v>626</v>
      </c>
      <c r="M1022" s="4" t="s">
        <v>358</v>
      </c>
      <c r="N1022" s="4" t="s">
        <v>60</v>
      </c>
      <c r="O1022" s="134" t="str">
        <f>_xlfn.XLOOKUP(N1022,[1]!costcategory[Account Code],[1]!costcategory[Cost Category],"ERROR")</f>
        <v>Subscription Fee</v>
      </c>
      <c r="P1022" s="4" t="s">
        <v>523</v>
      </c>
      <c r="Q1022" s="147" t="str">
        <f>_xlfn.XLOOKUP(P1022,[1]!Table2[Department],[1]!Table2[Group],"ERROR")</f>
        <v>General &amp; Administrative</v>
      </c>
      <c r="U1022" s="4"/>
      <c r="V1022" s="2"/>
    </row>
    <row r="1023" spans="1:22" customFormat="1" hidden="1" x14ac:dyDescent="0.2">
      <c r="A1023" s="2" t="s">
        <v>15</v>
      </c>
      <c r="B1023" s="2" t="s">
        <v>1</v>
      </c>
      <c r="C1023" s="93">
        <v>46157</v>
      </c>
      <c r="D1023" s="3">
        <v>46157</v>
      </c>
      <c r="E1023" s="126">
        <v>46157</v>
      </c>
      <c r="F1023" s="2" t="s">
        <v>77</v>
      </c>
      <c r="G1023" s="300">
        <v>213.76</v>
      </c>
      <c r="H1023" s="300">
        <v>9.490000000000002</v>
      </c>
      <c r="I1023" s="204">
        <v>223.25</v>
      </c>
      <c r="J1023" s="300">
        <v>173.0513445</v>
      </c>
      <c r="K1023" s="4" t="s">
        <v>626</v>
      </c>
      <c r="L1023" s="4" t="s">
        <v>626</v>
      </c>
      <c r="M1023" s="4" t="s">
        <v>358</v>
      </c>
      <c r="N1023" s="4" t="s">
        <v>60</v>
      </c>
      <c r="O1023" s="134" t="str">
        <f>_xlfn.XLOOKUP(N1023,[1]!costcategory[Account Code],[1]!costcategory[Cost Category],"ERROR")</f>
        <v>Subscription Fee</v>
      </c>
      <c r="P1023" s="4" t="s">
        <v>56</v>
      </c>
      <c r="Q1023" s="147" t="str">
        <f>_xlfn.XLOOKUP(P1023,[1]!Table2[Department],[1]!Table2[Group],"ERROR")</f>
        <v>Research &amp; Development</v>
      </c>
      <c r="U1023" s="4"/>
      <c r="V1023" s="2"/>
    </row>
    <row r="1024" spans="1:22" customFormat="1" hidden="1" x14ac:dyDescent="0.2">
      <c r="A1024" s="2" t="s">
        <v>15</v>
      </c>
      <c r="B1024" s="2" t="s">
        <v>1</v>
      </c>
      <c r="C1024" s="93">
        <v>46157</v>
      </c>
      <c r="D1024" s="3">
        <v>46157</v>
      </c>
      <c r="E1024" s="126">
        <v>46157</v>
      </c>
      <c r="F1024" s="2" t="s">
        <v>77</v>
      </c>
      <c r="G1024" s="300">
        <v>221.7</v>
      </c>
      <c r="H1024" s="300">
        <v>0</v>
      </c>
      <c r="I1024" s="204">
        <v>221.7</v>
      </c>
      <c r="J1024" s="300">
        <v>171.8498682</v>
      </c>
      <c r="K1024" s="4" t="s">
        <v>626</v>
      </c>
      <c r="L1024" s="4" t="s">
        <v>626</v>
      </c>
      <c r="M1024" s="4" t="s">
        <v>360</v>
      </c>
      <c r="N1024" s="4" t="s">
        <v>353</v>
      </c>
      <c r="O1024" s="134" t="str">
        <f>_xlfn.XLOOKUP(N1024,[1]!costcategory[Account Code],[1]!costcategory[Cost Category],"ERROR")</f>
        <v>Travelling Expenses</v>
      </c>
      <c r="P1024" s="4" t="s">
        <v>658</v>
      </c>
      <c r="Q1024" s="147" t="str">
        <f>_xlfn.XLOOKUP(P1024,[1]!Table2[Department],[1]!Table2[Group],"ERROR")</f>
        <v>Sales &amp; Marketing</v>
      </c>
      <c r="U1024" s="4"/>
      <c r="V1024" s="2"/>
    </row>
    <row r="1025" spans="1:23" customFormat="1" hidden="1" x14ac:dyDescent="0.2">
      <c r="A1025" s="2" t="s">
        <v>15</v>
      </c>
      <c r="B1025" s="2" t="s">
        <v>1</v>
      </c>
      <c r="C1025" s="93">
        <v>46157</v>
      </c>
      <c r="D1025" s="3">
        <v>46157</v>
      </c>
      <c r="E1025" s="126">
        <v>46157</v>
      </c>
      <c r="F1025" s="2" t="s">
        <v>77</v>
      </c>
      <c r="G1025" s="300">
        <v>2160.86</v>
      </c>
      <c r="H1025" s="300">
        <v>0</v>
      </c>
      <c r="I1025" s="204">
        <v>2160.86</v>
      </c>
      <c r="J1025" s="300">
        <v>1674.9819855600001</v>
      </c>
      <c r="K1025" s="4" t="s">
        <v>626</v>
      </c>
      <c r="L1025" s="4" t="s">
        <v>626</v>
      </c>
      <c r="M1025" s="4" t="s">
        <v>360</v>
      </c>
      <c r="N1025" s="4" t="s">
        <v>353</v>
      </c>
      <c r="O1025" s="134" t="str">
        <f>_xlfn.XLOOKUP(N1025,[1]!costcategory[Account Code],[1]!costcategory[Cost Category],"ERROR")</f>
        <v>Travelling Expenses</v>
      </c>
      <c r="P1025" s="4" t="s">
        <v>523</v>
      </c>
      <c r="Q1025" s="147" t="str">
        <f>_xlfn.XLOOKUP(P1025,[1]!Table2[Department],[1]!Table2[Group],"ERROR")</f>
        <v>General &amp; Administrative</v>
      </c>
      <c r="U1025" s="4"/>
      <c r="V1025" s="2"/>
    </row>
    <row r="1026" spans="1:23" customFormat="1" hidden="1" x14ac:dyDescent="0.2">
      <c r="A1026" s="2" t="s">
        <v>15</v>
      </c>
      <c r="B1026" s="2" t="s">
        <v>1</v>
      </c>
      <c r="C1026" s="93">
        <v>46157</v>
      </c>
      <c r="D1026" s="3">
        <v>46157</v>
      </c>
      <c r="E1026" s="126">
        <v>46157</v>
      </c>
      <c r="F1026" s="2" t="s">
        <v>77</v>
      </c>
      <c r="G1026" s="300">
        <v>500.57</v>
      </c>
      <c r="H1026" s="300">
        <v>0</v>
      </c>
      <c r="I1026" s="204">
        <v>500.57</v>
      </c>
      <c r="J1026" s="300">
        <v>388.01483322000001</v>
      </c>
      <c r="K1026" s="4" t="s">
        <v>626</v>
      </c>
      <c r="L1026" s="4" t="s">
        <v>626</v>
      </c>
      <c r="M1026" s="4" t="s">
        <v>360</v>
      </c>
      <c r="N1026" s="4" t="s">
        <v>353</v>
      </c>
      <c r="O1026" s="134" t="str">
        <f>_xlfn.XLOOKUP(N1026,[1]!costcategory[Account Code],[1]!costcategory[Cost Category],"ERROR")</f>
        <v>Travelling Expenses</v>
      </c>
      <c r="P1026" s="4" t="s">
        <v>56</v>
      </c>
      <c r="Q1026" s="147" t="str">
        <f>_xlfn.XLOOKUP(P1026,[1]!Table2[Department],[1]!Table2[Group],"ERROR")</f>
        <v>Research &amp; Development</v>
      </c>
      <c r="U1026" s="4"/>
      <c r="V1026" s="2"/>
    </row>
    <row r="1027" spans="1:23" customFormat="1" hidden="1" x14ac:dyDescent="0.2">
      <c r="A1027" s="2" t="s">
        <v>15</v>
      </c>
      <c r="B1027" s="2" t="s">
        <v>1</v>
      </c>
      <c r="C1027" s="93">
        <v>46157</v>
      </c>
      <c r="D1027" s="3">
        <v>46157</v>
      </c>
      <c r="E1027" s="126">
        <v>46157</v>
      </c>
      <c r="F1027" s="2" t="s">
        <v>77</v>
      </c>
      <c r="G1027" s="300">
        <v>76.33</v>
      </c>
      <c r="H1027" s="300">
        <v>0</v>
      </c>
      <c r="I1027" s="204">
        <v>76.33</v>
      </c>
      <c r="J1027" s="300">
        <v>59.16689418</v>
      </c>
      <c r="K1027" s="4" t="s">
        <v>626</v>
      </c>
      <c r="L1027" s="4" t="s">
        <v>626</v>
      </c>
      <c r="M1027" s="4" t="s">
        <v>361</v>
      </c>
      <c r="N1027" s="4" t="s">
        <v>356</v>
      </c>
      <c r="O1027" s="134" t="str">
        <f>_xlfn.XLOOKUP(N1027,[1]!costcategory[Account Code],[1]!costcategory[Cost Category],"ERROR")</f>
        <v>Travelling Expenses</v>
      </c>
      <c r="P1027" s="4" t="s">
        <v>658</v>
      </c>
      <c r="Q1027" s="147" t="str">
        <f>_xlfn.XLOOKUP(P1027,[1]!Table2[Department],[1]!Table2[Group],"ERROR")</f>
        <v>Sales &amp; Marketing</v>
      </c>
      <c r="U1027" s="4"/>
      <c r="V1027" s="2"/>
    </row>
    <row r="1028" spans="1:23" customFormat="1" hidden="1" x14ac:dyDescent="0.2">
      <c r="A1028" s="2" t="s">
        <v>15</v>
      </c>
      <c r="B1028" s="2" t="s">
        <v>1</v>
      </c>
      <c r="C1028" s="93">
        <v>46157</v>
      </c>
      <c r="D1028" s="3">
        <v>46157</v>
      </c>
      <c r="E1028" s="126">
        <v>46157</v>
      </c>
      <c r="F1028" s="2" t="s">
        <v>77</v>
      </c>
      <c r="G1028" s="300">
        <v>31.7</v>
      </c>
      <c r="H1028" s="300">
        <v>0</v>
      </c>
      <c r="I1028" s="204">
        <v>31.7</v>
      </c>
      <c r="J1028" s="300">
        <v>24.572128199999998</v>
      </c>
      <c r="K1028" s="4" t="s">
        <v>626</v>
      </c>
      <c r="L1028" s="4" t="s">
        <v>626</v>
      </c>
      <c r="M1028" s="4" t="s">
        <v>361</v>
      </c>
      <c r="N1028" s="4" t="s">
        <v>356</v>
      </c>
      <c r="O1028" s="134" t="str">
        <f>_xlfn.XLOOKUP(N1028,[1]!costcategory[Account Code],[1]!costcategory[Cost Category],"ERROR")</f>
        <v>Travelling Expenses</v>
      </c>
      <c r="P1028" s="4" t="s">
        <v>523</v>
      </c>
      <c r="Q1028" s="147" t="str">
        <f>_xlfn.XLOOKUP(P1028,[1]!Table2[Department],[1]!Table2[Group],"ERROR")</f>
        <v>General &amp; Administrative</v>
      </c>
      <c r="U1028" s="4"/>
      <c r="V1028" s="2"/>
    </row>
    <row r="1029" spans="1:23" customFormat="1" hidden="1" x14ac:dyDescent="0.2">
      <c r="A1029" s="2" t="s">
        <v>15</v>
      </c>
      <c r="B1029" s="2" t="s">
        <v>1</v>
      </c>
      <c r="C1029" s="93">
        <v>46157</v>
      </c>
      <c r="D1029" s="3">
        <v>46157</v>
      </c>
      <c r="E1029" s="126">
        <v>46157</v>
      </c>
      <c r="F1029" s="2" t="s">
        <v>77</v>
      </c>
      <c r="G1029" s="300">
        <v>111.46</v>
      </c>
      <c r="H1029" s="300">
        <v>0</v>
      </c>
      <c r="I1029" s="204">
        <v>111.46</v>
      </c>
      <c r="J1029" s="300">
        <v>86.39777316</v>
      </c>
      <c r="K1029" s="4" t="s">
        <v>626</v>
      </c>
      <c r="L1029" s="4" t="s">
        <v>626</v>
      </c>
      <c r="M1029" s="4" t="s">
        <v>361</v>
      </c>
      <c r="N1029" s="4" t="s">
        <v>356</v>
      </c>
      <c r="O1029" s="134" t="str">
        <f>_xlfn.XLOOKUP(N1029,[1]!costcategory[Account Code],[1]!costcategory[Cost Category],"ERROR")</f>
        <v>Travelling Expenses</v>
      </c>
      <c r="P1029" s="4" t="s">
        <v>56</v>
      </c>
      <c r="Q1029" s="147" t="str">
        <f>_xlfn.XLOOKUP(P1029,[1]!Table2[Department],[1]!Table2[Group],"ERROR")</f>
        <v>Research &amp; Development</v>
      </c>
      <c r="U1029" s="4"/>
      <c r="V1029" s="2"/>
    </row>
    <row r="1030" spans="1:23" customFormat="1" hidden="1" x14ac:dyDescent="0.2">
      <c r="A1030" s="2" t="s">
        <v>15</v>
      </c>
      <c r="B1030" s="2" t="s">
        <v>1</v>
      </c>
      <c r="C1030" s="93">
        <v>46157</v>
      </c>
      <c r="D1030" s="3">
        <v>46157</v>
      </c>
      <c r="E1030" s="126">
        <v>46157</v>
      </c>
      <c r="F1030" s="2" t="s">
        <v>77</v>
      </c>
      <c r="G1030" s="300">
        <v>11.3</v>
      </c>
      <c r="H1030" s="300">
        <v>0</v>
      </c>
      <c r="I1030" s="204">
        <v>11.3</v>
      </c>
      <c r="J1030" s="300">
        <v>8.7591498000000012</v>
      </c>
      <c r="K1030" s="4" t="s">
        <v>626</v>
      </c>
      <c r="L1030" s="4" t="s">
        <v>626</v>
      </c>
      <c r="M1030" s="4" t="s">
        <v>361</v>
      </c>
      <c r="N1030" s="4" t="s">
        <v>356</v>
      </c>
      <c r="O1030" s="134" t="str">
        <f>_xlfn.XLOOKUP(N1030,[1]!costcategory[Account Code],[1]!costcategory[Cost Category],"ERROR")</f>
        <v>Travelling Expenses</v>
      </c>
      <c r="P1030" s="4" t="s">
        <v>438</v>
      </c>
      <c r="Q1030" s="147" t="str">
        <f>_xlfn.XLOOKUP(P1030,[1]!Table2[Department],[1]!Table2[Group],"ERROR")</f>
        <v>Sales &amp; Marketing</v>
      </c>
      <c r="U1030" s="4"/>
      <c r="V1030" s="2"/>
    </row>
    <row r="1031" spans="1:23" customFormat="1" hidden="1" x14ac:dyDescent="0.2">
      <c r="A1031" s="2" t="s">
        <v>15</v>
      </c>
      <c r="B1031" s="2" t="s">
        <v>1</v>
      </c>
      <c r="C1031" s="93">
        <v>46157</v>
      </c>
      <c r="D1031" s="3">
        <v>46157</v>
      </c>
      <c r="E1031" s="126">
        <v>46157</v>
      </c>
      <c r="F1031" s="2" t="s">
        <v>77</v>
      </c>
      <c r="G1031" s="300">
        <v>40.14</v>
      </c>
      <c r="H1031" s="300">
        <v>0</v>
      </c>
      <c r="I1031" s="204">
        <v>40.14</v>
      </c>
      <c r="J1031" s="300">
        <v>31.114360440000002</v>
      </c>
      <c r="K1031" s="4" t="s">
        <v>626</v>
      </c>
      <c r="L1031" s="4" t="s">
        <v>626</v>
      </c>
      <c r="M1031" s="4" t="s">
        <v>361</v>
      </c>
      <c r="N1031" s="4" t="s">
        <v>356</v>
      </c>
      <c r="O1031" s="134" t="str">
        <f>_xlfn.XLOOKUP(N1031,[1]!costcategory[Account Code],[1]!costcategory[Cost Category],"ERROR")</f>
        <v>Travelling Expenses</v>
      </c>
      <c r="P1031" s="4" t="s">
        <v>350</v>
      </c>
      <c r="Q1031" s="147" t="str">
        <f>_xlfn.XLOOKUP(P1031,[1]!Table2[Department],[1]!Table2[Group],"ERROR")</f>
        <v>General &amp; Administrative</v>
      </c>
      <c r="U1031" s="4"/>
      <c r="V1031" s="2"/>
    </row>
    <row r="1032" spans="1:23" customFormat="1" hidden="1" x14ac:dyDescent="0.2">
      <c r="A1032" s="2" t="s">
        <v>15</v>
      </c>
      <c r="B1032" s="2" t="s">
        <v>1</v>
      </c>
      <c r="C1032" s="93">
        <v>46135</v>
      </c>
      <c r="D1032" s="3">
        <v>46165</v>
      </c>
      <c r="E1032" s="126">
        <v>46157</v>
      </c>
      <c r="F1032" s="2" t="s">
        <v>77</v>
      </c>
      <c r="G1032" s="300">
        <v>66.5</v>
      </c>
      <c r="H1032" s="300">
        <v>5.99</v>
      </c>
      <c r="I1032" s="204">
        <v>72.489999999999995</v>
      </c>
      <c r="J1032" s="300">
        <v>56.190333539999997</v>
      </c>
      <c r="K1032" s="4" t="s">
        <v>665</v>
      </c>
      <c r="L1032" s="4" t="s">
        <v>926</v>
      </c>
      <c r="M1032" s="4" t="s">
        <v>666</v>
      </c>
      <c r="N1032" s="4" t="s">
        <v>50</v>
      </c>
      <c r="O1032" s="134" t="str">
        <f>_xlfn.XLOOKUP(N1032,[1]!costcategory[Account Code],[1]!costcategory[Cost Category],"ERROR")</f>
        <v>Office Supplies</v>
      </c>
      <c r="P1032" s="4" t="s">
        <v>340</v>
      </c>
      <c r="Q1032" s="147" t="str">
        <f>_xlfn.XLOOKUP(P1032,[1]!Table2[Department],[1]!Table2[Group],"ERROR")</f>
        <v>General &amp; Administrative</v>
      </c>
      <c r="U1032" s="4"/>
      <c r="V1032" s="2"/>
    </row>
    <row r="1033" spans="1:23" customFormat="1" hidden="1" x14ac:dyDescent="0.2">
      <c r="A1033" s="2" t="s">
        <v>15</v>
      </c>
      <c r="B1033" s="2" t="s">
        <v>1</v>
      </c>
      <c r="C1033" s="93">
        <v>46149</v>
      </c>
      <c r="D1033" s="3">
        <v>46165</v>
      </c>
      <c r="E1033" s="126">
        <v>46157</v>
      </c>
      <c r="F1033" s="2" t="s">
        <v>77</v>
      </c>
      <c r="G1033" s="300">
        <v>57</v>
      </c>
      <c r="H1033" s="300">
        <v>5.13</v>
      </c>
      <c r="I1033" s="204">
        <v>62.13</v>
      </c>
      <c r="J1033" s="300">
        <v>48.159820979999999</v>
      </c>
      <c r="K1033" s="4" t="s">
        <v>665</v>
      </c>
      <c r="L1033" s="4" t="s">
        <v>927</v>
      </c>
      <c r="M1033" s="4" t="s">
        <v>666</v>
      </c>
      <c r="N1033" s="4" t="s">
        <v>50</v>
      </c>
      <c r="O1033" s="134" t="str">
        <f>_xlfn.XLOOKUP(N1033,[1]!costcategory[Account Code],[1]!costcategory[Cost Category],"ERROR")</f>
        <v>Office Supplies</v>
      </c>
      <c r="P1033" s="4" t="s">
        <v>340</v>
      </c>
      <c r="Q1033" s="147" t="str">
        <f>_xlfn.XLOOKUP(P1033,[1]!Table2[Department],[1]!Table2[Group],"ERROR")</f>
        <v>General &amp; Administrative</v>
      </c>
      <c r="U1033" s="4"/>
      <c r="V1033" s="2"/>
    </row>
    <row r="1034" spans="1:23" hidden="1" x14ac:dyDescent="0.2">
      <c r="A1034" s="2" t="s">
        <v>15</v>
      </c>
      <c r="B1034" s="2" t="s">
        <v>1</v>
      </c>
      <c r="C1034" s="93">
        <v>46155</v>
      </c>
      <c r="D1034" s="3">
        <v>46155</v>
      </c>
      <c r="E1034" s="126">
        <v>46158</v>
      </c>
      <c r="F1034" s="2" t="s">
        <v>77</v>
      </c>
      <c r="G1034" s="300">
        <v>466.84</v>
      </c>
      <c r="H1034" s="300">
        <v>0</v>
      </c>
      <c r="I1034" s="204">
        <v>466.84</v>
      </c>
      <c r="J1034" s="300">
        <v>361.86915863999997</v>
      </c>
      <c r="K1034" s="4" t="s">
        <v>928</v>
      </c>
      <c r="M1034" s="4" t="s">
        <v>929</v>
      </c>
      <c r="N1034" s="4" t="s">
        <v>527</v>
      </c>
      <c r="O1034" s="134" t="str">
        <f>_xlfn.XLOOKUP(N1034,[1]!costcategory[Account Code],[1]!costcategory[Cost Category],"ERROR")</f>
        <v>Sales Expenses</v>
      </c>
      <c r="P1034" s="4" t="s">
        <v>523</v>
      </c>
      <c r="Q1034" s="147" t="str">
        <f>_xlfn.XLOOKUP(P1034,[1]!Table2[Department],[1]!Table2[Group],"ERROR")</f>
        <v>General &amp; Administrative</v>
      </c>
    </row>
    <row r="1035" spans="1:23" hidden="1" x14ac:dyDescent="0.2">
      <c r="A1035" s="2" t="s">
        <v>15</v>
      </c>
      <c r="B1035" s="2" t="s">
        <v>1</v>
      </c>
      <c r="C1035" s="93">
        <v>46160</v>
      </c>
      <c r="D1035" s="3">
        <v>46160</v>
      </c>
      <c r="E1035" s="126">
        <v>46160</v>
      </c>
      <c r="F1035" s="2" t="s">
        <v>77</v>
      </c>
      <c r="G1035" s="300">
        <v>-230000</v>
      </c>
      <c r="H1035" s="300">
        <v>0</v>
      </c>
      <c r="I1035" s="204">
        <v>-230000</v>
      </c>
      <c r="J1035" s="300">
        <v>-178283.58</v>
      </c>
      <c r="K1035" s="4" t="s">
        <v>455</v>
      </c>
      <c r="L1035" s="4" t="s">
        <v>881</v>
      </c>
      <c r="M1035" s="4" t="s">
        <v>882</v>
      </c>
      <c r="N1035" s="4" t="s">
        <v>930</v>
      </c>
      <c r="O1035" s="134" t="str">
        <f>_xlfn.XLOOKUP(N1035,[1]!costcategory[Account Code],[1]!costcategory[Cost Category],"ERROR")</f>
        <v>Bank</v>
      </c>
      <c r="P1035" s="4" t="s">
        <v>333</v>
      </c>
      <c r="Q1035" s="147" t="str">
        <f>_xlfn.XLOOKUP(P1035,[1]!Table2[Department],[1]!Table2[Group],"ERROR")</f>
        <v>General &amp; Administrative</v>
      </c>
    </row>
    <row r="1036" spans="1:23" hidden="1" x14ac:dyDescent="0.2">
      <c r="A1036" s="2" t="s">
        <v>15</v>
      </c>
      <c r="B1036" s="2" t="s">
        <v>1</v>
      </c>
      <c r="C1036" s="93">
        <v>46148</v>
      </c>
      <c r="D1036" s="3">
        <v>46160</v>
      </c>
      <c r="E1036" s="126">
        <v>46160</v>
      </c>
      <c r="F1036" s="2" t="s">
        <v>77</v>
      </c>
      <c r="G1036" s="300">
        <v>9164.7999999999993</v>
      </c>
      <c r="H1036" s="300">
        <v>0</v>
      </c>
      <c r="I1036" s="204">
        <v>9164.7999999999993</v>
      </c>
      <c r="J1036" s="300">
        <v>7104.0580607999991</v>
      </c>
      <c r="K1036" s="4" t="s">
        <v>931</v>
      </c>
      <c r="L1036" s="4" t="s">
        <v>932</v>
      </c>
      <c r="M1036" s="4" t="s">
        <v>933</v>
      </c>
      <c r="N1036" s="4" t="s">
        <v>447</v>
      </c>
      <c r="O1036" s="134" t="str">
        <f>_xlfn.XLOOKUP(N1036,[1]!costcategory[Account Code],[1]!costcategory[Cost Category],"ERROR")</f>
        <v>Accrual</v>
      </c>
      <c r="P1036" s="4" t="s">
        <v>350</v>
      </c>
      <c r="Q1036" s="147" t="str">
        <f>_xlfn.XLOOKUP(P1036,[1]!Table2[Department],[1]!Table2[Group],"ERROR")</f>
        <v>General &amp; Administrative</v>
      </c>
    </row>
    <row r="1037" spans="1:23" hidden="1" x14ac:dyDescent="0.2">
      <c r="A1037" s="2" t="s">
        <v>15</v>
      </c>
      <c r="B1037" s="2" t="s">
        <v>1</v>
      </c>
      <c r="C1037" s="93">
        <v>46160</v>
      </c>
      <c r="D1037" s="3">
        <v>46160</v>
      </c>
      <c r="E1037" s="126">
        <v>46163</v>
      </c>
      <c r="F1037" s="2" t="s">
        <v>77</v>
      </c>
      <c r="G1037" s="300">
        <v>46.64</v>
      </c>
      <c r="H1037" s="300">
        <v>0</v>
      </c>
      <c r="I1037" s="204">
        <v>46.64</v>
      </c>
      <c r="J1037" s="300">
        <v>36.15</v>
      </c>
      <c r="K1037" s="4" t="s">
        <v>934</v>
      </c>
      <c r="M1037" s="4" t="s">
        <v>934</v>
      </c>
      <c r="N1037" s="4" t="s">
        <v>527</v>
      </c>
      <c r="O1037" s="134" t="str">
        <f>_xlfn.XLOOKUP(N1037,[1]!costcategory[Account Code],[1]!costcategory[Cost Category],"ERROR")</f>
        <v>Sales Expenses</v>
      </c>
      <c r="P1037" s="4" t="s">
        <v>523</v>
      </c>
      <c r="Q1037" s="147" t="str">
        <f>_xlfn.XLOOKUP(P1037,[1]!Table2[Department],[1]!Table2[Group],"ERROR")</f>
        <v>General &amp; Administrative</v>
      </c>
      <c r="R1037" t="s">
        <v>670</v>
      </c>
    </row>
    <row r="1038" spans="1:23" hidden="1" x14ac:dyDescent="0.2">
      <c r="A1038" s="2" t="s">
        <v>15</v>
      </c>
      <c r="B1038" s="2" t="s">
        <v>1</v>
      </c>
      <c r="C1038" s="93">
        <v>46160</v>
      </c>
      <c r="D1038" s="3">
        <v>46160</v>
      </c>
      <c r="E1038" s="126">
        <v>46163</v>
      </c>
      <c r="F1038" s="2" t="s">
        <v>77</v>
      </c>
      <c r="G1038" s="300">
        <v>70.3</v>
      </c>
      <c r="H1038" s="300">
        <v>0</v>
      </c>
      <c r="I1038" s="204">
        <v>70.3</v>
      </c>
      <c r="J1038" s="300">
        <v>54.49</v>
      </c>
      <c r="K1038" s="4" t="s">
        <v>935</v>
      </c>
      <c r="M1038" s="4" t="s">
        <v>935</v>
      </c>
      <c r="N1038" s="4" t="s">
        <v>527</v>
      </c>
      <c r="O1038" s="134" t="str">
        <f>_xlfn.XLOOKUP(N1038,[1]!costcategory[Account Code],[1]!costcategory[Cost Category],"ERROR")</f>
        <v>Sales Expenses</v>
      </c>
      <c r="P1038" s="4" t="s">
        <v>523</v>
      </c>
      <c r="Q1038" s="147" t="str">
        <f>_xlfn.XLOOKUP(P1038,[1]!Table2[Department],[1]!Table2[Group],"ERROR")</f>
        <v>General &amp; Administrative</v>
      </c>
      <c r="R1038" t="s">
        <v>670</v>
      </c>
    </row>
    <row r="1039" spans="1:23" hidden="1" x14ac:dyDescent="0.2">
      <c r="A1039" s="2" t="s">
        <v>15</v>
      </c>
      <c r="B1039" s="2" t="s">
        <v>1</v>
      </c>
      <c r="C1039" s="93">
        <v>46161</v>
      </c>
      <c r="D1039" s="3">
        <v>46161</v>
      </c>
      <c r="E1039" s="126">
        <v>46164</v>
      </c>
      <c r="F1039" s="2" t="s">
        <v>77</v>
      </c>
      <c r="G1039" s="300">
        <v>108.03</v>
      </c>
      <c r="H1039" s="300">
        <v>0</v>
      </c>
      <c r="I1039" s="204">
        <v>108.03</v>
      </c>
      <c r="J1039" s="300">
        <v>83.74</v>
      </c>
      <c r="K1039" s="4" t="s">
        <v>936</v>
      </c>
      <c r="M1039" s="4" t="s">
        <v>937</v>
      </c>
      <c r="N1039" s="4" t="s">
        <v>390</v>
      </c>
      <c r="O1039" s="134" t="str">
        <f>_xlfn.XLOOKUP(N1039,[1]!costcategory[Account Code],[1]!costcategory[Cost Category],"ERROR")</f>
        <v>Employee Benefits</v>
      </c>
      <c r="P1039" s="4" t="s">
        <v>523</v>
      </c>
      <c r="Q1039" s="147" t="str">
        <f>_xlfn.XLOOKUP(P1039,[1]!Table2[Department],[1]!Table2[Group],"ERROR")</f>
        <v>General &amp; Administrative</v>
      </c>
      <c r="R1039" t="s">
        <v>670</v>
      </c>
    </row>
    <row r="1040" spans="1:23" s="165" customFormat="1" hidden="1" x14ac:dyDescent="0.2">
      <c r="A1040" s="2" t="s">
        <v>15</v>
      </c>
      <c r="B1040" s="2" t="s">
        <v>1</v>
      </c>
      <c r="C1040" s="93">
        <v>46161</v>
      </c>
      <c r="D1040" s="3">
        <v>46161</v>
      </c>
      <c r="E1040" s="126">
        <v>46164</v>
      </c>
      <c r="F1040" s="2" t="s">
        <v>77</v>
      </c>
      <c r="G1040" s="300">
        <v>93.4</v>
      </c>
      <c r="H1040" s="300">
        <v>0</v>
      </c>
      <c r="I1040" s="204">
        <v>93.4</v>
      </c>
      <c r="J1040" s="300">
        <v>72.400000000000006</v>
      </c>
      <c r="K1040" s="4" t="s">
        <v>938</v>
      </c>
      <c r="L1040" s="4"/>
      <c r="M1040" s="4" t="s">
        <v>939</v>
      </c>
      <c r="N1040" s="4" t="s">
        <v>527</v>
      </c>
      <c r="O1040" s="134" t="str">
        <f>_xlfn.XLOOKUP(N1040,[1]!costcategory[Account Code],[1]!costcategory[Cost Category],"ERROR")</f>
        <v>Sales Expenses</v>
      </c>
      <c r="P1040" s="4" t="s">
        <v>523</v>
      </c>
      <c r="Q1040" s="147" t="str">
        <f>_xlfn.XLOOKUP(P1040,[1]!Table2[Department],[1]!Table2[Group],"ERROR")</f>
        <v>General &amp; Administrative</v>
      </c>
      <c r="R1040" t="s">
        <v>670</v>
      </c>
      <c r="S1040"/>
      <c r="T1040"/>
      <c r="U1040" s="4"/>
      <c r="V1040" s="2"/>
      <c r="W1040" s="4"/>
    </row>
    <row r="1041" spans="1:23" s="165" customFormat="1" hidden="1" x14ac:dyDescent="0.2">
      <c r="A1041" s="2" t="s">
        <v>15</v>
      </c>
      <c r="B1041" s="2" t="s">
        <v>1</v>
      </c>
      <c r="C1041" s="93">
        <v>46162</v>
      </c>
      <c r="D1041" s="3">
        <v>46162</v>
      </c>
      <c r="E1041" s="126">
        <v>46165</v>
      </c>
      <c r="F1041" s="2" t="s">
        <v>77</v>
      </c>
      <c r="G1041" s="300">
        <v>137.21</v>
      </c>
      <c r="H1041" s="300">
        <v>0</v>
      </c>
      <c r="I1041" s="204">
        <v>137.21</v>
      </c>
      <c r="J1041" s="300">
        <v>106.36</v>
      </c>
      <c r="K1041" s="4" t="s">
        <v>940</v>
      </c>
      <c r="L1041" s="4"/>
      <c r="M1041" s="4" t="s">
        <v>941</v>
      </c>
      <c r="N1041" s="4" t="s">
        <v>527</v>
      </c>
      <c r="O1041" s="134" t="str">
        <f>_xlfn.XLOOKUP(N1041,[1]!costcategory[Account Code],[1]!costcategory[Cost Category],"ERROR")</f>
        <v>Sales Expenses</v>
      </c>
      <c r="P1041" s="4" t="s">
        <v>523</v>
      </c>
      <c r="Q1041" s="147" t="str">
        <f>_xlfn.XLOOKUP(P1041,[1]!Table2[Department],[1]!Table2[Group],"ERROR")</f>
        <v>General &amp; Administrative</v>
      </c>
      <c r="R1041" t="s">
        <v>670</v>
      </c>
      <c r="S1041"/>
      <c r="T1041"/>
      <c r="U1041" s="4"/>
      <c r="V1041" s="2"/>
      <c r="W1041" s="4"/>
    </row>
    <row r="1042" spans="1:23" hidden="1" x14ac:dyDescent="0.2">
      <c r="A1042" s="2" t="s">
        <v>15</v>
      </c>
      <c r="B1042" s="2" t="s">
        <v>1</v>
      </c>
      <c r="C1042" s="93">
        <v>46164</v>
      </c>
      <c r="D1042" s="3">
        <v>46164</v>
      </c>
      <c r="E1042" s="126">
        <v>46167</v>
      </c>
      <c r="F1042" s="2" t="s">
        <v>77</v>
      </c>
      <c r="G1042" s="300">
        <v>9.5</v>
      </c>
      <c r="H1042" s="300">
        <v>0</v>
      </c>
      <c r="I1042" s="204">
        <v>9.5</v>
      </c>
      <c r="J1042" s="300">
        <v>7.36</v>
      </c>
      <c r="K1042" s="4" t="s">
        <v>942</v>
      </c>
      <c r="M1042" s="4" t="s">
        <v>943</v>
      </c>
      <c r="N1042" s="4" t="s">
        <v>390</v>
      </c>
      <c r="O1042" s="134" t="str">
        <f>_xlfn.XLOOKUP(N1042,[1]!costcategory[Account Code],[1]!costcategory[Cost Category],"ERROR")</f>
        <v>Employee Benefits</v>
      </c>
      <c r="P1042" s="4" t="s">
        <v>523</v>
      </c>
      <c r="Q1042" s="147" t="str">
        <f>_xlfn.XLOOKUP(P1042,[1]!Table2[Department],[1]!Table2[Group],"ERROR")</f>
        <v>General &amp; Administrative</v>
      </c>
      <c r="R1042" t="s">
        <v>670</v>
      </c>
    </row>
    <row r="1043" spans="1:23" hidden="1" x14ac:dyDescent="0.2">
      <c r="A1043" s="2" t="s">
        <v>15</v>
      </c>
      <c r="B1043" s="2" t="s">
        <v>1</v>
      </c>
      <c r="C1043" s="93">
        <v>46164</v>
      </c>
      <c r="D1043" s="3">
        <v>46164</v>
      </c>
      <c r="E1043" s="126">
        <v>46167</v>
      </c>
      <c r="F1043" s="2" t="s">
        <v>77</v>
      </c>
      <c r="G1043" s="300">
        <v>19</v>
      </c>
      <c r="H1043" s="300">
        <v>0</v>
      </c>
      <c r="I1043" s="204">
        <v>19</v>
      </c>
      <c r="J1043" s="300">
        <v>14.73</v>
      </c>
      <c r="K1043" s="4" t="s">
        <v>942</v>
      </c>
      <c r="M1043" s="4" t="s">
        <v>943</v>
      </c>
      <c r="N1043" s="4" t="s">
        <v>390</v>
      </c>
      <c r="O1043" s="134" t="str">
        <f>_xlfn.XLOOKUP(N1043,[1]!costcategory[Account Code],[1]!costcategory[Cost Category],"ERROR")</f>
        <v>Employee Benefits</v>
      </c>
      <c r="P1043" s="4" t="s">
        <v>523</v>
      </c>
      <c r="Q1043" s="147" t="str">
        <f>_xlfn.XLOOKUP(P1043,[1]!Table2[Department],[1]!Table2[Group],"ERROR")</f>
        <v>General &amp; Administrative</v>
      </c>
      <c r="R1043" t="s">
        <v>670</v>
      </c>
    </row>
    <row r="1044" spans="1:23" hidden="1" x14ac:dyDescent="0.2">
      <c r="A1044" s="2" t="s">
        <v>15</v>
      </c>
      <c r="B1044" s="2" t="s">
        <v>1</v>
      </c>
      <c r="C1044" s="93">
        <v>46164</v>
      </c>
      <c r="D1044" s="3">
        <v>46164</v>
      </c>
      <c r="E1044" s="126">
        <v>46167</v>
      </c>
      <c r="F1044" s="2" t="s">
        <v>77</v>
      </c>
      <c r="G1044" s="300">
        <v>102.3</v>
      </c>
      <c r="H1044" s="300">
        <v>0</v>
      </c>
      <c r="I1044" s="204">
        <v>102.3</v>
      </c>
      <c r="J1044" s="300">
        <v>79.3</v>
      </c>
      <c r="K1044" s="4" t="s">
        <v>942</v>
      </c>
      <c r="M1044" s="4" t="s">
        <v>943</v>
      </c>
      <c r="N1044" s="4" t="s">
        <v>390</v>
      </c>
      <c r="O1044" s="134" t="str">
        <f>_xlfn.XLOOKUP(N1044,[1]!costcategory[Account Code],[1]!costcategory[Cost Category],"ERROR")</f>
        <v>Employee Benefits</v>
      </c>
      <c r="P1044" s="4" t="s">
        <v>523</v>
      </c>
      <c r="Q1044" s="147" t="str">
        <f>_xlfn.XLOOKUP(P1044,[1]!Table2[Department],[1]!Table2[Group],"ERROR")</f>
        <v>General &amp; Administrative</v>
      </c>
      <c r="R1044" t="s">
        <v>670</v>
      </c>
    </row>
    <row r="1045" spans="1:23" hidden="1" x14ac:dyDescent="0.2">
      <c r="A1045" s="2" t="s">
        <v>15</v>
      </c>
      <c r="B1045" s="2" t="s">
        <v>1</v>
      </c>
      <c r="C1045" s="93">
        <v>46167</v>
      </c>
      <c r="D1045" s="3">
        <v>46167</v>
      </c>
      <c r="E1045" s="126">
        <v>46167</v>
      </c>
      <c r="F1045" s="2" t="s">
        <v>77</v>
      </c>
      <c r="G1045" s="300">
        <v>2206.63</v>
      </c>
      <c r="H1045" s="300">
        <v>0</v>
      </c>
      <c r="I1045" s="204">
        <v>2206.63</v>
      </c>
      <c r="J1045" s="300">
        <v>1710.46</v>
      </c>
      <c r="K1045" s="4" t="s">
        <v>944</v>
      </c>
      <c r="L1045" s="4" t="s">
        <v>945</v>
      </c>
      <c r="M1045" s="4" t="s">
        <v>946</v>
      </c>
      <c r="N1045" s="4" t="s">
        <v>387</v>
      </c>
      <c r="O1045" s="134" t="str">
        <f>_xlfn.XLOOKUP(N1045,[1]!costcategory[Account Code],[1]!costcategory[Cost Category],"ERROR")</f>
        <v>Headcount Costs</v>
      </c>
      <c r="P1045" s="4" t="s">
        <v>350</v>
      </c>
      <c r="Q1045" s="147" t="str">
        <f>_xlfn.XLOOKUP(P1045,[1]!Table2[Department],[1]!Table2[Group],"ERROR")</f>
        <v>General &amp; Administrative</v>
      </c>
      <c r="R1045" t="s">
        <v>670</v>
      </c>
    </row>
    <row r="1046" spans="1:23" hidden="1" x14ac:dyDescent="0.2">
      <c r="A1046" s="2" t="s">
        <v>15</v>
      </c>
      <c r="B1046" s="2" t="s">
        <v>1</v>
      </c>
      <c r="C1046" s="93">
        <v>46161</v>
      </c>
      <c r="D1046" s="3">
        <v>46171</v>
      </c>
      <c r="E1046" s="126">
        <v>46170</v>
      </c>
      <c r="F1046" s="2" t="s">
        <v>77</v>
      </c>
      <c r="G1046" s="300">
        <v>16377.27</v>
      </c>
      <c r="H1046" s="300">
        <v>0</v>
      </c>
      <c r="I1046" s="204">
        <v>16377.27</v>
      </c>
      <c r="J1046" s="300">
        <v>12612.55</v>
      </c>
      <c r="K1046" s="4" t="s">
        <v>931</v>
      </c>
      <c r="L1046" s="4" t="s">
        <v>947</v>
      </c>
      <c r="M1046" s="4" t="s">
        <v>948</v>
      </c>
      <c r="N1046" s="4" t="s">
        <v>447</v>
      </c>
      <c r="O1046" s="134" t="str">
        <f>_xlfn.XLOOKUP(N1046,[1]!costcategory[Account Code],[1]!costcategory[Cost Category],"ERROR")</f>
        <v>Accrual</v>
      </c>
      <c r="P1046" s="4" t="s">
        <v>350</v>
      </c>
      <c r="Q1046" s="147" t="str">
        <f>_xlfn.XLOOKUP(P1046,[1]!Table2[Department],[1]!Table2[Group],"ERROR")</f>
        <v>General &amp; Administrative</v>
      </c>
      <c r="R1046" t="s">
        <v>670</v>
      </c>
    </row>
    <row r="1047" spans="1:23" hidden="1" x14ac:dyDescent="0.2">
      <c r="A1047" s="2" t="s">
        <v>15</v>
      </c>
      <c r="B1047" s="2" t="s">
        <v>1</v>
      </c>
      <c r="C1047" s="93">
        <v>46149</v>
      </c>
      <c r="D1047" s="3">
        <v>46163</v>
      </c>
      <c r="E1047" s="126">
        <v>46171</v>
      </c>
      <c r="F1047" s="2" t="s">
        <v>77</v>
      </c>
      <c r="G1047" s="300">
        <v>139.38</v>
      </c>
      <c r="H1047" s="300">
        <v>12.54</v>
      </c>
      <c r="I1047" s="204">
        <v>151.91999999999999</v>
      </c>
      <c r="J1047" s="300">
        <v>119.2383222511008</v>
      </c>
      <c r="K1047" s="4" t="s">
        <v>949</v>
      </c>
      <c r="L1047" s="4" t="s">
        <v>950</v>
      </c>
      <c r="M1047" s="4" t="s">
        <v>951</v>
      </c>
      <c r="N1047" s="4" t="s">
        <v>370</v>
      </c>
      <c r="O1047" s="134" t="str">
        <f>_xlfn.XLOOKUP(N1047,[1]!costcategory[Account Code],[1]!costcategory[Cost Category],"ERROR")</f>
        <v>Utilities</v>
      </c>
      <c r="P1047" s="4" t="s">
        <v>340</v>
      </c>
      <c r="Q1047" s="147" t="str">
        <f>_xlfn.XLOOKUP(P1047,[1]!Table2[Department],[1]!Table2[Group],"ERROR")</f>
        <v>General &amp; Administrative</v>
      </c>
    </row>
    <row r="1048" spans="1:23" hidden="1" x14ac:dyDescent="0.2">
      <c r="A1048" s="2" t="s">
        <v>15</v>
      </c>
      <c r="B1048" s="2" t="s">
        <v>1</v>
      </c>
      <c r="C1048" s="93">
        <v>46172</v>
      </c>
      <c r="D1048" s="3">
        <v>46172</v>
      </c>
      <c r="E1048" s="126">
        <v>46172</v>
      </c>
      <c r="F1048" s="2" t="s">
        <v>77</v>
      </c>
      <c r="G1048" s="300">
        <v>-53.92</v>
      </c>
      <c r="H1048" s="300">
        <v>0</v>
      </c>
      <c r="I1048" s="204">
        <v>-53.92</v>
      </c>
      <c r="J1048" s="300">
        <v>-42.320499840569745</v>
      </c>
      <c r="K1048" s="4" t="s">
        <v>670</v>
      </c>
      <c r="L1048" s="4" t="s">
        <v>952</v>
      </c>
      <c r="M1048" s="4" t="s">
        <v>715</v>
      </c>
      <c r="N1048" s="4" t="s">
        <v>384</v>
      </c>
      <c r="O1048" s="134" t="str">
        <f>_xlfn.XLOOKUP(N1048,[1]!costcategory[Account Code],[1]!costcategory[Cost Category],"ERROR")</f>
        <v>Other Income</v>
      </c>
      <c r="P1048" s="4" t="s">
        <v>333</v>
      </c>
      <c r="Q1048" s="147" t="str">
        <f>_xlfn.XLOOKUP(P1048,[1]!Table2[Department],[1]!Table2[Group],"ERROR")</f>
        <v>General &amp; Administrative</v>
      </c>
    </row>
    <row r="1049" spans="1:23" hidden="1" x14ac:dyDescent="0.2">
      <c r="A1049" s="2" t="s">
        <v>15</v>
      </c>
      <c r="B1049" s="2" t="s">
        <v>1</v>
      </c>
      <c r="C1049" s="93">
        <v>46170</v>
      </c>
      <c r="D1049" s="3">
        <v>46170</v>
      </c>
      <c r="E1049" s="126">
        <v>46172</v>
      </c>
      <c r="F1049" s="2" t="s">
        <v>77</v>
      </c>
      <c r="G1049" s="300">
        <v>142.62</v>
      </c>
      <c r="H1049" s="300">
        <v>12.83</v>
      </c>
      <c r="I1049" s="204">
        <v>155.44999999999999</v>
      </c>
      <c r="J1049" s="300">
        <v>122.00893360935768</v>
      </c>
      <c r="K1049" s="4" t="s">
        <v>774</v>
      </c>
      <c r="L1049" s="4" t="s">
        <v>953</v>
      </c>
      <c r="M1049" s="4" t="s">
        <v>891</v>
      </c>
      <c r="N1049" s="4" t="s">
        <v>60</v>
      </c>
      <c r="O1049" s="134" t="str">
        <f>_xlfn.XLOOKUP(N1049,[1]!costcategory[Account Code],[1]!costcategory[Cost Category],"ERROR")</f>
        <v>Subscription Fee</v>
      </c>
      <c r="P1049" s="4" t="s">
        <v>333</v>
      </c>
      <c r="Q1049" s="147" t="str">
        <f>_xlfn.XLOOKUP(P1049,[1]!Table2[Department],[1]!Table2[Group],"ERROR")</f>
        <v>General &amp; Administrative</v>
      </c>
    </row>
    <row r="1050" spans="1:23" hidden="1" x14ac:dyDescent="0.2">
      <c r="A1050" s="2" t="s">
        <v>15</v>
      </c>
      <c r="B1050" s="2" t="s">
        <v>1</v>
      </c>
      <c r="C1050" s="93">
        <v>46170</v>
      </c>
      <c r="D1050" s="3">
        <v>46170</v>
      </c>
      <c r="E1050" s="126">
        <v>46172</v>
      </c>
      <c r="F1050" s="2" t="s">
        <v>77</v>
      </c>
      <c r="G1050" s="300">
        <v>67.89</v>
      </c>
      <c r="H1050" s="300">
        <v>6.11</v>
      </c>
      <c r="I1050" s="204">
        <v>74</v>
      </c>
      <c r="J1050" s="300">
        <v>58.080804677339785</v>
      </c>
      <c r="K1050" s="4" t="s">
        <v>774</v>
      </c>
      <c r="L1050" s="4" t="s">
        <v>953</v>
      </c>
      <c r="M1050" s="4" t="s">
        <v>892</v>
      </c>
      <c r="N1050" s="4" t="s">
        <v>60</v>
      </c>
      <c r="O1050" s="134" t="str">
        <f>_xlfn.XLOOKUP(N1050,[1]!costcategory[Account Code],[1]!costcategory[Cost Category],"ERROR")</f>
        <v>Subscription Fee</v>
      </c>
      <c r="P1050" s="4" t="s">
        <v>354</v>
      </c>
      <c r="Q1050" s="147" t="str">
        <f>_xlfn.XLOOKUP(P1050,[1]!Table2[Department],[1]!Table2[Group],"ERROR")</f>
        <v>Sales &amp; Marketing</v>
      </c>
    </row>
    <row r="1051" spans="1:23" hidden="1" x14ac:dyDescent="0.2">
      <c r="A1051" s="2" t="s">
        <v>15</v>
      </c>
      <c r="B1051" s="2" t="s">
        <v>1</v>
      </c>
      <c r="C1051" s="93">
        <v>46170</v>
      </c>
      <c r="D1051" s="3">
        <v>46170</v>
      </c>
      <c r="E1051" s="126">
        <v>46175</v>
      </c>
      <c r="F1051" s="2" t="s">
        <v>77</v>
      </c>
      <c r="G1051" s="300">
        <v>172.18</v>
      </c>
      <c r="H1051" s="300">
        <v>0</v>
      </c>
      <c r="I1051" s="204">
        <v>172.18</v>
      </c>
      <c r="J1051" s="300">
        <v>134.85137600000002</v>
      </c>
      <c r="K1051" s="4" t="s">
        <v>954</v>
      </c>
      <c r="M1051" s="4" t="s">
        <v>917</v>
      </c>
      <c r="N1051" s="4" t="s">
        <v>527</v>
      </c>
      <c r="O1051" s="134" t="str">
        <f>_xlfn.XLOOKUP(N1051,[1]!costcategory[Account Code],[1]!costcategory[Cost Category],"ERROR")</f>
        <v>Sales Expenses</v>
      </c>
      <c r="P1051" s="4" t="s">
        <v>523</v>
      </c>
      <c r="Q1051" s="147" t="str">
        <f>_xlfn.XLOOKUP(P1051,[1]!Table2[Department],[1]!Table2[Group],"ERROR")</f>
        <v>General &amp; Administrative</v>
      </c>
    </row>
    <row r="1052" spans="1:23" hidden="1" x14ac:dyDescent="0.2">
      <c r="A1052" s="2" t="s">
        <v>15</v>
      </c>
      <c r="B1052" s="2" t="s">
        <v>1</v>
      </c>
      <c r="C1052" s="93">
        <v>46028</v>
      </c>
      <c r="D1052" s="3">
        <v>46028</v>
      </c>
      <c r="E1052" s="126">
        <v>46175</v>
      </c>
      <c r="F1052" s="2" t="s">
        <v>77</v>
      </c>
      <c r="G1052" s="300">
        <v>23892</v>
      </c>
      <c r="H1052" s="300">
        <v>2150.2800000000002</v>
      </c>
      <c r="I1052" s="204">
        <v>26042.28</v>
      </c>
      <c r="J1052" s="300">
        <v>20055.810000000001</v>
      </c>
      <c r="K1052" s="4" t="s">
        <v>660</v>
      </c>
      <c r="L1052" s="4" t="s">
        <v>955</v>
      </c>
      <c r="M1052" s="4" t="s">
        <v>956</v>
      </c>
      <c r="N1052" s="4" t="s">
        <v>409</v>
      </c>
      <c r="O1052" s="134" t="str">
        <f>_xlfn.XLOOKUP(N1052,[1]!costcategory[Account Code],[1]!costcategory[Cost Category],"ERROR")</f>
        <v>Rental</v>
      </c>
      <c r="P1052" s="4" t="s">
        <v>340</v>
      </c>
      <c r="Q1052" s="147" t="str">
        <f>_xlfn.XLOOKUP(P1052,[1]!Table2[Department],[1]!Table2[Group],"ERROR")</f>
        <v>General &amp; Administrative</v>
      </c>
    </row>
    <row r="1053" spans="1:23" hidden="1" x14ac:dyDescent="0.2">
      <c r="A1053" s="2" t="s">
        <v>15</v>
      </c>
      <c r="B1053" s="2" t="s">
        <v>1</v>
      </c>
      <c r="C1053" s="93">
        <v>46173</v>
      </c>
      <c r="D1053" s="3">
        <v>46173</v>
      </c>
      <c r="E1053" s="126">
        <v>46175</v>
      </c>
      <c r="F1053" s="2" t="s">
        <v>77</v>
      </c>
      <c r="G1053" s="300">
        <v>600</v>
      </c>
      <c r="H1053" s="300">
        <v>0</v>
      </c>
      <c r="I1053" s="204">
        <v>600</v>
      </c>
      <c r="J1053" s="300">
        <v>462.07501847516585</v>
      </c>
      <c r="K1053" s="4" t="s">
        <v>757</v>
      </c>
      <c r="L1053" s="4" t="s">
        <v>957</v>
      </c>
      <c r="M1053" s="4" t="s">
        <v>958</v>
      </c>
      <c r="N1053" s="4" t="s">
        <v>621</v>
      </c>
      <c r="O1053" s="134" t="str">
        <f>_xlfn.XLOOKUP(N1053,[1]!costcategory[Account Code],[1]!costcategory[Cost Category],"ERROR")</f>
        <v>Upkeep of Office</v>
      </c>
      <c r="P1053" s="4" t="s">
        <v>340</v>
      </c>
      <c r="Q1053" s="147" t="str">
        <f>_xlfn.XLOOKUP(P1053,[1]!Table2[Department],[1]!Table2[Group],"ERROR")</f>
        <v>General &amp; Administrative</v>
      </c>
    </row>
    <row r="1054" spans="1:23" hidden="1" x14ac:dyDescent="0.2">
      <c r="A1054" s="2" t="s">
        <v>15</v>
      </c>
      <c r="B1054" s="2" t="s">
        <v>1</v>
      </c>
      <c r="C1054" s="93">
        <v>46117</v>
      </c>
      <c r="D1054" s="3">
        <v>46087</v>
      </c>
      <c r="E1054" s="126">
        <v>46175</v>
      </c>
      <c r="F1054" s="2" t="s">
        <v>77</v>
      </c>
      <c r="G1054" s="300">
        <v>158</v>
      </c>
      <c r="H1054" s="300">
        <v>14.22</v>
      </c>
      <c r="I1054" s="204">
        <v>172.22</v>
      </c>
      <c r="J1054" s="300">
        <v>132.63</v>
      </c>
      <c r="K1054" s="4" t="s">
        <v>661</v>
      </c>
      <c r="L1054" s="4" t="s">
        <v>959</v>
      </c>
      <c r="M1054" s="4" t="s">
        <v>960</v>
      </c>
      <c r="N1054" s="4" t="s">
        <v>374</v>
      </c>
      <c r="O1054" s="134" t="str">
        <f>_xlfn.XLOOKUP(N1054,[1]!costcategory[Account Code],[1]!costcategory[Cost Category],"ERROR")</f>
        <v>Non-Current Liabilities</v>
      </c>
      <c r="P1054" s="4" t="s">
        <v>376</v>
      </c>
      <c r="Q1054" s="147" t="str">
        <f>_xlfn.XLOOKUP(P1054,[1]!Table2[Department],[1]!Table2[Group],"ERROR")</f>
        <v>General &amp; Administrative</v>
      </c>
    </row>
    <row r="1055" spans="1:23" hidden="1" x14ac:dyDescent="0.2">
      <c r="A1055" s="2" t="s">
        <v>15</v>
      </c>
      <c r="B1055" s="2" t="s">
        <v>1</v>
      </c>
      <c r="C1055" s="93">
        <v>46117</v>
      </c>
      <c r="D1055" s="3">
        <v>46087</v>
      </c>
      <c r="E1055" s="126">
        <v>46175</v>
      </c>
      <c r="F1055" s="2" t="s">
        <v>77</v>
      </c>
      <c r="G1055" s="300">
        <v>70</v>
      </c>
      <c r="H1055" s="300">
        <v>6.3</v>
      </c>
      <c r="I1055" s="204">
        <v>76.3</v>
      </c>
      <c r="J1055" s="300">
        <v>58.76</v>
      </c>
      <c r="K1055" s="4" t="s">
        <v>661</v>
      </c>
      <c r="L1055" s="4" t="s">
        <v>961</v>
      </c>
      <c r="M1055" s="4" t="s">
        <v>960</v>
      </c>
      <c r="N1055" s="4" t="s">
        <v>374</v>
      </c>
      <c r="O1055" s="134" t="str">
        <f>_xlfn.XLOOKUP(N1055,[1]!costcategory[Account Code],[1]!costcategory[Cost Category],"ERROR")</f>
        <v>Non-Current Liabilities</v>
      </c>
      <c r="P1055" s="4" t="s">
        <v>376</v>
      </c>
      <c r="Q1055" s="147" t="str">
        <f>_xlfn.XLOOKUP(P1055,[1]!Table2[Department],[1]!Table2[Group],"ERROR")</f>
        <v>General &amp; Administrative</v>
      </c>
    </row>
    <row r="1056" spans="1:23" hidden="1" x14ac:dyDescent="0.2">
      <c r="A1056" s="2" t="s">
        <v>15</v>
      </c>
      <c r="B1056" s="2" t="s">
        <v>1</v>
      </c>
      <c r="C1056" s="93">
        <v>46117</v>
      </c>
      <c r="D1056" s="3">
        <v>46087</v>
      </c>
      <c r="E1056" s="126">
        <v>46175</v>
      </c>
      <c r="F1056" s="2" t="s">
        <v>77</v>
      </c>
      <c r="G1056" s="300">
        <v>584.1</v>
      </c>
      <c r="H1056" s="300">
        <v>52.57</v>
      </c>
      <c r="I1056" s="204">
        <v>636.66999999999996</v>
      </c>
      <c r="J1056" s="300">
        <v>490.32</v>
      </c>
      <c r="K1056" s="4" t="s">
        <v>661</v>
      </c>
      <c r="L1056" s="4" t="s">
        <v>962</v>
      </c>
      <c r="M1056" s="4" t="s">
        <v>960</v>
      </c>
      <c r="N1056" s="4" t="s">
        <v>374</v>
      </c>
      <c r="O1056" s="4" t="s">
        <v>375</v>
      </c>
      <c r="P1056" s="4" t="s">
        <v>376</v>
      </c>
      <c r="Q1056" s="4" t="s">
        <v>62</v>
      </c>
    </row>
    <row r="1057" spans="1:23" hidden="1" x14ac:dyDescent="0.2">
      <c r="A1057" s="2" t="s">
        <v>15</v>
      </c>
      <c r="B1057" s="2" t="s">
        <v>1</v>
      </c>
      <c r="C1057" s="93">
        <v>46150</v>
      </c>
      <c r="D1057" s="166">
        <v>46180</v>
      </c>
      <c r="E1057" s="126">
        <v>46176</v>
      </c>
      <c r="F1057" s="2" t="s">
        <v>77</v>
      </c>
      <c r="G1057" s="198">
        <v>-295564.06</v>
      </c>
      <c r="H1057" s="198">
        <v>0</v>
      </c>
      <c r="I1057" s="198">
        <f>SUM(G1057:H1057)</f>
        <v>-295564.06</v>
      </c>
      <c r="J1057" s="205">
        <v>-231485.77</v>
      </c>
      <c r="K1057" s="4" t="s">
        <v>191</v>
      </c>
      <c r="L1057" s="135" t="s">
        <v>192</v>
      </c>
      <c r="M1057" s="4" t="s">
        <v>193</v>
      </c>
      <c r="N1057" s="4" t="s">
        <v>382</v>
      </c>
      <c r="O1057" s="148" t="str">
        <f>_xlfn.XLOOKUP(N1057,[1]!costcategory[Account Code],[1]!costcategory[Cost Category],"ERROR")</f>
        <v>Revenue</v>
      </c>
      <c r="P1057" s="4" t="s">
        <v>438</v>
      </c>
      <c r="Q1057" s="147" t="str">
        <f>_xlfn.XLOOKUP(P1057,[1]!Table2[Department],[1]!Table2[Group],"ERROR")</f>
        <v>Sales &amp; Marketing</v>
      </c>
      <c r="R1057" s="2"/>
      <c r="S1057" s="2"/>
      <c r="T1057" s="2"/>
      <c r="U1057" s="2"/>
    </row>
    <row r="1058" spans="1:23" hidden="1" x14ac:dyDescent="0.2">
      <c r="A1058" s="2" t="s">
        <v>15</v>
      </c>
      <c r="B1058" s="2" t="s">
        <v>1</v>
      </c>
      <c r="C1058" s="93">
        <v>46176</v>
      </c>
      <c r="D1058" s="3">
        <v>46176</v>
      </c>
      <c r="E1058" s="126">
        <v>46176</v>
      </c>
      <c r="F1058" s="2" t="s">
        <v>77</v>
      </c>
      <c r="G1058" s="198">
        <v>0.19</v>
      </c>
      <c r="H1058" s="300">
        <v>0</v>
      </c>
      <c r="I1058" s="301">
        <f>SUM(G1058:H1058)</f>
        <v>0.19</v>
      </c>
      <c r="J1058" s="300">
        <v>0.30225956240240875</v>
      </c>
      <c r="K1058" s="109" t="s">
        <v>670</v>
      </c>
      <c r="L1058" s="109" t="s">
        <v>963</v>
      </c>
      <c r="M1058" s="4" t="s">
        <v>964</v>
      </c>
      <c r="N1058" s="109" t="s">
        <v>332</v>
      </c>
      <c r="O1058" s="148" t="str">
        <f>_xlfn.XLOOKUP(N1058,[1]!costcategory[Account Code],[1]!costcategory[Cost Category],"ERROR")</f>
        <v>Bank Charges</v>
      </c>
      <c r="P1058" s="4" t="s">
        <v>333</v>
      </c>
      <c r="Q1058" s="147" t="str">
        <f>_xlfn.XLOOKUP(P1058,[1]!Table2[Department],[1]!Table2[Group],"ERROR")</f>
        <v>General &amp; Administrative</v>
      </c>
      <c r="R1058" s="2"/>
      <c r="S1058" s="2"/>
      <c r="T1058" s="2"/>
      <c r="U1058" s="2"/>
    </row>
    <row r="1059" spans="1:23" hidden="1" x14ac:dyDescent="0.2">
      <c r="A1059" s="2" t="s">
        <v>15</v>
      </c>
      <c r="B1059" s="2" t="s">
        <v>1</v>
      </c>
      <c r="C1059" s="93">
        <v>46175</v>
      </c>
      <c r="D1059" s="164">
        <v>46205</v>
      </c>
      <c r="E1059" s="126">
        <v>46178</v>
      </c>
      <c r="F1059" s="2" t="s">
        <v>77</v>
      </c>
      <c r="I1059" s="300">
        <v>73.39</v>
      </c>
      <c r="J1059" s="300">
        <v>57.48</v>
      </c>
      <c r="K1059" s="4" t="s">
        <v>893</v>
      </c>
      <c r="L1059" s="4" t="s">
        <v>965</v>
      </c>
      <c r="M1059" s="4" t="s">
        <v>966</v>
      </c>
      <c r="N1059" s="4" t="s">
        <v>657</v>
      </c>
      <c r="O1059" s="4" t="s">
        <v>398</v>
      </c>
      <c r="P1059" s="4" t="s">
        <v>333</v>
      </c>
      <c r="Q1059" s="4" t="s">
        <v>62</v>
      </c>
    </row>
    <row r="1060" spans="1:23" hidden="1" x14ac:dyDescent="0.2">
      <c r="A1060" s="2" t="s">
        <v>15</v>
      </c>
      <c r="B1060" s="2" t="s">
        <v>1</v>
      </c>
      <c r="C1060" s="93">
        <v>46173</v>
      </c>
      <c r="D1060" s="3">
        <v>46181</v>
      </c>
      <c r="E1060" s="126">
        <v>46181</v>
      </c>
      <c r="F1060" s="2" t="s">
        <v>77</v>
      </c>
      <c r="G1060" s="212">
        <v>31330.5</v>
      </c>
      <c r="H1060" s="220">
        <v>0</v>
      </c>
      <c r="I1060" s="212">
        <f t="shared" ref="I1060:I1072" si="4">SUM(G1060:H1060)</f>
        <v>31330.5</v>
      </c>
      <c r="J1060" s="212">
        <v>24590.549337072891</v>
      </c>
      <c r="K1060" s="106" t="s">
        <v>672</v>
      </c>
      <c r="L1060" s="106" t="s">
        <v>967</v>
      </c>
      <c r="M1060" s="4" t="s">
        <v>968</v>
      </c>
      <c r="N1060" s="106" t="s">
        <v>387</v>
      </c>
      <c r="O1060" s="146" t="str">
        <f>_xlfn.XLOOKUP(N1060,[1]!costcategory[Account Code],[1]!costcategory[Cost Category],"ERROR")</f>
        <v>Headcount Costs</v>
      </c>
      <c r="P1060" s="4" t="s">
        <v>350</v>
      </c>
      <c r="Q1060" s="147" t="str">
        <f>_xlfn.XLOOKUP(P1060,[1]!Table2[Department],[1]!Table2[Group],"ERROR")</f>
        <v>General &amp; Administrative</v>
      </c>
      <c r="R1060" s="138"/>
      <c r="S1060" s="139"/>
      <c r="T1060" s="138"/>
      <c r="U1060" s="2"/>
      <c r="W1060" s="106"/>
    </row>
    <row r="1061" spans="1:23" hidden="1" x14ac:dyDescent="0.2">
      <c r="A1061" s="2" t="s">
        <v>15</v>
      </c>
      <c r="B1061" s="2" t="s">
        <v>1</v>
      </c>
      <c r="C1061" s="93">
        <v>46178</v>
      </c>
      <c r="D1061" s="3">
        <v>46178</v>
      </c>
      <c r="E1061" s="126">
        <v>46181</v>
      </c>
      <c r="F1061" s="2" t="s">
        <v>77</v>
      </c>
      <c r="G1061" s="198">
        <v>175.9</v>
      </c>
      <c r="H1061" s="220">
        <v>0</v>
      </c>
      <c r="I1061" s="198">
        <f t="shared" si="4"/>
        <v>175.9</v>
      </c>
      <c r="J1061" s="212">
        <v>137.76488000000001</v>
      </c>
      <c r="K1061" s="4" t="s">
        <v>969</v>
      </c>
      <c r="M1061" s="4" t="s">
        <v>917</v>
      </c>
      <c r="N1061" s="4" t="s">
        <v>527</v>
      </c>
      <c r="O1061" s="146" t="str">
        <f>_xlfn.XLOOKUP(N1061,[1]!costcategory[Account Code],[1]!costcategory[Cost Category],"ERROR")</f>
        <v>Sales Expenses</v>
      </c>
      <c r="P1061" s="4" t="s">
        <v>523</v>
      </c>
      <c r="Q1061" s="147" t="str">
        <f>_xlfn.XLOOKUP(P1061,[1]!Table2[Department],[1]!Table2[Group],"ERROR")</f>
        <v>General &amp; Administrative</v>
      </c>
      <c r="R1061" s="2"/>
      <c r="S1061" s="2"/>
      <c r="T1061" s="2"/>
      <c r="U1061" s="2"/>
    </row>
    <row r="1062" spans="1:23" ht="12.95" hidden="1" customHeight="1" x14ac:dyDescent="0.2">
      <c r="A1062" s="2" t="s">
        <v>15</v>
      </c>
      <c r="B1062" s="2" t="s">
        <v>1</v>
      </c>
      <c r="C1062" s="93">
        <v>46181</v>
      </c>
      <c r="D1062" s="3">
        <v>46181</v>
      </c>
      <c r="E1062" s="126">
        <v>46184</v>
      </c>
      <c r="F1062" s="2" t="s">
        <v>77</v>
      </c>
      <c r="G1062" s="198">
        <v>51.32</v>
      </c>
      <c r="H1062" s="220">
        <v>0</v>
      </c>
      <c r="I1062" s="198">
        <f t="shared" si="4"/>
        <v>51.32</v>
      </c>
      <c r="J1062" s="212">
        <v>199982.74960000001</v>
      </c>
      <c r="K1062" s="4" t="s">
        <v>970</v>
      </c>
      <c r="M1062" s="4" t="s">
        <v>937</v>
      </c>
      <c r="N1062" s="4" t="s">
        <v>390</v>
      </c>
      <c r="O1062" s="146" t="str">
        <f>_xlfn.XLOOKUP(N1062,[1]!costcategory[Account Code],[1]!costcategory[Cost Category],"ERROR")</f>
        <v>Employee Benefits</v>
      </c>
      <c r="P1062" s="4" t="s">
        <v>523</v>
      </c>
      <c r="Q1062" s="147" t="str">
        <f>_xlfn.XLOOKUP(P1062,[1]!Table2[Department],[1]!Table2[Group],"ERROR")</f>
        <v>General &amp; Administrative</v>
      </c>
      <c r="R1062" s="2"/>
      <c r="S1062" s="2"/>
      <c r="T1062" s="2"/>
      <c r="U1062" s="2"/>
    </row>
    <row r="1063" spans="1:23" ht="12.95" hidden="1" customHeight="1" x14ac:dyDescent="0.2">
      <c r="A1063" s="2" t="s">
        <v>15</v>
      </c>
      <c r="B1063" s="2" t="s">
        <v>1</v>
      </c>
      <c r="C1063" s="93">
        <v>46181</v>
      </c>
      <c r="D1063" s="3">
        <v>46181</v>
      </c>
      <c r="E1063" s="126">
        <v>46184</v>
      </c>
      <c r="F1063" s="2" t="s">
        <v>77</v>
      </c>
      <c r="G1063" s="198">
        <v>125.9</v>
      </c>
      <c r="H1063" s="220">
        <v>0</v>
      </c>
      <c r="I1063" s="198">
        <f t="shared" si="4"/>
        <v>125.9</v>
      </c>
      <c r="J1063" s="212">
        <v>490604.60200000007</v>
      </c>
      <c r="K1063" s="4" t="s">
        <v>971</v>
      </c>
      <c r="M1063" s="4" t="s">
        <v>917</v>
      </c>
      <c r="N1063" s="4" t="s">
        <v>527</v>
      </c>
      <c r="O1063" s="146" t="str">
        <f>_xlfn.XLOOKUP(N1063,[1]!costcategory[Account Code],[1]!costcategory[Cost Category],"ERROR")</f>
        <v>Sales Expenses</v>
      </c>
      <c r="P1063" s="4" t="s">
        <v>523</v>
      </c>
      <c r="Q1063" s="147" t="str">
        <f>_xlfn.XLOOKUP(P1063,[1]!Table2[Department],[1]!Table2[Group],"ERROR")</f>
        <v>General &amp; Administrative</v>
      </c>
      <c r="R1063" s="2"/>
      <c r="S1063" s="2"/>
      <c r="T1063" s="2"/>
      <c r="U1063" s="2"/>
    </row>
    <row r="1064" spans="1:23" ht="12.95" hidden="1" customHeight="1" x14ac:dyDescent="0.2">
      <c r="A1064" s="2" t="s">
        <v>15</v>
      </c>
      <c r="B1064" s="2" t="s">
        <v>1</v>
      </c>
      <c r="C1064" s="93">
        <v>46140</v>
      </c>
      <c r="D1064" s="3">
        <v>46185</v>
      </c>
      <c r="E1064" s="126">
        <v>46185</v>
      </c>
      <c r="F1064" s="2" t="s">
        <v>77</v>
      </c>
      <c r="G1064" s="198">
        <v>245688</v>
      </c>
      <c r="H1064" s="198">
        <v>22111.919999999998</v>
      </c>
      <c r="I1064" s="198">
        <f t="shared" si="4"/>
        <v>267799.92</v>
      </c>
      <c r="J1064" s="212">
        <v>1043557372.2575999</v>
      </c>
      <c r="K1064" s="4" t="s">
        <v>972</v>
      </c>
      <c r="L1064" s="135">
        <v>1200312539</v>
      </c>
      <c r="M1064" s="145" t="s">
        <v>973</v>
      </c>
      <c r="N1064" s="4" t="s">
        <v>560</v>
      </c>
      <c r="O1064" s="146" t="str">
        <f>_xlfn.XLOOKUP(N1064,[1]!costcategory[Account Code],[1]!costcategory[Cost Category],"ERROR")</f>
        <v>Direct Costs</v>
      </c>
      <c r="P1064" s="4" t="s">
        <v>333</v>
      </c>
      <c r="Q1064" s="147" t="str">
        <f>_xlfn.XLOOKUP(P1064,[1]!Table2[Department],[1]!Table2[Group],"ERROR")</f>
        <v>General &amp; Administrative</v>
      </c>
      <c r="R1064" s="2"/>
      <c r="S1064" s="2"/>
      <c r="T1064" s="2"/>
      <c r="U1064" s="2"/>
    </row>
    <row r="1065" spans="1:23" ht="12.95" hidden="1" customHeight="1" x14ac:dyDescent="0.2">
      <c r="A1065" s="2" t="s">
        <v>15</v>
      </c>
      <c r="B1065" s="2" t="s">
        <v>1</v>
      </c>
      <c r="C1065" s="93">
        <v>46182</v>
      </c>
      <c r="D1065" s="3">
        <v>46182</v>
      </c>
      <c r="E1065" s="126">
        <v>46185</v>
      </c>
      <c r="F1065" s="2" t="s">
        <v>77</v>
      </c>
      <c r="G1065" s="198">
        <v>58.15</v>
      </c>
      <c r="H1065" s="198">
        <v>0</v>
      </c>
      <c r="I1065" s="198">
        <f t="shared" si="4"/>
        <v>58.15</v>
      </c>
      <c r="J1065" s="212">
        <v>226597.75700000001</v>
      </c>
      <c r="K1065" s="4" t="s">
        <v>974</v>
      </c>
      <c r="M1065" s="4" t="s">
        <v>937</v>
      </c>
      <c r="N1065" s="4" t="s">
        <v>390</v>
      </c>
      <c r="O1065" s="146" t="str">
        <f>_xlfn.XLOOKUP(N1065,[1]!costcategory[Account Code],[1]!costcategory[Cost Category],"ERROR")</f>
        <v>Employee Benefits</v>
      </c>
      <c r="P1065" s="4" t="s">
        <v>523</v>
      </c>
      <c r="Q1065" s="147" t="str">
        <f>_xlfn.XLOOKUP(P1065,[1]!Table2[Department],[1]!Table2[Group],"ERROR")</f>
        <v>General &amp; Administrative</v>
      </c>
      <c r="R1065" s="2"/>
      <c r="S1065" s="2"/>
      <c r="T1065" s="2"/>
      <c r="U1065" s="2"/>
    </row>
    <row r="1066" spans="1:23" s="2" customFormat="1" ht="12.95" hidden="1" customHeight="1" x14ac:dyDescent="0.2">
      <c r="A1066" s="2" t="s">
        <v>15</v>
      </c>
      <c r="B1066" s="2" t="s">
        <v>1</v>
      </c>
      <c r="C1066" s="93">
        <v>46182</v>
      </c>
      <c r="D1066" s="3">
        <v>46195</v>
      </c>
      <c r="E1066" s="126">
        <v>46185</v>
      </c>
      <c r="F1066" s="2" t="s">
        <v>77</v>
      </c>
      <c r="G1066" s="198">
        <v>31</v>
      </c>
      <c r="H1066" s="198">
        <v>0</v>
      </c>
      <c r="I1066" s="198">
        <f t="shared" si="4"/>
        <v>31</v>
      </c>
      <c r="J1066" s="212">
        <v>120800.18000000001</v>
      </c>
      <c r="K1066" s="4" t="s">
        <v>975</v>
      </c>
      <c r="L1066" s="4"/>
      <c r="M1066" s="4" t="s">
        <v>976</v>
      </c>
      <c r="N1066" s="4" t="s">
        <v>464</v>
      </c>
      <c r="O1066" s="146" t="str">
        <f>_xlfn.XLOOKUP(N1066,[1]!costcategory[Account Code],[1]!costcategory[Cost Category],"ERROR")</f>
        <v>Accrual - Expenses of 2025</v>
      </c>
      <c r="P1066" s="4" t="s">
        <v>350</v>
      </c>
      <c r="Q1066" s="147" t="str">
        <f>_xlfn.XLOOKUP(P1066,[1]!Table2[Department],[1]!Table2[Group],"ERROR")</f>
        <v>General &amp; Administrative</v>
      </c>
    </row>
    <row r="1067" spans="1:23" s="2" customFormat="1" ht="12.95" hidden="1" customHeight="1" x14ac:dyDescent="0.2">
      <c r="A1067" s="2" t="s">
        <v>15</v>
      </c>
      <c r="B1067" s="2" t="s">
        <v>1</v>
      </c>
      <c r="C1067" s="93">
        <v>46183</v>
      </c>
      <c r="D1067" s="3">
        <v>46183</v>
      </c>
      <c r="E1067" s="126">
        <v>46186</v>
      </c>
      <c r="F1067" s="2" t="s">
        <v>77</v>
      </c>
      <c r="G1067" s="198">
        <v>31.65</v>
      </c>
      <c r="H1067" s="198">
        <v>0</v>
      </c>
      <c r="I1067" s="198">
        <f t="shared" si="4"/>
        <v>31.65</v>
      </c>
      <c r="J1067" s="212">
        <v>123333.087</v>
      </c>
      <c r="K1067" s="4" t="s">
        <v>977</v>
      </c>
      <c r="L1067" s="4"/>
      <c r="M1067" s="4" t="s">
        <v>937</v>
      </c>
      <c r="N1067" s="4" t="s">
        <v>390</v>
      </c>
      <c r="O1067" s="146" t="str">
        <f>_xlfn.XLOOKUP(N1067,[1]!costcategory[Account Code],[1]!costcategory[Cost Category],"ERROR")</f>
        <v>Employee Benefits</v>
      </c>
      <c r="P1067" s="4" t="s">
        <v>523</v>
      </c>
      <c r="Q1067" s="147" t="str">
        <f>_xlfn.XLOOKUP(P1067,[1]!Table2[Department],[1]!Table2[Group],"ERROR")</f>
        <v>General &amp; Administrative</v>
      </c>
    </row>
    <row r="1068" spans="1:23" s="2" customFormat="1" ht="12.95" hidden="1" customHeight="1" x14ac:dyDescent="0.2">
      <c r="A1068" s="2" t="s">
        <v>15</v>
      </c>
      <c r="B1068" s="2" t="s">
        <v>1</v>
      </c>
      <c r="C1068" s="93">
        <v>46183</v>
      </c>
      <c r="D1068" s="3">
        <v>46183</v>
      </c>
      <c r="E1068" s="126">
        <v>46186</v>
      </c>
      <c r="F1068" s="2" t="s">
        <v>77</v>
      </c>
      <c r="G1068" s="198">
        <v>100.23</v>
      </c>
      <c r="H1068" s="198">
        <v>0</v>
      </c>
      <c r="I1068" s="198">
        <f t="shared" si="4"/>
        <v>100.23</v>
      </c>
      <c r="J1068" s="212">
        <v>390574.25940000004</v>
      </c>
      <c r="K1068" s="4" t="s">
        <v>978</v>
      </c>
      <c r="L1068" s="4"/>
      <c r="M1068" s="4" t="s">
        <v>917</v>
      </c>
      <c r="N1068" s="4" t="s">
        <v>527</v>
      </c>
      <c r="O1068" s="146" t="str">
        <f>_xlfn.XLOOKUP(N1068,[1]!costcategory[Account Code],[1]!costcategory[Cost Category],"ERROR")</f>
        <v>Sales Expenses</v>
      </c>
      <c r="P1068" s="4" t="s">
        <v>523</v>
      </c>
      <c r="Q1068" s="147" t="str">
        <f>_xlfn.XLOOKUP(P1068,[1]!Table2[Department],[1]!Table2[Group],"ERROR")</f>
        <v>General &amp; Administrative</v>
      </c>
    </row>
    <row r="1069" spans="1:23" s="2" customFormat="1" ht="12.95" hidden="1" customHeight="1" x14ac:dyDescent="0.2">
      <c r="A1069" s="2" t="s">
        <v>15</v>
      </c>
      <c r="B1069" s="2" t="s">
        <v>1</v>
      </c>
      <c r="C1069" s="93">
        <v>46184</v>
      </c>
      <c r="D1069" s="3">
        <v>46184</v>
      </c>
      <c r="E1069" s="126">
        <v>46187</v>
      </c>
      <c r="F1069" s="2" t="s">
        <v>77</v>
      </c>
      <c r="G1069" s="198">
        <v>34.53</v>
      </c>
      <c r="H1069" s="198">
        <v>0</v>
      </c>
      <c r="I1069" s="198">
        <f t="shared" si="4"/>
        <v>34.53</v>
      </c>
      <c r="J1069" s="212">
        <v>134555.81340000001</v>
      </c>
      <c r="K1069" s="4" t="s">
        <v>979</v>
      </c>
      <c r="L1069" s="4"/>
      <c r="M1069" s="4" t="s">
        <v>937</v>
      </c>
      <c r="N1069" s="4" t="s">
        <v>390</v>
      </c>
      <c r="O1069" s="146" t="str">
        <f>_xlfn.XLOOKUP(N1069,[1]!costcategory[Account Code],[1]!costcategory[Cost Category],"ERROR")</f>
        <v>Employee Benefits</v>
      </c>
      <c r="P1069" s="4" t="s">
        <v>523</v>
      </c>
      <c r="Q1069" s="147" t="str">
        <f>_xlfn.XLOOKUP(P1069,[1]!Table2[Department],[1]!Table2[Group],"ERROR")</f>
        <v>General &amp; Administrative</v>
      </c>
    </row>
    <row r="1070" spans="1:23" s="2" customFormat="1" ht="12.95" hidden="1" customHeight="1" thickBot="1" x14ac:dyDescent="0.2">
      <c r="A1070" s="2" t="s">
        <v>15</v>
      </c>
      <c r="B1070" s="2" t="s">
        <v>1</v>
      </c>
      <c r="C1070" s="93">
        <v>46185</v>
      </c>
      <c r="D1070" s="3">
        <v>46185</v>
      </c>
      <c r="E1070" s="126">
        <v>46188</v>
      </c>
      <c r="F1070" s="2" t="s">
        <v>77</v>
      </c>
      <c r="G1070" s="198">
        <v>143.9</v>
      </c>
      <c r="H1070" s="198">
        <v>0</v>
      </c>
      <c r="I1070" s="198">
        <f t="shared" si="4"/>
        <v>143.9</v>
      </c>
      <c r="J1070" s="212">
        <v>560746.64200000011</v>
      </c>
      <c r="K1070" s="4" t="s">
        <v>980</v>
      </c>
      <c r="L1070" s="4" t="s">
        <v>855</v>
      </c>
      <c r="M1070" s="4" t="s">
        <v>917</v>
      </c>
      <c r="N1070" s="4" t="s">
        <v>527</v>
      </c>
      <c r="O1070" s="146" t="str">
        <f>_xlfn.XLOOKUP(N1070,[1]!costcategory[Account Code],[1]!costcategory[Cost Category],"ERROR")</f>
        <v>Sales Expenses</v>
      </c>
      <c r="P1070" s="4" t="s">
        <v>523</v>
      </c>
      <c r="Q1070" s="147" t="str">
        <f>_xlfn.XLOOKUP(P1070,[1]!Table2[Department],[1]!Table2[Group],"ERROR")</f>
        <v>General &amp; Administrative</v>
      </c>
    </row>
    <row r="1071" spans="1:23" s="2" customFormat="1" ht="12.95" hidden="1" customHeight="1" x14ac:dyDescent="0.2">
      <c r="A1071" s="2" t="s">
        <v>15</v>
      </c>
      <c r="B1071" s="2" t="s">
        <v>1</v>
      </c>
      <c r="C1071" s="93">
        <v>46113</v>
      </c>
      <c r="D1071" s="3">
        <v>46143</v>
      </c>
      <c r="E1071" s="126">
        <v>46188</v>
      </c>
      <c r="F1071" s="2" t="s">
        <v>77</v>
      </c>
      <c r="G1071" s="198">
        <v>-16000</v>
      </c>
      <c r="H1071" s="198">
        <v>-1440</v>
      </c>
      <c r="I1071" s="223">
        <f t="shared" si="4"/>
        <v>-17440</v>
      </c>
      <c r="J1071" s="212">
        <v>-67959843.200000003</v>
      </c>
      <c r="K1071" s="4" t="s">
        <v>109</v>
      </c>
      <c r="L1071" s="4" t="s">
        <v>155</v>
      </c>
      <c r="M1071" s="4" t="s">
        <v>156</v>
      </c>
      <c r="N1071" s="4" t="s">
        <v>382</v>
      </c>
      <c r="O1071" s="146" t="str">
        <f>_xlfn.XLOOKUP(N1071,[1]!costcategory[Account Code],[1]!costcategory[Cost Category],"ERROR")</f>
        <v>Revenue</v>
      </c>
      <c r="P1071" s="4" t="s">
        <v>56</v>
      </c>
      <c r="Q1071" s="147" t="str">
        <f>_xlfn.XLOOKUP(P1071,[1]!Table2[Department],[1]!Table2[Group],"ERROR")</f>
        <v>Research &amp; Development</v>
      </c>
      <c r="U1071" s="283"/>
    </row>
    <row r="1072" spans="1:23" s="2" customFormat="1" ht="12.95" hidden="1" customHeight="1" thickBot="1" x14ac:dyDescent="0.25">
      <c r="A1072" s="2" t="s">
        <v>15</v>
      </c>
      <c r="B1072" s="2" t="s">
        <v>1</v>
      </c>
      <c r="C1072" s="93">
        <v>46121</v>
      </c>
      <c r="D1072" s="3">
        <v>46151</v>
      </c>
      <c r="E1072" s="126">
        <v>46188</v>
      </c>
      <c r="F1072" s="2" t="s">
        <v>77</v>
      </c>
      <c r="G1072" s="198">
        <v>-46400</v>
      </c>
      <c r="H1072" s="198">
        <v>-4176</v>
      </c>
      <c r="I1072" s="232">
        <f t="shared" si="4"/>
        <v>-50576</v>
      </c>
      <c r="J1072" s="212">
        <v>-197083545.28</v>
      </c>
      <c r="K1072" s="4" t="s">
        <v>109</v>
      </c>
      <c r="L1072" s="4" t="s">
        <v>162</v>
      </c>
      <c r="M1072" s="4" t="s">
        <v>161</v>
      </c>
      <c r="N1072" s="4" t="s">
        <v>382</v>
      </c>
      <c r="O1072" s="146" t="str">
        <f>_xlfn.XLOOKUP(N1072,[1]!costcategory[Account Code],[1]!costcategory[Cost Category],"ERROR")</f>
        <v>Revenue</v>
      </c>
      <c r="P1072" s="4" t="s">
        <v>56</v>
      </c>
      <c r="Q1072" s="147" t="str">
        <f>_xlfn.XLOOKUP(P1072,[1]!Table2[Department],[1]!Table2[Group],"ERROR")</f>
        <v>Research &amp; Development</v>
      </c>
      <c r="U1072" s="283"/>
    </row>
    <row r="1073" spans="1:20" s="2" customFormat="1" hidden="1" x14ac:dyDescent="0.2">
      <c r="A1073" s="2" t="s">
        <v>15</v>
      </c>
      <c r="B1073" s="2" t="s">
        <v>1</v>
      </c>
      <c r="C1073" s="93">
        <v>46188</v>
      </c>
      <c r="D1073" s="3">
        <v>46188</v>
      </c>
      <c r="E1073" s="126">
        <v>46188</v>
      </c>
      <c r="F1073" s="2" t="s">
        <v>77</v>
      </c>
      <c r="G1073" s="111">
        <v>168.09</v>
      </c>
      <c r="H1073" s="112">
        <v>0</v>
      </c>
      <c r="I1073" s="282">
        <f t="shared" ref="I1073:I1095" si="5">G1073+H1073</f>
        <v>168.09</v>
      </c>
      <c r="J1073" s="111">
        <v>129.42930000000001</v>
      </c>
      <c r="K1073" s="4" t="s">
        <v>627</v>
      </c>
      <c r="L1073" s="4"/>
      <c r="M1073" s="4" t="s">
        <v>474</v>
      </c>
      <c r="N1073" s="105" t="s">
        <v>475</v>
      </c>
      <c r="O1073" s="146" t="str">
        <f>_xlfn.XLOOKUP(N1073,[1]!costcategory[Account Code],[1]!costcategory[Cost Category],"ERROR")</f>
        <v>Travelling Expenses</v>
      </c>
      <c r="P1073" s="4" t="s">
        <v>523</v>
      </c>
      <c r="Q1073" s="147" t="str">
        <f>_xlfn.XLOOKUP(P1073,[1]!Table2[Department],[1]!Table2[Group],"ERROR")</f>
        <v>General &amp; Administrative</v>
      </c>
      <c r="R1073" s="18"/>
      <c r="S1073" s="4"/>
      <c r="T1073" s="4"/>
    </row>
    <row r="1074" spans="1:20" s="2" customFormat="1" hidden="1" x14ac:dyDescent="0.2">
      <c r="A1074" s="2" t="s">
        <v>15</v>
      </c>
      <c r="B1074" s="2" t="s">
        <v>1</v>
      </c>
      <c r="C1074" s="93">
        <v>46188</v>
      </c>
      <c r="D1074" s="3">
        <v>46188</v>
      </c>
      <c r="E1074" s="126">
        <v>46188</v>
      </c>
      <c r="F1074" s="2" t="s">
        <v>77</v>
      </c>
      <c r="G1074" s="111">
        <v>1567</v>
      </c>
      <c r="H1074" s="112">
        <v>0</v>
      </c>
      <c r="I1074" s="282">
        <f t="shared" si="5"/>
        <v>1567</v>
      </c>
      <c r="J1074" s="111">
        <v>1206.5899999999999</v>
      </c>
      <c r="K1074" s="4" t="s">
        <v>627</v>
      </c>
      <c r="L1074" s="4"/>
      <c r="M1074" s="4" t="s">
        <v>526</v>
      </c>
      <c r="N1074" s="105" t="s">
        <v>527</v>
      </c>
      <c r="O1074" s="146" t="str">
        <f>_xlfn.XLOOKUP(N1074,[1]!costcategory[Account Code],[1]!costcategory[Cost Category],"ERROR")</f>
        <v>Sales Expenses</v>
      </c>
      <c r="P1074" s="4" t="s">
        <v>59</v>
      </c>
      <c r="Q1074" s="147" t="str">
        <f>_xlfn.XLOOKUP(P1074,[1]!Table2[Department],[1]!Table2[Group],"ERROR")</f>
        <v>Research &amp; Development</v>
      </c>
      <c r="R1074" s="18"/>
      <c r="S1074" s="4"/>
      <c r="T1074" s="4"/>
    </row>
    <row r="1075" spans="1:20" s="2" customFormat="1" hidden="1" x14ac:dyDescent="0.2">
      <c r="A1075" s="2" t="s">
        <v>15</v>
      </c>
      <c r="B1075" s="2" t="s">
        <v>1</v>
      </c>
      <c r="C1075" s="93">
        <v>46188</v>
      </c>
      <c r="D1075" s="3">
        <v>46188</v>
      </c>
      <c r="E1075" s="126">
        <v>46188</v>
      </c>
      <c r="F1075" s="2" t="s">
        <v>77</v>
      </c>
      <c r="G1075" s="111">
        <v>44.6</v>
      </c>
      <c r="H1075" s="112">
        <v>2.6</v>
      </c>
      <c r="I1075" s="282">
        <f t="shared" si="5"/>
        <v>47.2</v>
      </c>
      <c r="J1075" s="111">
        <v>36.344000000000001</v>
      </c>
      <c r="K1075" s="4" t="s">
        <v>627</v>
      </c>
      <c r="L1075" s="4"/>
      <c r="M1075" s="4" t="s">
        <v>526</v>
      </c>
      <c r="N1075" s="105" t="s">
        <v>527</v>
      </c>
      <c r="O1075" s="146" t="str">
        <f>_xlfn.XLOOKUP(N1075,[1]!costcategory[Account Code],[1]!costcategory[Cost Category],"ERROR")</f>
        <v>Sales Expenses</v>
      </c>
      <c r="P1075" s="4" t="s">
        <v>56</v>
      </c>
      <c r="Q1075" s="147" t="str">
        <f>_xlfn.XLOOKUP(P1075,[1]!Table2[Department],[1]!Table2[Group],"ERROR")</f>
        <v>Research &amp; Development</v>
      </c>
      <c r="R1075" s="18"/>
      <c r="S1075" s="4"/>
      <c r="T1075" s="4"/>
    </row>
    <row r="1076" spans="1:20" s="2" customFormat="1" hidden="1" x14ac:dyDescent="0.2">
      <c r="A1076" s="2" t="s">
        <v>15</v>
      </c>
      <c r="B1076" s="2" t="s">
        <v>1</v>
      </c>
      <c r="C1076" s="93">
        <v>46188</v>
      </c>
      <c r="D1076" s="3">
        <v>46188</v>
      </c>
      <c r="E1076" s="126">
        <v>46188</v>
      </c>
      <c r="F1076" s="2" t="s">
        <v>77</v>
      </c>
      <c r="G1076" s="111">
        <v>959.66</v>
      </c>
      <c r="H1076" s="111">
        <v>86.36</v>
      </c>
      <c r="I1076" s="282">
        <f t="shared" si="5"/>
        <v>1046.02</v>
      </c>
      <c r="J1076" s="111">
        <v>805.43539999999996</v>
      </c>
      <c r="K1076" s="4" t="s">
        <v>627</v>
      </c>
      <c r="L1076" s="4"/>
      <c r="M1076" s="4" t="s">
        <v>526</v>
      </c>
      <c r="N1076" s="105" t="s">
        <v>527</v>
      </c>
      <c r="O1076" s="146" t="str">
        <f>_xlfn.XLOOKUP(N1076,[1]!costcategory[Account Code],[1]!costcategory[Cost Category],"ERROR")</f>
        <v>Sales Expenses</v>
      </c>
      <c r="P1076" s="4" t="s">
        <v>523</v>
      </c>
      <c r="Q1076" s="147" t="str">
        <f>_xlfn.XLOOKUP(P1076,[1]!Table2[Department],[1]!Table2[Group],"ERROR")</f>
        <v>General &amp; Administrative</v>
      </c>
      <c r="R1076" s="19"/>
      <c r="S1076" s="4"/>
      <c r="T1076" s="4"/>
    </row>
    <row r="1077" spans="1:20" s="2" customFormat="1" hidden="1" x14ac:dyDescent="0.2">
      <c r="A1077" s="2" t="s">
        <v>15</v>
      </c>
      <c r="B1077" s="2" t="s">
        <v>1</v>
      </c>
      <c r="C1077" s="93">
        <v>46188</v>
      </c>
      <c r="D1077" s="3">
        <v>46188</v>
      </c>
      <c r="E1077" s="126">
        <v>46188</v>
      </c>
      <c r="F1077" s="2" t="s">
        <v>77</v>
      </c>
      <c r="G1077" s="111">
        <v>219.16</v>
      </c>
      <c r="H1077" s="112">
        <v>0</v>
      </c>
      <c r="I1077" s="282">
        <f t="shared" si="5"/>
        <v>219.16</v>
      </c>
      <c r="J1077" s="111">
        <v>168.75319999999999</v>
      </c>
      <c r="K1077" s="4" t="s">
        <v>627</v>
      </c>
      <c r="L1077" s="4"/>
      <c r="M1077" s="4" t="s">
        <v>981</v>
      </c>
      <c r="N1077" s="105" t="s">
        <v>560</v>
      </c>
      <c r="O1077" s="146" t="str">
        <f>_xlfn.XLOOKUP(N1077,[1]!costcategory[Account Code],[1]!costcategory[Cost Category],"ERROR")</f>
        <v>Direct Costs</v>
      </c>
      <c r="P1077" s="4" t="s">
        <v>438</v>
      </c>
      <c r="Q1077" s="147" t="str">
        <f>_xlfn.XLOOKUP(P1077,[1]!Table2[Department],[1]!Table2[Group],"ERROR")</f>
        <v>Sales &amp; Marketing</v>
      </c>
      <c r="R1077" s="18"/>
      <c r="S1077" s="4"/>
      <c r="T1077" s="4"/>
    </row>
    <row r="1078" spans="1:20" s="2" customFormat="1" hidden="1" x14ac:dyDescent="0.2">
      <c r="A1078" s="2" t="s">
        <v>15</v>
      </c>
      <c r="B1078" s="2" t="s">
        <v>1</v>
      </c>
      <c r="C1078" s="93">
        <v>46188</v>
      </c>
      <c r="D1078" s="3">
        <v>46188</v>
      </c>
      <c r="E1078" s="126">
        <v>46188</v>
      </c>
      <c r="F1078" s="2" t="s">
        <v>77</v>
      </c>
      <c r="G1078" s="111">
        <v>300</v>
      </c>
      <c r="H1078" s="112">
        <v>27</v>
      </c>
      <c r="I1078" s="282">
        <f t="shared" si="5"/>
        <v>327</v>
      </c>
      <c r="J1078" s="111">
        <v>251.79</v>
      </c>
      <c r="K1078" s="4" t="s">
        <v>627</v>
      </c>
      <c r="L1078" s="4"/>
      <c r="M1078" s="4" t="s">
        <v>802</v>
      </c>
      <c r="N1078" s="105" t="s">
        <v>68</v>
      </c>
      <c r="O1078" s="146" t="str">
        <f>_xlfn.XLOOKUP(N1078,[1]!costcategory[Account Code],[1]!costcategory[Cost Category],"ERROR")</f>
        <v>Marketing Expense</v>
      </c>
      <c r="P1078" s="4" t="s">
        <v>658</v>
      </c>
      <c r="Q1078" s="147" t="str">
        <f>_xlfn.XLOOKUP(P1078,[1]!Table2[Department],[1]!Table2[Group],"ERROR")</f>
        <v>Sales &amp; Marketing</v>
      </c>
      <c r="R1078" s="18"/>
      <c r="S1078" s="4"/>
      <c r="T1078" s="4"/>
    </row>
    <row r="1079" spans="1:20" s="2" customFormat="1" hidden="1" x14ac:dyDescent="0.2">
      <c r="A1079" s="2" t="s">
        <v>15</v>
      </c>
      <c r="B1079" s="2" t="s">
        <v>1</v>
      </c>
      <c r="C1079" s="93">
        <v>46188</v>
      </c>
      <c r="D1079" s="3">
        <v>46188</v>
      </c>
      <c r="E1079" s="126">
        <v>46188</v>
      </c>
      <c r="F1079" s="2" t="s">
        <v>77</v>
      </c>
      <c r="G1079" s="111">
        <v>80.900000000000006</v>
      </c>
      <c r="H1079" s="112">
        <v>0</v>
      </c>
      <c r="I1079" s="282">
        <f t="shared" si="5"/>
        <v>80.900000000000006</v>
      </c>
      <c r="J1079" s="111">
        <v>62.293000000000006</v>
      </c>
      <c r="K1079" s="4" t="s">
        <v>627</v>
      </c>
      <c r="L1079" s="4"/>
      <c r="M1079" s="4" t="s">
        <v>351</v>
      </c>
      <c r="N1079" s="105" t="s">
        <v>50</v>
      </c>
      <c r="O1079" s="146" t="str">
        <f>_xlfn.XLOOKUP(N1079,[1]!costcategory[Account Code],[1]!costcategory[Cost Category],"ERROR")</f>
        <v>Office Supplies</v>
      </c>
      <c r="P1079" s="4" t="s">
        <v>376</v>
      </c>
      <c r="Q1079" s="147" t="str">
        <f>_xlfn.XLOOKUP(P1079,[1]!Table2[Department],[1]!Table2[Group],"ERROR")</f>
        <v>General &amp; Administrative</v>
      </c>
      <c r="R1079" s="18"/>
      <c r="S1079" s="4"/>
      <c r="T1079" s="4"/>
    </row>
    <row r="1080" spans="1:20" s="2" customFormat="1" hidden="1" x14ac:dyDescent="0.2">
      <c r="A1080" s="2" t="s">
        <v>15</v>
      </c>
      <c r="B1080" s="2" t="s">
        <v>1</v>
      </c>
      <c r="C1080" s="93">
        <v>46188</v>
      </c>
      <c r="D1080" s="3">
        <v>46188</v>
      </c>
      <c r="E1080" s="126">
        <v>46188</v>
      </c>
      <c r="F1080" s="2" t="s">
        <v>77</v>
      </c>
      <c r="G1080" s="111">
        <v>33.94</v>
      </c>
      <c r="H1080" s="111">
        <v>0</v>
      </c>
      <c r="I1080" s="282">
        <f t="shared" si="5"/>
        <v>33.94</v>
      </c>
      <c r="J1080" s="111">
        <v>26.133799999999997</v>
      </c>
      <c r="K1080" s="4" t="s">
        <v>627</v>
      </c>
      <c r="L1080" s="4"/>
      <c r="M1080" s="4" t="s">
        <v>352</v>
      </c>
      <c r="N1080" s="105" t="s">
        <v>391</v>
      </c>
      <c r="O1080" s="146" t="str">
        <f>_xlfn.XLOOKUP(N1080,[1]!costcategory[Account Code],[1]!costcategory[Cost Category],"ERROR")</f>
        <v>Travelling Expenses</v>
      </c>
      <c r="P1080" s="4" t="s">
        <v>523</v>
      </c>
      <c r="Q1080" s="147" t="str">
        <f>_xlfn.XLOOKUP(P1080,[1]!Table2[Department],[1]!Table2[Group],"ERROR")</f>
        <v>General &amp; Administrative</v>
      </c>
      <c r="R1080" s="19"/>
      <c r="S1080" s="4"/>
      <c r="T1080" s="4"/>
    </row>
    <row r="1081" spans="1:20" s="2" customFormat="1" hidden="1" x14ac:dyDescent="0.2">
      <c r="A1081" s="2" t="s">
        <v>15</v>
      </c>
      <c r="B1081" s="2" t="s">
        <v>1</v>
      </c>
      <c r="C1081" s="93">
        <v>46188</v>
      </c>
      <c r="D1081" s="3">
        <v>46188</v>
      </c>
      <c r="E1081" s="126">
        <v>46188</v>
      </c>
      <c r="F1081" s="2" t="s">
        <v>77</v>
      </c>
      <c r="G1081" s="111">
        <v>221.43</v>
      </c>
      <c r="H1081" s="112">
        <v>12.06</v>
      </c>
      <c r="I1081" s="282">
        <f t="shared" si="5"/>
        <v>233.49</v>
      </c>
      <c r="J1081" s="111">
        <v>179.78730000000002</v>
      </c>
      <c r="K1081" s="4" t="s">
        <v>627</v>
      </c>
      <c r="L1081" s="4"/>
      <c r="M1081" s="4" t="s">
        <v>352</v>
      </c>
      <c r="N1081" s="105" t="s">
        <v>391</v>
      </c>
      <c r="O1081" s="146" t="str">
        <f>_xlfn.XLOOKUP(N1081,[1]!costcategory[Account Code],[1]!costcategory[Cost Category],"ERROR")</f>
        <v>Travelling Expenses</v>
      </c>
      <c r="P1081" s="4" t="s">
        <v>59</v>
      </c>
      <c r="Q1081" s="147" t="str">
        <f>_xlfn.XLOOKUP(P1081,[1]!Table2[Department],[1]!Table2[Group],"ERROR")</f>
        <v>Research &amp; Development</v>
      </c>
      <c r="R1081" s="18"/>
      <c r="S1081" s="4"/>
      <c r="T1081" s="4"/>
    </row>
    <row r="1082" spans="1:20" s="2" customFormat="1" hidden="1" x14ac:dyDescent="0.2">
      <c r="A1082" s="2" t="s">
        <v>15</v>
      </c>
      <c r="B1082" s="2" t="s">
        <v>1</v>
      </c>
      <c r="C1082" s="93">
        <v>46188</v>
      </c>
      <c r="D1082" s="3">
        <v>46188</v>
      </c>
      <c r="E1082" s="126">
        <v>46188</v>
      </c>
      <c r="F1082" s="2" t="s">
        <v>77</v>
      </c>
      <c r="G1082" s="111">
        <v>0.01</v>
      </c>
      <c r="H1082" s="112">
        <v>0</v>
      </c>
      <c r="I1082" s="282">
        <f t="shared" si="5"/>
        <v>0.01</v>
      </c>
      <c r="J1082" s="111">
        <v>7.7000000000000002E-3</v>
      </c>
      <c r="K1082" s="4" t="s">
        <v>627</v>
      </c>
      <c r="L1082" s="4"/>
      <c r="M1082" s="4" t="s">
        <v>357</v>
      </c>
      <c r="N1082" s="105" t="s">
        <v>332</v>
      </c>
      <c r="O1082" s="146" t="str">
        <f>_xlfn.XLOOKUP(N1082,[1]!costcategory[Account Code],[1]!costcategory[Cost Category],"ERROR")</f>
        <v>Bank Charges</v>
      </c>
      <c r="P1082" s="4" t="s">
        <v>59</v>
      </c>
      <c r="Q1082" s="147" t="str">
        <f>_xlfn.XLOOKUP(P1082,[1]!Table2[Department],[1]!Table2[Group],"ERROR")</f>
        <v>Research &amp; Development</v>
      </c>
      <c r="R1082" s="18"/>
      <c r="S1082" s="4"/>
      <c r="T1082" s="4"/>
    </row>
    <row r="1083" spans="1:20" s="2" customFormat="1" hidden="1" x14ac:dyDescent="0.2">
      <c r="A1083" s="2" t="s">
        <v>15</v>
      </c>
      <c r="B1083" s="2" t="s">
        <v>1</v>
      </c>
      <c r="C1083" s="93">
        <v>46188</v>
      </c>
      <c r="D1083" s="3">
        <v>46188</v>
      </c>
      <c r="E1083" s="126">
        <v>46188</v>
      </c>
      <c r="F1083" s="2" t="s">
        <v>77</v>
      </c>
      <c r="G1083" s="111">
        <v>2500</v>
      </c>
      <c r="H1083" s="112">
        <v>0</v>
      </c>
      <c r="I1083" s="282">
        <f t="shared" si="5"/>
        <v>2500</v>
      </c>
      <c r="J1083" s="111">
        <v>1925</v>
      </c>
      <c r="K1083" s="4" t="s">
        <v>627</v>
      </c>
      <c r="L1083" s="4"/>
      <c r="M1083" s="4" t="s">
        <v>874</v>
      </c>
      <c r="N1083" s="105" t="s">
        <v>875</v>
      </c>
      <c r="O1083" s="146" t="str">
        <f>_xlfn.XLOOKUP(N1083,[1]!costcategory[Account Code],[1]!costcategory[Cost Category],"ERROR")</f>
        <v>Headcount Costs</v>
      </c>
      <c r="P1083" s="4" t="s">
        <v>59</v>
      </c>
      <c r="Q1083" s="147" t="str">
        <f>_xlfn.XLOOKUP(P1083,[1]!Table2[Department],[1]!Table2[Group],"ERROR")</f>
        <v>Research &amp; Development</v>
      </c>
      <c r="R1083" s="18"/>
      <c r="S1083" s="4"/>
      <c r="T1083" s="4"/>
    </row>
    <row r="1084" spans="1:20" s="2" customFormat="1" hidden="1" x14ac:dyDescent="0.2">
      <c r="A1084" s="2" t="s">
        <v>15</v>
      </c>
      <c r="B1084" s="2" t="s">
        <v>1</v>
      </c>
      <c r="C1084" s="93">
        <v>46188</v>
      </c>
      <c r="D1084" s="3">
        <v>46188</v>
      </c>
      <c r="E1084" s="126">
        <v>46188</v>
      </c>
      <c r="F1084" s="2" t="s">
        <v>77</v>
      </c>
      <c r="G1084" s="111">
        <v>59.15</v>
      </c>
      <c r="H1084" s="112">
        <v>3.22</v>
      </c>
      <c r="I1084" s="282">
        <f t="shared" si="5"/>
        <v>62.37</v>
      </c>
      <c r="J1084" s="111">
        <v>48.024900000000002</v>
      </c>
      <c r="K1084" s="4" t="s">
        <v>627</v>
      </c>
      <c r="L1084" s="4"/>
      <c r="M1084" s="4" t="s">
        <v>416</v>
      </c>
      <c r="N1084" s="105" t="s">
        <v>390</v>
      </c>
      <c r="O1084" s="146" t="str">
        <f>_xlfn.XLOOKUP(N1084,[1]!costcategory[Account Code],[1]!costcategory[Cost Category],"ERROR")</f>
        <v>Employee Benefits</v>
      </c>
      <c r="P1084" s="4" t="s">
        <v>523</v>
      </c>
      <c r="Q1084" s="147" t="str">
        <f>_xlfn.XLOOKUP(P1084,[1]!Table2[Department],[1]!Table2[Group],"ERROR")</f>
        <v>General &amp; Administrative</v>
      </c>
      <c r="R1084" s="18"/>
      <c r="S1084" s="4"/>
      <c r="T1084" s="4"/>
    </row>
    <row r="1085" spans="1:20" s="2" customFormat="1" hidden="1" x14ac:dyDescent="0.2">
      <c r="A1085" s="2" t="s">
        <v>15</v>
      </c>
      <c r="B1085" s="2" t="s">
        <v>1</v>
      </c>
      <c r="C1085" s="93">
        <v>46188</v>
      </c>
      <c r="D1085" s="3">
        <v>46188</v>
      </c>
      <c r="E1085" s="126">
        <v>46188</v>
      </c>
      <c r="F1085" s="2" t="s">
        <v>77</v>
      </c>
      <c r="G1085" s="111">
        <v>177.84</v>
      </c>
      <c r="H1085" s="112">
        <v>16.010000000000002</v>
      </c>
      <c r="I1085" s="282">
        <f t="shared" si="5"/>
        <v>193.85</v>
      </c>
      <c r="J1085" s="111">
        <v>149.2645</v>
      </c>
      <c r="K1085" s="4" t="s">
        <v>627</v>
      </c>
      <c r="L1085" s="4"/>
      <c r="M1085" s="4" t="s">
        <v>982</v>
      </c>
      <c r="N1085" s="105" t="s">
        <v>540</v>
      </c>
      <c r="O1085" s="146" t="str">
        <f>_xlfn.XLOOKUP(N1085,[1]!costcategory[Account Code],[1]!costcategory[Cost Category],"ERROR")</f>
        <v>Employee Benefits</v>
      </c>
      <c r="P1085" s="4" t="s">
        <v>59</v>
      </c>
      <c r="Q1085" s="147" t="str">
        <f>_xlfn.XLOOKUP(P1085,[1]!Table2[Department],[1]!Table2[Group],"ERROR")</f>
        <v>Research &amp; Development</v>
      </c>
      <c r="R1085" s="18"/>
      <c r="S1085" s="4"/>
      <c r="T1085" s="4"/>
    </row>
    <row r="1086" spans="1:20" s="2" customFormat="1" hidden="1" x14ac:dyDescent="0.2">
      <c r="A1086" s="2" t="s">
        <v>15</v>
      </c>
      <c r="B1086" s="2" t="s">
        <v>1</v>
      </c>
      <c r="C1086" s="93">
        <v>46188</v>
      </c>
      <c r="D1086" s="3">
        <v>46188</v>
      </c>
      <c r="E1086" s="126">
        <v>46188</v>
      </c>
      <c r="F1086" s="2" t="s">
        <v>77</v>
      </c>
      <c r="G1086" s="111">
        <v>108.16</v>
      </c>
      <c r="H1086" s="111">
        <v>3.98</v>
      </c>
      <c r="I1086" s="282">
        <f t="shared" si="5"/>
        <v>112.14</v>
      </c>
      <c r="J1086" s="111">
        <v>86.347800000000007</v>
      </c>
      <c r="K1086" s="4" t="s">
        <v>627</v>
      </c>
      <c r="L1086" s="4"/>
      <c r="M1086" s="4" t="s">
        <v>358</v>
      </c>
      <c r="N1086" s="105" t="s">
        <v>60</v>
      </c>
      <c r="O1086" s="146" t="str">
        <f>_xlfn.XLOOKUP(N1086,[1]!costcategory[Account Code],[1]!costcategory[Cost Category],"ERROR")</f>
        <v>Subscription Fee</v>
      </c>
      <c r="P1086" s="4" t="s">
        <v>56</v>
      </c>
      <c r="Q1086" s="147" t="str">
        <f>_xlfn.XLOOKUP(P1086,[1]!Table2[Department],[1]!Table2[Group],"ERROR")</f>
        <v>Research &amp; Development</v>
      </c>
      <c r="R1086" s="19"/>
      <c r="S1086" s="4"/>
      <c r="T1086" s="4"/>
    </row>
    <row r="1087" spans="1:20" s="2" customFormat="1" hidden="1" x14ac:dyDescent="0.2">
      <c r="A1087" s="2" t="s">
        <v>15</v>
      </c>
      <c r="B1087" s="2" t="s">
        <v>1</v>
      </c>
      <c r="C1087" s="93">
        <v>46188</v>
      </c>
      <c r="D1087" s="3">
        <v>46188</v>
      </c>
      <c r="E1087" s="126">
        <v>46188</v>
      </c>
      <c r="F1087" s="2" t="s">
        <v>77</v>
      </c>
      <c r="G1087" s="111">
        <v>11.84</v>
      </c>
      <c r="H1087" s="112">
        <v>0</v>
      </c>
      <c r="I1087" s="282">
        <f t="shared" si="5"/>
        <v>11.84</v>
      </c>
      <c r="J1087" s="111">
        <v>9.1167999999999996</v>
      </c>
      <c r="K1087" s="4" t="s">
        <v>627</v>
      </c>
      <c r="L1087" s="4"/>
      <c r="M1087" s="4" t="s">
        <v>358</v>
      </c>
      <c r="N1087" s="105" t="s">
        <v>60</v>
      </c>
      <c r="O1087" s="146" t="str">
        <f>_xlfn.XLOOKUP(N1087,[1]!costcategory[Account Code],[1]!costcategory[Cost Category],"ERROR")</f>
        <v>Subscription Fee</v>
      </c>
      <c r="P1087" s="4" t="s">
        <v>59</v>
      </c>
      <c r="Q1087" s="147" t="str">
        <f>_xlfn.XLOOKUP(P1087,[1]!Table2[Department],[1]!Table2[Group],"ERROR")</f>
        <v>Research &amp; Development</v>
      </c>
      <c r="R1087" s="18"/>
      <c r="S1087" s="4"/>
      <c r="T1087" s="4"/>
    </row>
    <row r="1088" spans="1:20" s="2" customFormat="1" hidden="1" x14ac:dyDescent="0.2">
      <c r="A1088" s="2" t="s">
        <v>15</v>
      </c>
      <c r="B1088" s="2" t="s">
        <v>1</v>
      </c>
      <c r="C1088" s="93">
        <v>46188</v>
      </c>
      <c r="D1088" s="3">
        <v>46188</v>
      </c>
      <c r="E1088" s="126">
        <v>46188</v>
      </c>
      <c r="F1088" s="2" t="s">
        <v>77</v>
      </c>
      <c r="G1088" s="111">
        <v>135.43</v>
      </c>
      <c r="H1088" s="111">
        <v>0</v>
      </c>
      <c r="I1088" s="282">
        <f t="shared" si="5"/>
        <v>135.43</v>
      </c>
      <c r="J1088" s="111">
        <v>104.28110000000001</v>
      </c>
      <c r="K1088" s="4" t="s">
        <v>627</v>
      </c>
      <c r="L1088" s="4"/>
      <c r="M1088" s="4" t="s">
        <v>358</v>
      </c>
      <c r="N1088" s="105" t="s">
        <v>60</v>
      </c>
      <c r="O1088" s="146" t="str">
        <f>_xlfn.XLOOKUP(N1088,[1]!costcategory[Account Code],[1]!costcategory[Cost Category],"ERROR")</f>
        <v>Subscription Fee</v>
      </c>
      <c r="P1088" s="4" t="s">
        <v>376</v>
      </c>
      <c r="Q1088" s="147" t="str">
        <f>_xlfn.XLOOKUP(P1088,[1]!Table2[Department],[1]!Table2[Group],"ERROR")</f>
        <v>General &amp; Administrative</v>
      </c>
      <c r="R1088" s="19"/>
      <c r="S1088" s="4"/>
      <c r="T1088" s="4"/>
    </row>
    <row r="1089" spans="1:24" s="2" customFormat="1" hidden="1" x14ac:dyDescent="0.2">
      <c r="A1089" s="2" t="s">
        <v>15</v>
      </c>
      <c r="B1089" s="2" t="s">
        <v>1</v>
      </c>
      <c r="C1089" s="93">
        <v>46188</v>
      </c>
      <c r="D1089" s="3">
        <v>46188</v>
      </c>
      <c r="E1089" s="126">
        <v>46188</v>
      </c>
      <c r="F1089" s="2" t="s">
        <v>77</v>
      </c>
      <c r="G1089" s="111">
        <v>28.84</v>
      </c>
      <c r="H1089" s="111">
        <v>0</v>
      </c>
      <c r="I1089" s="282">
        <f t="shared" si="5"/>
        <v>28.84</v>
      </c>
      <c r="J1089" s="111">
        <v>22.206800000000001</v>
      </c>
      <c r="K1089" s="4" t="s">
        <v>627</v>
      </c>
      <c r="L1089" s="4"/>
      <c r="M1089" s="4" t="s">
        <v>358</v>
      </c>
      <c r="N1089" s="105" t="s">
        <v>60</v>
      </c>
      <c r="O1089" s="146" t="str">
        <f>_xlfn.XLOOKUP(N1089,[1]!costcategory[Account Code],[1]!costcategory[Cost Category],"ERROR")</f>
        <v>Subscription Fee</v>
      </c>
      <c r="P1089" s="4" t="s">
        <v>658</v>
      </c>
      <c r="Q1089" s="147" t="str">
        <f>_xlfn.XLOOKUP(P1089,[1]!Table2[Department],[1]!Table2[Group],"ERROR")</f>
        <v>Sales &amp; Marketing</v>
      </c>
      <c r="R1089" s="19"/>
      <c r="S1089" s="4"/>
      <c r="T1089" s="4"/>
    </row>
    <row r="1090" spans="1:24" s="2" customFormat="1" hidden="1" x14ac:dyDescent="0.2">
      <c r="A1090" s="2" t="s">
        <v>15</v>
      </c>
      <c r="B1090" s="2" t="s">
        <v>1</v>
      </c>
      <c r="C1090" s="93">
        <v>46188</v>
      </c>
      <c r="D1090" s="3">
        <v>46188</v>
      </c>
      <c r="E1090" s="126">
        <v>46188</v>
      </c>
      <c r="F1090" s="2" t="s">
        <v>77</v>
      </c>
      <c r="G1090" s="111">
        <v>3103.3</v>
      </c>
      <c r="H1090" s="111">
        <v>0</v>
      </c>
      <c r="I1090" s="282">
        <f t="shared" si="5"/>
        <v>3103.3</v>
      </c>
      <c r="J1090" s="111">
        <v>2389.5410000000002</v>
      </c>
      <c r="K1090" s="4" t="s">
        <v>627</v>
      </c>
      <c r="L1090" s="4"/>
      <c r="M1090" s="4" t="s">
        <v>360</v>
      </c>
      <c r="N1090" s="105" t="s">
        <v>353</v>
      </c>
      <c r="O1090" s="146" t="str">
        <f>_xlfn.XLOOKUP(N1090,[1]!costcategory[Account Code],[1]!costcategory[Cost Category],"ERROR")</f>
        <v>Travelling Expenses</v>
      </c>
      <c r="P1090" s="4" t="s">
        <v>523</v>
      </c>
      <c r="Q1090" s="147" t="str">
        <f>_xlfn.XLOOKUP(P1090,[1]!Table2[Department],[1]!Table2[Group],"ERROR")</f>
        <v>General &amp; Administrative</v>
      </c>
      <c r="R1090" s="19"/>
      <c r="S1090" s="4"/>
      <c r="T1090" s="4"/>
    </row>
    <row r="1091" spans="1:24" s="2" customFormat="1" hidden="1" x14ac:dyDescent="0.2">
      <c r="A1091" s="2" t="s">
        <v>15</v>
      </c>
      <c r="B1091" s="2" t="s">
        <v>1</v>
      </c>
      <c r="C1091" s="93">
        <v>46188</v>
      </c>
      <c r="D1091" s="3">
        <v>46188</v>
      </c>
      <c r="E1091" s="126">
        <v>46188</v>
      </c>
      <c r="F1091" s="2" t="s">
        <v>77</v>
      </c>
      <c r="G1091" s="111">
        <f>4387.29-G1090</f>
        <v>1283.9899999999998</v>
      </c>
      <c r="H1091" s="112">
        <v>0</v>
      </c>
      <c r="I1091" s="282">
        <f t="shared" si="5"/>
        <v>1283.9899999999998</v>
      </c>
      <c r="J1091" s="111">
        <v>988.67229999999984</v>
      </c>
      <c r="K1091" s="4" t="s">
        <v>627</v>
      </c>
      <c r="L1091" s="4"/>
      <c r="M1091" s="4" t="s">
        <v>360</v>
      </c>
      <c r="N1091" s="105" t="s">
        <v>353</v>
      </c>
      <c r="O1091" s="146" t="str">
        <f>_xlfn.XLOOKUP(N1091,[1]!costcategory[Account Code],[1]!costcategory[Cost Category],"ERROR")</f>
        <v>Travelling Expenses</v>
      </c>
      <c r="P1091" s="4" t="s">
        <v>59</v>
      </c>
      <c r="Q1091" s="147" t="str">
        <f>_xlfn.XLOOKUP(P1091,[1]!Table2[Department],[1]!Table2[Group],"ERROR")</f>
        <v>Research &amp; Development</v>
      </c>
      <c r="R1091" s="18"/>
      <c r="S1091" s="4"/>
      <c r="T1091" s="4"/>
    </row>
    <row r="1092" spans="1:24" s="2" customFormat="1" hidden="1" x14ac:dyDescent="0.2">
      <c r="A1092" s="2" t="s">
        <v>15</v>
      </c>
      <c r="B1092" s="2" t="s">
        <v>1</v>
      </c>
      <c r="C1092" s="93">
        <v>46188</v>
      </c>
      <c r="D1092" s="3">
        <v>46188</v>
      </c>
      <c r="E1092" s="126">
        <v>46188</v>
      </c>
      <c r="F1092" s="2" t="s">
        <v>77</v>
      </c>
      <c r="G1092" s="111">
        <v>49.35</v>
      </c>
      <c r="H1092" s="112">
        <v>0</v>
      </c>
      <c r="I1092" s="282">
        <f t="shared" si="5"/>
        <v>49.35</v>
      </c>
      <c r="J1092" s="111">
        <v>37.999500000000005</v>
      </c>
      <c r="K1092" s="4" t="s">
        <v>627</v>
      </c>
      <c r="L1092" s="4"/>
      <c r="M1092" s="4" t="s">
        <v>361</v>
      </c>
      <c r="N1092" s="105" t="s">
        <v>356</v>
      </c>
      <c r="O1092" s="146" t="str">
        <f>_xlfn.XLOOKUP(N1092,[1]!costcategory[Account Code],[1]!costcategory[Cost Category],"ERROR")</f>
        <v>Travelling Expenses</v>
      </c>
      <c r="P1092" s="4" t="s">
        <v>59</v>
      </c>
      <c r="Q1092" s="147" t="str">
        <f>_xlfn.XLOOKUP(P1092,[1]!Table2[Department],[1]!Table2[Group],"ERROR")</f>
        <v>Research &amp; Development</v>
      </c>
      <c r="R1092" s="18"/>
      <c r="S1092" s="4"/>
      <c r="T1092" s="4"/>
    </row>
    <row r="1093" spans="1:24" s="2" customFormat="1" hidden="1" x14ac:dyDescent="0.2">
      <c r="A1093" s="2" t="s">
        <v>15</v>
      </c>
      <c r="B1093" s="2" t="s">
        <v>1</v>
      </c>
      <c r="C1093" s="93">
        <v>46188</v>
      </c>
      <c r="D1093" s="3">
        <v>46188</v>
      </c>
      <c r="E1093" s="126">
        <v>46188</v>
      </c>
      <c r="F1093" s="2" t="s">
        <v>77</v>
      </c>
      <c r="G1093" s="111">
        <v>84.8</v>
      </c>
      <c r="H1093" s="112">
        <v>0</v>
      </c>
      <c r="I1093" s="282">
        <f t="shared" si="5"/>
        <v>84.8</v>
      </c>
      <c r="J1093" s="111">
        <v>65.295999999999992</v>
      </c>
      <c r="K1093" s="4" t="s">
        <v>627</v>
      </c>
      <c r="L1093" s="4"/>
      <c r="M1093" s="4" t="s">
        <v>361</v>
      </c>
      <c r="N1093" s="105" t="s">
        <v>356</v>
      </c>
      <c r="O1093" s="146" t="str">
        <f>_xlfn.XLOOKUP(N1093,[1]!costcategory[Account Code],[1]!costcategory[Cost Category],"ERROR")</f>
        <v>Travelling Expenses</v>
      </c>
      <c r="P1093" s="4" t="s">
        <v>658</v>
      </c>
      <c r="Q1093" s="147" t="str">
        <f>_xlfn.XLOOKUP(P1093,[1]!Table2[Department],[1]!Table2[Group],"ERROR")</f>
        <v>Sales &amp; Marketing</v>
      </c>
      <c r="R1093" s="18"/>
      <c r="S1093" s="4"/>
      <c r="T1093" s="4"/>
    </row>
    <row r="1094" spans="1:24" s="2" customFormat="1" hidden="1" x14ac:dyDescent="0.2">
      <c r="A1094" s="2" t="s">
        <v>15</v>
      </c>
      <c r="B1094" s="2" t="s">
        <v>1</v>
      </c>
      <c r="C1094" s="93">
        <v>46188</v>
      </c>
      <c r="D1094" s="3">
        <v>46188</v>
      </c>
      <c r="E1094" s="126">
        <v>46188</v>
      </c>
      <c r="F1094" s="2" t="s">
        <v>77</v>
      </c>
      <c r="G1094" s="111">
        <v>16.2</v>
      </c>
      <c r="H1094" s="112">
        <v>0</v>
      </c>
      <c r="I1094" s="282">
        <f t="shared" si="5"/>
        <v>16.2</v>
      </c>
      <c r="J1094" s="111">
        <v>12.474</v>
      </c>
      <c r="K1094" s="4" t="s">
        <v>627</v>
      </c>
      <c r="L1094" s="4"/>
      <c r="M1094" s="4" t="s">
        <v>361</v>
      </c>
      <c r="N1094" s="105" t="s">
        <v>356</v>
      </c>
      <c r="O1094" s="146" t="str">
        <f>_xlfn.XLOOKUP(N1094,[1]!costcategory[Account Code],[1]!costcategory[Cost Category],"ERROR")</f>
        <v>Travelling Expenses</v>
      </c>
      <c r="P1094" s="4" t="s">
        <v>350</v>
      </c>
      <c r="Q1094" s="147" t="str">
        <f>_xlfn.XLOOKUP(P1094,[1]!Table2[Department],[1]!Table2[Group],"ERROR")</f>
        <v>General &amp; Administrative</v>
      </c>
      <c r="R1094" s="18"/>
      <c r="S1094" s="4"/>
      <c r="T1094" s="4"/>
    </row>
    <row r="1095" spans="1:24" s="2" customFormat="1" ht="13.5" hidden="1" thickBot="1" x14ac:dyDescent="0.25">
      <c r="A1095" s="2" t="s">
        <v>15</v>
      </c>
      <c r="B1095" s="2" t="s">
        <v>1</v>
      </c>
      <c r="C1095" s="93">
        <v>46188</v>
      </c>
      <c r="D1095" s="3">
        <v>46188</v>
      </c>
      <c r="E1095" s="126">
        <v>46188</v>
      </c>
      <c r="F1095" s="2" t="s">
        <v>77</v>
      </c>
      <c r="G1095" s="111">
        <v>1565.1</v>
      </c>
      <c r="H1095" s="112">
        <v>0</v>
      </c>
      <c r="I1095" s="279">
        <f t="shared" si="5"/>
        <v>1565.1</v>
      </c>
      <c r="J1095" s="111">
        <v>1205.127</v>
      </c>
      <c r="K1095" s="4" t="s">
        <v>627</v>
      </c>
      <c r="L1095" s="4"/>
      <c r="M1095" s="4" t="s">
        <v>361</v>
      </c>
      <c r="N1095" s="105" t="s">
        <v>356</v>
      </c>
      <c r="O1095" s="146" t="str">
        <f>_xlfn.XLOOKUP(N1095,[1]!costcategory[Account Code],[1]!costcategory[Cost Category],"ERROR")</f>
        <v>Travelling Expenses</v>
      </c>
      <c r="P1095" s="4" t="s">
        <v>523</v>
      </c>
      <c r="Q1095" s="147" t="str">
        <f>_xlfn.XLOOKUP(P1095,[1]!Table2[Department],[1]!Table2[Group],"ERROR")</f>
        <v>General &amp; Administrative</v>
      </c>
      <c r="R1095" s="18"/>
      <c r="S1095" s="4"/>
      <c r="T1095" s="4"/>
    </row>
    <row r="1096" spans="1:24" s="2" customFormat="1" ht="12.95" hidden="1" customHeight="1" x14ac:dyDescent="0.2">
      <c r="A1096" s="2" t="s">
        <v>15</v>
      </c>
      <c r="B1096" s="2" t="s">
        <v>1</v>
      </c>
      <c r="C1096" s="93">
        <v>46189</v>
      </c>
      <c r="D1096" s="3">
        <v>46189</v>
      </c>
      <c r="E1096" s="126">
        <v>46191</v>
      </c>
      <c r="F1096" s="2" t="s">
        <v>77</v>
      </c>
      <c r="G1096" s="198">
        <v>152.03</v>
      </c>
      <c r="H1096" s="112">
        <v>0</v>
      </c>
      <c r="I1096" s="198">
        <f t="shared" ref="I1096:I1110" si="6">SUM(G1096:H1096)</f>
        <v>152.03</v>
      </c>
      <c r="J1096" s="111">
        <v>117.06310000000001</v>
      </c>
      <c r="K1096" s="160" t="s">
        <v>824</v>
      </c>
      <c r="L1096" s="4"/>
      <c r="M1096" s="4" t="s">
        <v>917</v>
      </c>
      <c r="N1096" s="4" t="s">
        <v>527</v>
      </c>
      <c r="O1096" s="146" t="str">
        <f>_xlfn.XLOOKUP(N1096,[1]!costcategory[Account Code],[1]!costcategory[Cost Category],"ERROR")</f>
        <v>Sales Expenses</v>
      </c>
      <c r="P1096" s="4" t="s">
        <v>523</v>
      </c>
      <c r="Q1096" s="147" t="str">
        <f>_xlfn.XLOOKUP(P1096,[1]!Table2[Department],[1]!Table2[Group],"ERROR")</f>
        <v>General &amp; Administrative</v>
      </c>
    </row>
    <row r="1097" spans="1:24" s="2" customFormat="1" ht="12.95" hidden="1" customHeight="1" x14ac:dyDescent="0.2">
      <c r="A1097" s="2" t="s">
        <v>15</v>
      </c>
      <c r="B1097" s="2" t="s">
        <v>1</v>
      </c>
      <c r="C1097" s="93">
        <v>46189</v>
      </c>
      <c r="D1097" s="3">
        <v>46189</v>
      </c>
      <c r="E1097" s="126">
        <v>46191</v>
      </c>
      <c r="F1097" s="2" t="s">
        <v>77</v>
      </c>
      <c r="G1097" s="198">
        <v>72.78</v>
      </c>
      <c r="H1097" s="112">
        <v>0</v>
      </c>
      <c r="I1097" s="198">
        <f t="shared" si="6"/>
        <v>72.78</v>
      </c>
      <c r="J1097" s="111">
        <v>56.040600000000005</v>
      </c>
      <c r="K1097" s="160" t="s">
        <v>983</v>
      </c>
      <c r="L1097" s="4"/>
      <c r="M1097" s="4" t="s">
        <v>984</v>
      </c>
      <c r="N1097" s="4" t="s">
        <v>390</v>
      </c>
      <c r="O1097" s="146" t="str">
        <f>_xlfn.XLOOKUP(N1097,[1]!costcategory[Account Code],[1]!costcategory[Cost Category],"ERROR")</f>
        <v>Employee Benefits</v>
      </c>
      <c r="P1097" s="4" t="s">
        <v>523</v>
      </c>
      <c r="Q1097" s="147" t="str">
        <f>_xlfn.XLOOKUP(P1097,[1]!Table2[Department],[1]!Table2[Group],"ERROR")</f>
        <v>General &amp; Administrative</v>
      </c>
    </row>
    <row r="1098" spans="1:24" ht="12.95" hidden="1" customHeight="1" x14ac:dyDescent="0.2">
      <c r="A1098" s="2" t="s">
        <v>15</v>
      </c>
      <c r="B1098" s="2" t="s">
        <v>1</v>
      </c>
      <c r="C1098" s="93">
        <v>46188</v>
      </c>
      <c r="D1098" s="3">
        <v>46188</v>
      </c>
      <c r="E1098" s="126">
        <v>46191</v>
      </c>
      <c r="F1098" s="2" t="s">
        <v>77</v>
      </c>
      <c r="G1098" s="198">
        <v>22.4</v>
      </c>
      <c r="H1098" s="112">
        <v>0</v>
      </c>
      <c r="I1098" s="198">
        <f t="shared" si="6"/>
        <v>22.4</v>
      </c>
      <c r="J1098" s="111">
        <v>17.247999999999998</v>
      </c>
      <c r="K1098" s="160" t="s">
        <v>985</v>
      </c>
      <c r="M1098" s="4" t="s">
        <v>984</v>
      </c>
      <c r="N1098" s="4" t="s">
        <v>390</v>
      </c>
      <c r="O1098" s="146" t="str">
        <f>_xlfn.XLOOKUP(N1098,[1]!costcategory[Account Code],[1]!costcategory[Cost Category],"ERROR")</f>
        <v>Employee Benefits</v>
      </c>
      <c r="P1098" s="4" t="s">
        <v>523</v>
      </c>
      <c r="Q1098" s="147" t="str">
        <f>_xlfn.XLOOKUP(P1098,[1]!Table2[Department],[1]!Table2[Group],"ERROR")</f>
        <v>General &amp; Administrative</v>
      </c>
      <c r="R1098" s="2"/>
      <c r="S1098" s="2"/>
      <c r="T1098" s="2"/>
      <c r="U1098" s="2"/>
    </row>
    <row r="1099" spans="1:24" ht="12.95" hidden="1" customHeight="1" x14ac:dyDescent="0.2">
      <c r="A1099" s="2" t="s">
        <v>15</v>
      </c>
      <c r="B1099" s="2" t="s">
        <v>1</v>
      </c>
      <c r="C1099" s="93">
        <v>46190</v>
      </c>
      <c r="D1099" s="3">
        <v>46190</v>
      </c>
      <c r="E1099" s="126">
        <v>46193</v>
      </c>
      <c r="F1099" s="2" t="s">
        <v>77</v>
      </c>
      <c r="G1099" s="198">
        <v>86.77</v>
      </c>
      <c r="H1099" s="112">
        <v>0</v>
      </c>
      <c r="I1099" s="198">
        <f t="shared" si="6"/>
        <v>86.77</v>
      </c>
      <c r="J1099" s="111">
        <v>66.812899999999999</v>
      </c>
      <c r="K1099" s="4" t="s">
        <v>986</v>
      </c>
      <c r="L1099" s="4" t="s">
        <v>855</v>
      </c>
      <c r="M1099" s="4" t="s">
        <v>917</v>
      </c>
      <c r="N1099" s="4" t="s">
        <v>527</v>
      </c>
      <c r="O1099" s="146" t="str">
        <f>_xlfn.XLOOKUP(N1099,[1]!costcategory[Account Code],[1]!costcategory[Cost Category],"ERROR")</f>
        <v>Sales Expenses</v>
      </c>
      <c r="P1099" s="4" t="s">
        <v>523</v>
      </c>
      <c r="Q1099" s="147" t="str">
        <f>_xlfn.XLOOKUP(P1099,[1]!Table2[Department],[1]!Table2[Group],"ERROR")</f>
        <v>General &amp; Administrative</v>
      </c>
      <c r="R1099" s="2"/>
      <c r="S1099" s="2"/>
      <c r="T1099" s="2"/>
      <c r="U1099" s="2"/>
      <c r="W1099" s="3"/>
      <c r="X1099" s="2"/>
    </row>
    <row r="1100" spans="1:24" ht="12.95" hidden="1" customHeight="1" x14ac:dyDescent="0.2">
      <c r="A1100" s="2" t="s">
        <v>15</v>
      </c>
      <c r="B1100" s="2" t="s">
        <v>1</v>
      </c>
      <c r="C1100" s="93">
        <v>46192</v>
      </c>
      <c r="D1100" s="3">
        <v>46192</v>
      </c>
      <c r="E1100" s="126">
        <v>46195</v>
      </c>
      <c r="F1100" s="2" t="s">
        <v>77</v>
      </c>
      <c r="G1100" s="198">
        <v>46.64</v>
      </c>
      <c r="H1100" s="112">
        <v>0</v>
      </c>
      <c r="I1100" s="198">
        <f t="shared" si="6"/>
        <v>46.64</v>
      </c>
      <c r="J1100" s="111">
        <v>35.912800000000004</v>
      </c>
      <c r="K1100" s="4" t="s">
        <v>987</v>
      </c>
      <c r="L1100" s="4" t="s">
        <v>855</v>
      </c>
      <c r="M1100" s="4" t="s">
        <v>937</v>
      </c>
      <c r="N1100" s="4" t="s">
        <v>390</v>
      </c>
      <c r="O1100" s="146" t="str">
        <f>_xlfn.XLOOKUP(N1100,[1]!costcategory[Account Code],[1]!costcategory[Cost Category],"ERROR")</f>
        <v>Employee Benefits</v>
      </c>
      <c r="P1100" s="4" t="s">
        <v>523</v>
      </c>
      <c r="Q1100" s="147" t="str">
        <f>_xlfn.XLOOKUP(P1100,[1]!Table2[Department],[1]!Table2[Group],"ERROR")</f>
        <v>General &amp; Administrative</v>
      </c>
      <c r="R1100" s="2"/>
      <c r="S1100" s="2"/>
      <c r="T1100" s="2"/>
      <c r="U1100" s="2"/>
    </row>
    <row r="1101" spans="1:24" ht="12.95" hidden="1" customHeight="1" x14ac:dyDescent="0.2">
      <c r="A1101" s="2" t="s">
        <v>15</v>
      </c>
      <c r="B1101" s="2" t="s">
        <v>1</v>
      </c>
      <c r="C1101" s="93">
        <v>46195</v>
      </c>
      <c r="D1101" s="164">
        <v>46225</v>
      </c>
      <c r="E1101" s="326">
        <v>46195</v>
      </c>
      <c r="F1101" s="2" t="s">
        <v>77</v>
      </c>
      <c r="G1101" s="198">
        <v>-99</v>
      </c>
      <c r="H1101" s="198">
        <v>-8.91</v>
      </c>
      <c r="I1101" s="198">
        <f t="shared" si="6"/>
        <v>-107.91</v>
      </c>
      <c r="J1101" s="111">
        <v>-83.090699999999998</v>
      </c>
      <c r="K1101" s="4" t="s">
        <v>138</v>
      </c>
      <c r="L1101" s="135" t="s">
        <v>988</v>
      </c>
      <c r="M1101" s="4" t="s">
        <v>248</v>
      </c>
      <c r="N1101" s="4" t="s">
        <v>382</v>
      </c>
      <c r="O1101" s="146" t="str">
        <f>_xlfn.XLOOKUP(N1101,[1]!costcategory[Account Code],[1]!costcategory[Cost Category],"ERROR")</f>
        <v>Revenue</v>
      </c>
      <c r="P1101" s="4" t="s">
        <v>438</v>
      </c>
      <c r="Q1101" s="147" t="str">
        <f>_xlfn.XLOOKUP(P1101,[1]!Table2[Department],[1]!Table2[Group],"ERROR")</f>
        <v>Sales &amp; Marketing</v>
      </c>
      <c r="R1101" s="4" t="s">
        <v>103</v>
      </c>
      <c r="S1101" s="2" t="s">
        <v>104</v>
      </c>
      <c r="T1101" s="4"/>
      <c r="U1101" s="2"/>
    </row>
    <row r="1102" spans="1:24" ht="12.95" hidden="1" customHeight="1" x14ac:dyDescent="0.2">
      <c r="A1102" s="2" t="s">
        <v>15</v>
      </c>
      <c r="B1102" s="2" t="s">
        <v>1</v>
      </c>
      <c r="C1102" s="93">
        <v>46197</v>
      </c>
      <c r="D1102" s="3">
        <v>46197</v>
      </c>
      <c r="E1102" s="126">
        <v>46197</v>
      </c>
      <c r="F1102" s="2" t="s">
        <v>77</v>
      </c>
      <c r="G1102" s="198">
        <v>-79812.600000000006</v>
      </c>
      <c r="H1102" s="198">
        <v>0</v>
      </c>
      <c r="I1102" s="198">
        <f t="shared" si="6"/>
        <v>-79812.600000000006</v>
      </c>
      <c r="J1102" s="111">
        <v>-61455.702000000005</v>
      </c>
      <c r="K1102" s="4" t="s">
        <v>455</v>
      </c>
      <c r="L1102" s="4" t="s">
        <v>881</v>
      </c>
      <c r="M1102" s="4" t="s">
        <v>882</v>
      </c>
      <c r="N1102" s="4" t="s">
        <v>930</v>
      </c>
      <c r="O1102" s="146" t="str">
        <f>_xlfn.XLOOKUP(N1102,[1]!costcategory[Account Code],[1]!costcategory[Cost Category],"ERROR")</f>
        <v>Bank</v>
      </c>
      <c r="P1102" s="4" t="s">
        <v>333</v>
      </c>
      <c r="Q1102" s="147" t="str">
        <f>_xlfn.XLOOKUP(P1102,[1]!Table2[Department],[1]!Table2[Group],"ERROR")</f>
        <v>General &amp; Administrative</v>
      </c>
      <c r="R1102" s="2"/>
      <c r="S1102" s="2"/>
      <c r="T1102" s="2"/>
      <c r="U1102" s="2"/>
    </row>
    <row r="1103" spans="1:24" ht="12.95" hidden="1" customHeight="1" x14ac:dyDescent="0.2">
      <c r="A1103" s="2" t="s">
        <v>15</v>
      </c>
      <c r="B1103" s="2" t="s">
        <v>1</v>
      </c>
      <c r="C1103" s="93">
        <v>46198</v>
      </c>
      <c r="D1103" s="3">
        <v>46198</v>
      </c>
      <c r="E1103" s="126">
        <v>46198</v>
      </c>
      <c r="F1103" s="2" t="s">
        <v>77</v>
      </c>
      <c r="G1103" s="198">
        <v>-6.41</v>
      </c>
      <c r="H1103" s="198">
        <v>0</v>
      </c>
      <c r="I1103" s="198">
        <f t="shared" si="6"/>
        <v>-6.41</v>
      </c>
      <c r="J1103" s="111">
        <v>-4.9357000000000006</v>
      </c>
      <c r="K1103" s="4" t="s">
        <v>670</v>
      </c>
      <c r="L1103" s="4" t="s">
        <v>989</v>
      </c>
      <c r="M1103" s="4" t="s">
        <v>715</v>
      </c>
      <c r="N1103" s="4" t="s">
        <v>384</v>
      </c>
      <c r="O1103" s="146" t="str">
        <f>_xlfn.XLOOKUP(N1103,[1]!costcategory[Account Code],[1]!costcategory[Cost Category],"ERROR")</f>
        <v>Other Income</v>
      </c>
      <c r="P1103" s="4" t="s">
        <v>333</v>
      </c>
      <c r="Q1103" s="147" t="str">
        <f>_xlfn.XLOOKUP(P1103,[1]!Table2[Department],[1]!Table2[Group],"ERROR")</f>
        <v>General &amp; Administrative</v>
      </c>
      <c r="R1103" s="2"/>
      <c r="S1103" s="2"/>
      <c r="T1103" s="2"/>
      <c r="U1103" s="2"/>
    </row>
    <row r="1104" spans="1:24" ht="12.95" hidden="1" customHeight="1" x14ac:dyDescent="0.2">
      <c r="A1104" s="2" t="s">
        <v>15</v>
      </c>
      <c r="B1104" s="2" t="s">
        <v>1</v>
      </c>
      <c r="C1104" s="93">
        <v>46194</v>
      </c>
      <c r="D1104" s="3">
        <v>46194</v>
      </c>
      <c r="E1104" s="126">
        <v>46198</v>
      </c>
      <c r="F1104" s="2" t="s">
        <v>77</v>
      </c>
      <c r="G1104" s="198">
        <v>91.12</v>
      </c>
      <c r="H1104" s="198">
        <v>0</v>
      </c>
      <c r="I1104" s="198">
        <f t="shared" si="6"/>
        <v>91.12</v>
      </c>
      <c r="J1104" s="111">
        <v>70.162400000000005</v>
      </c>
      <c r="K1104" s="4" t="s">
        <v>990</v>
      </c>
      <c r="L1104" s="4" t="s">
        <v>855</v>
      </c>
      <c r="M1104" s="4" t="s">
        <v>917</v>
      </c>
      <c r="N1104" s="4" t="s">
        <v>527</v>
      </c>
      <c r="O1104" s="146" t="str">
        <f>_xlfn.XLOOKUP(N1104,[1]!costcategory[Account Code],[1]!costcategory[Cost Category],"ERROR")</f>
        <v>Sales Expenses</v>
      </c>
      <c r="P1104" s="4" t="s">
        <v>523</v>
      </c>
      <c r="Q1104" s="147" t="str">
        <f>_xlfn.XLOOKUP(P1104,[1]!Table2[Department],[1]!Table2[Group],"ERROR")</f>
        <v>General &amp; Administrative</v>
      </c>
      <c r="R1104" s="2"/>
      <c r="S1104" s="2"/>
      <c r="T1104" s="2"/>
      <c r="U1104" s="2"/>
    </row>
    <row r="1105" spans="1:23" ht="12.95" hidden="1" customHeight="1" thickBot="1" x14ac:dyDescent="0.2">
      <c r="A1105" s="2" t="s">
        <v>15</v>
      </c>
      <c r="B1105" s="2" t="s">
        <v>1</v>
      </c>
      <c r="C1105" s="93">
        <v>46195</v>
      </c>
      <c r="D1105" s="3">
        <v>46195</v>
      </c>
      <c r="E1105" s="126">
        <v>46198</v>
      </c>
      <c r="F1105" s="2" t="s">
        <v>77</v>
      </c>
      <c r="G1105" s="198">
        <v>72.13</v>
      </c>
      <c r="H1105" s="198">
        <v>0</v>
      </c>
      <c r="I1105" s="198">
        <f t="shared" si="6"/>
        <v>72.13</v>
      </c>
      <c r="J1105" s="111">
        <v>55.540099999999995</v>
      </c>
      <c r="K1105" s="4" t="s">
        <v>991</v>
      </c>
      <c r="L1105" s="4" t="s">
        <v>855</v>
      </c>
      <c r="M1105" s="4" t="s">
        <v>917</v>
      </c>
      <c r="N1105" s="4" t="s">
        <v>527</v>
      </c>
      <c r="O1105" s="146" t="str">
        <f>_xlfn.XLOOKUP(N1105,[1]!costcategory[Account Code],[1]!costcategory[Cost Category],"ERROR")</f>
        <v>Sales Expenses</v>
      </c>
      <c r="P1105" s="4" t="s">
        <v>523</v>
      </c>
      <c r="Q1105" s="147" t="str">
        <f>_xlfn.XLOOKUP(P1105,[1]!Table2[Department],[1]!Table2[Group],"ERROR")</f>
        <v>General &amp; Administrative</v>
      </c>
      <c r="R1105" s="2"/>
      <c r="S1105" s="2"/>
      <c r="T1105" s="2"/>
      <c r="U1105" s="2"/>
    </row>
    <row r="1106" spans="1:23" ht="12.95" hidden="1" customHeight="1" x14ac:dyDescent="0.2">
      <c r="A1106" s="2" t="s">
        <v>15</v>
      </c>
      <c r="B1106" s="2" t="s">
        <v>1</v>
      </c>
      <c r="C1106" s="93">
        <v>46133</v>
      </c>
      <c r="D1106" s="166">
        <v>46163</v>
      </c>
      <c r="E1106" s="326">
        <v>46203</v>
      </c>
      <c r="F1106" s="2" t="s">
        <v>77</v>
      </c>
      <c r="G1106" s="294">
        <v>-8866.67</v>
      </c>
      <c r="H1106" s="294">
        <v>-798.00030000000004</v>
      </c>
      <c r="I1106" s="223">
        <f t="shared" si="6"/>
        <v>-9664.6702999999998</v>
      </c>
      <c r="J1106" s="111">
        <v>-7441.7961310000001</v>
      </c>
      <c r="K1106" s="4" t="s">
        <v>105</v>
      </c>
      <c r="L1106" s="135" t="s">
        <v>171</v>
      </c>
      <c r="M1106" s="4" t="s">
        <v>172</v>
      </c>
      <c r="N1106" s="4" t="s">
        <v>382</v>
      </c>
      <c r="O1106" s="146" t="str">
        <f>_xlfn.XLOOKUP(N1106,[1]!costcategory[Account Code],[1]!costcategory[Cost Category],"ERROR")</f>
        <v>Revenue</v>
      </c>
      <c r="P1106" s="4" t="s">
        <v>438</v>
      </c>
      <c r="Q1106" s="147" t="str">
        <f>_xlfn.XLOOKUP(P1106,[1]!Table2[Department],[1]!Table2[Group],"ERROR")</f>
        <v>Sales &amp; Marketing</v>
      </c>
      <c r="R1106" s="4"/>
      <c r="S1106" s="2" t="s">
        <v>104</v>
      </c>
      <c r="T1106" s="4"/>
      <c r="U1106" s="2"/>
    </row>
    <row r="1107" spans="1:23" ht="12.95" hidden="1" customHeight="1" x14ac:dyDescent="0.2">
      <c r="A1107" s="2" t="s">
        <v>15</v>
      </c>
      <c r="B1107" s="2" t="s">
        <v>1</v>
      </c>
      <c r="C1107" s="93">
        <v>46164</v>
      </c>
      <c r="D1107" s="164">
        <v>46194</v>
      </c>
      <c r="E1107" s="326">
        <v>46203</v>
      </c>
      <c r="F1107" s="2" t="s">
        <v>77</v>
      </c>
      <c r="G1107" s="294">
        <v>-8866.67</v>
      </c>
      <c r="H1107" s="294">
        <v>-798.00030000000004</v>
      </c>
      <c r="I1107" s="233">
        <f t="shared" si="6"/>
        <v>-9664.6702999999998</v>
      </c>
      <c r="J1107" s="111">
        <v>-7441.7961310000001</v>
      </c>
      <c r="K1107" s="4" t="s">
        <v>105</v>
      </c>
      <c r="L1107" s="135" t="s">
        <v>205</v>
      </c>
      <c r="M1107" s="4" t="s">
        <v>206</v>
      </c>
      <c r="N1107" s="4" t="s">
        <v>382</v>
      </c>
      <c r="O1107" s="146" t="str">
        <f>_xlfn.XLOOKUP(N1107,[1]!costcategory[Account Code],[1]!costcategory[Cost Category],"ERROR")</f>
        <v>Revenue</v>
      </c>
      <c r="P1107" s="4" t="s">
        <v>438</v>
      </c>
      <c r="Q1107" s="147" t="str">
        <f>_xlfn.XLOOKUP(P1107,[1]!Table2[Department],[1]!Table2[Group],"ERROR")</f>
        <v>Sales &amp; Marketing</v>
      </c>
      <c r="R1107" s="4" t="s">
        <v>103</v>
      </c>
      <c r="S1107" s="2" t="s">
        <v>104</v>
      </c>
      <c r="T1107" s="4"/>
      <c r="U1107" s="2"/>
    </row>
    <row r="1108" spans="1:23" ht="12.95" hidden="1" customHeight="1" thickBot="1" x14ac:dyDescent="0.25">
      <c r="A1108" s="2" t="s">
        <v>15</v>
      </c>
      <c r="B1108" s="2" t="s">
        <v>1</v>
      </c>
      <c r="C1108" s="93">
        <v>46164</v>
      </c>
      <c r="D1108" s="164">
        <v>46194</v>
      </c>
      <c r="E1108" s="326">
        <v>46203</v>
      </c>
      <c r="F1108" s="2" t="s">
        <v>77</v>
      </c>
      <c r="G1108" s="294">
        <v>-8866.67</v>
      </c>
      <c r="H1108" s="294">
        <v>-798.00030000000004</v>
      </c>
      <c r="I1108" s="232">
        <f t="shared" si="6"/>
        <v>-9664.6702999999998</v>
      </c>
      <c r="J1108" s="111">
        <v>-7441.7961310000001</v>
      </c>
      <c r="K1108" s="4" t="s">
        <v>105</v>
      </c>
      <c r="L1108" s="135" t="s">
        <v>208</v>
      </c>
      <c r="M1108" s="4" t="s">
        <v>206</v>
      </c>
      <c r="N1108" s="4" t="s">
        <v>382</v>
      </c>
      <c r="O1108" s="146" t="str">
        <f>_xlfn.XLOOKUP(N1108,[1]!costcategory[Account Code],[1]!costcategory[Cost Category],"ERROR")</f>
        <v>Revenue</v>
      </c>
      <c r="P1108" s="4" t="s">
        <v>438</v>
      </c>
      <c r="Q1108" s="147" t="str">
        <f>_xlfn.XLOOKUP(P1108,[1]!Table2[Department],[1]!Table2[Group],"ERROR")</f>
        <v>Sales &amp; Marketing</v>
      </c>
      <c r="R1108" s="4" t="s">
        <v>103</v>
      </c>
      <c r="S1108" s="2" t="s">
        <v>104</v>
      </c>
      <c r="T1108" s="4"/>
      <c r="U1108" s="2"/>
    </row>
    <row r="1109" spans="1:23" ht="12.95" hidden="1" customHeight="1" x14ac:dyDescent="0.2">
      <c r="A1109" s="2" t="s">
        <v>15</v>
      </c>
      <c r="B1109" s="2" t="s">
        <v>1</v>
      </c>
      <c r="C1109" s="93">
        <v>46164</v>
      </c>
      <c r="D1109" s="164">
        <v>46194</v>
      </c>
      <c r="E1109" s="126">
        <v>46199</v>
      </c>
      <c r="F1109" s="2" t="s">
        <v>77</v>
      </c>
      <c r="G1109" s="198">
        <v>-2599</v>
      </c>
      <c r="H1109" s="198">
        <v>-233.91</v>
      </c>
      <c r="I1109" s="198">
        <f t="shared" si="6"/>
        <v>-2832.91</v>
      </c>
      <c r="J1109" s="111">
        <v>-2181.3406999999997</v>
      </c>
      <c r="K1109" s="4" t="s">
        <v>138</v>
      </c>
      <c r="L1109" s="135" t="s">
        <v>202</v>
      </c>
      <c r="M1109" s="4" t="s">
        <v>203</v>
      </c>
      <c r="N1109" s="4" t="s">
        <v>382</v>
      </c>
      <c r="O1109" s="146" t="str">
        <f>_xlfn.XLOOKUP(N1109,[1]!costcategory[Account Code],[1]!costcategory[Cost Category],"ERROR")</f>
        <v>Revenue</v>
      </c>
      <c r="P1109" s="4" t="s">
        <v>438</v>
      </c>
      <c r="Q1109" s="147" t="str">
        <f>_xlfn.XLOOKUP(P1109,[1]!Table2[Department],[1]!Table2[Group],"ERROR")</f>
        <v>Sales &amp; Marketing</v>
      </c>
      <c r="R1109" s="4" t="s">
        <v>103</v>
      </c>
      <c r="S1109" s="2" t="s">
        <v>104</v>
      </c>
      <c r="T1109" s="4"/>
      <c r="U1109" s="2"/>
    </row>
    <row r="1110" spans="1:23" ht="12.95" hidden="1" customHeight="1" x14ac:dyDescent="0.2">
      <c r="A1110" s="2" t="s">
        <v>15</v>
      </c>
      <c r="B1110" s="2" t="s">
        <v>1</v>
      </c>
      <c r="C1110" s="93">
        <v>46197</v>
      </c>
      <c r="D1110" s="3">
        <v>46197</v>
      </c>
      <c r="E1110" s="126">
        <v>46200</v>
      </c>
      <c r="F1110" s="2" t="s">
        <v>77</v>
      </c>
      <c r="G1110" s="271">
        <v>49.16</v>
      </c>
      <c r="H1110" s="198">
        <v>0</v>
      </c>
      <c r="I1110" s="198">
        <f t="shared" si="6"/>
        <v>49.16</v>
      </c>
      <c r="J1110" s="111">
        <v>37.853200000000001</v>
      </c>
      <c r="K1110" s="4" t="s">
        <v>992</v>
      </c>
      <c r="O1110" s="146" t="str">
        <f>_xlfn.XLOOKUP(N1110,[1]!costcategory[Account Code],[1]!costcategory[Cost Category],"ERROR")</f>
        <v>ERROR</v>
      </c>
      <c r="P1110" s="4" t="s">
        <v>523</v>
      </c>
      <c r="Q1110" s="147" t="str">
        <f>_xlfn.XLOOKUP(P1110,[1]!Table2[Department],[1]!Table2[Group],"ERROR")</f>
        <v>General &amp; Administrative</v>
      </c>
      <c r="R1110" s="2"/>
      <c r="S1110" s="2"/>
      <c r="T1110" s="2"/>
      <c r="U1110" s="2"/>
    </row>
    <row r="1111" spans="1:23" ht="12.95" hidden="1" customHeight="1" x14ac:dyDescent="0.2">
      <c r="A1111" s="2" t="s">
        <v>15</v>
      </c>
      <c r="B1111" s="2" t="s">
        <v>1</v>
      </c>
      <c r="C1111" s="93">
        <v>46198</v>
      </c>
      <c r="D1111" s="3">
        <v>46198</v>
      </c>
      <c r="E1111" s="126">
        <v>46200</v>
      </c>
      <c r="F1111" s="2" t="s">
        <v>77</v>
      </c>
      <c r="G1111" s="303">
        <v>827</v>
      </c>
      <c r="H1111" s="303">
        <v>0</v>
      </c>
      <c r="I1111" s="303">
        <f>G1111+H1111</f>
        <v>827</v>
      </c>
      <c r="J1111" s="111">
        <v>636.79</v>
      </c>
      <c r="K1111" s="4" t="s">
        <v>993</v>
      </c>
      <c r="L1111" s="4" t="s">
        <v>994</v>
      </c>
      <c r="M1111" s="4" t="s">
        <v>995</v>
      </c>
      <c r="N1111" s="4" t="s">
        <v>657</v>
      </c>
      <c r="O1111" s="146" t="str">
        <f>_xlfn.XLOOKUP(N1111,[1]!costcategory[Account Code],[1]!costcategory[Cost Category],"ERROR")</f>
        <v>Intercompany</v>
      </c>
      <c r="P1111" t="s">
        <v>45</v>
      </c>
      <c r="Q1111" s="147" t="str">
        <f>_xlfn.XLOOKUP(P1111,[1]!Table2[Department],[1]!Table2[Group],"ERROR")</f>
        <v>DSC</v>
      </c>
      <c r="U1111" s="36"/>
      <c r="W1111"/>
    </row>
    <row r="1112" spans="1:23" ht="12.95" hidden="1" customHeight="1" x14ac:dyDescent="0.2">
      <c r="A1112" s="2" t="s">
        <v>15</v>
      </c>
      <c r="B1112" s="2" t="s">
        <v>1</v>
      </c>
      <c r="C1112" s="93">
        <v>46202</v>
      </c>
      <c r="D1112" s="3">
        <v>46202</v>
      </c>
      <c r="E1112" s="126">
        <v>46202</v>
      </c>
      <c r="F1112" s="2" t="s">
        <v>77</v>
      </c>
      <c r="G1112" s="198">
        <v>29.61</v>
      </c>
      <c r="H1112" s="198">
        <v>0</v>
      </c>
      <c r="I1112" s="198">
        <f>SUM(G1112:H1112)</f>
        <v>29.61</v>
      </c>
      <c r="J1112" s="111">
        <v>22.799700000000001</v>
      </c>
      <c r="K1112" s="4" t="s">
        <v>670</v>
      </c>
      <c r="L1112" s="4" t="s">
        <v>996</v>
      </c>
      <c r="M1112" s="4" t="s">
        <v>997</v>
      </c>
      <c r="N1112" s="4" t="s">
        <v>657</v>
      </c>
      <c r="O1112" s="146" t="str">
        <f>_xlfn.XLOOKUP(N1112,[1]!costcategory[Account Code],[1]!costcategory[Cost Category],"ERROR")</f>
        <v>Intercompany</v>
      </c>
      <c r="P1112" t="s">
        <v>45</v>
      </c>
      <c r="Q1112" s="147" t="str">
        <f>_xlfn.XLOOKUP(P1112,[1]!Table2[Department],[1]!Table2[Group],"ERROR")</f>
        <v>DSC</v>
      </c>
      <c r="R1112" s="2"/>
      <c r="S1112" s="2"/>
      <c r="T1112" s="2"/>
      <c r="U1112" s="2"/>
    </row>
    <row r="1113" spans="1:23" ht="12.95" hidden="1" customHeight="1" x14ac:dyDescent="0.2">
      <c r="A1113" s="2" t="s">
        <v>15</v>
      </c>
      <c r="B1113" s="2" t="s">
        <v>1</v>
      </c>
      <c r="C1113" s="93">
        <v>46199</v>
      </c>
      <c r="D1113" s="3">
        <v>46199</v>
      </c>
      <c r="E1113" s="126">
        <v>46202</v>
      </c>
      <c r="F1113" s="2" t="s">
        <v>77</v>
      </c>
      <c r="G1113" s="198">
        <v>156.97</v>
      </c>
      <c r="H1113" s="198">
        <v>0</v>
      </c>
      <c r="I1113" s="198">
        <f>SUM(G1113:H1113)</f>
        <v>156.97</v>
      </c>
      <c r="J1113" s="111">
        <v>120.8669</v>
      </c>
      <c r="K1113" s="4" t="s">
        <v>998</v>
      </c>
      <c r="L1113" s="135"/>
      <c r="O1113" s="146" t="str">
        <f>_xlfn.XLOOKUP(N1113,[1]!costcategory[Account Code],[1]!costcategory[Cost Category],"ERROR")</f>
        <v>ERROR</v>
      </c>
      <c r="P1113" s="4" t="s">
        <v>523</v>
      </c>
      <c r="Q1113" s="147" t="str">
        <f>_xlfn.XLOOKUP(P1113,[1]!Table2[Department],[1]!Table2[Group],"ERROR")</f>
        <v>General &amp; Administrative</v>
      </c>
      <c r="R1113" s="2"/>
      <c r="S1113" s="2"/>
      <c r="T1113" s="2"/>
      <c r="U1113" s="2"/>
    </row>
    <row r="1114" spans="1:23" s="2" customFormat="1" ht="12.95" hidden="1" customHeight="1" x14ac:dyDescent="0.2">
      <c r="A1114" s="2" t="s">
        <v>15</v>
      </c>
      <c r="B1114" s="2" t="s">
        <v>1</v>
      </c>
      <c r="C1114" s="93">
        <v>46200</v>
      </c>
      <c r="D1114" s="3">
        <v>46200</v>
      </c>
      <c r="E1114" s="126">
        <v>46202</v>
      </c>
      <c r="F1114" s="2" t="s">
        <v>77</v>
      </c>
      <c r="G1114" s="198">
        <v>2961.16</v>
      </c>
      <c r="H1114" s="198">
        <v>0</v>
      </c>
      <c r="I1114" s="198">
        <f>SUM(G1114:H1114)</f>
        <v>2961.16</v>
      </c>
      <c r="J1114" s="111">
        <v>2280.0931999999998</v>
      </c>
      <c r="K1114" s="4" t="s">
        <v>999</v>
      </c>
      <c r="L1114" s="4"/>
      <c r="M1114" s="4" t="s">
        <v>1000</v>
      </c>
      <c r="N1114" s="4" t="s">
        <v>657</v>
      </c>
      <c r="O1114" s="146" t="str">
        <f>_xlfn.XLOOKUP(N1114,[1]!costcategory[Account Code],[1]!costcategory[Cost Category],"ERROR")</f>
        <v>Intercompany</v>
      </c>
      <c r="P1114" t="s">
        <v>45</v>
      </c>
      <c r="Q1114" s="147" t="str">
        <f>_xlfn.XLOOKUP(P1114,[1]!Table2[Department],[1]!Table2[Group],"ERROR")</f>
        <v>DSC</v>
      </c>
    </row>
    <row r="1115" spans="1:23" s="2" customFormat="1" hidden="1" x14ac:dyDescent="0.2">
      <c r="A1115" s="2" t="s">
        <v>247</v>
      </c>
      <c r="B1115" s="2" t="s">
        <v>1</v>
      </c>
      <c r="C1115" s="93">
        <v>46203</v>
      </c>
      <c r="D1115" s="164"/>
      <c r="E1115" s="126">
        <v>46203</v>
      </c>
      <c r="F1115" s="2" t="s">
        <v>77</v>
      </c>
      <c r="G1115" s="204">
        <v>600</v>
      </c>
      <c r="H1115" s="204">
        <v>0</v>
      </c>
      <c r="I1115" s="204">
        <v>600</v>
      </c>
      <c r="J1115" s="111">
        <v>462</v>
      </c>
      <c r="K1115" s="4" t="s">
        <v>757</v>
      </c>
      <c r="L1115" s="4"/>
      <c r="M1115" s="4" t="s">
        <v>1699</v>
      </c>
      <c r="N1115" s="4" t="s">
        <v>621</v>
      </c>
      <c r="O1115" s="4" t="s">
        <v>618</v>
      </c>
      <c r="P1115" s="4" t="s">
        <v>340</v>
      </c>
      <c r="Q1115" s="4" t="s">
        <v>62</v>
      </c>
      <c r="R1115"/>
      <c r="S1115"/>
      <c r="T1115"/>
      <c r="U1115" s="4"/>
    </row>
    <row r="1116" spans="1:23" s="2" customFormat="1" hidden="1" x14ac:dyDescent="0.2">
      <c r="A1116" s="2" t="s">
        <v>247</v>
      </c>
      <c r="B1116" s="2" t="s">
        <v>1</v>
      </c>
      <c r="C1116" s="93">
        <v>46203</v>
      </c>
      <c r="D1116" s="164">
        <v>46203</v>
      </c>
      <c r="E1116" s="126">
        <v>46203</v>
      </c>
      <c r="F1116" s="2" t="s">
        <v>77</v>
      </c>
      <c r="G1116" s="300"/>
      <c r="H1116" s="300"/>
      <c r="I1116" s="300"/>
      <c r="J1116" s="300">
        <v>4000</v>
      </c>
      <c r="K1116" s="4" t="s">
        <v>1641</v>
      </c>
      <c r="L1116" s="4"/>
      <c r="M1116" s="4" t="s">
        <v>1698</v>
      </c>
      <c r="N1116" s="4" t="s">
        <v>387</v>
      </c>
      <c r="O1116" s="4" t="s">
        <v>47</v>
      </c>
      <c r="P1116" s="4" t="s">
        <v>354</v>
      </c>
      <c r="Q1116" s="4" t="s">
        <v>61</v>
      </c>
      <c r="R1116"/>
      <c r="S1116"/>
      <c r="T1116"/>
      <c r="U1116" s="4"/>
    </row>
    <row r="1117" spans="1:23" s="2" customFormat="1" hidden="1" x14ac:dyDescent="0.2">
      <c r="A1117" s="2" t="s">
        <v>247</v>
      </c>
      <c r="B1117" s="2" t="s">
        <v>1</v>
      </c>
      <c r="C1117" s="93">
        <v>46203</v>
      </c>
      <c r="D1117" s="164">
        <v>46203</v>
      </c>
      <c r="E1117" s="126">
        <v>46203</v>
      </c>
      <c r="F1117" s="2" t="s">
        <v>77</v>
      </c>
      <c r="G1117" s="300"/>
      <c r="H1117" s="300"/>
      <c r="I1117" s="300"/>
      <c r="J1117" s="300">
        <v>2</v>
      </c>
      <c r="K1117" s="4" t="s">
        <v>1641</v>
      </c>
      <c r="L1117" s="4"/>
      <c r="M1117" s="4" t="s">
        <v>1698</v>
      </c>
      <c r="N1117" s="4" t="s">
        <v>387</v>
      </c>
      <c r="O1117" s="4" t="s">
        <v>47</v>
      </c>
      <c r="P1117" s="4" t="s">
        <v>354</v>
      </c>
      <c r="Q1117" s="4" t="s">
        <v>61</v>
      </c>
      <c r="R1117"/>
      <c r="S1117"/>
      <c r="T1117"/>
      <c r="U1117" s="4"/>
    </row>
    <row r="1118" spans="1:23" s="2" customFormat="1" hidden="1" x14ac:dyDescent="0.2">
      <c r="A1118" s="2" t="s">
        <v>247</v>
      </c>
      <c r="B1118" s="2" t="s">
        <v>1</v>
      </c>
      <c r="C1118" s="93">
        <v>46203</v>
      </c>
      <c r="D1118" s="164">
        <v>46203</v>
      </c>
      <c r="E1118" s="126">
        <v>46203</v>
      </c>
      <c r="F1118" s="2" t="s">
        <v>77</v>
      </c>
      <c r="G1118" s="300"/>
      <c r="H1118" s="300"/>
      <c r="I1118" s="300"/>
      <c r="J1118" s="300">
        <v>2000</v>
      </c>
      <c r="K1118" s="4" t="s">
        <v>1641</v>
      </c>
      <c r="L1118" s="4"/>
      <c r="M1118" s="4" t="s">
        <v>1697</v>
      </c>
      <c r="N1118" s="4" t="s">
        <v>364</v>
      </c>
      <c r="O1118" s="4" t="s">
        <v>47</v>
      </c>
      <c r="P1118" s="4" t="s">
        <v>354</v>
      </c>
      <c r="Q1118" s="4" t="s">
        <v>61</v>
      </c>
      <c r="R1118"/>
      <c r="S1118"/>
      <c r="T1118"/>
      <c r="U1118" s="4"/>
    </row>
    <row r="1119" spans="1:23" s="2" customFormat="1" hidden="1" x14ac:dyDescent="0.2">
      <c r="A1119" s="2" t="s">
        <v>247</v>
      </c>
      <c r="B1119" s="2" t="s">
        <v>1</v>
      </c>
      <c r="C1119" s="93">
        <v>46203</v>
      </c>
      <c r="D1119" s="164">
        <v>46203</v>
      </c>
      <c r="E1119" s="126">
        <v>46203</v>
      </c>
      <c r="F1119" s="2" t="s">
        <v>77</v>
      </c>
      <c r="G1119" s="300"/>
      <c r="H1119" s="300"/>
      <c r="I1119" s="300"/>
      <c r="J1119" s="300">
        <v>17000</v>
      </c>
      <c r="K1119" s="4" t="s">
        <v>1641</v>
      </c>
      <c r="L1119" s="4"/>
      <c r="M1119" s="4" t="s">
        <v>1698</v>
      </c>
      <c r="N1119" s="4" t="s">
        <v>387</v>
      </c>
      <c r="O1119" s="4" t="s">
        <v>47</v>
      </c>
      <c r="P1119" s="4" t="s">
        <v>45</v>
      </c>
      <c r="Q1119" s="4" t="s">
        <v>45</v>
      </c>
      <c r="R1119"/>
      <c r="S1119"/>
      <c r="T1119"/>
      <c r="U1119" s="4"/>
    </row>
    <row r="1120" spans="1:23" s="2" customFormat="1" hidden="1" x14ac:dyDescent="0.2">
      <c r="A1120" s="2" t="s">
        <v>247</v>
      </c>
      <c r="B1120" s="2" t="s">
        <v>1</v>
      </c>
      <c r="C1120" s="93">
        <v>46203</v>
      </c>
      <c r="D1120" s="164">
        <v>46203</v>
      </c>
      <c r="E1120" s="126">
        <v>46203</v>
      </c>
      <c r="F1120" s="2" t="s">
        <v>77</v>
      </c>
      <c r="G1120" s="300"/>
      <c r="H1120" s="300"/>
      <c r="I1120" s="300"/>
      <c r="J1120" s="300">
        <v>6</v>
      </c>
      <c r="K1120" s="4" t="s">
        <v>1641</v>
      </c>
      <c r="L1120" s="4"/>
      <c r="M1120" s="4" t="s">
        <v>1698</v>
      </c>
      <c r="N1120" s="4" t="s">
        <v>387</v>
      </c>
      <c r="O1120" s="4" t="s">
        <v>47</v>
      </c>
      <c r="P1120" s="4" t="s">
        <v>45</v>
      </c>
      <c r="Q1120" s="4" t="s">
        <v>45</v>
      </c>
      <c r="R1120"/>
      <c r="S1120"/>
      <c r="T1120"/>
      <c r="U1120" s="4"/>
    </row>
    <row r="1121" spans="1:22" s="2" customFormat="1" hidden="1" x14ac:dyDescent="0.2">
      <c r="A1121" s="2" t="s">
        <v>247</v>
      </c>
      <c r="B1121" s="2" t="s">
        <v>1</v>
      </c>
      <c r="C1121" s="93">
        <v>46203</v>
      </c>
      <c r="D1121" s="164">
        <v>46203</v>
      </c>
      <c r="E1121" s="126">
        <v>46203</v>
      </c>
      <c r="F1121" s="2" t="s">
        <v>77</v>
      </c>
      <c r="G1121" s="300"/>
      <c r="H1121" s="300"/>
      <c r="I1121" s="300"/>
      <c r="J1121" s="300">
        <v>6000</v>
      </c>
      <c r="K1121" s="4" t="s">
        <v>1641</v>
      </c>
      <c r="L1121" s="4"/>
      <c r="M1121" s="4" t="s">
        <v>1697</v>
      </c>
      <c r="N1121" s="4" t="s">
        <v>364</v>
      </c>
      <c r="O1121" s="4" t="s">
        <v>47</v>
      </c>
      <c r="P1121" s="4" t="s">
        <v>45</v>
      </c>
      <c r="Q1121" s="4" t="s">
        <v>45</v>
      </c>
      <c r="R1121"/>
      <c r="S1121"/>
      <c r="T1121"/>
      <c r="U1121" s="4"/>
    </row>
    <row r="1122" spans="1:22" s="2" customFormat="1" hidden="1" x14ac:dyDescent="0.2">
      <c r="A1122" s="2" t="s">
        <v>247</v>
      </c>
      <c r="B1122" s="2" t="s">
        <v>1</v>
      </c>
      <c r="C1122" s="93">
        <v>46203</v>
      </c>
      <c r="D1122" s="164">
        <v>46203</v>
      </c>
      <c r="E1122" s="126">
        <v>46203</v>
      </c>
      <c r="F1122" s="2" t="s">
        <v>77</v>
      </c>
      <c r="G1122" s="300"/>
      <c r="H1122" s="300"/>
      <c r="I1122" s="300"/>
      <c r="J1122" s="300">
        <v>32000</v>
      </c>
      <c r="K1122" s="4" t="s">
        <v>1641</v>
      </c>
      <c r="L1122" s="4"/>
      <c r="M1122" s="4" t="s">
        <v>1698</v>
      </c>
      <c r="N1122" s="4" t="s">
        <v>387</v>
      </c>
      <c r="O1122" s="4" t="s">
        <v>47</v>
      </c>
      <c r="P1122" s="4" t="s">
        <v>658</v>
      </c>
      <c r="Q1122" s="4" t="s">
        <v>61</v>
      </c>
      <c r="R1122"/>
      <c r="S1122"/>
      <c r="T1122"/>
      <c r="U1122" s="4"/>
    </row>
    <row r="1123" spans="1:22" s="2" customFormat="1" hidden="1" x14ac:dyDescent="0.2">
      <c r="A1123" s="2" t="s">
        <v>247</v>
      </c>
      <c r="B1123" s="2" t="s">
        <v>1</v>
      </c>
      <c r="C1123" s="93">
        <v>46203</v>
      </c>
      <c r="D1123" s="164">
        <v>46203</v>
      </c>
      <c r="E1123" s="126">
        <v>46203</v>
      </c>
      <c r="F1123" s="2" t="s">
        <v>77</v>
      </c>
      <c r="G1123" s="300"/>
      <c r="H1123" s="300"/>
      <c r="I1123" s="300"/>
      <c r="J1123" s="300">
        <v>3</v>
      </c>
      <c r="K1123" s="4" t="s">
        <v>1641</v>
      </c>
      <c r="L1123" s="4"/>
      <c r="M1123" s="4" t="s">
        <v>1698</v>
      </c>
      <c r="N1123" s="4" t="s">
        <v>387</v>
      </c>
      <c r="O1123" s="4" t="s">
        <v>47</v>
      </c>
      <c r="P1123" s="4" t="s">
        <v>658</v>
      </c>
      <c r="Q1123" s="4" t="s">
        <v>61</v>
      </c>
      <c r="R1123"/>
      <c r="S1123"/>
      <c r="T1123"/>
      <c r="U1123" s="4"/>
    </row>
    <row r="1124" spans="1:22" s="2" customFormat="1" hidden="1" x14ac:dyDescent="0.2">
      <c r="A1124" s="2" t="s">
        <v>247</v>
      </c>
      <c r="B1124" s="2" t="s">
        <v>1</v>
      </c>
      <c r="C1124" s="93">
        <v>46203</v>
      </c>
      <c r="D1124" s="164">
        <v>46203</v>
      </c>
      <c r="E1124" s="126">
        <v>46203</v>
      </c>
      <c r="F1124" s="2" t="s">
        <v>77</v>
      </c>
      <c r="G1124" s="300"/>
      <c r="H1124" s="300"/>
      <c r="I1124" s="300"/>
      <c r="J1124" s="300">
        <v>2500</v>
      </c>
      <c r="K1124" s="4" t="s">
        <v>1641</v>
      </c>
      <c r="L1124" s="4"/>
      <c r="M1124" s="4" t="s">
        <v>1697</v>
      </c>
      <c r="N1124" s="4" t="s">
        <v>364</v>
      </c>
      <c r="O1124" s="4" t="s">
        <v>47</v>
      </c>
      <c r="P1124" s="4" t="s">
        <v>658</v>
      </c>
      <c r="Q1124" s="4" t="s">
        <v>61</v>
      </c>
      <c r="R1124"/>
      <c r="S1124"/>
      <c r="T1124"/>
      <c r="U1124" s="4"/>
    </row>
    <row r="1125" spans="1:22" s="2" customFormat="1" hidden="1" x14ac:dyDescent="0.2">
      <c r="A1125" s="2" t="s">
        <v>247</v>
      </c>
      <c r="B1125" s="2" t="s">
        <v>1</v>
      </c>
      <c r="C1125" s="93">
        <v>46203</v>
      </c>
      <c r="D1125" s="164">
        <v>46203</v>
      </c>
      <c r="E1125" s="126">
        <v>46203</v>
      </c>
      <c r="F1125" s="2" t="s">
        <v>77</v>
      </c>
      <c r="G1125" s="300"/>
      <c r="H1125" s="300"/>
      <c r="I1125" s="300"/>
      <c r="J1125" s="300">
        <v>2000</v>
      </c>
      <c r="K1125" s="4" t="s">
        <v>1641</v>
      </c>
      <c r="L1125" s="4"/>
      <c r="M1125" s="4" t="s">
        <v>1698</v>
      </c>
      <c r="N1125" s="4" t="s">
        <v>387</v>
      </c>
      <c r="O1125" s="4" t="s">
        <v>47</v>
      </c>
      <c r="P1125" s="4" t="s">
        <v>333</v>
      </c>
      <c r="Q1125" s="4" t="s">
        <v>62</v>
      </c>
      <c r="R1125"/>
      <c r="S1125"/>
      <c r="T1125"/>
      <c r="U1125" s="4"/>
    </row>
    <row r="1126" spans="1:22" s="2" customFormat="1" hidden="1" x14ac:dyDescent="0.2">
      <c r="A1126" s="2" t="s">
        <v>247</v>
      </c>
      <c r="B1126" s="2" t="s">
        <v>1</v>
      </c>
      <c r="C1126" s="93">
        <v>46203</v>
      </c>
      <c r="D1126" s="164">
        <v>46203</v>
      </c>
      <c r="E1126" s="126">
        <v>46203</v>
      </c>
      <c r="F1126" s="2" t="s">
        <v>77</v>
      </c>
      <c r="G1126" s="300"/>
      <c r="H1126" s="300"/>
      <c r="I1126" s="300"/>
      <c r="J1126" s="300">
        <v>1</v>
      </c>
      <c r="K1126" s="4" t="s">
        <v>1641</v>
      </c>
      <c r="L1126" s="4"/>
      <c r="M1126" s="4" t="s">
        <v>1698</v>
      </c>
      <c r="N1126" s="4" t="s">
        <v>387</v>
      </c>
      <c r="O1126" s="4" t="s">
        <v>47</v>
      </c>
      <c r="P1126" s="4" t="s">
        <v>333</v>
      </c>
      <c r="Q1126" s="4" t="s">
        <v>62</v>
      </c>
      <c r="R1126"/>
      <c r="S1126"/>
      <c r="T1126"/>
      <c r="U1126" s="4"/>
    </row>
    <row r="1127" spans="1:22" s="2" customFormat="1" hidden="1" x14ac:dyDescent="0.2">
      <c r="A1127" s="2" t="s">
        <v>247</v>
      </c>
      <c r="B1127" s="2" t="s">
        <v>1</v>
      </c>
      <c r="C1127" s="93">
        <v>46203</v>
      </c>
      <c r="D1127" s="164">
        <v>46203</v>
      </c>
      <c r="E1127" s="126">
        <v>46203</v>
      </c>
      <c r="F1127" s="2" t="s">
        <v>77</v>
      </c>
      <c r="G1127" s="300"/>
      <c r="H1127" s="300"/>
      <c r="I1127" s="300"/>
      <c r="J1127" s="300">
        <v>200</v>
      </c>
      <c r="K1127" s="4" t="s">
        <v>1641</v>
      </c>
      <c r="L1127" s="4"/>
      <c r="M1127" s="4" t="s">
        <v>1697</v>
      </c>
      <c r="N1127" s="4" t="s">
        <v>364</v>
      </c>
      <c r="O1127" s="4" t="s">
        <v>47</v>
      </c>
      <c r="P1127" s="4" t="s">
        <v>333</v>
      </c>
      <c r="Q1127" s="4" t="s">
        <v>62</v>
      </c>
      <c r="R1127"/>
      <c r="S1127"/>
      <c r="T1127"/>
      <c r="U1127" s="4"/>
    </row>
    <row r="1128" spans="1:22" s="2" customFormat="1" hidden="1" x14ac:dyDescent="0.2">
      <c r="A1128" s="2" t="s">
        <v>247</v>
      </c>
      <c r="B1128" s="2" t="s">
        <v>1</v>
      </c>
      <c r="C1128" s="93">
        <v>46203</v>
      </c>
      <c r="D1128" s="164">
        <v>46203</v>
      </c>
      <c r="E1128" s="126">
        <v>46203</v>
      </c>
      <c r="F1128" s="2" t="s">
        <v>77</v>
      </c>
      <c r="G1128" s="300"/>
      <c r="H1128" s="300"/>
      <c r="I1128" s="300"/>
      <c r="J1128" s="300">
        <v>25000</v>
      </c>
      <c r="K1128" s="4" t="s">
        <v>1641</v>
      </c>
      <c r="L1128" s="4"/>
      <c r="M1128" s="4" t="s">
        <v>1698</v>
      </c>
      <c r="N1128" s="4" t="s">
        <v>387</v>
      </c>
      <c r="O1128" s="4" t="s">
        <v>47</v>
      </c>
      <c r="P1128" s="4" t="s">
        <v>350</v>
      </c>
      <c r="Q1128" s="4" t="s">
        <v>62</v>
      </c>
      <c r="R1128"/>
      <c r="S1128"/>
      <c r="T1128"/>
      <c r="U1128" s="4"/>
    </row>
    <row r="1129" spans="1:22" s="2" customFormat="1" hidden="1" x14ac:dyDescent="0.2">
      <c r="A1129" s="2" t="s">
        <v>247</v>
      </c>
      <c r="B1129" s="2" t="s">
        <v>1</v>
      </c>
      <c r="C1129" s="93">
        <v>46203</v>
      </c>
      <c r="D1129" s="164">
        <v>46203</v>
      </c>
      <c r="E1129" s="126">
        <v>46203</v>
      </c>
      <c r="F1129" s="2" t="s">
        <v>77</v>
      </c>
      <c r="G1129" s="300"/>
      <c r="H1129" s="300"/>
      <c r="I1129" s="300"/>
      <c r="J1129" s="300">
        <v>4</v>
      </c>
      <c r="K1129" s="4" t="s">
        <v>1641</v>
      </c>
      <c r="L1129" s="4"/>
      <c r="M1129" s="4" t="s">
        <v>1698</v>
      </c>
      <c r="N1129" s="4" t="s">
        <v>387</v>
      </c>
      <c r="O1129" s="4" t="s">
        <v>47</v>
      </c>
      <c r="P1129" s="4" t="s">
        <v>350</v>
      </c>
      <c r="Q1129" s="4" t="s">
        <v>62</v>
      </c>
      <c r="R1129"/>
      <c r="S1129"/>
      <c r="T1129"/>
      <c r="U1129" s="4"/>
    </row>
    <row r="1130" spans="1:22" customFormat="1" hidden="1" x14ac:dyDescent="0.2">
      <c r="A1130" s="2" t="s">
        <v>247</v>
      </c>
      <c r="B1130" s="2" t="s">
        <v>1</v>
      </c>
      <c r="C1130" s="93">
        <v>46203</v>
      </c>
      <c r="D1130" s="164">
        <v>46203</v>
      </c>
      <c r="E1130" s="126">
        <v>46203</v>
      </c>
      <c r="F1130" s="2" t="s">
        <v>77</v>
      </c>
      <c r="G1130" s="300"/>
      <c r="H1130" s="300"/>
      <c r="I1130" s="300"/>
      <c r="J1130" s="300">
        <v>6000</v>
      </c>
      <c r="K1130" s="4" t="s">
        <v>1641</v>
      </c>
      <c r="L1130" s="4"/>
      <c r="M1130" s="4" t="s">
        <v>1697</v>
      </c>
      <c r="N1130" s="4" t="s">
        <v>364</v>
      </c>
      <c r="O1130" s="4" t="s">
        <v>47</v>
      </c>
      <c r="P1130" s="4" t="s">
        <v>350</v>
      </c>
      <c r="Q1130" s="4" t="s">
        <v>62</v>
      </c>
      <c r="U1130" s="4"/>
      <c r="V1130" s="2"/>
    </row>
    <row r="1131" spans="1:22" customFormat="1" hidden="1" x14ac:dyDescent="0.2">
      <c r="A1131" s="2" t="s">
        <v>247</v>
      </c>
      <c r="B1131" s="2" t="s">
        <v>1</v>
      </c>
      <c r="C1131" s="93">
        <v>46203</v>
      </c>
      <c r="D1131" s="164">
        <v>46203</v>
      </c>
      <c r="E1131" s="126">
        <v>46203</v>
      </c>
      <c r="F1131" s="2" t="s">
        <v>77</v>
      </c>
      <c r="G1131" s="300"/>
      <c r="H1131" s="300"/>
      <c r="I1131" s="300"/>
      <c r="J1131" s="300">
        <v>3000</v>
      </c>
      <c r="K1131" s="4" t="s">
        <v>1641</v>
      </c>
      <c r="L1131" s="4"/>
      <c r="M1131" s="4" t="s">
        <v>1698</v>
      </c>
      <c r="N1131" s="4" t="s">
        <v>387</v>
      </c>
      <c r="O1131" s="4" t="s">
        <v>47</v>
      </c>
      <c r="P1131" s="4" t="s">
        <v>376</v>
      </c>
      <c r="Q1131" s="4" t="s">
        <v>62</v>
      </c>
      <c r="U1131" s="4"/>
      <c r="V1131" s="2"/>
    </row>
    <row r="1132" spans="1:22" customFormat="1" hidden="1" x14ac:dyDescent="0.2">
      <c r="A1132" s="2" t="s">
        <v>247</v>
      </c>
      <c r="B1132" s="2" t="s">
        <v>1</v>
      </c>
      <c r="C1132" s="93">
        <v>46203</v>
      </c>
      <c r="D1132" s="164">
        <v>46203</v>
      </c>
      <c r="E1132" s="126">
        <v>46203</v>
      </c>
      <c r="F1132" s="2" t="s">
        <v>77</v>
      </c>
      <c r="G1132" s="300"/>
      <c r="H1132" s="300"/>
      <c r="I1132" s="300"/>
      <c r="J1132" s="300">
        <v>1</v>
      </c>
      <c r="K1132" s="4" t="s">
        <v>1641</v>
      </c>
      <c r="L1132" s="4"/>
      <c r="M1132" s="4" t="s">
        <v>1698</v>
      </c>
      <c r="N1132" s="4" t="s">
        <v>387</v>
      </c>
      <c r="O1132" s="4" t="s">
        <v>47</v>
      </c>
      <c r="P1132" s="4" t="s">
        <v>376</v>
      </c>
      <c r="Q1132" s="4" t="s">
        <v>62</v>
      </c>
      <c r="U1132" s="4"/>
      <c r="V1132" s="2"/>
    </row>
    <row r="1133" spans="1:22" customFormat="1" hidden="1" x14ac:dyDescent="0.2">
      <c r="A1133" s="2" t="s">
        <v>247</v>
      </c>
      <c r="B1133" s="2" t="s">
        <v>1</v>
      </c>
      <c r="C1133" s="93">
        <v>46203</v>
      </c>
      <c r="D1133" s="164">
        <v>46203</v>
      </c>
      <c r="E1133" s="126">
        <v>46203</v>
      </c>
      <c r="F1133" s="2" t="s">
        <v>77</v>
      </c>
      <c r="G1133" s="300"/>
      <c r="H1133" s="300"/>
      <c r="I1133" s="300"/>
      <c r="J1133" s="300">
        <v>1500</v>
      </c>
      <c r="K1133" s="4" t="s">
        <v>1641</v>
      </c>
      <c r="L1133" s="4"/>
      <c r="M1133" s="4" t="s">
        <v>1697</v>
      </c>
      <c r="N1133" s="4" t="s">
        <v>364</v>
      </c>
      <c r="O1133" s="4" t="s">
        <v>47</v>
      </c>
      <c r="P1133" s="4" t="s">
        <v>376</v>
      </c>
      <c r="Q1133" s="4" t="s">
        <v>62</v>
      </c>
      <c r="U1133" s="4"/>
      <c r="V1133" s="2"/>
    </row>
    <row r="1134" spans="1:22" customFormat="1" hidden="1" x14ac:dyDescent="0.2">
      <c r="A1134" s="2" t="s">
        <v>247</v>
      </c>
      <c r="B1134" s="2" t="s">
        <v>1</v>
      </c>
      <c r="C1134" s="93">
        <v>46203</v>
      </c>
      <c r="D1134" s="164">
        <v>46203</v>
      </c>
      <c r="E1134" s="126">
        <v>46203</v>
      </c>
      <c r="F1134" s="2" t="s">
        <v>77</v>
      </c>
      <c r="G1134" s="300"/>
      <c r="H1134" s="300"/>
      <c r="I1134" s="300"/>
      <c r="J1134" s="300">
        <v>20000</v>
      </c>
      <c r="K1134" s="4" t="s">
        <v>1641</v>
      </c>
      <c r="L1134" s="4"/>
      <c r="M1134" s="4" t="s">
        <v>1698</v>
      </c>
      <c r="N1134" s="4" t="s">
        <v>387</v>
      </c>
      <c r="O1134" s="4" t="s">
        <v>47</v>
      </c>
      <c r="P1134" s="4" t="s">
        <v>523</v>
      </c>
      <c r="Q1134" s="4" t="s">
        <v>62</v>
      </c>
      <c r="U1134" s="4"/>
      <c r="V1134" s="2"/>
    </row>
    <row r="1135" spans="1:22" customFormat="1" hidden="1" x14ac:dyDescent="0.2">
      <c r="A1135" s="2" t="s">
        <v>247</v>
      </c>
      <c r="B1135" s="2" t="s">
        <v>1</v>
      </c>
      <c r="C1135" s="93">
        <v>46203</v>
      </c>
      <c r="D1135" s="164">
        <v>46203</v>
      </c>
      <c r="E1135" s="126">
        <v>46203</v>
      </c>
      <c r="F1135" s="2" t="s">
        <v>77</v>
      </c>
      <c r="G1135" s="300"/>
      <c r="H1135" s="300"/>
      <c r="I1135" s="300"/>
      <c r="J1135" s="300">
        <v>10</v>
      </c>
      <c r="K1135" s="4" t="s">
        <v>1641</v>
      </c>
      <c r="L1135" s="4"/>
      <c r="M1135" s="4" t="s">
        <v>1697</v>
      </c>
      <c r="N1135" s="4" t="s">
        <v>364</v>
      </c>
      <c r="O1135" s="4" t="s">
        <v>47</v>
      </c>
      <c r="P1135" s="4" t="s">
        <v>523</v>
      </c>
      <c r="Q1135" s="4" t="s">
        <v>62</v>
      </c>
      <c r="U1135" s="4"/>
      <c r="V1135" s="2"/>
    </row>
    <row r="1136" spans="1:22" customFormat="1" hidden="1" x14ac:dyDescent="0.2">
      <c r="A1136" s="2" t="s">
        <v>247</v>
      </c>
      <c r="B1136" s="2" t="s">
        <v>1</v>
      </c>
      <c r="C1136" s="93">
        <v>46203</v>
      </c>
      <c r="D1136" s="164">
        <v>46203</v>
      </c>
      <c r="E1136" s="126">
        <v>46203</v>
      </c>
      <c r="F1136" s="2" t="s">
        <v>77</v>
      </c>
      <c r="G1136" s="300"/>
      <c r="H1136" s="300"/>
      <c r="I1136" s="300"/>
      <c r="J1136" s="300">
        <v>15000</v>
      </c>
      <c r="K1136" s="4" t="s">
        <v>1641</v>
      </c>
      <c r="L1136" s="4"/>
      <c r="M1136" s="4" t="s">
        <v>1698</v>
      </c>
      <c r="N1136" s="4" t="s">
        <v>387</v>
      </c>
      <c r="O1136" s="4" t="s">
        <v>47</v>
      </c>
      <c r="P1136" s="4" t="s">
        <v>56</v>
      </c>
      <c r="Q1136" s="4" t="s">
        <v>55</v>
      </c>
      <c r="U1136" s="4"/>
      <c r="V1136" s="2"/>
    </row>
    <row r="1137" spans="1:22" customFormat="1" hidden="1" x14ac:dyDescent="0.2">
      <c r="A1137" s="2" t="s">
        <v>247</v>
      </c>
      <c r="B1137" s="2" t="s">
        <v>1</v>
      </c>
      <c r="C1137" s="93">
        <v>46203</v>
      </c>
      <c r="D1137" s="164">
        <v>46203</v>
      </c>
      <c r="E1137" s="126">
        <v>46203</v>
      </c>
      <c r="F1137" s="2" t="s">
        <v>77</v>
      </c>
      <c r="G1137" s="300"/>
      <c r="H1137" s="300"/>
      <c r="I1137" s="300"/>
      <c r="J1137" s="300">
        <v>3</v>
      </c>
      <c r="K1137" s="4" t="s">
        <v>1641</v>
      </c>
      <c r="L1137" s="4"/>
      <c r="M1137" s="4" t="s">
        <v>1698</v>
      </c>
      <c r="N1137" s="4" t="s">
        <v>387</v>
      </c>
      <c r="O1137" s="4" t="s">
        <v>47</v>
      </c>
      <c r="P1137" s="4" t="s">
        <v>56</v>
      </c>
      <c r="Q1137" s="4" t="s">
        <v>55</v>
      </c>
      <c r="U1137" s="4"/>
      <c r="V1137" s="2"/>
    </row>
    <row r="1138" spans="1:22" customFormat="1" hidden="1" x14ac:dyDescent="0.2">
      <c r="A1138" s="2" t="s">
        <v>247</v>
      </c>
      <c r="B1138" s="2" t="s">
        <v>1</v>
      </c>
      <c r="C1138" s="93">
        <v>46203</v>
      </c>
      <c r="D1138" s="164">
        <v>46203</v>
      </c>
      <c r="E1138" s="126">
        <v>46203</v>
      </c>
      <c r="F1138" s="2" t="s">
        <v>77</v>
      </c>
      <c r="G1138" s="300"/>
      <c r="H1138" s="300"/>
      <c r="I1138" s="300"/>
      <c r="J1138" s="300">
        <v>2500</v>
      </c>
      <c r="K1138" s="4" t="s">
        <v>1641</v>
      </c>
      <c r="L1138" s="4"/>
      <c r="M1138" s="4" t="s">
        <v>1697</v>
      </c>
      <c r="N1138" s="4" t="s">
        <v>364</v>
      </c>
      <c r="O1138" s="4" t="s">
        <v>47</v>
      </c>
      <c r="P1138" s="4" t="s">
        <v>56</v>
      </c>
      <c r="Q1138" s="4" t="s">
        <v>55</v>
      </c>
      <c r="U1138" s="4"/>
      <c r="V1138" s="2"/>
    </row>
    <row r="1139" spans="1:22" customFormat="1" hidden="1" x14ac:dyDescent="0.2">
      <c r="A1139" s="2" t="s">
        <v>247</v>
      </c>
      <c r="B1139" s="2" t="s">
        <v>1</v>
      </c>
      <c r="C1139" s="93">
        <v>46203</v>
      </c>
      <c r="D1139" s="164">
        <v>46203</v>
      </c>
      <c r="E1139" s="126">
        <v>46203</v>
      </c>
      <c r="F1139" s="2" t="s">
        <v>77</v>
      </c>
      <c r="G1139" s="300"/>
      <c r="H1139" s="300"/>
      <c r="I1139" s="300"/>
      <c r="J1139" s="300">
        <v>25000</v>
      </c>
      <c r="K1139" s="4" t="s">
        <v>1641</v>
      </c>
      <c r="L1139" s="4"/>
      <c r="M1139" s="4" t="s">
        <v>1698</v>
      </c>
      <c r="N1139" s="4" t="s">
        <v>387</v>
      </c>
      <c r="O1139" s="4" t="s">
        <v>47</v>
      </c>
      <c r="P1139" s="4" t="s">
        <v>59</v>
      </c>
      <c r="Q1139" s="4" t="s">
        <v>55</v>
      </c>
      <c r="U1139" s="4"/>
      <c r="V1139" s="2"/>
    </row>
    <row r="1140" spans="1:22" customFormat="1" hidden="1" x14ac:dyDescent="0.2">
      <c r="A1140" s="2" t="s">
        <v>247</v>
      </c>
      <c r="B1140" s="2" t="s">
        <v>1</v>
      </c>
      <c r="C1140" s="93">
        <v>46203</v>
      </c>
      <c r="D1140" s="164">
        <v>46203</v>
      </c>
      <c r="E1140" s="126">
        <v>46203</v>
      </c>
      <c r="F1140" s="2" t="s">
        <v>77</v>
      </c>
      <c r="G1140" s="300"/>
      <c r="H1140" s="300"/>
      <c r="I1140" s="300"/>
      <c r="J1140" s="300">
        <v>20</v>
      </c>
      <c r="K1140" s="4" t="s">
        <v>1641</v>
      </c>
      <c r="L1140" s="4"/>
      <c r="M1140" s="4" t="s">
        <v>1697</v>
      </c>
      <c r="N1140" s="4" t="s">
        <v>364</v>
      </c>
      <c r="O1140" s="4" t="s">
        <v>47</v>
      </c>
      <c r="P1140" s="4" t="s">
        <v>59</v>
      </c>
      <c r="Q1140" s="4" t="s">
        <v>55</v>
      </c>
      <c r="U1140" s="4"/>
      <c r="V1140" s="2"/>
    </row>
    <row r="1141" spans="1:22" customFormat="1" ht="12.95" hidden="1" customHeight="1" x14ac:dyDescent="0.2">
      <c r="A1141" s="2" t="s">
        <v>247</v>
      </c>
      <c r="B1141" s="2" t="s">
        <v>1</v>
      </c>
      <c r="C1141" s="93">
        <v>46203</v>
      </c>
      <c r="D1141" s="164">
        <v>46203</v>
      </c>
      <c r="E1141" s="126">
        <v>46203</v>
      </c>
      <c r="F1141" s="2" t="s">
        <v>77</v>
      </c>
      <c r="G1141" s="300"/>
      <c r="H1141" s="300"/>
      <c r="I1141" s="300"/>
      <c r="J1141" s="300">
        <v>15000</v>
      </c>
      <c r="K1141" s="4" t="s">
        <v>1641</v>
      </c>
      <c r="L1141" s="4"/>
      <c r="M1141" s="4" t="s">
        <v>1698</v>
      </c>
      <c r="N1141" s="4" t="s">
        <v>387</v>
      </c>
      <c r="O1141" s="4" t="s">
        <v>47</v>
      </c>
      <c r="P1141" s="4" t="s">
        <v>438</v>
      </c>
      <c r="Q1141" s="4" t="s">
        <v>61</v>
      </c>
      <c r="U1141" s="4"/>
      <c r="V1141" s="2"/>
    </row>
    <row r="1142" spans="1:22" customFormat="1" hidden="1" x14ac:dyDescent="0.2">
      <c r="A1142" s="2" t="s">
        <v>247</v>
      </c>
      <c r="B1142" s="2" t="s">
        <v>1</v>
      </c>
      <c r="C1142" s="93">
        <v>46203</v>
      </c>
      <c r="D1142" s="164">
        <v>46203</v>
      </c>
      <c r="E1142" s="126">
        <v>46203</v>
      </c>
      <c r="F1142" s="2" t="s">
        <v>77</v>
      </c>
      <c r="G1142" s="300"/>
      <c r="H1142" s="300"/>
      <c r="I1142" s="300"/>
      <c r="J1142" s="300">
        <v>5</v>
      </c>
      <c r="K1142" s="4" t="s">
        <v>1641</v>
      </c>
      <c r="L1142" s="4"/>
      <c r="M1142" s="4" t="s">
        <v>1698</v>
      </c>
      <c r="N1142" s="4" t="s">
        <v>387</v>
      </c>
      <c r="O1142" s="4" t="s">
        <v>47</v>
      </c>
      <c r="P1142" s="4" t="s">
        <v>438</v>
      </c>
      <c r="Q1142" s="4" t="s">
        <v>61</v>
      </c>
      <c r="U1142" s="4"/>
      <c r="V1142" s="2"/>
    </row>
    <row r="1143" spans="1:22" customFormat="1" hidden="1" x14ac:dyDescent="0.2">
      <c r="A1143" s="2" t="s">
        <v>247</v>
      </c>
      <c r="B1143" s="2" t="s">
        <v>1</v>
      </c>
      <c r="C1143" s="93">
        <v>46203</v>
      </c>
      <c r="D1143" s="164">
        <v>46203</v>
      </c>
      <c r="E1143" s="126">
        <v>46203</v>
      </c>
      <c r="F1143" s="2" t="s">
        <v>77</v>
      </c>
      <c r="G1143" s="300"/>
      <c r="H1143" s="300"/>
      <c r="I1143" s="300"/>
      <c r="J1143" s="300">
        <v>4000</v>
      </c>
      <c r="K1143" s="4" t="s">
        <v>1641</v>
      </c>
      <c r="L1143" s="4"/>
      <c r="M1143" s="4" t="s">
        <v>1697</v>
      </c>
      <c r="N1143" s="4" t="s">
        <v>364</v>
      </c>
      <c r="O1143" s="4" t="s">
        <v>47</v>
      </c>
      <c r="P1143" s="4" t="s">
        <v>438</v>
      </c>
      <c r="Q1143" s="4" t="s">
        <v>61</v>
      </c>
      <c r="U1143" s="4"/>
      <c r="V1143" s="2"/>
    </row>
    <row r="1144" spans="1:22" customFormat="1" hidden="1" x14ac:dyDescent="0.2">
      <c r="A1144" s="2" t="s">
        <v>1620</v>
      </c>
      <c r="B1144" s="2" t="s">
        <v>1</v>
      </c>
      <c r="C1144" s="93">
        <v>46201</v>
      </c>
      <c r="D1144" s="164">
        <v>46201</v>
      </c>
      <c r="E1144" s="126">
        <v>46203</v>
      </c>
      <c r="F1144" s="2" t="s">
        <v>77</v>
      </c>
      <c r="G1144" s="300">
        <v>68</v>
      </c>
      <c r="H1144" s="300">
        <v>0</v>
      </c>
      <c r="I1144" s="300">
        <f>G1144+H1144</f>
        <v>68</v>
      </c>
      <c r="J1144" s="300">
        <v>68</v>
      </c>
      <c r="K1144" s="4" t="s">
        <v>893</v>
      </c>
      <c r="L1144" s="4" t="s">
        <v>1696</v>
      </c>
      <c r="M1144" s="4" t="s">
        <v>1694</v>
      </c>
      <c r="N1144" s="4" t="s">
        <v>657</v>
      </c>
      <c r="O1144" s="4" t="s">
        <v>398</v>
      </c>
      <c r="P1144" s="4" t="s">
        <v>333</v>
      </c>
      <c r="Q1144" s="4" t="s">
        <v>62</v>
      </c>
      <c r="U1144" s="4"/>
      <c r="V1144" s="2"/>
    </row>
    <row r="1145" spans="1:22" customFormat="1" hidden="1" x14ac:dyDescent="0.2">
      <c r="A1145" s="2" t="s">
        <v>1620</v>
      </c>
      <c r="B1145" s="2" t="s">
        <v>1</v>
      </c>
      <c r="C1145" s="93">
        <v>46201</v>
      </c>
      <c r="D1145" s="164">
        <v>46201</v>
      </c>
      <c r="E1145" s="126">
        <v>46203</v>
      </c>
      <c r="F1145" s="2" t="s">
        <v>77</v>
      </c>
      <c r="G1145" s="300">
        <v>184.82</v>
      </c>
      <c r="H1145" s="300">
        <f>G1145*0.09</f>
        <v>16.633799999999997</v>
      </c>
      <c r="I1145" s="300">
        <f>G1145+H1145</f>
        <v>201.4538</v>
      </c>
      <c r="J1145" s="300">
        <v>176.71</v>
      </c>
      <c r="K1145" s="4" t="s">
        <v>774</v>
      </c>
      <c r="L1145" s="4" t="s">
        <v>1695</v>
      </c>
      <c r="M1145" s="4" t="s">
        <v>1694</v>
      </c>
      <c r="N1145" s="4" t="s">
        <v>60</v>
      </c>
      <c r="O1145" s="4" t="s">
        <v>60</v>
      </c>
      <c r="P1145" s="4" t="s">
        <v>333</v>
      </c>
      <c r="Q1145" s="4" t="s">
        <v>62</v>
      </c>
      <c r="U1145" s="4"/>
      <c r="V1145" s="2"/>
    </row>
    <row r="1146" spans="1:22" customFormat="1" hidden="1" x14ac:dyDescent="0.2">
      <c r="A1146" s="2" t="s">
        <v>247</v>
      </c>
      <c r="B1146" s="2" t="s">
        <v>1</v>
      </c>
      <c r="C1146" s="93">
        <v>46228</v>
      </c>
      <c r="D1146" s="164"/>
      <c r="E1146" s="126">
        <v>46228</v>
      </c>
      <c r="F1146" s="2" t="s">
        <v>77</v>
      </c>
      <c r="G1146" s="300">
        <v>66.5</v>
      </c>
      <c r="H1146" s="300">
        <v>5.99</v>
      </c>
      <c r="I1146" s="300">
        <v>72.489999999999995</v>
      </c>
      <c r="J1146" s="300">
        <v>55.83</v>
      </c>
      <c r="K1146" s="4" t="s">
        <v>665</v>
      </c>
      <c r="L1146" s="4"/>
      <c r="M1146" s="4" t="s">
        <v>666</v>
      </c>
      <c r="N1146" s="4" t="s">
        <v>50</v>
      </c>
      <c r="O1146" s="4" t="s">
        <v>50</v>
      </c>
      <c r="P1146" s="4" t="s">
        <v>340</v>
      </c>
      <c r="Q1146" s="4" t="s">
        <v>62</v>
      </c>
      <c r="U1146" s="4"/>
      <c r="V1146" s="2"/>
    </row>
    <row r="1147" spans="1:22" customFormat="1" hidden="1" x14ac:dyDescent="0.2">
      <c r="A1147" s="2" t="s">
        <v>247</v>
      </c>
      <c r="B1147" s="2" t="s">
        <v>1</v>
      </c>
      <c r="C1147" s="93">
        <v>46228</v>
      </c>
      <c r="D1147" s="164"/>
      <c r="E1147" s="126">
        <v>46228</v>
      </c>
      <c r="F1147" s="2" t="s">
        <v>77</v>
      </c>
      <c r="G1147" s="300"/>
      <c r="H1147" s="300"/>
      <c r="I1147" s="300"/>
      <c r="J1147" s="300">
        <v>92.415003695033164</v>
      </c>
      <c r="K1147" s="4" t="s">
        <v>659</v>
      </c>
      <c r="L1147" s="4"/>
      <c r="M1147" s="4" t="s">
        <v>1693</v>
      </c>
      <c r="N1147" s="4" t="s">
        <v>370</v>
      </c>
      <c r="O1147" s="4" t="s">
        <v>371</v>
      </c>
      <c r="P1147" s="4" t="s">
        <v>340</v>
      </c>
      <c r="Q1147" s="4" t="s">
        <v>62</v>
      </c>
      <c r="U1147" s="4"/>
      <c r="V1147" s="2"/>
    </row>
    <row r="1148" spans="1:22" customFormat="1" hidden="1" x14ac:dyDescent="0.2">
      <c r="A1148" s="2" t="s">
        <v>247</v>
      </c>
      <c r="B1148" s="2" t="s">
        <v>1</v>
      </c>
      <c r="C1148" s="93">
        <v>46228</v>
      </c>
      <c r="D1148" s="164"/>
      <c r="E1148" s="126">
        <v>46228</v>
      </c>
      <c r="F1148" s="2" t="s">
        <v>77</v>
      </c>
      <c r="G1148" s="300">
        <v>26042.28</v>
      </c>
      <c r="H1148" s="300">
        <v>0</v>
      </c>
      <c r="I1148" s="300">
        <v>26042.28</v>
      </c>
      <c r="J1148" s="300">
        <v>20055.811686892401</v>
      </c>
      <c r="K1148" s="4" t="s">
        <v>660</v>
      </c>
      <c r="L1148" s="4"/>
      <c r="M1148" s="4" t="s">
        <v>1692</v>
      </c>
      <c r="N1148" s="4" t="s">
        <v>409</v>
      </c>
      <c r="O1148" s="4" t="s">
        <v>410</v>
      </c>
      <c r="P1148" s="4" t="s">
        <v>340</v>
      </c>
      <c r="Q1148" s="4" t="s">
        <v>62</v>
      </c>
      <c r="U1148" s="4"/>
      <c r="V1148" s="2"/>
    </row>
    <row r="1149" spans="1:22" customFormat="1" hidden="1" x14ac:dyDescent="0.2">
      <c r="A1149" s="2" t="s">
        <v>247</v>
      </c>
      <c r="B1149" s="2" t="s">
        <v>1</v>
      </c>
      <c r="C1149" s="93">
        <v>46228</v>
      </c>
      <c r="D1149" s="164"/>
      <c r="E1149" s="126">
        <v>46228</v>
      </c>
      <c r="F1149" s="2" t="s">
        <v>77</v>
      </c>
      <c r="G1149" s="300">
        <v>158</v>
      </c>
      <c r="H1149" s="300">
        <v>14.22</v>
      </c>
      <c r="I1149" s="300">
        <v>172.22</v>
      </c>
      <c r="J1149" s="300">
        <v>132.63</v>
      </c>
      <c r="K1149" s="4" t="s">
        <v>661</v>
      </c>
      <c r="L1149" s="4"/>
      <c r="M1149" s="4" t="s">
        <v>1691</v>
      </c>
      <c r="N1149" s="4" t="s">
        <v>374</v>
      </c>
      <c r="O1149" s="4" t="s">
        <v>375</v>
      </c>
      <c r="P1149" s="4" t="s">
        <v>376</v>
      </c>
      <c r="Q1149" s="4" t="s">
        <v>62</v>
      </c>
      <c r="U1149" s="4"/>
      <c r="V1149" s="2"/>
    </row>
    <row r="1150" spans="1:22" customFormat="1" hidden="1" x14ac:dyDescent="0.2">
      <c r="A1150" s="2" t="s">
        <v>247</v>
      </c>
      <c r="B1150" s="2" t="s">
        <v>1</v>
      </c>
      <c r="C1150" s="93">
        <v>46228</v>
      </c>
      <c r="D1150" s="164"/>
      <c r="E1150" s="126">
        <v>46228</v>
      </c>
      <c r="F1150" s="2" t="s">
        <v>77</v>
      </c>
      <c r="G1150" s="300">
        <v>70</v>
      </c>
      <c r="H1150" s="300">
        <v>6.3</v>
      </c>
      <c r="I1150" s="300">
        <v>76.3</v>
      </c>
      <c r="J1150" s="300">
        <v>58.76</v>
      </c>
      <c r="K1150" s="4" t="s">
        <v>661</v>
      </c>
      <c r="L1150" s="4"/>
      <c r="M1150" s="4" t="s">
        <v>1691</v>
      </c>
      <c r="N1150" s="4" t="s">
        <v>374</v>
      </c>
      <c r="O1150" s="4" t="s">
        <v>375</v>
      </c>
      <c r="P1150" s="4" t="s">
        <v>376</v>
      </c>
      <c r="Q1150" s="4" t="s">
        <v>62</v>
      </c>
      <c r="U1150" s="4"/>
      <c r="V1150" s="2"/>
    </row>
    <row r="1151" spans="1:22" customFormat="1" hidden="1" x14ac:dyDescent="0.2">
      <c r="A1151" s="2" t="s">
        <v>247</v>
      </c>
      <c r="B1151" s="2" t="s">
        <v>1</v>
      </c>
      <c r="C1151" s="93">
        <v>46228</v>
      </c>
      <c r="D1151" s="164"/>
      <c r="E1151" s="126">
        <v>46228</v>
      </c>
      <c r="F1151" s="2" t="s">
        <v>77</v>
      </c>
      <c r="G1151" s="300">
        <v>584.1</v>
      </c>
      <c r="H1151" s="300">
        <v>52.57</v>
      </c>
      <c r="I1151" s="300">
        <v>636.66999999999996</v>
      </c>
      <c r="J1151" s="300">
        <v>490.32</v>
      </c>
      <c r="K1151" s="4" t="s">
        <v>661</v>
      </c>
      <c r="L1151" s="4"/>
      <c r="M1151" s="4" t="s">
        <v>1691</v>
      </c>
      <c r="N1151" s="4" t="s">
        <v>374</v>
      </c>
      <c r="O1151" s="4" t="s">
        <v>375</v>
      </c>
      <c r="P1151" s="4" t="s">
        <v>376</v>
      </c>
      <c r="Q1151" s="4" t="s">
        <v>62</v>
      </c>
      <c r="U1151" s="4"/>
      <c r="V1151" s="2"/>
    </row>
    <row r="1152" spans="1:22" customFormat="1" hidden="1" x14ac:dyDescent="0.2">
      <c r="A1152" s="2" t="s">
        <v>247</v>
      </c>
      <c r="B1152" s="2" t="s">
        <v>1</v>
      </c>
      <c r="C1152" s="93">
        <v>46228</v>
      </c>
      <c r="D1152" s="164"/>
      <c r="E1152" s="126">
        <v>46228</v>
      </c>
      <c r="F1152" s="2" t="s">
        <v>77</v>
      </c>
      <c r="G1152" s="300">
        <v>325</v>
      </c>
      <c r="H1152" s="300">
        <v>0</v>
      </c>
      <c r="I1152" s="300">
        <v>325</v>
      </c>
      <c r="J1152" s="300">
        <v>250.2906350073815</v>
      </c>
      <c r="K1152" s="4" t="s">
        <v>661</v>
      </c>
      <c r="L1152" s="4"/>
      <c r="M1152" s="4" t="s">
        <v>1689</v>
      </c>
      <c r="N1152" s="4" t="s">
        <v>58</v>
      </c>
      <c r="O1152" s="4" t="s">
        <v>58</v>
      </c>
      <c r="P1152" s="4" t="s">
        <v>59</v>
      </c>
      <c r="Q1152" s="4" t="s">
        <v>55</v>
      </c>
      <c r="U1152" s="4"/>
      <c r="V1152" s="2"/>
    </row>
    <row r="1153" spans="1:22" customFormat="1" hidden="1" x14ac:dyDescent="0.2">
      <c r="A1153" s="2" t="s">
        <v>247</v>
      </c>
      <c r="B1153" s="2" t="s">
        <v>1</v>
      </c>
      <c r="C1153" s="93">
        <v>46228</v>
      </c>
      <c r="D1153" s="164"/>
      <c r="E1153" s="126">
        <v>46228</v>
      </c>
      <c r="F1153" s="2" t="s">
        <v>77</v>
      </c>
      <c r="G1153" s="300">
        <v>6175</v>
      </c>
      <c r="H1153" s="300">
        <v>0</v>
      </c>
      <c r="I1153" s="300">
        <v>6175</v>
      </c>
      <c r="J1153" s="300">
        <v>4755.5220651402487</v>
      </c>
      <c r="K1153" s="4" t="s">
        <v>661</v>
      </c>
      <c r="L1153" s="4"/>
      <c r="M1153" s="4" t="s">
        <v>1690</v>
      </c>
      <c r="N1153" s="4" t="s">
        <v>58</v>
      </c>
      <c r="O1153" s="4" t="s">
        <v>58</v>
      </c>
      <c r="P1153" s="4" t="s">
        <v>56</v>
      </c>
      <c r="Q1153" s="4" t="s">
        <v>55</v>
      </c>
      <c r="U1153" s="4"/>
      <c r="V1153" s="2"/>
    </row>
    <row r="1154" spans="1:22" customFormat="1" hidden="1" x14ac:dyDescent="0.2">
      <c r="A1154" s="2" t="s">
        <v>247</v>
      </c>
      <c r="B1154" s="2" t="s">
        <v>1</v>
      </c>
      <c r="C1154" s="93">
        <v>46228</v>
      </c>
      <c r="D1154" s="164"/>
      <c r="E1154" s="126">
        <v>46228</v>
      </c>
      <c r="F1154" s="2" t="s">
        <v>77</v>
      </c>
      <c r="G1154" s="300">
        <v>325</v>
      </c>
      <c r="H1154" s="300">
        <v>0</v>
      </c>
      <c r="I1154" s="300">
        <v>325</v>
      </c>
      <c r="J1154" s="300">
        <v>250.2906350073815</v>
      </c>
      <c r="K1154" s="4" t="s">
        <v>661</v>
      </c>
      <c r="L1154" s="4"/>
      <c r="M1154" s="4" t="s">
        <v>1689</v>
      </c>
      <c r="N1154" s="4" t="s">
        <v>58</v>
      </c>
      <c r="O1154" s="4" t="s">
        <v>58</v>
      </c>
      <c r="P1154" s="4" t="s">
        <v>57</v>
      </c>
      <c r="Q1154" s="4" t="s">
        <v>55</v>
      </c>
      <c r="U1154" s="4"/>
      <c r="V1154" s="2"/>
    </row>
    <row r="1155" spans="1:22" customFormat="1" hidden="1" x14ac:dyDescent="0.2">
      <c r="A1155" s="2" t="s">
        <v>247</v>
      </c>
      <c r="B1155" s="2" t="s">
        <v>1</v>
      </c>
      <c r="C1155" s="93">
        <v>46228</v>
      </c>
      <c r="D1155" s="164"/>
      <c r="E1155" s="126">
        <v>46228</v>
      </c>
      <c r="F1155" s="2" t="s">
        <v>77</v>
      </c>
      <c r="G1155" s="300">
        <v>600</v>
      </c>
      <c r="H1155" s="300">
        <v>0</v>
      </c>
      <c r="I1155" s="300">
        <v>600</v>
      </c>
      <c r="J1155" s="300">
        <v>462.07501847516585</v>
      </c>
      <c r="K1155" s="4" t="s">
        <v>757</v>
      </c>
      <c r="L1155" s="4"/>
      <c r="M1155" s="4" t="s">
        <v>1688</v>
      </c>
      <c r="N1155" s="4" t="s">
        <v>621</v>
      </c>
      <c r="O1155" s="4" t="s">
        <v>618</v>
      </c>
      <c r="P1155" s="4" t="s">
        <v>340</v>
      </c>
      <c r="Q1155" s="4" t="s">
        <v>62</v>
      </c>
      <c r="U1155" s="4"/>
      <c r="V1155" s="2"/>
    </row>
    <row r="1156" spans="1:22" customFormat="1" hidden="1" x14ac:dyDescent="0.2">
      <c r="A1156" s="2" t="s">
        <v>247</v>
      </c>
      <c r="B1156" s="2" t="s">
        <v>1</v>
      </c>
      <c r="C1156" s="93">
        <v>46234</v>
      </c>
      <c r="D1156" s="164">
        <v>46234</v>
      </c>
      <c r="E1156" s="126">
        <v>46234</v>
      </c>
      <c r="F1156" s="2" t="s">
        <v>77</v>
      </c>
      <c r="G1156" s="300"/>
      <c r="H1156" s="300"/>
      <c r="I1156" s="300"/>
      <c r="J1156" s="300">
        <v>4000</v>
      </c>
      <c r="K1156" s="4" t="s">
        <v>1641</v>
      </c>
      <c r="L1156" s="4"/>
      <c r="M1156" s="4" t="s">
        <v>1687</v>
      </c>
      <c r="N1156" s="4" t="s">
        <v>387</v>
      </c>
      <c r="O1156" s="4" t="s">
        <v>47</v>
      </c>
      <c r="P1156" s="4" t="s">
        <v>354</v>
      </c>
      <c r="Q1156" s="4" t="s">
        <v>61</v>
      </c>
      <c r="U1156" s="4"/>
      <c r="V1156" s="2"/>
    </row>
    <row r="1157" spans="1:22" customFormat="1" hidden="1" x14ac:dyDescent="0.2">
      <c r="A1157" s="2" t="s">
        <v>247</v>
      </c>
      <c r="B1157" s="2" t="s">
        <v>1</v>
      </c>
      <c r="C1157" s="93">
        <v>46234</v>
      </c>
      <c r="D1157" s="164">
        <v>46234</v>
      </c>
      <c r="E1157" s="126">
        <v>46234</v>
      </c>
      <c r="F1157" s="2" t="s">
        <v>77</v>
      </c>
      <c r="G1157" s="300"/>
      <c r="H1157" s="300"/>
      <c r="I1157" s="300"/>
      <c r="J1157" s="300">
        <v>2</v>
      </c>
      <c r="K1157" s="4" t="s">
        <v>1641</v>
      </c>
      <c r="L1157" s="4"/>
      <c r="M1157" s="4" t="s">
        <v>1687</v>
      </c>
      <c r="N1157" s="4" t="s">
        <v>387</v>
      </c>
      <c r="O1157" s="4" t="s">
        <v>47</v>
      </c>
      <c r="P1157" s="4" t="s">
        <v>354</v>
      </c>
      <c r="Q1157" s="4" t="s">
        <v>61</v>
      </c>
      <c r="U1157" s="4"/>
      <c r="V1157" s="2"/>
    </row>
    <row r="1158" spans="1:22" customFormat="1" hidden="1" x14ac:dyDescent="0.2">
      <c r="A1158" s="2" t="s">
        <v>247</v>
      </c>
      <c r="B1158" s="2" t="s">
        <v>1</v>
      </c>
      <c r="C1158" s="93">
        <v>46234</v>
      </c>
      <c r="D1158" s="164">
        <v>46234</v>
      </c>
      <c r="E1158" s="126">
        <v>46234</v>
      </c>
      <c r="F1158" s="2" t="s">
        <v>77</v>
      </c>
      <c r="G1158" s="300"/>
      <c r="H1158" s="300"/>
      <c r="I1158" s="300"/>
      <c r="J1158" s="300">
        <v>2000</v>
      </c>
      <c r="K1158" s="4" t="s">
        <v>1641</v>
      </c>
      <c r="L1158" s="4"/>
      <c r="M1158" s="4" t="s">
        <v>1686</v>
      </c>
      <c r="N1158" s="4" t="s">
        <v>364</v>
      </c>
      <c r="O1158" s="4" t="s">
        <v>47</v>
      </c>
      <c r="P1158" s="4" t="s">
        <v>354</v>
      </c>
      <c r="Q1158" s="4" t="s">
        <v>61</v>
      </c>
      <c r="U1158" s="4"/>
      <c r="V1158" s="2"/>
    </row>
    <row r="1159" spans="1:22" customFormat="1" hidden="1" x14ac:dyDescent="0.2">
      <c r="A1159" s="2" t="s">
        <v>247</v>
      </c>
      <c r="B1159" s="2" t="s">
        <v>1</v>
      </c>
      <c r="C1159" s="93">
        <v>46234</v>
      </c>
      <c r="D1159" s="164">
        <v>46234</v>
      </c>
      <c r="E1159" s="126">
        <v>46234</v>
      </c>
      <c r="F1159" s="2" t="s">
        <v>77</v>
      </c>
      <c r="G1159" s="300"/>
      <c r="H1159" s="300"/>
      <c r="I1159" s="300"/>
      <c r="J1159" s="300">
        <v>17000</v>
      </c>
      <c r="K1159" s="4" t="s">
        <v>1641</v>
      </c>
      <c r="L1159" s="4"/>
      <c r="M1159" s="4" t="s">
        <v>1687</v>
      </c>
      <c r="N1159" s="4" t="s">
        <v>387</v>
      </c>
      <c r="O1159" s="4" t="s">
        <v>47</v>
      </c>
      <c r="P1159" s="4" t="s">
        <v>45</v>
      </c>
      <c r="Q1159" s="4" t="s">
        <v>45</v>
      </c>
      <c r="U1159" s="4"/>
      <c r="V1159" s="2"/>
    </row>
    <row r="1160" spans="1:22" customFormat="1" hidden="1" x14ac:dyDescent="0.2">
      <c r="A1160" s="2" t="s">
        <v>247</v>
      </c>
      <c r="B1160" s="2" t="s">
        <v>1</v>
      </c>
      <c r="C1160" s="93">
        <v>46234</v>
      </c>
      <c r="D1160" s="164">
        <v>46234</v>
      </c>
      <c r="E1160" s="126">
        <v>46234</v>
      </c>
      <c r="F1160" s="2" t="s">
        <v>77</v>
      </c>
      <c r="G1160" s="300"/>
      <c r="H1160" s="300"/>
      <c r="I1160" s="300"/>
      <c r="J1160" s="300">
        <v>6</v>
      </c>
      <c r="K1160" s="4" t="s">
        <v>1641</v>
      </c>
      <c r="L1160" s="4"/>
      <c r="M1160" s="4" t="s">
        <v>1687</v>
      </c>
      <c r="N1160" s="4" t="s">
        <v>387</v>
      </c>
      <c r="O1160" s="4" t="s">
        <v>47</v>
      </c>
      <c r="P1160" s="4" t="s">
        <v>45</v>
      </c>
      <c r="Q1160" s="4" t="s">
        <v>45</v>
      </c>
      <c r="U1160" s="4"/>
      <c r="V1160" s="2"/>
    </row>
    <row r="1161" spans="1:22" customFormat="1" hidden="1" x14ac:dyDescent="0.2">
      <c r="A1161" s="2" t="s">
        <v>247</v>
      </c>
      <c r="B1161" s="2" t="s">
        <v>1</v>
      </c>
      <c r="C1161" s="93">
        <v>46234</v>
      </c>
      <c r="D1161" s="164">
        <v>46234</v>
      </c>
      <c r="E1161" s="126">
        <v>46234</v>
      </c>
      <c r="F1161" s="2" t="s">
        <v>77</v>
      </c>
      <c r="G1161" s="300"/>
      <c r="H1161" s="300"/>
      <c r="I1161" s="300"/>
      <c r="J1161" s="300">
        <v>6000</v>
      </c>
      <c r="K1161" s="4" t="s">
        <v>1641</v>
      </c>
      <c r="L1161" s="4"/>
      <c r="M1161" s="4" t="s">
        <v>1686</v>
      </c>
      <c r="N1161" s="4" t="s">
        <v>364</v>
      </c>
      <c r="O1161" s="4" t="s">
        <v>47</v>
      </c>
      <c r="P1161" s="4" t="s">
        <v>45</v>
      </c>
      <c r="Q1161" s="4" t="s">
        <v>45</v>
      </c>
      <c r="U1161" s="4"/>
      <c r="V1161" s="2"/>
    </row>
    <row r="1162" spans="1:22" customFormat="1" hidden="1" x14ac:dyDescent="0.2">
      <c r="A1162" s="2" t="s">
        <v>247</v>
      </c>
      <c r="B1162" s="2" t="s">
        <v>1</v>
      </c>
      <c r="C1162" s="93">
        <v>46234</v>
      </c>
      <c r="D1162" s="164">
        <v>46234</v>
      </c>
      <c r="E1162" s="126">
        <v>46234</v>
      </c>
      <c r="F1162" s="2" t="s">
        <v>77</v>
      </c>
      <c r="G1162" s="300"/>
      <c r="H1162" s="300"/>
      <c r="I1162" s="300"/>
      <c r="J1162" s="300">
        <v>32000</v>
      </c>
      <c r="K1162" s="4" t="s">
        <v>1641</v>
      </c>
      <c r="L1162" s="4"/>
      <c r="M1162" s="4" t="s">
        <v>1687</v>
      </c>
      <c r="N1162" s="4" t="s">
        <v>387</v>
      </c>
      <c r="O1162" s="4" t="s">
        <v>47</v>
      </c>
      <c r="P1162" s="4" t="s">
        <v>658</v>
      </c>
      <c r="Q1162" s="4" t="s">
        <v>61</v>
      </c>
      <c r="U1162" s="4"/>
      <c r="V1162" s="2"/>
    </row>
    <row r="1163" spans="1:22" customFormat="1" hidden="1" x14ac:dyDescent="0.2">
      <c r="A1163" s="2" t="s">
        <v>247</v>
      </c>
      <c r="B1163" s="2" t="s">
        <v>1</v>
      </c>
      <c r="C1163" s="93">
        <v>46234</v>
      </c>
      <c r="D1163" s="164">
        <v>46234</v>
      </c>
      <c r="E1163" s="126">
        <v>46234</v>
      </c>
      <c r="F1163" s="2" t="s">
        <v>77</v>
      </c>
      <c r="G1163" s="300"/>
      <c r="H1163" s="300"/>
      <c r="I1163" s="300"/>
      <c r="J1163" s="300">
        <v>3</v>
      </c>
      <c r="K1163" s="4" t="s">
        <v>1641</v>
      </c>
      <c r="L1163" s="4"/>
      <c r="M1163" s="4" t="s">
        <v>1687</v>
      </c>
      <c r="N1163" s="4" t="s">
        <v>387</v>
      </c>
      <c r="O1163" s="4" t="s">
        <v>47</v>
      </c>
      <c r="P1163" s="4" t="s">
        <v>658</v>
      </c>
      <c r="Q1163" s="4" t="s">
        <v>61</v>
      </c>
      <c r="U1163" s="4"/>
      <c r="V1163" s="2"/>
    </row>
    <row r="1164" spans="1:22" customFormat="1" hidden="1" x14ac:dyDescent="0.2">
      <c r="A1164" s="2" t="s">
        <v>247</v>
      </c>
      <c r="B1164" s="2" t="s">
        <v>1</v>
      </c>
      <c r="C1164" s="93">
        <v>46234</v>
      </c>
      <c r="D1164" s="164">
        <v>46234</v>
      </c>
      <c r="E1164" s="126">
        <v>46234</v>
      </c>
      <c r="F1164" s="2" t="s">
        <v>77</v>
      </c>
      <c r="G1164" s="300"/>
      <c r="H1164" s="300"/>
      <c r="I1164" s="300"/>
      <c r="J1164" s="300">
        <v>2500</v>
      </c>
      <c r="K1164" s="4" t="s">
        <v>1641</v>
      </c>
      <c r="L1164" s="4"/>
      <c r="M1164" s="4" t="s">
        <v>1686</v>
      </c>
      <c r="N1164" s="4" t="s">
        <v>364</v>
      </c>
      <c r="O1164" s="4" t="s">
        <v>47</v>
      </c>
      <c r="P1164" s="4" t="s">
        <v>658</v>
      </c>
      <c r="Q1164" s="4" t="s">
        <v>61</v>
      </c>
      <c r="U1164" s="4"/>
      <c r="V1164" s="2"/>
    </row>
    <row r="1165" spans="1:22" customFormat="1" hidden="1" x14ac:dyDescent="0.2">
      <c r="A1165" s="2" t="s">
        <v>247</v>
      </c>
      <c r="B1165" s="2" t="s">
        <v>1</v>
      </c>
      <c r="C1165" s="93">
        <v>46234</v>
      </c>
      <c r="D1165" s="164">
        <v>46234</v>
      </c>
      <c r="E1165" s="126">
        <v>46234</v>
      </c>
      <c r="F1165" s="2" t="s">
        <v>77</v>
      </c>
      <c r="G1165" s="300"/>
      <c r="H1165" s="300"/>
      <c r="I1165" s="300"/>
      <c r="J1165" s="300">
        <v>2000</v>
      </c>
      <c r="K1165" s="4" t="s">
        <v>1641</v>
      </c>
      <c r="L1165" s="4"/>
      <c r="M1165" s="4" t="s">
        <v>1687</v>
      </c>
      <c r="N1165" s="4" t="s">
        <v>387</v>
      </c>
      <c r="O1165" s="4" t="s">
        <v>47</v>
      </c>
      <c r="P1165" s="4" t="s">
        <v>333</v>
      </c>
      <c r="Q1165" s="4" t="s">
        <v>62</v>
      </c>
      <c r="U1165" s="4"/>
      <c r="V1165" s="2"/>
    </row>
    <row r="1166" spans="1:22" customFormat="1" hidden="1" x14ac:dyDescent="0.2">
      <c r="A1166" s="2" t="s">
        <v>247</v>
      </c>
      <c r="B1166" s="2" t="s">
        <v>1</v>
      </c>
      <c r="C1166" s="93">
        <v>46234</v>
      </c>
      <c r="D1166" s="164">
        <v>46234</v>
      </c>
      <c r="E1166" s="126">
        <v>46234</v>
      </c>
      <c r="F1166" s="2" t="s">
        <v>77</v>
      </c>
      <c r="G1166" s="300"/>
      <c r="H1166" s="300"/>
      <c r="I1166" s="300"/>
      <c r="J1166" s="300">
        <v>1</v>
      </c>
      <c r="K1166" s="4" t="s">
        <v>1641</v>
      </c>
      <c r="L1166" s="4"/>
      <c r="M1166" s="4" t="s">
        <v>1687</v>
      </c>
      <c r="N1166" s="4" t="s">
        <v>387</v>
      </c>
      <c r="O1166" s="4" t="s">
        <v>47</v>
      </c>
      <c r="P1166" s="4" t="s">
        <v>333</v>
      </c>
      <c r="Q1166" s="4" t="s">
        <v>62</v>
      </c>
      <c r="U1166" s="4"/>
      <c r="V1166" s="2"/>
    </row>
    <row r="1167" spans="1:22" customFormat="1" hidden="1" x14ac:dyDescent="0.2">
      <c r="A1167" s="2" t="s">
        <v>247</v>
      </c>
      <c r="B1167" s="2" t="s">
        <v>1</v>
      </c>
      <c r="C1167" s="93">
        <v>46234</v>
      </c>
      <c r="D1167" s="164">
        <v>46234</v>
      </c>
      <c r="E1167" s="126">
        <v>46234</v>
      </c>
      <c r="F1167" s="2" t="s">
        <v>77</v>
      </c>
      <c r="G1167" s="300"/>
      <c r="H1167" s="300"/>
      <c r="I1167" s="300"/>
      <c r="J1167" s="300">
        <v>200</v>
      </c>
      <c r="K1167" s="4" t="s">
        <v>1641</v>
      </c>
      <c r="L1167" s="4"/>
      <c r="M1167" s="4" t="s">
        <v>1686</v>
      </c>
      <c r="N1167" s="4" t="s">
        <v>364</v>
      </c>
      <c r="O1167" s="4" t="s">
        <v>47</v>
      </c>
      <c r="P1167" s="4" t="s">
        <v>333</v>
      </c>
      <c r="Q1167" s="4" t="s">
        <v>62</v>
      </c>
      <c r="U1167" s="4"/>
      <c r="V1167" s="2"/>
    </row>
    <row r="1168" spans="1:22" customFormat="1" hidden="1" x14ac:dyDescent="0.2">
      <c r="A1168" s="2" t="s">
        <v>247</v>
      </c>
      <c r="B1168" s="2" t="s">
        <v>1</v>
      </c>
      <c r="C1168" s="93">
        <v>46234</v>
      </c>
      <c r="D1168" s="164">
        <v>46234</v>
      </c>
      <c r="E1168" s="126">
        <v>46234</v>
      </c>
      <c r="F1168" s="2" t="s">
        <v>77</v>
      </c>
      <c r="G1168" s="300"/>
      <c r="H1168" s="300"/>
      <c r="I1168" s="300"/>
      <c r="J1168" s="300">
        <v>25000</v>
      </c>
      <c r="K1168" s="4" t="s">
        <v>1641</v>
      </c>
      <c r="L1168" s="4"/>
      <c r="M1168" s="4" t="s">
        <v>1687</v>
      </c>
      <c r="N1168" s="4" t="s">
        <v>387</v>
      </c>
      <c r="O1168" s="4" t="s">
        <v>47</v>
      </c>
      <c r="P1168" s="4" t="s">
        <v>350</v>
      </c>
      <c r="Q1168" s="4" t="s">
        <v>62</v>
      </c>
      <c r="U1168" s="4"/>
      <c r="V1168" s="2"/>
    </row>
    <row r="1169" spans="1:22" customFormat="1" hidden="1" x14ac:dyDescent="0.2">
      <c r="A1169" s="2" t="s">
        <v>247</v>
      </c>
      <c r="B1169" s="2" t="s">
        <v>1</v>
      </c>
      <c r="C1169" s="93">
        <v>46234</v>
      </c>
      <c r="D1169" s="164">
        <v>46234</v>
      </c>
      <c r="E1169" s="126">
        <v>46234</v>
      </c>
      <c r="F1169" s="2" t="s">
        <v>77</v>
      </c>
      <c r="G1169" s="300"/>
      <c r="H1169" s="300"/>
      <c r="I1169" s="300"/>
      <c r="J1169" s="300">
        <v>4</v>
      </c>
      <c r="K1169" s="4" t="s">
        <v>1641</v>
      </c>
      <c r="L1169" s="4"/>
      <c r="M1169" s="4" t="s">
        <v>1687</v>
      </c>
      <c r="N1169" s="4" t="s">
        <v>387</v>
      </c>
      <c r="O1169" s="4" t="s">
        <v>47</v>
      </c>
      <c r="P1169" s="4" t="s">
        <v>350</v>
      </c>
      <c r="Q1169" s="4" t="s">
        <v>62</v>
      </c>
      <c r="U1169" s="4"/>
      <c r="V1169" s="2"/>
    </row>
    <row r="1170" spans="1:22" customFormat="1" hidden="1" x14ac:dyDescent="0.2">
      <c r="A1170" s="2" t="s">
        <v>247</v>
      </c>
      <c r="B1170" s="2" t="s">
        <v>1</v>
      </c>
      <c r="C1170" s="93">
        <v>46234</v>
      </c>
      <c r="D1170" s="164">
        <v>46234</v>
      </c>
      <c r="E1170" s="126">
        <v>46234</v>
      </c>
      <c r="F1170" s="2" t="s">
        <v>77</v>
      </c>
      <c r="G1170" s="300"/>
      <c r="H1170" s="300"/>
      <c r="I1170" s="300"/>
      <c r="J1170" s="300">
        <v>6000</v>
      </c>
      <c r="K1170" s="4" t="s">
        <v>1641</v>
      </c>
      <c r="L1170" s="4"/>
      <c r="M1170" s="4" t="s">
        <v>1686</v>
      </c>
      <c r="N1170" s="4" t="s">
        <v>364</v>
      </c>
      <c r="O1170" s="4" t="s">
        <v>47</v>
      </c>
      <c r="P1170" s="4" t="s">
        <v>350</v>
      </c>
      <c r="Q1170" s="4" t="s">
        <v>62</v>
      </c>
      <c r="U1170" s="4"/>
      <c r="V1170" s="2"/>
    </row>
    <row r="1171" spans="1:22" customFormat="1" hidden="1" x14ac:dyDescent="0.2">
      <c r="A1171" s="2" t="s">
        <v>247</v>
      </c>
      <c r="B1171" s="2" t="s">
        <v>1</v>
      </c>
      <c r="C1171" s="93">
        <v>46234</v>
      </c>
      <c r="D1171" s="164">
        <v>46234</v>
      </c>
      <c r="E1171" s="126">
        <v>46234</v>
      </c>
      <c r="F1171" s="2" t="s">
        <v>77</v>
      </c>
      <c r="G1171" s="300"/>
      <c r="H1171" s="300"/>
      <c r="I1171" s="300"/>
      <c r="J1171" s="300">
        <v>3000</v>
      </c>
      <c r="K1171" s="4" t="s">
        <v>1641</v>
      </c>
      <c r="L1171" s="4"/>
      <c r="M1171" s="4" t="s">
        <v>1687</v>
      </c>
      <c r="N1171" s="4" t="s">
        <v>387</v>
      </c>
      <c r="O1171" s="4" t="s">
        <v>47</v>
      </c>
      <c r="P1171" s="4" t="s">
        <v>376</v>
      </c>
      <c r="Q1171" s="4" t="s">
        <v>62</v>
      </c>
      <c r="U1171" s="4"/>
      <c r="V1171" s="2"/>
    </row>
    <row r="1172" spans="1:22" customFormat="1" hidden="1" x14ac:dyDescent="0.2">
      <c r="A1172" s="2" t="s">
        <v>247</v>
      </c>
      <c r="B1172" s="2" t="s">
        <v>1</v>
      </c>
      <c r="C1172" s="93">
        <v>46234</v>
      </c>
      <c r="D1172" s="164">
        <v>46234</v>
      </c>
      <c r="E1172" s="126">
        <v>46234</v>
      </c>
      <c r="F1172" s="2" t="s">
        <v>77</v>
      </c>
      <c r="G1172" s="300"/>
      <c r="H1172" s="300"/>
      <c r="I1172" s="300"/>
      <c r="J1172" s="300">
        <v>1</v>
      </c>
      <c r="K1172" s="4" t="s">
        <v>1641</v>
      </c>
      <c r="L1172" s="4"/>
      <c r="M1172" s="4" t="s">
        <v>1687</v>
      </c>
      <c r="N1172" s="4" t="s">
        <v>387</v>
      </c>
      <c r="O1172" s="4" t="s">
        <v>47</v>
      </c>
      <c r="P1172" s="4" t="s">
        <v>376</v>
      </c>
      <c r="Q1172" s="4" t="s">
        <v>62</v>
      </c>
      <c r="U1172" s="4"/>
      <c r="V1172" s="2"/>
    </row>
    <row r="1173" spans="1:22" customFormat="1" hidden="1" x14ac:dyDescent="0.2">
      <c r="A1173" s="2" t="s">
        <v>247</v>
      </c>
      <c r="B1173" s="2" t="s">
        <v>1</v>
      </c>
      <c r="C1173" s="93">
        <v>46234</v>
      </c>
      <c r="D1173" s="164">
        <v>46234</v>
      </c>
      <c r="E1173" s="126">
        <v>46234</v>
      </c>
      <c r="F1173" s="2" t="s">
        <v>77</v>
      </c>
      <c r="G1173" s="300"/>
      <c r="H1173" s="300"/>
      <c r="I1173" s="300"/>
      <c r="J1173" s="300">
        <v>1500</v>
      </c>
      <c r="K1173" s="4" t="s">
        <v>1641</v>
      </c>
      <c r="L1173" s="4"/>
      <c r="M1173" s="4" t="s">
        <v>1686</v>
      </c>
      <c r="N1173" s="4" t="s">
        <v>364</v>
      </c>
      <c r="O1173" s="4" t="s">
        <v>47</v>
      </c>
      <c r="P1173" s="4" t="s">
        <v>376</v>
      </c>
      <c r="Q1173" s="4" t="s">
        <v>62</v>
      </c>
      <c r="U1173" s="4"/>
      <c r="V1173" s="2"/>
    </row>
    <row r="1174" spans="1:22" customFormat="1" hidden="1" x14ac:dyDescent="0.2">
      <c r="A1174" s="2" t="s">
        <v>247</v>
      </c>
      <c r="B1174" s="2" t="s">
        <v>1</v>
      </c>
      <c r="C1174" s="93">
        <v>46234</v>
      </c>
      <c r="D1174" s="164">
        <v>46234</v>
      </c>
      <c r="E1174" s="126">
        <v>46234</v>
      </c>
      <c r="F1174" s="2" t="s">
        <v>77</v>
      </c>
      <c r="G1174" s="300"/>
      <c r="H1174" s="300"/>
      <c r="I1174" s="300"/>
      <c r="J1174" s="300">
        <v>20000</v>
      </c>
      <c r="K1174" s="4" t="s">
        <v>1641</v>
      </c>
      <c r="L1174" s="4"/>
      <c r="M1174" s="4" t="s">
        <v>1687</v>
      </c>
      <c r="N1174" s="4" t="s">
        <v>387</v>
      </c>
      <c r="O1174" s="4" t="s">
        <v>47</v>
      </c>
      <c r="P1174" s="4" t="s">
        <v>523</v>
      </c>
      <c r="Q1174" s="4" t="s">
        <v>62</v>
      </c>
      <c r="U1174" s="4"/>
      <c r="V1174" s="2"/>
    </row>
    <row r="1175" spans="1:22" customFormat="1" hidden="1" x14ac:dyDescent="0.2">
      <c r="A1175" s="2" t="s">
        <v>247</v>
      </c>
      <c r="B1175" s="2" t="s">
        <v>1</v>
      </c>
      <c r="C1175" s="93">
        <v>46234</v>
      </c>
      <c r="D1175" s="164">
        <v>46234</v>
      </c>
      <c r="E1175" s="126">
        <v>46234</v>
      </c>
      <c r="F1175" s="2" t="s">
        <v>77</v>
      </c>
      <c r="G1175" s="300"/>
      <c r="H1175" s="300"/>
      <c r="I1175" s="300"/>
      <c r="J1175" s="300">
        <v>10</v>
      </c>
      <c r="K1175" s="4" t="s">
        <v>1641</v>
      </c>
      <c r="L1175" s="4"/>
      <c r="M1175" s="4" t="s">
        <v>1686</v>
      </c>
      <c r="N1175" s="4" t="s">
        <v>364</v>
      </c>
      <c r="O1175" s="4" t="s">
        <v>47</v>
      </c>
      <c r="P1175" s="4" t="s">
        <v>523</v>
      </c>
      <c r="Q1175" s="4" t="s">
        <v>62</v>
      </c>
      <c r="U1175" s="4"/>
      <c r="V1175" s="2"/>
    </row>
    <row r="1176" spans="1:22" customFormat="1" hidden="1" x14ac:dyDescent="0.2">
      <c r="A1176" s="2" t="s">
        <v>247</v>
      </c>
      <c r="B1176" s="2" t="s">
        <v>1</v>
      </c>
      <c r="C1176" s="93">
        <v>46234</v>
      </c>
      <c r="D1176" s="164">
        <v>46234</v>
      </c>
      <c r="E1176" s="126">
        <v>46234</v>
      </c>
      <c r="F1176" s="2" t="s">
        <v>77</v>
      </c>
      <c r="G1176" s="300"/>
      <c r="H1176" s="300"/>
      <c r="I1176" s="300"/>
      <c r="J1176" s="300">
        <v>15000</v>
      </c>
      <c r="K1176" s="4" t="s">
        <v>1641</v>
      </c>
      <c r="L1176" s="4"/>
      <c r="M1176" s="4" t="s">
        <v>1687</v>
      </c>
      <c r="N1176" s="4" t="s">
        <v>387</v>
      </c>
      <c r="O1176" s="4" t="s">
        <v>47</v>
      </c>
      <c r="P1176" s="4" t="s">
        <v>56</v>
      </c>
      <c r="Q1176" s="4" t="s">
        <v>55</v>
      </c>
      <c r="U1176" s="4"/>
      <c r="V1176" s="2"/>
    </row>
    <row r="1177" spans="1:22" customFormat="1" hidden="1" x14ac:dyDescent="0.2">
      <c r="A1177" s="2" t="s">
        <v>247</v>
      </c>
      <c r="B1177" s="2" t="s">
        <v>1</v>
      </c>
      <c r="C1177" s="93">
        <v>46234</v>
      </c>
      <c r="D1177" s="164">
        <v>46234</v>
      </c>
      <c r="E1177" s="126">
        <v>46234</v>
      </c>
      <c r="F1177" s="2" t="s">
        <v>77</v>
      </c>
      <c r="G1177" s="300"/>
      <c r="H1177" s="300"/>
      <c r="I1177" s="300"/>
      <c r="J1177" s="300">
        <v>3</v>
      </c>
      <c r="K1177" s="4" t="s">
        <v>1641</v>
      </c>
      <c r="L1177" s="4"/>
      <c r="M1177" s="4" t="s">
        <v>1687</v>
      </c>
      <c r="N1177" s="4" t="s">
        <v>387</v>
      </c>
      <c r="O1177" s="4" t="s">
        <v>47</v>
      </c>
      <c r="P1177" s="4" t="s">
        <v>56</v>
      </c>
      <c r="Q1177" s="4" t="s">
        <v>55</v>
      </c>
      <c r="U1177" s="4"/>
      <c r="V1177" s="2"/>
    </row>
    <row r="1178" spans="1:22" customFormat="1" hidden="1" x14ac:dyDescent="0.2">
      <c r="A1178" s="2" t="s">
        <v>247</v>
      </c>
      <c r="B1178" s="2" t="s">
        <v>1</v>
      </c>
      <c r="C1178" s="93">
        <v>46234</v>
      </c>
      <c r="D1178" s="164">
        <v>46234</v>
      </c>
      <c r="E1178" s="126">
        <v>46234</v>
      </c>
      <c r="F1178" s="2" t="s">
        <v>77</v>
      </c>
      <c r="G1178" s="300"/>
      <c r="H1178" s="300"/>
      <c r="I1178" s="300"/>
      <c r="J1178" s="300">
        <v>2500</v>
      </c>
      <c r="K1178" s="4" t="s">
        <v>1641</v>
      </c>
      <c r="L1178" s="4"/>
      <c r="M1178" s="4" t="s">
        <v>1686</v>
      </c>
      <c r="N1178" s="4" t="s">
        <v>364</v>
      </c>
      <c r="O1178" s="4" t="s">
        <v>47</v>
      </c>
      <c r="P1178" s="4" t="s">
        <v>56</v>
      </c>
      <c r="Q1178" s="4" t="s">
        <v>55</v>
      </c>
      <c r="U1178" s="4"/>
      <c r="V1178" s="2"/>
    </row>
    <row r="1179" spans="1:22" customFormat="1" hidden="1" x14ac:dyDescent="0.2">
      <c r="A1179" s="2" t="s">
        <v>247</v>
      </c>
      <c r="B1179" s="2" t="s">
        <v>1</v>
      </c>
      <c r="C1179" s="93">
        <v>46234</v>
      </c>
      <c r="D1179" s="164">
        <v>46234</v>
      </c>
      <c r="E1179" s="126">
        <v>46234</v>
      </c>
      <c r="F1179" s="2" t="s">
        <v>77</v>
      </c>
      <c r="G1179" s="300"/>
      <c r="H1179" s="300"/>
      <c r="I1179" s="300"/>
      <c r="J1179" s="300">
        <v>25000</v>
      </c>
      <c r="K1179" s="4" t="s">
        <v>1641</v>
      </c>
      <c r="L1179" s="4"/>
      <c r="M1179" s="4" t="s">
        <v>1687</v>
      </c>
      <c r="N1179" s="4" t="s">
        <v>387</v>
      </c>
      <c r="O1179" s="4" t="s">
        <v>47</v>
      </c>
      <c r="P1179" s="4" t="s">
        <v>59</v>
      </c>
      <c r="Q1179" s="4" t="s">
        <v>55</v>
      </c>
      <c r="U1179" s="4"/>
      <c r="V1179" s="2"/>
    </row>
    <row r="1180" spans="1:22" customFormat="1" hidden="1" x14ac:dyDescent="0.2">
      <c r="A1180" s="2" t="s">
        <v>247</v>
      </c>
      <c r="B1180" s="2" t="s">
        <v>1</v>
      </c>
      <c r="C1180" s="93">
        <v>46234</v>
      </c>
      <c r="D1180" s="164">
        <v>46234</v>
      </c>
      <c r="E1180" s="126">
        <v>46234</v>
      </c>
      <c r="F1180" s="2" t="s">
        <v>77</v>
      </c>
      <c r="G1180" s="300"/>
      <c r="H1180" s="300"/>
      <c r="I1180" s="300"/>
      <c r="J1180" s="300">
        <v>20</v>
      </c>
      <c r="K1180" s="4" t="s">
        <v>1641</v>
      </c>
      <c r="L1180" s="4"/>
      <c r="M1180" s="4" t="s">
        <v>1686</v>
      </c>
      <c r="N1180" s="4" t="s">
        <v>364</v>
      </c>
      <c r="O1180" s="4" t="s">
        <v>47</v>
      </c>
      <c r="P1180" s="4" t="s">
        <v>59</v>
      </c>
      <c r="Q1180" s="4" t="s">
        <v>55</v>
      </c>
      <c r="U1180" s="4"/>
      <c r="V1180" s="2"/>
    </row>
    <row r="1181" spans="1:22" customFormat="1" hidden="1" x14ac:dyDescent="0.2">
      <c r="A1181" s="2" t="s">
        <v>247</v>
      </c>
      <c r="B1181" s="2" t="s">
        <v>1</v>
      </c>
      <c r="C1181" s="93">
        <v>46234</v>
      </c>
      <c r="D1181" s="164">
        <v>46234</v>
      </c>
      <c r="E1181" s="126">
        <v>46234</v>
      </c>
      <c r="F1181" s="2" t="s">
        <v>77</v>
      </c>
      <c r="G1181" s="300"/>
      <c r="H1181" s="300"/>
      <c r="I1181" s="300"/>
      <c r="J1181" s="300">
        <v>15000</v>
      </c>
      <c r="K1181" s="4" t="s">
        <v>1641</v>
      </c>
      <c r="L1181" s="4"/>
      <c r="M1181" s="4" t="s">
        <v>1687</v>
      </c>
      <c r="N1181" s="4" t="s">
        <v>387</v>
      </c>
      <c r="O1181" s="4" t="s">
        <v>47</v>
      </c>
      <c r="P1181" s="4" t="s">
        <v>438</v>
      </c>
      <c r="Q1181" s="4" t="s">
        <v>61</v>
      </c>
      <c r="U1181" s="4"/>
      <c r="V1181" s="2"/>
    </row>
    <row r="1182" spans="1:22" customFormat="1" hidden="1" x14ac:dyDescent="0.2">
      <c r="A1182" s="2" t="s">
        <v>247</v>
      </c>
      <c r="B1182" s="2" t="s">
        <v>1</v>
      </c>
      <c r="C1182" s="93">
        <v>46234</v>
      </c>
      <c r="D1182" s="164">
        <v>46234</v>
      </c>
      <c r="E1182" s="126">
        <v>46234</v>
      </c>
      <c r="F1182" s="2" t="s">
        <v>77</v>
      </c>
      <c r="G1182" s="300"/>
      <c r="H1182" s="300"/>
      <c r="I1182" s="300"/>
      <c r="J1182" s="300">
        <v>5</v>
      </c>
      <c r="K1182" s="4" t="s">
        <v>1641</v>
      </c>
      <c r="L1182" s="4"/>
      <c r="M1182" s="4" t="s">
        <v>1687</v>
      </c>
      <c r="N1182" s="4" t="s">
        <v>387</v>
      </c>
      <c r="O1182" s="4" t="s">
        <v>47</v>
      </c>
      <c r="P1182" s="4" t="s">
        <v>438</v>
      </c>
      <c r="Q1182" s="4" t="s">
        <v>61</v>
      </c>
      <c r="U1182" s="4"/>
      <c r="V1182" s="2"/>
    </row>
    <row r="1183" spans="1:22" customFormat="1" hidden="1" x14ac:dyDescent="0.2">
      <c r="A1183" s="2" t="s">
        <v>247</v>
      </c>
      <c r="B1183" s="2" t="s">
        <v>1</v>
      </c>
      <c r="C1183" s="93">
        <v>46234</v>
      </c>
      <c r="D1183" s="164">
        <v>46234</v>
      </c>
      <c r="E1183" s="126">
        <v>46234</v>
      </c>
      <c r="F1183" s="2" t="s">
        <v>77</v>
      </c>
      <c r="G1183" s="300"/>
      <c r="H1183" s="300"/>
      <c r="I1183" s="300"/>
      <c r="J1183" s="300">
        <v>4000</v>
      </c>
      <c r="K1183" s="4" t="s">
        <v>1641</v>
      </c>
      <c r="L1183" s="4"/>
      <c r="M1183" s="4" t="s">
        <v>1686</v>
      </c>
      <c r="N1183" s="4" t="s">
        <v>364</v>
      </c>
      <c r="O1183" s="4" t="s">
        <v>47</v>
      </c>
      <c r="P1183" s="4" t="s">
        <v>438</v>
      </c>
      <c r="Q1183" s="4" t="s">
        <v>61</v>
      </c>
      <c r="U1183" s="4"/>
      <c r="V1183" s="2"/>
    </row>
    <row r="1184" spans="1:22" customFormat="1" hidden="1" x14ac:dyDescent="0.2">
      <c r="A1184" s="2" t="s">
        <v>247</v>
      </c>
      <c r="B1184" s="2" t="s">
        <v>1</v>
      </c>
      <c r="C1184" s="93">
        <v>46234</v>
      </c>
      <c r="D1184" s="164"/>
      <c r="E1184" s="126">
        <v>46234</v>
      </c>
      <c r="F1184" s="2" t="s">
        <v>77</v>
      </c>
      <c r="G1184" s="300">
        <v>210.51</v>
      </c>
      <c r="H1184" s="300">
        <v>18.940000000000001</v>
      </c>
      <c r="I1184" s="300">
        <f>G1184+H1184</f>
        <v>229.45</v>
      </c>
      <c r="J1184" s="300">
        <v>176.71</v>
      </c>
      <c r="K1184" s="4" t="s">
        <v>774</v>
      </c>
      <c r="L1184" s="4"/>
      <c r="M1184" s="4" t="s">
        <v>1685</v>
      </c>
      <c r="N1184" s="4" t="s">
        <v>60</v>
      </c>
      <c r="O1184" s="4" t="s">
        <v>60</v>
      </c>
      <c r="P1184" s="4" t="s">
        <v>333</v>
      </c>
      <c r="Q1184" s="4" t="s">
        <v>62</v>
      </c>
      <c r="U1184" s="4"/>
      <c r="V1184" s="2"/>
    </row>
    <row r="1185" spans="1:22" customFormat="1" hidden="1" x14ac:dyDescent="0.2">
      <c r="A1185" s="2" t="s">
        <v>247</v>
      </c>
      <c r="B1185" s="2" t="s">
        <v>1</v>
      </c>
      <c r="C1185" s="93">
        <v>46234</v>
      </c>
      <c r="D1185" s="164"/>
      <c r="E1185" s="126">
        <v>46234</v>
      </c>
      <c r="F1185" s="2" t="s">
        <v>77</v>
      </c>
      <c r="G1185" s="300"/>
      <c r="H1185" s="300"/>
      <c r="I1185" s="300"/>
      <c r="J1185" s="300">
        <v>55.5</v>
      </c>
      <c r="K1185" s="4" t="s">
        <v>893</v>
      </c>
      <c r="L1185" s="4"/>
      <c r="M1185" s="4" t="s">
        <v>1685</v>
      </c>
      <c r="N1185" s="4" t="s">
        <v>657</v>
      </c>
      <c r="O1185" s="4" t="s">
        <v>398</v>
      </c>
      <c r="P1185" s="4" t="s">
        <v>333</v>
      </c>
      <c r="Q1185" s="4" t="s">
        <v>62</v>
      </c>
      <c r="U1185" s="4"/>
      <c r="V1185" s="2"/>
    </row>
    <row r="1186" spans="1:22" customFormat="1" hidden="1" x14ac:dyDescent="0.2">
      <c r="A1186" s="2" t="s">
        <v>247</v>
      </c>
      <c r="B1186" s="2" t="s">
        <v>1</v>
      </c>
      <c r="C1186" s="93">
        <v>46259</v>
      </c>
      <c r="D1186" s="164"/>
      <c r="E1186" s="126">
        <v>46259</v>
      </c>
      <c r="F1186" s="2" t="s">
        <v>77</v>
      </c>
      <c r="G1186" s="300">
        <v>66.5</v>
      </c>
      <c r="H1186" s="300">
        <v>5.99</v>
      </c>
      <c r="I1186" s="300">
        <v>72.489999999999995</v>
      </c>
      <c r="J1186" s="300">
        <v>55.83</v>
      </c>
      <c r="K1186" s="4" t="s">
        <v>665</v>
      </c>
      <c r="L1186" s="4"/>
      <c r="M1186" s="4" t="s">
        <v>666</v>
      </c>
      <c r="N1186" s="4" t="s">
        <v>50</v>
      </c>
      <c r="O1186" s="4" t="s">
        <v>50</v>
      </c>
      <c r="P1186" s="4" t="s">
        <v>340</v>
      </c>
      <c r="Q1186" s="4" t="s">
        <v>62</v>
      </c>
      <c r="U1186" s="4"/>
      <c r="V1186" s="2"/>
    </row>
    <row r="1187" spans="1:22" customFormat="1" hidden="1" x14ac:dyDescent="0.2">
      <c r="A1187" s="2" t="s">
        <v>247</v>
      </c>
      <c r="B1187" s="2" t="s">
        <v>1</v>
      </c>
      <c r="C1187" s="93">
        <v>46259</v>
      </c>
      <c r="D1187" s="164"/>
      <c r="E1187" s="126">
        <v>46259</v>
      </c>
      <c r="F1187" s="2" t="s">
        <v>77</v>
      </c>
      <c r="G1187" s="300"/>
      <c r="H1187" s="300"/>
      <c r="I1187" s="300"/>
      <c r="J1187" s="300">
        <v>92.415003695033164</v>
      </c>
      <c r="K1187" s="4" t="s">
        <v>659</v>
      </c>
      <c r="L1187" s="4"/>
      <c r="M1187" s="4" t="s">
        <v>1684</v>
      </c>
      <c r="N1187" s="4" t="s">
        <v>370</v>
      </c>
      <c r="O1187" s="4" t="s">
        <v>371</v>
      </c>
      <c r="P1187" s="4" t="s">
        <v>340</v>
      </c>
      <c r="Q1187" s="4" t="s">
        <v>62</v>
      </c>
      <c r="U1187" s="4"/>
      <c r="V1187" s="2"/>
    </row>
    <row r="1188" spans="1:22" customFormat="1" hidden="1" x14ac:dyDescent="0.2">
      <c r="A1188" s="2" t="s">
        <v>247</v>
      </c>
      <c r="B1188" s="2" t="s">
        <v>1</v>
      </c>
      <c r="C1188" s="93">
        <v>46259</v>
      </c>
      <c r="D1188" s="164"/>
      <c r="E1188" s="126">
        <v>46259</v>
      </c>
      <c r="F1188" s="2" t="s">
        <v>77</v>
      </c>
      <c r="G1188" s="300">
        <v>26042.28</v>
      </c>
      <c r="H1188" s="300">
        <v>0</v>
      </c>
      <c r="I1188" s="300">
        <v>26042.28</v>
      </c>
      <c r="J1188" s="300">
        <v>20055.811686892401</v>
      </c>
      <c r="K1188" s="4" t="s">
        <v>660</v>
      </c>
      <c r="L1188" s="4"/>
      <c r="M1188" s="4" t="s">
        <v>1683</v>
      </c>
      <c r="N1188" s="4" t="s">
        <v>409</v>
      </c>
      <c r="O1188" s="4" t="s">
        <v>410</v>
      </c>
      <c r="P1188" s="4" t="s">
        <v>340</v>
      </c>
      <c r="Q1188" s="4" t="s">
        <v>62</v>
      </c>
      <c r="U1188" s="4"/>
      <c r="V1188" s="2"/>
    </row>
    <row r="1189" spans="1:22" customFormat="1" hidden="1" x14ac:dyDescent="0.2">
      <c r="A1189" s="2" t="s">
        <v>247</v>
      </c>
      <c r="B1189" s="2" t="s">
        <v>1</v>
      </c>
      <c r="C1189" s="93">
        <v>46259</v>
      </c>
      <c r="D1189" s="164"/>
      <c r="E1189" s="126">
        <v>46259</v>
      </c>
      <c r="F1189" s="2" t="s">
        <v>77</v>
      </c>
      <c r="G1189" s="300">
        <v>158</v>
      </c>
      <c r="H1189" s="300">
        <v>14.22</v>
      </c>
      <c r="I1189" s="300">
        <v>172.22</v>
      </c>
      <c r="J1189" s="300">
        <v>132.63</v>
      </c>
      <c r="K1189" s="4" t="s">
        <v>661</v>
      </c>
      <c r="L1189" s="4"/>
      <c r="M1189" s="4" t="s">
        <v>1682</v>
      </c>
      <c r="N1189" s="4" t="s">
        <v>374</v>
      </c>
      <c r="O1189" s="4" t="s">
        <v>375</v>
      </c>
      <c r="P1189" s="4" t="s">
        <v>376</v>
      </c>
      <c r="Q1189" s="4" t="s">
        <v>62</v>
      </c>
      <c r="U1189" s="4"/>
      <c r="V1189" s="2"/>
    </row>
    <row r="1190" spans="1:22" customFormat="1" hidden="1" x14ac:dyDescent="0.2">
      <c r="A1190" s="2" t="s">
        <v>247</v>
      </c>
      <c r="B1190" s="2" t="s">
        <v>1</v>
      </c>
      <c r="C1190" s="93">
        <v>46259</v>
      </c>
      <c r="D1190" s="164"/>
      <c r="E1190" s="126">
        <v>46259</v>
      </c>
      <c r="F1190" s="2" t="s">
        <v>77</v>
      </c>
      <c r="G1190" s="300">
        <v>70</v>
      </c>
      <c r="H1190" s="300">
        <v>6.3</v>
      </c>
      <c r="I1190" s="300">
        <v>76.3</v>
      </c>
      <c r="J1190" s="300">
        <v>58.76</v>
      </c>
      <c r="K1190" s="4" t="s">
        <v>661</v>
      </c>
      <c r="L1190" s="4"/>
      <c r="M1190" s="4" t="s">
        <v>1682</v>
      </c>
      <c r="N1190" s="4" t="s">
        <v>374</v>
      </c>
      <c r="O1190" s="4" t="s">
        <v>375</v>
      </c>
      <c r="P1190" s="4" t="s">
        <v>376</v>
      </c>
      <c r="Q1190" s="4" t="s">
        <v>62</v>
      </c>
      <c r="U1190" s="4"/>
      <c r="V1190" s="2"/>
    </row>
    <row r="1191" spans="1:22" customFormat="1" hidden="1" x14ac:dyDescent="0.2">
      <c r="A1191" s="2" t="s">
        <v>247</v>
      </c>
      <c r="B1191" s="2" t="s">
        <v>1</v>
      </c>
      <c r="C1191" s="93">
        <v>46259</v>
      </c>
      <c r="D1191" s="164"/>
      <c r="E1191" s="126">
        <v>46259</v>
      </c>
      <c r="F1191" s="2" t="s">
        <v>77</v>
      </c>
      <c r="G1191" s="300">
        <v>584.1</v>
      </c>
      <c r="H1191" s="300">
        <v>52.57</v>
      </c>
      <c r="I1191" s="300">
        <v>636.66999999999996</v>
      </c>
      <c r="J1191" s="300">
        <v>490.32</v>
      </c>
      <c r="K1191" s="4" t="s">
        <v>661</v>
      </c>
      <c r="L1191" s="4"/>
      <c r="M1191" s="4" t="s">
        <v>1682</v>
      </c>
      <c r="N1191" s="4" t="s">
        <v>374</v>
      </c>
      <c r="O1191" s="4" t="s">
        <v>375</v>
      </c>
      <c r="P1191" s="4" t="s">
        <v>376</v>
      </c>
      <c r="Q1191" s="4" t="s">
        <v>62</v>
      </c>
      <c r="U1191" s="4"/>
      <c r="V1191" s="2"/>
    </row>
    <row r="1192" spans="1:22" customFormat="1" hidden="1" x14ac:dyDescent="0.2">
      <c r="A1192" s="2" t="s">
        <v>247</v>
      </c>
      <c r="B1192" s="2" t="s">
        <v>1</v>
      </c>
      <c r="C1192" s="93">
        <v>46259</v>
      </c>
      <c r="D1192" s="164"/>
      <c r="E1192" s="126">
        <v>46259</v>
      </c>
      <c r="F1192" s="2" t="s">
        <v>77</v>
      </c>
      <c r="G1192" s="300">
        <v>6175</v>
      </c>
      <c r="H1192" s="300">
        <v>0</v>
      </c>
      <c r="I1192" s="300">
        <v>6175</v>
      </c>
      <c r="J1192" s="300">
        <v>4755.5220651402487</v>
      </c>
      <c r="K1192" s="4" t="s">
        <v>661</v>
      </c>
      <c r="L1192" s="4"/>
      <c r="M1192" s="4" t="s">
        <v>1681</v>
      </c>
      <c r="N1192" s="4" t="s">
        <v>58</v>
      </c>
      <c r="O1192" s="4" t="s">
        <v>58</v>
      </c>
      <c r="P1192" s="4" t="s">
        <v>59</v>
      </c>
      <c r="Q1192" s="4" t="s">
        <v>55</v>
      </c>
      <c r="U1192" s="4"/>
      <c r="V1192" s="2"/>
    </row>
    <row r="1193" spans="1:22" customFormat="1" hidden="1" x14ac:dyDescent="0.2">
      <c r="A1193" s="2" t="s">
        <v>247</v>
      </c>
      <c r="B1193" s="2" t="s">
        <v>1</v>
      </c>
      <c r="C1193" s="93">
        <v>46259</v>
      </c>
      <c r="D1193" s="164"/>
      <c r="E1193" s="126">
        <v>46259</v>
      </c>
      <c r="F1193" s="2" t="s">
        <v>77</v>
      </c>
      <c r="G1193" s="300">
        <v>325</v>
      </c>
      <c r="H1193" s="300">
        <v>0</v>
      </c>
      <c r="I1193" s="300">
        <v>325</v>
      </c>
      <c r="J1193" s="300">
        <v>250.2906350073815</v>
      </c>
      <c r="K1193" s="4" t="s">
        <v>661</v>
      </c>
      <c r="L1193" s="4"/>
      <c r="M1193" s="4" t="s">
        <v>1681</v>
      </c>
      <c r="N1193" s="4" t="s">
        <v>58</v>
      </c>
      <c r="O1193" s="4" t="s">
        <v>58</v>
      </c>
      <c r="P1193" s="4" t="s">
        <v>56</v>
      </c>
      <c r="Q1193" s="4" t="s">
        <v>55</v>
      </c>
      <c r="U1193" s="4"/>
      <c r="V1193" s="2"/>
    </row>
    <row r="1194" spans="1:22" customFormat="1" hidden="1" x14ac:dyDescent="0.2">
      <c r="A1194" s="2" t="s">
        <v>247</v>
      </c>
      <c r="B1194" s="2" t="s">
        <v>1</v>
      </c>
      <c r="C1194" s="93">
        <v>46259</v>
      </c>
      <c r="D1194" s="164"/>
      <c r="E1194" s="126">
        <v>46259</v>
      </c>
      <c r="F1194" s="2" t="s">
        <v>77</v>
      </c>
      <c r="G1194" s="300">
        <v>6175</v>
      </c>
      <c r="H1194" s="300">
        <v>0</v>
      </c>
      <c r="I1194" s="300">
        <v>6175</v>
      </c>
      <c r="J1194" s="300">
        <v>4755.5220651402487</v>
      </c>
      <c r="K1194" s="4" t="s">
        <v>661</v>
      </c>
      <c r="L1194" s="4"/>
      <c r="M1194" s="4" t="s">
        <v>1681</v>
      </c>
      <c r="N1194" s="4" t="s">
        <v>58</v>
      </c>
      <c r="O1194" s="4" t="s">
        <v>58</v>
      </c>
      <c r="P1194" s="4" t="s">
        <v>57</v>
      </c>
      <c r="Q1194" s="4" t="s">
        <v>55</v>
      </c>
      <c r="U1194" s="4"/>
      <c r="V1194" s="2"/>
    </row>
    <row r="1195" spans="1:22" customFormat="1" hidden="1" x14ac:dyDescent="0.2">
      <c r="A1195" s="2" t="s">
        <v>247</v>
      </c>
      <c r="B1195" s="2" t="s">
        <v>1</v>
      </c>
      <c r="C1195" s="93">
        <v>46259</v>
      </c>
      <c r="D1195" s="164"/>
      <c r="E1195" s="126">
        <v>46259</v>
      </c>
      <c r="F1195" s="2" t="s">
        <v>77</v>
      </c>
      <c r="G1195" s="300">
        <v>600</v>
      </c>
      <c r="H1195" s="300">
        <v>0</v>
      </c>
      <c r="I1195" s="300">
        <v>600</v>
      </c>
      <c r="J1195" s="300">
        <v>462.07501847516585</v>
      </c>
      <c r="K1195" s="4" t="s">
        <v>757</v>
      </c>
      <c r="L1195" s="4"/>
      <c r="M1195" s="4" t="s">
        <v>1680</v>
      </c>
      <c r="N1195" s="4" t="s">
        <v>621</v>
      </c>
      <c r="O1195" s="4" t="s">
        <v>618</v>
      </c>
      <c r="P1195" s="4" t="s">
        <v>340</v>
      </c>
      <c r="Q1195" s="4" t="s">
        <v>62</v>
      </c>
      <c r="U1195" s="4"/>
      <c r="V1195" s="2"/>
    </row>
    <row r="1196" spans="1:22" customFormat="1" hidden="1" x14ac:dyDescent="0.2">
      <c r="A1196" s="2" t="s">
        <v>247</v>
      </c>
      <c r="B1196" s="2" t="s">
        <v>1</v>
      </c>
      <c r="C1196" s="93">
        <v>46265</v>
      </c>
      <c r="D1196" s="164">
        <v>46265</v>
      </c>
      <c r="E1196" s="126">
        <v>46265</v>
      </c>
      <c r="F1196" s="2" t="s">
        <v>77</v>
      </c>
      <c r="G1196" s="300"/>
      <c r="H1196" s="300"/>
      <c r="I1196" s="300"/>
      <c r="J1196" s="300">
        <v>4000</v>
      </c>
      <c r="K1196" s="4" t="s">
        <v>1641</v>
      </c>
      <c r="L1196" s="4"/>
      <c r="M1196" s="4" t="s">
        <v>1679</v>
      </c>
      <c r="N1196" s="4" t="s">
        <v>387</v>
      </c>
      <c r="O1196" s="4" t="s">
        <v>47</v>
      </c>
      <c r="P1196" s="4" t="s">
        <v>354</v>
      </c>
      <c r="Q1196" s="4" t="s">
        <v>61</v>
      </c>
      <c r="U1196" s="4"/>
      <c r="V1196" s="2"/>
    </row>
    <row r="1197" spans="1:22" customFormat="1" hidden="1" x14ac:dyDescent="0.2">
      <c r="A1197" s="2" t="s">
        <v>247</v>
      </c>
      <c r="B1197" s="2" t="s">
        <v>1</v>
      </c>
      <c r="C1197" s="93">
        <v>46265</v>
      </c>
      <c r="D1197" s="164">
        <v>46265</v>
      </c>
      <c r="E1197" s="126">
        <v>46265</v>
      </c>
      <c r="F1197" s="2" t="s">
        <v>77</v>
      </c>
      <c r="G1197" s="300"/>
      <c r="H1197" s="300"/>
      <c r="I1197" s="300"/>
      <c r="J1197" s="300">
        <v>2</v>
      </c>
      <c r="K1197" s="4" t="s">
        <v>1641</v>
      </c>
      <c r="L1197" s="4"/>
      <c r="M1197" s="4" t="s">
        <v>1679</v>
      </c>
      <c r="N1197" s="4" t="s">
        <v>387</v>
      </c>
      <c r="O1197" s="4" t="s">
        <v>47</v>
      </c>
      <c r="P1197" s="4" t="s">
        <v>354</v>
      </c>
      <c r="Q1197" s="4" t="s">
        <v>61</v>
      </c>
      <c r="U1197" s="4"/>
      <c r="V1197" s="2"/>
    </row>
    <row r="1198" spans="1:22" customFormat="1" hidden="1" x14ac:dyDescent="0.2">
      <c r="A1198" s="2" t="s">
        <v>247</v>
      </c>
      <c r="B1198" s="2" t="s">
        <v>1</v>
      </c>
      <c r="C1198" s="93">
        <v>46265</v>
      </c>
      <c r="D1198" s="164">
        <v>46265</v>
      </c>
      <c r="E1198" s="126">
        <v>46265</v>
      </c>
      <c r="F1198" s="2" t="s">
        <v>77</v>
      </c>
      <c r="G1198" s="300"/>
      <c r="H1198" s="300"/>
      <c r="I1198" s="300"/>
      <c r="J1198" s="300">
        <v>2000</v>
      </c>
      <c r="K1198" s="4" t="s">
        <v>1641</v>
      </c>
      <c r="L1198" s="4"/>
      <c r="M1198" s="4" t="s">
        <v>1678</v>
      </c>
      <c r="N1198" s="4" t="s">
        <v>364</v>
      </c>
      <c r="O1198" s="4" t="s">
        <v>47</v>
      </c>
      <c r="P1198" s="4" t="s">
        <v>354</v>
      </c>
      <c r="Q1198" s="4" t="s">
        <v>61</v>
      </c>
      <c r="U1198" s="4"/>
      <c r="V1198" s="2"/>
    </row>
    <row r="1199" spans="1:22" customFormat="1" hidden="1" x14ac:dyDescent="0.2">
      <c r="A1199" s="2" t="s">
        <v>247</v>
      </c>
      <c r="B1199" s="2" t="s">
        <v>1</v>
      </c>
      <c r="C1199" s="93">
        <v>46265</v>
      </c>
      <c r="D1199" s="164">
        <v>46265</v>
      </c>
      <c r="E1199" s="126">
        <v>46265</v>
      </c>
      <c r="F1199" s="2" t="s">
        <v>77</v>
      </c>
      <c r="G1199" s="300"/>
      <c r="H1199" s="300"/>
      <c r="I1199" s="300"/>
      <c r="J1199" s="300">
        <v>17000</v>
      </c>
      <c r="K1199" s="4" t="s">
        <v>1641</v>
      </c>
      <c r="L1199" s="4"/>
      <c r="M1199" s="4" t="s">
        <v>1679</v>
      </c>
      <c r="N1199" s="4" t="s">
        <v>387</v>
      </c>
      <c r="O1199" s="4" t="s">
        <v>47</v>
      </c>
      <c r="P1199" s="4" t="s">
        <v>45</v>
      </c>
      <c r="Q1199" s="4" t="s">
        <v>45</v>
      </c>
      <c r="U1199" s="4"/>
      <c r="V1199" s="2"/>
    </row>
    <row r="1200" spans="1:22" customFormat="1" hidden="1" x14ac:dyDescent="0.2">
      <c r="A1200" s="2" t="s">
        <v>247</v>
      </c>
      <c r="B1200" s="2" t="s">
        <v>1</v>
      </c>
      <c r="C1200" s="93">
        <v>46265</v>
      </c>
      <c r="D1200" s="164">
        <v>46265</v>
      </c>
      <c r="E1200" s="126">
        <v>46265</v>
      </c>
      <c r="F1200" s="2" t="s">
        <v>77</v>
      </c>
      <c r="G1200" s="300"/>
      <c r="H1200" s="300"/>
      <c r="I1200" s="300"/>
      <c r="J1200" s="300">
        <v>6</v>
      </c>
      <c r="K1200" s="4" t="s">
        <v>1641</v>
      </c>
      <c r="L1200" s="4"/>
      <c r="M1200" s="4" t="s">
        <v>1679</v>
      </c>
      <c r="N1200" s="4" t="s">
        <v>387</v>
      </c>
      <c r="O1200" s="4" t="s">
        <v>47</v>
      </c>
      <c r="P1200" s="4" t="s">
        <v>45</v>
      </c>
      <c r="Q1200" s="4" t="s">
        <v>45</v>
      </c>
      <c r="U1200" s="4"/>
      <c r="V1200" s="2"/>
    </row>
    <row r="1201" spans="1:22" customFormat="1" hidden="1" x14ac:dyDescent="0.2">
      <c r="A1201" s="2" t="s">
        <v>247</v>
      </c>
      <c r="B1201" s="2" t="s">
        <v>1</v>
      </c>
      <c r="C1201" s="93">
        <v>46265</v>
      </c>
      <c r="D1201" s="164">
        <v>46265</v>
      </c>
      <c r="E1201" s="126">
        <v>46265</v>
      </c>
      <c r="F1201" s="2" t="s">
        <v>77</v>
      </c>
      <c r="G1201" s="300"/>
      <c r="H1201" s="300"/>
      <c r="I1201" s="300"/>
      <c r="J1201" s="300">
        <v>6000</v>
      </c>
      <c r="K1201" s="4" t="s">
        <v>1641</v>
      </c>
      <c r="L1201" s="4"/>
      <c r="M1201" s="4" t="s">
        <v>1678</v>
      </c>
      <c r="N1201" s="4" t="s">
        <v>364</v>
      </c>
      <c r="O1201" s="4" t="s">
        <v>47</v>
      </c>
      <c r="P1201" s="4" t="s">
        <v>45</v>
      </c>
      <c r="Q1201" s="4" t="s">
        <v>45</v>
      </c>
      <c r="U1201" s="4"/>
      <c r="V1201" s="2"/>
    </row>
    <row r="1202" spans="1:22" customFormat="1" hidden="1" x14ac:dyDescent="0.2">
      <c r="A1202" s="2" t="s">
        <v>247</v>
      </c>
      <c r="B1202" s="2" t="s">
        <v>1</v>
      </c>
      <c r="C1202" s="93">
        <v>46265</v>
      </c>
      <c r="D1202" s="164">
        <v>46265</v>
      </c>
      <c r="E1202" s="126">
        <v>46265</v>
      </c>
      <c r="F1202" s="2" t="s">
        <v>77</v>
      </c>
      <c r="G1202" s="300"/>
      <c r="H1202" s="300"/>
      <c r="I1202" s="300"/>
      <c r="J1202" s="300">
        <v>32000</v>
      </c>
      <c r="K1202" s="4" t="s">
        <v>1641</v>
      </c>
      <c r="L1202" s="4"/>
      <c r="M1202" s="4" t="s">
        <v>1679</v>
      </c>
      <c r="N1202" s="4" t="s">
        <v>387</v>
      </c>
      <c r="O1202" s="4" t="s">
        <v>47</v>
      </c>
      <c r="P1202" s="4" t="s">
        <v>658</v>
      </c>
      <c r="Q1202" s="4" t="s">
        <v>61</v>
      </c>
      <c r="U1202" s="4"/>
      <c r="V1202" s="2"/>
    </row>
    <row r="1203" spans="1:22" customFormat="1" hidden="1" x14ac:dyDescent="0.2">
      <c r="A1203" s="2" t="s">
        <v>247</v>
      </c>
      <c r="B1203" s="2" t="s">
        <v>1</v>
      </c>
      <c r="C1203" s="93">
        <v>46265</v>
      </c>
      <c r="D1203" s="164">
        <v>46265</v>
      </c>
      <c r="E1203" s="126">
        <v>46265</v>
      </c>
      <c r="F1203" s="2" t="s">
        <v>77</v>
      </c>
      <c r="G1203" s="300"/>
      <c r="H1203" s="300"/>
      <c r="I1203" s="300"/>
      <c r="J1203" s="300">
        <v>3</v>
      </c>
      <c r="K1203" s="4" t="s">
        <v>1641</v>
      </c>
      <c r="L1203" s="4"/>
      <c r="M1203" s="4" t="s">
        <v>1679</v>
      </c>
      <c r="N1203" s="4" t="s">
        <v>387</v>
      </c>
      <c r="O1203" s="4" t="s">
        <v>47</v>
      </c>
      <c r="P1203" s="4" t="s">
        <v>658</v>
      </c>
      <c r="Q1203" s="4" t="s">
        <v>61</v>
      </c>
      <c r="U1203" s="4"/>
      <c r="V1203" s="2"/>
    </row>
    <row r="1204" spans="1:22" customFormat="1" hidden="1" x14ac:dyDescent="0.2">
      <c r="A1204" s="2" t="s">
        <v>247</v>
      </c>
      <c r="B1204" s="2" t="s">
        <v>1</v>
      </c>
      <c r="C1204" s="93">
        <v>46265</v>
      </c>
      <c r="D1204" s="164">
        <v>46265</v>
      </c>
      <c r="E1204" s="126">
        <v>46265</v>
      </c>
      <c r="F1204" s="2" t="s">
        <v>77</v>
      </c>
      <c r="G1204" s="300"/>
      <c r="H1204" s="300"/>
      <c r="I1204" s="300"/>
      <c r="J1204" s="300">
        <v>2500</v>
      </c>
      <c r="K1204" s="4" t="s">
        <v>1641</v>
      </c>
      <c r="L1204" s="4"/>
      <c r="M1204" s="4" t="s">
        <v>1678</v>
      </c>
      <c r="N1204" s="4" t="s">
        <v>364</v>
      </c>
      <c r="O1204" s="4" t="s">
        <v>47</v>
      </c>
      <c r="P1204" s="4" t="s">
        <v>658</v>
      </c>
      <c r="Q1204" s="4" t="s">
        <v>61</v>
      </c>
      <c r="U1204" s="4"/>
      <c r="V1204" s="2"/>
    </row>
    <row r="1205" spans="1:22" customFormat="1" hidden="1" x14ac:dyDescent="0.2">
      <c r="A1205" s="2" t="s">
        <v>247</v>
      </c>
      <c r="B1205" s="2" t="s">
        <v>1</v>
      </c>
      <c r="C1205" s="93">
        <v>46265</v>
      </c>
      <c r="D1205" s="164">
        <v>46265</v>
      </c>
      <c r="E1205" s="126">
        <v>46265</v>
      </c>
      <c r="F1205" s="2" t="s">
        <v>77</v>
      </c>
      <c r="G1205" s="300"/>
      <c r="H1205" s="300"/>
      <c r="I1205" s="300"/>
      <c r="J1205" s="300">
        <v>2000</v>
      </c>
      <c r="K1205" s="4" t="s">
        <v>1641</v>
      </c>
      <c r="L1205" s="4"/>
      <c r="M1205" s="4" t="s">
        <v>1679</v>
      </c>
      <c r="N1205" s="4" t="s">
        <v>387</v>
      </c>
      <c r="O1205" s="4" t="s">
        <v>47</v>
      </c>
      <c r="P1205" s="4" t="s">
        <v>333</v>
      </c>
      <c r="Q1205" s="4" t="s">
        <v>62</v>
      </c>
      <c r="U1205" s="4"/>
      <c r="V1205" s="2"/>
    </row>
    <row r="1206" spans="1:22" customFormat="1" hidden="1" x14ac:dyDescent="0.2">
      <c r="A1206" s="2" t="s">
        <v>247</v>
      </c>
      <c r="B1206" s="2" t="s">
        <v>1</v>
      </c>
      <c r="C1206" s="93">
        <v>46265</v>
      </c>
      <c r="D1206" s="164">
        <v>46265</v>
      </c>
      <c r="E1206" s="126">
        <v>46265</v>
      </c>
      <c r="F1206" s="2" t="s">
        <v>77</v>
      </c>
      <c r="G1206" s="300"/>
      <c r="H1206" s="300"/>
      <c r="I1206" s="300"/>
      <c r="J1206" s="300">
        <v>1</v>
      </c>
      <c r="K1206" s="4" t="s">
        <v>1641</v>
      </c>
      <c r="L1206" s="4"/>
      <c r="M1206" s="4" t="s">
        <v>1679</v>
      </c>
      <c r="N1206" s="4" t="s">
        <v>387</v>
      </c>
      <c r="O1206" s="4" t="s">
        <v>47</v>
      </c>
      <c r="P1206" s="4" t="s">
        <v>333</v>
      </c>
      <c r="Q1206" s="4" t="s">
        <v>62</v>
      </c>
      <c r="U1206" s="4"/>
      <c r="V1206" s="2"/>
    </row>
    <row r="1207" spans="1:22" customFormat="1" hidden="1" x14ac:dyDescent="0.2">
      <c r="A1207" s="2" t="s">
        <v>247</v>
      </c>
      <c r="B1207" s="2" t="s">
        <v>1</v>
      </c>
      <c r="C1207" s="93">
        <v>46265</v>
      </c>
      <c r="D1207" s="164">
        <v>46265</v>
      </c>
      <c r="E1207" s="126">
        <v>46265</v>
      </c>
      <c r="F1207" s="2" t="s">
        <v>77</v>
      </c>
      <c r="G1207" s="300"/>
      <c r="H1207" s="300"/>
      <c r="I1207" s="300"/>
      <c r="J1207" s="300">
        <v>200</v>
      </c>
      <c r="K1207" s="4" t="s">
        <v>1641</v>
      </c>
      <c r="L1207" s="4"/>
      <c r="M1207" s="4" t="s">
        <v>1678</v>
      </c>
      <c r="N1207" s="4" t="s">
        <v>364</v>
      </c>
      <c r="O1207" s="4" t="s">
        <v>47</v>
      </c>
      <c r="P1207" s="4" t="s">
        <v>333</v>
      </c>
      <c r="Q1207" s="4" t="s">
        <v>62</v>
      </c>
      <c r="U1207" s="4"/>
      <c r="V1207" s="2"/>
    </row>
    <row r="1208" spans="1:22" customFormat="1" hidden="1" x14ac:dyDescent="0.2">
      <c r="A1208" s="2" t="s">
        <v>247</v>
      </c>
      <c r="B1208" s="2" t="s">
        <v>1</v>
      </c>
      <c r="C1208" s="93">
        <v>46265</v>
      </c>
      <c r="D1208" s="164">
        <v>46265</v>
      </c>
      <c r="E1208" s="126">
        <v>46265</v>
      </c>
      <c r="F1208" s="2" t="s">
        <v>77</v>
      </c>
      <c r="G1208" s="300"/>
      <c r="H1208" s="300"/>
      <c r="I1208" s="300"/>
      <c r="J1208" s="300">
        <v>25000</v>
      </c>
      <c r="K1208" s="4" t="s">
        <v>1641</v>
      </c>
      <c r="L1208" s="4"/>
      <c r="M1208" s="4" t="s">
        <v>1679</v>
      </c>
      <c r="N1208" s="4" t="s">
        <v>387</v>
      </c>
      <c r="O1208" s="4" t="s">
        <v>47</v>
      </c>
      <c r="P1208" s="4" t="s">
        <v>350</v>
      </c>
      <c r="Q1208" s="4" t="s">
        <v>62</v>
      </c>
      <c r="U1208" s="4"/>
      <c r="V1208" s="2"/>
    </row>
    <row r="1209" spans="1:22" customFormat="1" hidden="1" x14ac:dyDescent="0.2">
      <c r="A1209" s="2" t="s">
        <v>247</v>
      </c>
      <c r="B1209" s="2" t="s">
        <v>1</v>
      </c>
      <c r="C1209" s="93">
        <v>46265</v>
      </c>
      <c r="D1209" s="164">
        <v>46265</v>
      </c>
      <c r="E1209" s="126">
        <v>46265</v>
      </c>
      <c r="F1209" s="2" t="s">
        <v>77</v>
      </c>
      <c r="G1209" s="300"/>
      <c r="H1209" s="300"/>
      <c r="I1209" s="300"/>
      <c r="J1209" s="300">
        <v>4</v>
      </c>
      <c r="K1209" s="4" t="s">
        <v>1641</v>
      </c>
      <c r="L1209" s="4"/>
      <c r="M1209" s="4" t="s">
        <v>1679</v>
      </c>
      <c r="N1209" s="4" t="s">
        <v>387</v>
      </c>
      <c r="O1209" s="4" t="s">
        <v>47</v>
      </c>
      <c r="P1209" s="4" t="s">
        <v>350</v>
      </c>
      <c r="Q1209" s="4" t="s">
        <v>62</v>
      </c>
      <c r="U1209" s="4"/>
      <c r="V1209" s="2"/>
    </row>
    <row r="1210" spans="1:22" customFormat="1" hidden="1" x14ac:dyDescent="0.2">
      <c r="A1210" s="2" t="s">
        <v>247</v>
      </c>
      <c r="B1210" s="2" t="s">
        <v>1</v>
      </c>
      <c r="C1210" s="93">
        <v>46265</v>
      </c>
      <c r="D1210" s="164">
        <v>46265</v>
      </c>
      <c r="E1210" s="126">
        <v>46265</v>
      </c>
      <c r="F1210" s="2" t="s">
        <v>77</v>
      </c>
      <c r="G1210" s="300"/>
      <c r="H1210" s="300"/>
      <c r="I1210" s="300"/>
      <c r="J1210" s="300">
        <v>6000</v>
      </c>
      <c r="K1210" s="4" t="s">
        <v>1641</v>
      </c>
      <c r="L1210" s="4"/>
      <c r="M1210" s="4" t="s">
        <v>1678</v>
      </c>
      <c r="N1210" s="4" t="s">
        <v>364</v>
      </c>
      <c r="O1210" s="4" t="s">
        <v>47</v>
      </c>
      <c r="P1210" s="4" t="s">
        <v>350</v>
      </c>
      <c r="Q1210" s="4" t="s">
        <v>62</v>
      </c>
      <c r="U1210" s="4"/>
      <c r="V1210" s="2"/>
    </row>
    <row r="1211" spans="1:22" customFormat="1" hidden="1" x14ac:dyDescent="0.2">
      <c r="A1211" s="2" t="s">
        <v>247</v>
      </c>
      <c r="B1211" s="2" t="s">
        <v>1</v>
      </c>
      <c r="C1211" s="93">
        <v>46265</v>
      </c>
      <c r="D1211" s="164">
        <v>46265</v>
      </c>
      <c r="E1211" s="126">
        <v>46265</v>
      </c>
      <c r="F1211" s="2" t="s">
        <v>77</v>
      </c>
      <c r="G1211" s="300"/>
      <c r="H1211" s="300"/>
      <c r="I1211" s="300"/>
      <c r="J1211" s="300">
        <v>3000</v>
      </c>
      <c r="K1211" s="4" t="s">
        <v>1641</v>
      </c>
      <c r="L1211" s="4"/>
      <c r="M1211" s="4" t="s">
        <v>1679</v>
      </c>
      <c r="N1211" s="4" t="s">
        <v>387</v>
      </c>
      <c r="O1211" s="4" t="s">
        <v>47</v>
      </c>
      <c r="P1211" s="4" t="s">
        <v>376</v>
      </c>
      <c r="Q1211" s="4" t="s">
        <v>62</v>
      </c>
      <c r="U1211" s="4"/>
      <c r="V1211" s="2"/>
    </row>
    <row r="1212" spans="1:22" customFormat="1" hidden="1" x14ac:dyDescent="0.2">
      <c r="A1212" s="2" t="s">
        <v>247</v>
      </c>
      <c r="B1212" s="2" t="s">
        <v>1</v>
      </c>
      <c r="C1212" s="93">
        <v>46265</v>
      </c>
      <c r="D1212" s="164">
        <v>46265</v>
      </c>
      <c r="E1212" s="126">
        <v>46265</v>
      </c>
      <c r="F1212" s="2" t="s">
        <v>77</v>
      </c>
      <c r="G1212" s="300"/>
      <c r="H1212" s="300"/>
      <c r="I1212" s="300"/>
      <c r="J1212" s="300">
        <v>1</v>
      </c>
      <c r="K1212" s="4" t="s">
        <v>1641</v>
      </c>
      <c r="L1212" s="4"/>
      <c r="M1212" s="4" t="s">
        <v>1679</v>
      </c>
      <c r="N1212" s="4" t="s">
        <v>387</v>
      </c>
      <c r="O1212" s="4" t="s">
        <v>47</v>
      </c>
      <c r="P1212" s="4" t="s">
        <v>376</v>
      </c>
      <c r="Q1212" s="4" t="s">
        <v>62</v>
      </c>
      <c r="U1212" s="4"/>
      <c r="V1212" s="2"/>
    </row>
    <row r="1213" spans="1:22" customFormat="1" hidden="1" x14ac:dyDescent="0.2">
      <c r="A1213" s="2" t="s">
        <v>247</v>
      </c>
      <c r="B1213" s="2" t="s">
        <v>1</v>
      </c>
      <c r="C1213" s="93">
        <v>46265</v>
      </c>
      <c r="D1213" s="164">
        <v>46265</v>
      </c>
      <c r="E1213" s="126">
        <v>46265</v>
      </c>
      <c r="F1213" s="2" t="s">
        <v>77</v>
      </c>
      <c r="G1213" s="300"/>
      <c r="H1213" s="300"/>
      <c r="I1213" s="300"/>
      <c r="J1213" s="300">
        <v>1500</v>
      </c>
      <c r="K1213" s="4" t="s">
        <v>1641</v>
      </c>
      <c r="L1213" s="4"/>
      <c r="M1213" s="4" t="s">
        <v>1678</v>
      </c>
      <c r="N1213" s="4" t="s">
        <v>364</v>
      </c>
      <c r="O1213" s="4" t="s">
        <v>47</v>
      </c>
      <c r="P1213" s="4" t="s">
        <v>376</v>
      </c>
      <c r="Q1213" s="4" t="s">
        <v>62</v>
      </c>
      <c r="U1213" s="4"/>
      <c r="V1213" s="2"/>
    </row>
    <row r="1214" spans="1:22" customFormat="1" hidden="1" x14ac:dyDescent="0.2">
      <c r="A1214" s="2" t="s">
        <v>247</v>
      </c>
      <c r="B1214" s="2" t="s">
        <v>1</v>
      </c>
      <c r="C1214" s="93">
        <v>46265</v>
      </c>
      <c r="D1214" s="164">
        <v>46265</v>
      </c>
      <c r="E1214" s="126">
        <v>46265</v>
      </c>
      <c r="F1214" s="2" t="s">
        <v>77</v>
      </c>
      <c r="G1214" s="300"/>
      <c r="H1214" s="300"/>
      <c r="I1214" s="300"/>
      <c r="J1214" s="300">
        <v>20000</v>
      </c>
      <c r="K1214" s="4" t="s">
        <v>1641</v>
      </c>
      <c r="L1214" s="4"/>
      <c r="M1214" s="4" t="s">
        <v>1679</v>
      </c>
      <c r="N1214" s="4" t="s">
        <v>387</v>
      </c>
      <c r="O1214" s="4" t="s">
        <v>47</v>
      </c>
      <c r="P1214" s="4" t="s">
        <v>523</v>
      </c>
      <c r="Q1214" s="4" t="s">
        <v>62</v>
      </c>
      <c r="U1214" s="4"/>
      <c r="V1214" s="2"/>
    </row>
    <row r="1215" spans="1:22" customFormat="1" hidden="1" x14ac:dyDescent="0.2">
      <c r="A1215" s="2" t="s">
        <v>247</v>
      </c>
      <c r="B1215" s="2" t="s">
        <v>1</v>
      </c>
      <c r="C1215" s="93">
        <v>46265</v>
      </c>
      <c r="D1215" s="164">
        <v>46265</v>
      </c>
      <c r="E1215" s="126">
        <v>46265</v>
      </c>
      <c r="F1215" s="2" t="s">
        <v>77</v>
      </c>
      <c r="G1215" s="300"/>
      <c r="H1215" s="300"/>
      <c r="I1215" s="300"/>
      <c r="J1215" s="300">
        <v>10</v>
      </c>
      <c r="K1215" s="4" t="s">
        <v>1641</v>
      </c>
      <c r="L1215" s="4"/>
      <c r="M1215" s="4" t="s">
        <v>1678</v>
      </c>
      <c r="N1215" s="4" t="s">
        <v>364</v>
      </c>
      <c r="O1215" s="4" t="s">
        <v>47</v>
      </c>
      <c r="P1215" s="4" t="s">
        <v>523</v>
      </c>
      <c r="Q1215" s="4" t="s">
        <v>62</v>
      </c>
      <c r="U1215" s="4"/>
      <c r="V1215" s="2"/>
    </row>
    <row r="1216" spans="1:22" customFormat="1" hidden="1" x14ac:dyDescent="0.2">
      <c r="A1216" s="2" t="s">
        <v>247</v>
      </c>
      <c r="B1216" s="2" t="s">
        <v>1</v>
      </c>
      <c r="C1216" s="93">
        <v>46265</v>
      </c>
      <c r="D1216" s="164">
        <v>46265</v>
      </c>
      <c r="E1216" s="126">
        <v>46265</v>
      </c>
      <c r="F1216" s="2" t="s">
        <v>77</v>
      </c>
      <c r="G1216" s="300"/>
      <c r="H1216" s="300"/>
      <c r="I1216" s="300"/>
      <c r="J1216" s="300">
        <v>15000</v>
      </c>
      <c r="K1216" s="4" t="s">
        <v>1641</v>
      </c>
      <c r="L1216" s="4"/>
      <c r="M1216" s="4" t="s">
        <v>1679</v>
      </c>
      <c r="N1216" s="4" t="s">
        <v>387</v>
      </c>
      <c r="O1216" s="4" t="s">
        <v>47</v>
      </c>
      <c r="P1216" s="4" t="s">
        <v>56</v>
      </c>
      <c r="Q1216" s="4" t="s">
        <v>55</v>
      </c>
      <c r="U1216" s="4"/>
      <c r="V1216" s="2"/>
    </row>
    <row r="1217" spans="1:22" customFormat="1" hidden="1" x14ac:dyDescent="0.2">
      <c r="A1217" s="2" t="s">
        <v>247</v>
      </c>
      <c r="B1217" s="2" t="s">
        <v>1</v>
      </c>
      <c r="C1217" s="93">
        <v>46265</v>
      </c>
      <c r="D1217" s="164">
        <v>46265</v>
      </c>
      <c r="E1217" s="126">
        <v>46265</v>
      </c>
      <c r="F1217" s="2" t="s">
        <v>77</v>
      </c>
      <c r="G1217" s="300"/>
      <c r="H1217" s="300"/>
      <c r="I1217" s="300"/>
      <c r="J1217" s="300">
        <v>3</v>
      </c>
      <c r="K1217" s="4" t="s">
        <v>1641</v>
      </c>
      <c r="L1217" s="4"/>
      <c r="M1217" s="4" t="s">
        <v>1679</v>
      </c>
      <c r="N1217" s="4" t="s">
        <v>387</v>
      </c>
      <c r="O1217" s="4" t="s">
        <v>47</v>
      </c>
      <c r="P1217" s="4" t="s">
        <v>56</v>
      </c>
      <c r="Q1217" s="4" t="s">
        <v>55</v>
      </c>
      <c r="U1217" s="4"/>
      <c r="V1217" s="2"/>
    </row>
    <row r="1218" spans="1:22" customFormat="1" hidden="1" x14ac:dyDescent="0.2">
      <c r="A1218" s="2" t="s">
        <v>247</v>
      </c>
      <c r="B1218" s="2" t="s">
        <v>1</v>
      </c>
      <c r="C1218" s="93">
        <v>46265</v>
      </c>
      <c r="D1218" s="164">
        <v>46265</v>
      </c>
      <c r="E1218" s="126">
        <v>46265</v>
      </c>
      <c r="F1218" s="2" t="s">
        <v>77</v>
      </c>
      <c r="G1218" s="300"/>
      <c r="H1218" s="300"/>
      <c r="I1218" s="300"/>
      <c r="J1218" s="300">
        <v>2500</v>
      </c>
      <c r="K1218" s="4" t="s">
        <v>1641</v>
      </c>
      <c r="L1218" s="4"/>
      <c r="M1218" s="4" t="s">
        <v>1678</v>
      </c>
      <c r="N1218" s="4" t="s">
        <v>364</v>
      </c>
      <c r="O1218" s="4" t="s">
        <v>47</v>
      </c>
      <c r="P1218" s="4" t="s">
        <v>56</v>
      </c>
      <c r="Q1218" s="4" t="s">
        <v>55</v>
      </c>
      <c r="U1218" s="4"/>
      <c r="V1218" s="2"/>
    </row>
    <row r="1219" spans="1:22" customFormat="1" hidden="1" x14ac:dyDescent="0.2">
      <c r="A1219" s="2" t="s">
        <v>247</v>
      </c>
      <c r="B1219" s="2" t="s">
        <v>1</v>
      </c>
      <c r="C1219" s="93">
        <v>46265</v>
      </c>
      <c r="D1219" s="164">
        <v>46265</v>
      </c>
      <c r="E1219" s="126">
        <v>46265</v>
      </c>
      <c r="F1219" s="2" t="s">
        <v>77</v>
      </c>
      <c r="G1219" s="300"/>
      <c r="H1219" s="300"/>
      <c r="I1219" s="300"/>
      <c r="J1219" s="300">
        <v>25000</v>
      </c>
      <c r="K1219" s="4" t="s">
        <v>1641</v>
      </c>
      <c r="L1219" s="4"/>
      <c r="M1219" s="4" t="s">
        <v>1679</v>
      </c>
      <c r="N1219" s="4" t="s">
        <v>387</v>
      </c>
      <c r="O1219" s="4" t="s">
        <v>47</v>
      </c>
      <c r="P1219" s="4" t="s">
        <v>59</v>
      </c>
      <c r="Q1219" s="4" t="s">
        <v>55</v>
      </c>
      <c r="U1219" s="4"/>
      <c r="V1219" s="2"/>
    </row>
    <row r="1220" spans="1:22" customFormat="1" hidden="1" x14ac:dyDescent="0.2">
      <c r="A1220" s="2" t="s">
        <v>247</v>
      </c>
      <c r="B1220" s="2" t="s">
        <v>1</v>
      </c>
      <c r="C1220" s="93">
        <v>46265</v>
      </c>
      <c r="D1220" s="164">
        <v>46265</v>
      </c>
      <c r="E1220" s="126">
        <v>46265</v>
      </c>
      <c r="F1220" s="2" t="s">
        <v>77</v>
      </c>
      <c r="G1220" s="300"/>
      <c r="H1220" s="300"/>
      <c r="I1220" s="300"/>
      <c r="J1220" s="300">
        <v>20</v>
      </c>
      <c r="K1220" s="4" t="s">
        <v>1641</v>
      </c>
      <c r="L1220" s="4"/>
      <c r="M1220" s="4" t="s">
        <v>1678</v>
      </c>
      <c r="N1220" s="4" t="s">
        <v>364</v>
      </c>
      <c r="O1220" s="4" t="s">
        <v>47</v>
      </c>
      <c r="P1220" s="4" t="s">
        <v>59</v>
      </c>
      <c r="Q1220" s="4" t="s">
        <v>55</v>
      </c>
      <c r="U1220" s="4"/>
      <c r="V1220" s="2"/>
    </row>
    <row r="1221" spans="1:22" customFormat="1" hidden="1" x14ac:dyDescent="0.2">
      <c r="A1221" s="2" t="s">
        <v>247</v>
      </c>
      <c r="B1221" s="2" t="s">
        <v>1</v>
      </c>
      <c r="C1221" s="93">
        <v>46265</v>
      </c>
      <c r="D1221" s="164">
        <v>46265</v>
      </c>
      <c r="E1221" s="126">
        <v>46265</v>
      </c>
      <c r="F1221" s="2" t="s">
        <v>77</v>
      </c>
      <c r="G1221" s="300"/>
      <c r="H1221" s="300"/>
      <c r="I1221" s="300"/>
      <c r="J1221" s="300">
        <v>15000</v>
      </c>
      <c r="K1221" s="4" t="s">
        <v>1641</v>
      </c>
      <c r="L1221" s="4"/>
      <c r="M1221" s="4" t="s">
        <v>1679</v>
      </c>
      <c r="N1221" s="4" t="s">
        <v>387</v>
      </c>
      <c r="O1221" s="4" t="s">
        <v>47</v>
      </c>
      <c r="P1221" s="4" t="s">
        <v>438</v>
      </c>
      <c r="Q1221" s="4" t="s">
        <v>61</v>
      </c>
      <c r="U1221" s="4"/>
      <c r="V1221" s="2"/>
    </row>
    <row r="1222" spans="1:22" customFormat="1" hidden="1" x14ac:dyDescent="0.2">
      <c r="A1222" s="2" t="s">
        <v>247</v>
      </c>
      <c r="B1222" s="2" t="s">
        <v>1</v>
      </c>
      <c r="C1222" s="93">
        <v>46265</v>
      </c>
      <c r="D1222" s="164">
        <v>46265</v>
      </c>
      <c r="E1222" s="126">
        <v>46265</v>
      </c>
      <c r="F1222" s="2" t="s">
        <v>77</v>
      </c>
      <c r="G1222" s="300"/>
      <c r="H1222" s="300"/>
      <c r="I1222" s="300"/>
      <c r="J1222" s="300">
        <v>5</v>
      </c>
      <c r="K1222" s="4" t="s">
        <v>1641</v>
      </c>
      <c r="L1222" s="4"/>
      <c r="M1222" s="4" t="s">
        <v>1679</v>
      </c>
      <c r="N1222" s="4" t="s">
        <v>387</v>
      </c>
      <c r="O1222" s="4" t="s">
        <v>47</v>
      </c>
      <c r="P1222" s="4" t="s">
        <v>438</v>
      </c>
      <c r="Q1222" s="4" t="s">
        <v>61</v>
      </c>
      <c r="U1222" s="4"/>
      <c r="V1222" s="2"/>
    </row>
    <row r="1223" spans="1:22" customFormat="1" hidden="1" x14ac:dyDescent="0.2">
      <c r="A1223" s="2" t="s">
        <v>247</v>
      </c>
      <c r="B1223" s="2" t="s">
        <v>1</v>
      </c>
      <c r="C1223" s="93">
        <v>46265</v>
      </c>
      <c r="D1223" s="164">
        <v>46265</v>
      </c>
      <c r="E1223" s="126">
        <v>46265</v>
      </c>
      <c r="F1223" s="2" t="s">
        <v>77</v>
      </c>
      <c r="G1223" s="300"/>
      <c r="H1223" s="300"/>
      <c r="I1223" s="300"/>
      <c r="J1223" s="300">
        <v>4000</v>
      </c>
      <c r="K1223" s="4" t="s">
        <v>1641</v>
      </c>
      <c r="L1223" s="4"/>
      <c r="M1223" s="4" t="s">
        <v>1678</v>
      </c>
      <c r="N1223" s="4" t="s">
        <v>364</v>
      </c>
      <c r="O1223" s="4" t="s">
        <v>47</v>
      </c>
      <c r="P1223" s="4" t="s">
        <v>438</v>
      </c>
      <c r="Q1223" s="4" t="s">
        <v>61</v>
      </c>
      <c r="U1223" s="4"/>
      <c r="V1223" s="2"/>
    </row>
    <row r="1224" spans="1:22" customFormat="1" hidden="1" x14ac:dyDescent="0.2">
      <c r="A1224" s="2" t="s">
        <v>247</v>
      </c>
      <c r="B1224" s="2" t="s">
        <v>1</v>
      </c>
      <c r="C1224" s="93">
        <v>46265</v>
      </c>
      <c r="D1224" s="164"/>
      <c r="E1224" s="126">
        <v>46265</v>
      </c>
      <c r="F1224" s="2" t="s">
        <v>77</v>
      </c>
      <c r="G1224" s="300">
        <v>210.51</v>
      </c>
      <c r="H1224" s="300">
        <v>18.940000000000001</v>
      </c>
      <c r="I1224" s="300">
        <f>G1224+H1224</f>
        <v>229.45</v>
      </c>
      <c r="J1224" s="300">
        <v>176.71</v>
      </c>
      <c r="K1224" s="4" t="s">
        <v>774</v>
      </c>
      <c r="L1224" s="4"/>
      <c r="M1224" s="4" t="s">
        <v>1677</v>
      </c>
      <c r="N1224" s="4" t="s">
        <v>60</v>
      </c>
      <c r="O1224" s="4" t="s">
        <v>60</v>
      </c>
      <c r="P1224" s="4" t="s">
        <v>333</v>
      </c>
      <c r="Q1224" s="4" t="s">
        <v>62</v>
      </c>
      <c r="U1224" s="4"/>
      <c r="V1224" s="2"/>
    </row>
    <row r="1225" spans="1:22" customFormat="1" hidden="1" x14ac:dyDescent="0.2">
      <c r="A1225" s="2" t="s">
        <v>247</v>
      </c>
      <c r="B1225" s="2" t="s">
        <v>1</v>
      </c>
      <c r="C1225" s="93">
        <v>46265</v>
      </c>
      <c r="D1225" s="164"/>
      <c r="E1225" s="126">
        <v>46265</v>
      </c>
      <c r="F1225" s="2" t="s">
        <v>77</v>
      </c>
      <c r="G1225" s="300"/>
      <c r="H1225" s="300"/>
      <c r="I1225" s="300"/>
      <c r="J1225" s="300">
        <v>55.5</v>
      </c>
      <c r="K1225" s="4" t="s">
        <v>893</v>
      </c>
      <c r="L1225" s="4"/>
      <c r="M1225" s="4" t="s">
        <v>1677</v>
      </c>
      <c r="N1225" s="4" t="s">
        <v>657</v>
      </c>
      <c r="O1225" s="4" t="s">
        <v>398</v>
      </c>
      <c r="P1225" s="4" t="s">
        <v>333</v>
      </c>
      <c r="Q1225" s="4" t="s">
        <v>62</v>
      </c>
      <c r="U1225" s="4"/>
      <c r="V1225" s="2"/>
    </row>
    <row r="1226" spans="1:22" customFormat="1" hidden="1" x14ac:dyDescent="0.2">
      <c r="A1226" s="2" t="s">
        <v>247</v>
      </c>
      <c r="B1226" s="2" t="s">
        <v>1</v>
      </c>
      <c r="C1226" s="93">
        <v>46290</v>
      </c>
      <c r="D1226" s="164"/>
      <c r="E1226" s="126">
        <v>46290</v>
      </c>
      <c r="F1226" s="2" t="s">
        <v>77</v>
      </c>
      <c r="G1226" s="300">
        <v>66.5</v>
      </c>
      <c r="H1226" s="300">
        <v>5.99</v>
      </c>
      <c r="I1226" s="300">
        <v>72.489999999999995</v>
      </c>
      <c r="J1226" s="300">
        <v>55.83</v>
      </c>
      <c r="K1226" s="4" t="s">
        <v>665</v>
      </c>
      <c r="L1226" s="4"/>
      <c r="M1226" s="4" t="s">
        <v>666</v>
      </c>
      <c r="N1226" s="4" t="s">
        <v>50</v>
      </c>
      <c r="O1226" s="4" t="s">
        <v>50</v>
      </c>
      <c r="P1226" s="4" t="s">
        <v>340</v>
      </c>
      <c r="Q1226" s="4" t="s">
        <v>62</v>
      </c>
      <c r="U1226" s="4"/>
      <c r="V1226" s="2"/>
    </row>
    <row r="1227" spans="1:22" customFormat="1" hidden="1" x14ac:dyDescent="0.2">
      <c r="A1227" s="2" t="s">
        <v>247</v>
      </c>
      <c r="B1227" s="2" t="s">
        <v>1</v>
      </c>
      <c r="C1227" s="93">
        <v>46290</v>
      </c>
      <c r="D1227" s="164"/>
      <c r="E1227" s="126">
        <v>46290</v>
      </c>
      <c r="F1227" s="2" t="s">
        <v>77</v>
      </c>
      <c r="G1227" s="300"/>
      <c r="H1227" s="300"/>
      <c r="I1227" s="300"/>
      <c r="J1227" s="300">
        <v>92.415003695033164</v>
      </c>
      <c r="K1227" s="4" t="s">
        <v>659</v>
      </c>
      <c r="L1227" s="4"/>
      <c r="M1227" s="4" t="s">
        <v>1676</v>
      </c>
      <c r="N1227" s="4" t="s">
        <v>370</v>
      </c>
      <c r="O1227" s="4" t="s">
        <v>371</v>
      </c>
      <c r="P1227" s="4" t="s">
        <v>340</v>
      </c>
      <c r="Q1227" s="4" t="s">
        <v>62</v>
      </c>
      <c r="U1227" s="4"/>
      <c r="V1227" s="2"/>
    </row>
    <row r="1228" spans="1:22" customFormat="1" hidden="1" x14ac:dyDescent="0.2">
      <c r="A1228" s="2" t="s">
        <v>247</v>
      </c>
      <c r="B1228" s="2" t="s">
        <v>1</v>
      </c>
      <c r="C1228" s="93">
        <v>46290</v>
      </c>
      <c r="D1228" s="164"/>
      <c r="E1228" s="126">
        <v>46290</v>
      </c>
      <c r="F1228" s="2" t="s">
        <v>77</v>
      </c>
      <c r="G1228" s="300">
        <v>26042.28</v>
      </c>
      <c r="H1228" s="300">
        <v>0</v>
      </c>
      <c r="I1228" s="300">
        <v>26042.28</v>
      </c>
      <c r="J1228" s="300">
        <v>20055.811686892401</v>
      </c>
      <c r="K1228" s="4" t="s">
        <v>660</v>
      </c>
      <c r="L1228" s="4"/>
      <c r="M1228" s="4" t="s">
        <v>1675</v>
      </c>
      <c r="N1228" s="4" t="s">
        <v>409</v>
      </c>
      <c r="O1228" s="4" t="s">
        <v>410</v>
      </c>
      <c r="P1228" s="4" t="s">
        <v>340</v>
      </c>
      <c r="Q1228" s="4" t="s">
        <v>62</v>
      </c>
      <c r="U1228" s="4"/>
      <c r="V1228" s="2"/>
    </row>
    <row r="1229" spans="1:22" customFormat="1" hidden="1" x14ac:dyDescent="0.2">
      <c r="A1229" s="2" t="s">
        <v>247</v>
      </c>
      <c r="B1229" s="2" t="s">
        <v>1</v>
      </c>
      <c r="C1229" s="93">
        <v>46290</v>
      </c>
      <c r="D1229" s="164"/>
      <c r="E1229" s="126">
        <v>46290</v>
      </c>
      <c r="F1229" s="2" t="s">
        <v>77</v>
      </c>
      <c r="G1229" s="300">
        <v>158</v>
      </c>
      <c r="H1229" s="300">
        <v>14.22</v>
      </c>
      <c r="I1229" s="300">
        <v>172.22</v>
      </c>
      <c r="J1229" s="300">
        <v>132.63</v>
      </c>
      <c r="K1229" s="4" t="s">
        <v>661</v>
      </c>
      <c r="L1229" s="4"/>
      <c r="M1229" s="4" t="s">
        <v>1674</v>
      </c>
      <c r="N1229" s="4" t="s">
        <v>374</v>
      </c>
      <c r="O1229" s="4" t="s">
        <v>375</v>
      </c>
      <c r="P1229" s="4" t="s">
        <v>376</v>
      </c>
      <c r="Q1229" s="4" t="s">
        <v>62</v>
      </c>
      <c r="U1229" s="4"/>
      <c r="V1229" s="2"/>
    </row>
    <row r="1230" spans="1:22" customFormat="1" hidden="1" x14ac:dyDescent="0.2">
      <c r="A1230" s="2" t="s">
        <v>247</v>
      </c>
      <c r="B1230" s="2" t="s">
        <v>1</v>
      </c>
      <c r="C1230" s="93">
        <v>46290</v>
      </c>
      <c r="D1230" s="164"/>
      <c r="E1230" s="126">
        <v>46290</v>
      </c>
      <c r="F1230" s="2" t="s">
        <v>77</v>
      </c>
      <c r="G1230" s="300">
        <v>70</v>
      </c>
      <c r="H1230" s="300">
        <v>6.3</v>
      </c>
      <c r="I1230" s="300">
        <v>76.3</v>
      </c>
      <c r="J1230" s="300">
        <v>58.76</v>
      </c>
      <c r="K1230" s="4" t="s">
        <v>661</v>
      </c>
      <c r="L1230" s="4"/>
      <c r="M1230" s="4" t="s">
        <v>1674</v>
      </c>
      <c r="N1230" s="4" t="s">
        <v>374</v>
      </c>
      <c r="O1230" s="4" t="s">
        <v>375</v>
      </c>
      <c r="P1230" s="4" t="s">
        <v>376</v>
      </c>
      <c r="Q1230" s="4" t="s">
        <v>62</v>
      </c>
      <c r="U1230" s="4"/>
      <c r="V1230" s="2"/>
    </row>
    <row r="1231" spans="1:22" customFormat="1" hidden="1" x14ac:dyDescent="0.2">
      <c r="A1231" s="2" t="s">
        <v>247</v>
      </c>
      <c r="B1231" s="2" t="s">
        <v>1</v>
      </c>
      <c r="C1231" s="93">
        <v>46290</v>
      </c>
      <c r="D1231" s="164"/>
      <c r="E1231" s="126">
        <v>46290</v>
      </c>
      <c r="F1231" s="2" t="s">
        <v>77</v>
      </c>
      <c r="G1231" s="300">
        <v>584.1</v>
      </c>
      <c r="H1231" s="300">
        <v>52.57</v>
      </c>
      <c r="I1231" s="300">
        <v>636.66999999999996</v>
      </c>
      <c r="J1231" s="300">
        <v>490.32</v>
      </c>
      <c r="K1231" s="4" t="s">
        <v>661</v>
      </c>
      <c r="L1231" s="4"/>
      <c r="M1231" s="4" t="s">
        <v>1674</v>
      </c>
      <c r="N1231" s="4" t="s">
        <v>374</v>
      </c>
      <c r="O1231" s="4" t="s">
        <v>375</v>
      </c>
      <c r="P1231" s="4" t="s">
        <v>376</v>
      </c>
      <c r="Q1231" s="4" t="s">
        <v>62</v>
      </c>
      <c r="U1231" s="4"/>
      <c r="V1231" s="2"/>
    </row>
    <row r="1232" spans="1:22" customFormat="1" hidden="1" x14ac:dyDescent="0.2">
      <c r="A1232" s="2" t="s">
        <v>247</v>
      </c>
      <c r="B1232" s="2" t="s">
        <v>1</v>
      </c>
      <c r="C1232" s="93">
        <v>46290</v>
      </c>
      <c r="D1232" s="164"/>
      <c r="E1232" s="126">
        <v>46290</v>
      </c>
      <c r="F1232" s="2" t="s">
        <v>77</v>
      </c>
      <c r="G1232" s="300">
        <v>6175</v>
      </c>
      <c r="H1232" s="300">
        <v>0</v>
      </c>
      <c r="I1232" s="300">
        <v>6175</v>
      </c>
      <c r="J1232" s="300">
        <v>4755.5220651402487</v>
      </c>
      <c r="K1232" s="4" t="s">
        <v>661</v>
      </c>
      <c r="L1232" s="4"/>
      <c r="M1232" s="4" t="s">
        <v>1673</v>
      </c>
      <c r="N1232" s="4" t="s">
        <v>58</v>
      </c>
      <c r="O1232" s="4" t="s">
        <v>58</v>
      </c>
      <c r="P1232" s="4" t="s">
        <v>59</v>
      </c>
      <c r="Q1232" s="4" t="s">
        <v>55</v>
      </c>
      <c r="U1232" s="4"/>
      <c r="V1232" s="2"/>
    </row>
    <row r="1233" spans="1:22" customFormat="1" hidden="1" x14ac:dyDescent="0.2">
      <c r="A1233" s="2" t="s">
        <v>247</v>
      </c>
      <c r="B1233" s="2" t="s">
        <v>1</v>
      </c>
      <c r="C1233" s="93">
        <v>46290</v>
      </c>
      <c r="D1233" s="164"/>
      <c r="E1233" s="126">
        <v>46290</v>
      </c>
      <c r="F1233" s="2" t="s">
        <v>77</v>
      </c>
      <c r="G1233" s="300">
        <v>325</v>
      </c>
      <c r="H1233" s="300">
        <v>0</v>
      </c>
      <c r="I1233" s="300">
        <v>325</v>
      </c>
      <c r="J1233" s="300">
        <v>250.2906350073815</v>
      </c>
      <c r="K1233" s="4" t="s">
        <v>661</v>
      </c>
      <c r="L1233" s="4"/>
      <c r="M1233" s="4" t="s">
        <v>1673</v>
      </c>
      <c r="N1233" s="4" t="s">
        <v>58</v>
      </c>
      <c r="O1233" s="4" t="s">
        <v>58</v>
      </c>
      <c r="P1233" s="4" t="s">
        <v>56</v>
      </c>
      <c r="Q1233" s="4" t="s">
        <v>55</v>
      </c>
      <c r="U1233" s="4"/>
      <c r="V1233" s="2"/>
    </row>
    <row r="1234" spans="1:22" customFormat="1" hidden="1" x14ac:dyDescent="0.2">
      <c r="A1234" s="2" t="s">
        <v>247</v>
      </c>
      <c r="B1234" s="2" t="s">
        <v>1</v>
      </c>
      <c r="C1234" s="93">
        <v>46290</v>
      </c>
      <c r="D1234" s="164"/>
      <c r="E1234" s="126">
        <v>46290</v>
      </c>
      <c r="F1234" s="2" t="s">
        <v>77</v>
      </c>
      <c r="G1234" s="300">
        <v>6175</v>
      </c>
      <c r="H1234" s="300">
        <v>0</v>
      </c>
      <c r="I1234" s="300">
        <v>6175</v>
      </c>
      <c r="J1234" s="300">
        <v>4755.5220651402487</v>
      </c>
      <c r="K1234" s="4" t="s">
        <v>661</v>
      </c>
      <c r="L1234" s="4"/>
      <c r="M1234" s="4" t="s">
        <v>1673</v>
      </c>
      <c r="N1234" s="4" t="s">
        <v>58</v>
      </c>
      <c r="O1234" s="4" t="s">
        <v>58</v>
      </c>
      <c r="P1234" s="4" t="s">
        <v>57</v>
      </c>
      <c r="Q1234" s="4" t="s">
        <v>55</v>
      </c>
      <c r="U1234" s="4"/>
      <c r="V1234" s="2"/>
    </row>
    <row r="1235" spans="1:22" customFormat="1" hidden="1" x14ac:dyDescent="0.2">
      <c r="A1235" s="2" t="s">
        <v>247</v>
      </c>
      <c r="B1235" s="2" t="s">
        <v>1</v>
      </c>
      <c r="C1235" s="93">
        <v>46290</v>
      </c>
      <c r="D1235" s="164"/>
      <c r="E1235" s="126">
        <v>46290</v>
      </c>
      <c r="F1235" s="2" t="s">
        <v>77</v>
      </c>
      <c r="G1235" s="300">
        <v>600</v>
      </c>
      <c r="H1235" s="300">
        <v>0</v>
      </c>
      <c r="I1235" s="300">
        <v>600</v>
      </c>
      <c r="J1235" s="300">
        <v>462.07501847516585</v>
      </c>
      <c r="K1235" s="4" t="s">
        <v>757</v>
      </c>
      <c r="L1235" s="4"/>
      <c r="M1235" s="4" t="s">
        <v>1672</v>
      </c>
      <c r="N1235" s="4" t="s">
        <v>621</v>
      </c>
      <c r="O1235" s="4" t="s">
        <v>618</v>
      </c>
      <c r="P1235" s="4" t="s">
        <v>340</v>
      </c>
      <c r="Q1235" s="4" t="s">
        <v>62</v>
      </c>
      <c r="U1235" s="4"/>
      <c r="V1235" s="2"/>
    </row>
    <row r="1236" spans="1:22" customFormat="1" hidden="1" x14ac:dyDescent="0.2">
      <c r="A1236" s="2" t="s">
        <v>247</v>
      </c>
      <c r="B1236" s="2" t="s">
        <v>1</v>
      </c>
      <c r="C1236" s="93">
        <v>46295</v>
      </c>
      <c r="D1236" s="164">
        <v>46295</v>
      </c>
      <c r="E1236" s="126">
        <v>46295</v>
      </c>
      <c r="F1236" s="2" t="s">
        <v>77</v>
      </c>
      <c r="G1236" s="300"/>
      <c r="H1236" s="300"/>
      <c r="I1236" s="300"/>
      <c r="J1236" s="300">
        <v>4000</v>
      </c>
      <c r="K1236" s="4" t="s">
        <v>1641</v>
      </c>
      <c r="L1236" s="4"/>
      <c r="M1236" s="4" t="s">
        <v>1671</v>
      </c>
      <c r="N1236" s="4" t="s">
        <v>387</v>
      </c>
      <c r="O1236" s="4" t="s">
        <v>47</v>
      </c>
      <c r="P1236" s="4" t="s">
        <v>354</v>
      </c>
      <c r="Q1236" s="4" t="s">
        <v>61</v>
      </c>
      <c r="U1236" s="4"/>
      <c r="V1236" s="2"/>
    </row>
    <row r="1237" spans="1:22" customFormat="1" hidden="1" x14ac:dyDescent="0.2">
      <c r="A1237" s="2" t="s">
        <v>247</v>
      </c>
      <c r="B1237" s="2" t="s">
        <v>1</v>
      </c>
      <c r="C1237" s="93">
        <v>46295</v>
      </c>
      <c r="D1237" s="164">
        <v>46295</v>
      </c>
      <c r="E1237" s="126">
        <v>46295</v>
      </c>
      <c r="F1237" s="2" t="s">
        <v>77</v>
      </c>
      <c r="G1237" s="300"/>
      <c r="H1237" s="300"/>
      <c r="I1237" s="300"/>
      <c r="J1237" s="300">
        <v>2</v>
      </c>
      <c r="K1237" s="4" t="s">
        <v>1641</v>
      </c>
      <c r="L1237" s="4"/>
      <c r="M1237" s="4" t="s">
        <v>1671</v>
      </c>
      <c r="N1237" s="4" t="s">
        <v>387</v>
      </c>
      <c r="O1237" s="4" t="s">
        <v>47</v>
      </c>
      <c r="P1237" s="4" t="s">
        <v>354</v>
      </c>
      <c r="Q1237" s="4" t="s">
        <v>61</v>
      </c>
      <c r="U1237" s="4"/>
      <c r="V1237" s="2"/>
    </row>
    <row r="1238" spans="1:22" customFormat="1" hidden="1" x14ac:dyDescent="0.2">
      <c r="A1238" s="2" t="s">
        <v>247</v>
      </c>
      <c r="B1238" s="2" t="s">
        <v>1</v>
      </c>
      <c r="C1238" s="93">
        <v>46295</v>
      </c>
      <c r="D1238" s="164">
        <v>46295</v>
      </c>
      <c r="E1238" s="126">
        <v>46295</v>
      </c>
      <c r="F1238" s="2" t="s">
        <v>77</v>
      </c>
      <c r="G1238" s="300"/>
      <c r="H1238" s="300"/>
      <c r="I1238" s="300"/>
      <c r="J1238" s="300">
        <v>2000</v>
      </c>
      <c r="K1238" s="4" t="s">
        <v>1641</v>
      </c>
      <c r="L1238" s="4"/>
      <c r="M1238" s="4" t="s">
        <v>1670</v>
      </c>
      <c r="N1238" s="4" t="s">
        <v>364</v>
      </c>
      <c r="O1238" s="4" t="s">
        <v>47</v>
      </c>
      <c r="P1238" s="4" t="s">
        <v>354</v>
      </c>
      <c r="Q1238" s="4" t="s">
        <v>61</v>
      </c>
      <c r="U1238" s="4"/>
      <c r="V1238" s="2"/>
    </row>
    <row r="1239" spans="1:22" customFormat="1" hidden="1" x14ac:dyDescent="0.2">
      <c r="A1239" s="2" t="s">
        <v>247</v>
      </c>
      <c r="B1239" s="2" t="s">
        <v>1</v>
      </c>
      <c r="C1239" s="93">
        <v>46295</v>
      </c>
      <c r="D1239" s="164">
        <v>46295</v>
      </c>
      <c r="E1239" s="126">
        <v>46295</v>
      </c>
      <c r="F1239" s="2" t="s">
        <v>77</v>
      </c>
      <c r="G1239" s="300"/>
      <c r="H1239" s="300"/>
      <c r="I1239" s="300"/>
      <c r="J1239" s="300">
        <v>17000</v>
      </c>
      <c r="K1239" s="4" t="s">
        <v>1641</v>
      </c>
      <c r="L1239" s="4"/>
      <c r="M1239" s="4" t="s">
        <v>1671</v>
      </c>
      <c r="N1239" s="4" t="s">
        <v>387</v>
      </c>
      <c r="O1239" s="4" t="s">
        <v>47</v>
      </c>
      <c r="P1239" s="4" t="s">
        <v>45</v>
      </c>
      <c r="Q1239" s="4" t="s">
        <v>45</v>
      </c>
      <c r="U1239" s="4"/>
      <c r="V1239" s="2"/>
    </row>
    <row r="1240" spans="1:22" customFormat="1" hidden="1" x14ac:dyDescent="0.2">
      <c r="A1240" s="2" t="s">
        <v>247</v>
      </c>
      <c r="B1240" s="2" t="s">
        <v>1</v>
      </c>
      <c r="C1240" s="93">
        <v>46295</v>
      </c>
      <c r="D1240" s="164">
        <v>46295</v>
      </c>
      <c r="E1240" s="126">
        <v>46295</v>
      </c>
      <c r="F1240" s="2" t="s">
        <v>77</v>
      </c>
      <c r="G1240" s="300"/>
      <c r="H1240" s="300"/>
      <c r="I1240" s="300"/>
      <c r="J1240" s="300">
        <v>6</v>
      </c>
      <c r="K1240" s="4" t="s">
        <v>1641</v>
      </c>
      <c r="L1240" s="4"/>
      <c r="M1240" s="4" t="s">
        <v>1671</v>
      </c>
      <c r="N1240" s="4" t="s">
        <v>387</v>
      </c>
      <c r="O1240" s="4" t="s">
        <v>47</v>
      </c>
      <c r="P1240" s="4" t="s">
        <v>45</v>
      </c>
      <c r="Q1240" s="4" t="s">
        <v>45</v>
      </c>
      <c r="U1240" s="4"/>
      <c r="V1240" s="2"/>
    </row>
    <row r="1241" spans="1:22" customFormat="1" hidden="1" x14ac:dyDescent="0.2">
      <c r="A1241" s="2" t="s">
        <v>247</v>
      </c>
      <c r="B1241" s="2" t="s">
        <v>1</v>
      </c>
      <c r="C1241" s="93">
        <v>46295</v>
      </c>
      <c r="D1241" s="164">
        <v>46295</v>
      </c>
      <c r="E1241" s="126">
        <v>46295</v>
      </c>
      <c r="F1241" s="2" t="s">
        <v>77</v>
      </c>
      <c r="G1241" s="300"/>
      <c r="H1241" s="300"/>
      <c r="I1241" s="300"/>
      <c r="J1241" s="300">
        <v>6000</v>
      </c>
      <c r="K1241" s="4" t="s">
        <v>1641</v>
      </c>
      <c r="L1241" s="4"/>
      <c r="M1241" s="4" t="s">
        <v>1670</v>
      </c>
      <c r="N1241" s="4" t="s">
        <v>364</v>
      </c>
      <c r="O1241" s="4" t="s">
        <v>47</v>
      </c>
      <c r="P1241" s="4" t="s">
        <v>45</v>
      </c>
      <c r="Q1241" s="4" t="s">
        <v>45</v>
      </c>
      <c r="U1241" s="4"/>
      <c r="V1241" s="2"/>
    </row>
    <row r="1242" spans="1:22" customFormat="1" hidden="1" x14ac:dyDescent="0.2">
      <c r="A1242" s="2" t="s">
        <v>247</v>
      </c>
      <c r="B1242" s="2" t="s">
        <v>1</v>
      </c>
      <c r="C1242" s="93">
        <v>46295</v>
      </c>
      <c r="D1242" s="164">
        <v>46295</v>
      </c>
      <c r="E1242" s="126">
        <v>46295</v>
      </c>
      <c r="F1242" s="2" t="s">
        <v>77</v>
      </c>
      <c r="G1242" s="300"/>
      <c r="H1242" s="300"/>
      <c r="I1242" s="300"/>
      <c r="J1242" s="300">
        <v>32000</v>
      </c>
      <c r="K1242" s="4" t="s">
        <v>1641</v>
      </c>
      <c r="L1242" s="4"/>
      <c r="M1242" s="4" t="s">
        <v>1671</v>
      </c>
      <c r="N1242" s="4" t="s">
        <v>387</v>
      </c>
      <c r="O1242" s="4" t="s">
        <v>47</v>
      </c>
      <c r="P1242" s="4" t="s">
        <v>658</v>
      </c>
      <c r="Q1242" s="4" t="s">
        <v>61</v>
      </c>
      <c r="U1242" s="4"/>
      <c r="V1242" s="2"/>
    </row>
    <row r="1243" spans="1:22" customFormat="1" hidden="1" x14ac:dyDescent="0.2">
      <c r="A1243" s="2" t="s">
        <v>247</v>
      </c>
      <c r="B1243" s="2" t="s">
        <v>1</v>
      </c>
      <c r="C1243" s="93">
        <v>46295</v>
      </c>
      <c r="D1243" s="164">
        <v>46295</v>
      </c>
      <c r="E1243" s="126">
        <v>46295</v>
      </c>
      <c r="F1243" s="2" t="s">
        <v>77</v>
      </c>
      <c r="G1243" s="300"/>
      <c r="H1243" s="300"/>
      <c r="I1243" s="300"/>
      <c r="J1243" s="300">
        <v>3</v>
      </c>
      <c r="K1243" s="4" t="s">
        <v>1641</v>
      </c>
      <c r="L1243" s="4"/>
      <c r="M1243" s="4" t="s">
        <v>1671</v>
      </c>
      <c r="N1243" s="4" t="s">
        <v>387</v>
      </c>
      <c r="O1243" s="4" t="s">
        <v>47</v>
      </c>
      <c r="P1243" s="4" t="s">
        <v>658</v>
      </c>
      <c r="Q1243" s="4" t="s">
        <v>61</v>
      </c>
      <c r="U1243" s="4"/>
      <c r="V1243" s="2"/>
    </row>
    <row r="1244" spans="1:22" customFormat="1" hidden="1" x14ac:dyDescent="0.2">
      <c r="A1244" s="2" t="s">
        <v>247</v>
      </c>
      <c r="B1244" s="2" t="s">
        <v>1</v>
      </c>
      <c r="C1244" s="93">
        <v>46295</v>
      </c>
      <c r="D1244" s="164">
        <v>46295</v>
      </c>
      <c r="E1244" s="126">
        <v>46295</v>
      </c>
      <c r="F1244" s="2" t="s">
        <v>77</v>
      </c>
      <c r="G1244" s="300"/>
      <c r="H1244" s="300"/>
      <c r="I1244" s="300"/>
      <c r="J1244" s="300">
        <v>2500</v>
      </c>
      <c r="K1244" s="4" t="s">
        <v>1641</v>
      </c>
      <c r="L1244" s="4"/>
      <c r="M1244" s="4" t="s">
        <v>1670</v>
      </c>
      <c r="N1244" s="4" t="s">
        <v>364</v>
      </c>
      <c r="O1244" s="4" t="s">
        <v>47</v>
      </c>
      <c r="P1244" s="4" t="s">
        <v>658</v>
      </c>
      <c r="Q1244" s="4" t="s">
        <v>61</v>
      </c>
      <c r="U1244" s="4"/>
      <c r="V1244" s="2"/>
    </row>
    <row r="1245" spans="1:22" customFormat="1" hidden="1" x14ac:dyDescent="0.2">
      <c r="A1245" s="2" t="s">
        <v>247</v>
      </c>
      <c r="B1245" s="2" t="s">
        <v>1</v>
      </c>
      <c r="C1245" s="93">
        <v>46295</v>
      </c>
      <c r="D1245" s="164">
        <v>46295</v>
      </c>
      <c r="E1245" s="126">
        <v>46295</v>
      </c>
      <c r="F1245" s="2" t="s">
        <v>77</v>
      </c>
      <c r="G1245" s="300"/>
      <c r="H1245" s="300"/>
      <c r="I1245" s="300"/>
      <c r="J1245" s="300">
        <v>2000</v>
      </c>
      <c r="K1245" s="4" t="s">
        <v>1641</v>
      </c>
      <c r="L1245" s="4"/>
      <c r="M1245" s="4" t="s">
        <v>1671</v>
      </c>
      <c r="N1245" s="4" t="s">
        <v>387</v>
      </c>
      <c r="O1245" s="4" t="s">
        <v>47</v>
      </c>
      <c r="P1245" s="4" t="s">
        <v>333</v>
      </c>
      <c r="Q1245" s="4" t="s">
        <v>62</v>
      </c>
      <c r="U1245" s="4"/>
      <c r="V1245" s="2"/>
    </row>
    <row r="1246" spans="1:22" customFormat="1" hidden="1" x14ac:dyDescent="0.2">
      <c r="A1246" s="2" t="s">
        <v>247</v>
      </c>
      <c r="B1246" s="2" t="s">
        <v>1</v>
      </c>
      <c r="C1246" s="93">
        <v>46295</v>
      </c>
      <c r="D1246" s="164">
        <v>46295</v>
      </c>
      <c r="E1246" s="126">
        <v>46295</v>
      </c>
      <c r="F1246" s="2" t="s">
        <v>77</v>
      </c>
      <c r="G1246" s="300"/>
      <c r="H1246" s="300"/>
      <c r="I1246" s="300"/>
      <c r="J1246" s="300">
        <v>1</v>
      </c>
      <c r="K1246" s="4" t="s">
        <v>1641</v>
      </c>
      <c r="L1246" s="4"/>
      <c r="M1246" s="4" t="s">
        <v>1671</v>
      </c>
      <c r="N1246" s="4" t="s">
        <v>387</v>
      </c>
      <c r="O1246" s="4" t="s">
        <v>47</v>
      </c>
      <c r="P1246" s="4" t="s">
        <v>333</v>
      </c>
      <c r="Q1246" s="4" t="s">
        <v>62</v>
      </c>
      <c r="U1246" s="4"/>
      <c r="V1246" s="2"/>
    </row>
    <row r="1247" spans="1:22" customFormat="1" hidden="1" x14ac:dyDescent="0.2">
      <c r="A1247" s="2" t="s">
        <v>247</v>
      </c>
      <c r="B1247" s="2" t="s">
        <v>1</v>
      </c>
      <c r="C1247" s="93">
        <v>46295</v>
      </c>
      <c r="D1247" s="164">
        <v>46295</v>
      </c>
      <c r="E1247" s="126">
        <v>46295</v>
      </c>
      <c r="F1247" s="2" t="s">
        <v>77</v>
      </c>
      <c r="G1247" s="300"/>
      <c r="H1247" s="300"/>
      <c r="I1247" s="300"/>
      <c r="J1247" s="300">
        <v>200</v>
      </c>
      <c r="K1247" s="4" t="s">
        <v>1641</v>
      </c>
      <c r="L1247" s="4"/>
      <c r="M1247" s="4" t="s">
        <v>1670</v>
      </c>
      <c r="N1247" s="4" t="s">
        <v>364</v>
      </c>
      <c r="O1247" s="4" t="s">
        <v>47</v>
      </c>
      <c r="P1247" s="4" t="s">
        <v>333</v>
      </c>
      <c r="Q1247" s="4" t="s">
        <v>62</v>
      </c>
      <c r="U1247" s="4"/>
      <c r="V1247" s="2"/>
    </row>
    <row r="1248" spans="1:22" customFormat="1" hidden="1" x14ac:dyDescent="0.2">
      <c r="A1248" s="2" t="s">
        <v>247</v>
      </c>
      <c r="B1248" s="2" t="s">
        <v>1</v>
      </c>
      <c r="C1248" s="93">
        <v>46295</v>
      </c>
      <c r="D1248" s="164">
        <v>46295</v>
      </c>
      <c r="E1248" s="126">
        <v>46295</v>
      </c>
      <c r="F1248" s="2" t="s">
        <v>77</v>
      </c>
      <c r="G1248" s="300"/>
      <c r="H1248" s="300"/>
      <c r="I1248" s="300"/>
      <c r="J1248" s="300">
        <v>25000</v>
      </c>
      <c r="K1248" s="4" t="s">
        <v>1641</v>
      </c>
      <c r="L1248" s="4"/>
      <c r="M1248" s="4" t="s">
        <v>1671</v>
      </c>
      <c r="N1248" s="4" t="s">
        <v>387</v>
      </c>
      <c r="O1248" s="4" t="s">
        <v>47</v>
      </c>
      <c r="P1248" s="4" t="s">
        <v>350</v>
      </c>
      <c r="Q1248" s="4" t="s">
        <v>62</v>
      </c>
      <c r="U1248" s="4"/>
      <c r="V1248" s="2"/>
    </row>
    <row r="1249" spans="1:22" customFormat="1" hidden="1" x14ac:dyDescent="0.2">
      <c r="A1249" s="2" t="s">
        <v>247</v>
      </c>
      <c r="B1249" s="2" t="s">
        <v>1</v>
      </c>
      <c r="C1249" s="93">
        <v>46295</v>
      </c>
      <c r="D1249" s="164">
        <v>46295</v>
      </c>
      <c r="E1249" s="126">
        <v>46295</v>
      </c>
      <c r="F1249" s="2" t="s">
        <v>77</v>
      </c>
      <c r="G1249" s="300"/>
      <c r="H1249" s="300"/>
      <c r="I1249" s="300"/>
      <c r="J1249" s="300">
        <v>4</v>
      </c>
      <c r="K1249" s="4" t="s">
        <v>1641</v>
      </c>
      <c r="L1249" s="4"/>
      <c r="M1249" s="4" t="s">
        <v>1671</v>
      </c>
      <c r="N1249" s="4" t="s">
        <v>387</v>
      </c>
      <c r="O1249" s="4" t="s">
        <v>47</v>
      </c>
      <c r="P1249" s="4" t="s">
        <v>350</v>
      </c>
      <c r="Q1249" s="4" t="s">
        <v>62</v>
      </c>
      <c r="U1249" s="4"/>
      <c r="V1249" s="2"/>
    </row>
    <row r="1250" spans="1:22" customFormat="1" hidden="1" x14ac:dyDescent="0.2">
      <c r="A1250" s="2" t="s">
        <v>247</v>
      </c>
      <c r="B1250" s="2" t="s">
        <v>1</v>
      </c>
      <c r="C1250" s="93">
        <v>46295</v>
      </c>
      <c r="D1250" s="164">
        <v>46295</v>
      </c>
      <c r="E1250" s="126">
        <v>46295</v>
      </c>
      <c r="F1250" s="2" t="s">
        <v>77</v>
      </c>
      <c r="G1250" s="300"/>
      <c r="H1250" s="300"/>
      <c r="I1250" s="300"/>
      <c r="J1250" s="300">
        <v>6000</v>
      </c>
      <c r="K1250" s="4" t="s">
        <v>1641</v>
      </c>
      <c r="L1250" s="4"/>
      <c r="M1250" s="4" t="s">
        <v>1670</v>
      </c>
      <c r="N1250" s="4" t="s">
        <v>364</v>
      </c>
      <c r="O1250" s="4" t="s">
        <v>47</v>
      </c>
      <c r="P1250" s="4" t="s">
        <v>350</v>
      </c>
      <c r="Q1250" s="4" t="s">
        <v>62</v>
      </c>
      <c r="U1250" s="4"/>
      <c r="V1250" s="2"/>
    </row>
    <row r="1251" spans="1:22" customFormat="1" hidden="1" x14ac:dyDescent="0.2">
      <c r="A1251" s="2" t="s">
        <v>247</v>
      </c>
      <c r="B1251" s="2" t="s">
        <v>1</v>
      </c>
      <c r="C1251" s="93">
        <v>46295</v>
      </c>
      <c r="D1251" s="164">
        <v>46295</v>
      </c>
      <c r="E1251" s="126">
        <v>46295</v>
      </c>
      <c r="F1251" s="2" t="s">
        <v>77</v>
      </c>
      <c r="G1251" s="300"/>
      <c r="H1251" s="300"/>
      <c r="I1251" s="300"/>
      <c r="J1251" s="300">
        <v>3000</v>
      </c>
      <c r="K1251" s="4" t="s">
        <v>1641</v>
      </c>
      <c r="L1251" s="4"/>
      <c r="M1251" s="4" t="s">
        <v>1671</v>
      </c>
      <c r="N1251" s="4" t="s">
        <v>387</v>
      </c>
      <c r="O1251" s="4" t="s">
        <v>47</v>
      </c>
      <c r="P1251" s="4" t="s">
        <v>376</v>
      </c>
      <c r="Q1251" s="4" t="s">
        <v>62</v>
      </c>
      <c r="U1251" s="4"/>
      <c r="V1251" s="2"/>
    </row>
    <row r="1252" spans="1:22" customFormat="1" hidden="1" x14ac:dyDescent="0.2">
      <c r="A1252" s="2" t="s">
        <v>247</v>
      </c>
      <c r="B1252" s="2" t="s">
        <v>1</v>
      </c>
      <c r="C1252" s="93">
        <v>46295</v>
      </c>
      <c r="D1252" s="164">
        <v>46295</v>
      </c>
      <c r="E1252" s="126">
        <v>46295</v>
      </c>
      <c r="F1252" s="2" t="s">
        <v>77</v>
      </c>
      <c r="G1252" s="300"/>
      <c r="H1252" s="300"/>
      <c r="I1252" s="300"/>
      <c r="J1252" s="300">
        <v>1</v>
      </c>
      <c r="K1252" s="4" t="s">
        <v>1641</v>
      </c>
      <c r="L1252" s="4"/>
      <c r="M1252" s="4" t="s">
        <v>1671</v>
      </c>
      <c r="N1252" s="4" t="s">
        <v>387</v>
      </c>
      <c r="O1252" s="4" t="s">
        <v>47</v>
      </c>
      <c r="P1252" s="4" t="s">
        <v>376</v>
      </c>
      <c r="Q1252" s="4" t="s">
        <v>62</v>
      </c>
      <c r="U1252" s="4"/>
      <c r="V1252" s="2"/>
    </row>
    <row r="1253" spans="1:22" customFormat="1" hidden="1" x14ac:dyDescent="0.2">
      <c r="A1253" s="2" t="s">
        <v>247</v>
      </c>
      <c r="B1253" s="2" t="s">
        <v>1</v>
      </c>
      <c r="C1253" s="93">
        <v>46295</v>
      </c>
      <c r="D1253" s="164">
        <v>46295</v>
      </c>
      <c r="E1253" s="126">
        <v>46295</v>
      </c>
      <c r="F1253" s="2" t="s">
        <v>77</v>
      </c>
      <c r="G1253" s="300"/>
      <c r="H1253" s="300"/>
      <c r="I1253" s="300"/>
      <c r="J1253" s="300">
        <v>1500</v>
      </c>
      <c r="K1253" s="4" t="s">
        <v>1641</v>
      </c>
      <c r="L1253" s="4"/>
      <c r="M1253" s="4" t="s">
        <v>1670</v>
      </c>
      <c r="N1253" s="4" t="s">
        <v>364</v>
      </c>
      <c r="O1253" s="4" t="s">
        <v>47</v>
      </c>
      <c r="P1253" s="4" t="s">
        <v>376</v>
      </c>
      <c r="Q1253" s="4" t="s">
        <v>62</v>
      </c>
      <c r="U1253" s="4"/>
      <c r="V1253" s="2"/>
    </row>
    <row r="1254" spans="1:22" customFormat="1" hidden="1" x14ac:dyDescent="0.2">
      <c r="A1254" s="2" t="s">
        <v>247</v>
      </c>
      <c r="B1254" s="2" t="s">
        <v>1</v>
      </c>
      <c r="C1254" s="93">
        <v>46295</v>
      </c>
      <c r="D1254" s="164">
        <v>46295</v>
      </c>
      <c r="E1254" s="126">
        <v>46295</v>
      </c>
      <c r="F1254" s="2" t="s">
        <v>77</v>
      </c>
      <c r="G1254" s="300"/>
      <c r="H1254" s="300"/>
      <c r="I1254" s="300"/>
      <c r="J1254" s="300">
        <v>20000</v>
      </c>
      <c r="K1254" s="4" t="s">
        <v>1641</v>
      </c>
      <c r="L1254" s="4"/>
      <c r="M1254" s="4" t="s">
        <v>1671</v>
      </c>
      <c r="N1254" s="4" t="s">
        <v>387</v>
      </c>
      <c r="O1254" s="4" t="s">
        <v>47</v>
      </c>
      <c r="P1254" s="4" t="s">
        <v>523</v>
      </c>
      <c r="Q1254" s="4" t="s">
        <v>62</v>
      </c>
      <c r="U1254" s="4"/>
      <c r="V1254" s="2"/>
    </row>
    <row r="1255" spans="1:22" customFormat="1" hidden="1" x14ac:dyDescent="0.2">
      <c r="A1255" s="2" t="s">
        <v>247</v>
      </c>
      <c r="B1255" s="2" t="s">
        <v>1</v>
      </c>
      <c r="C1255" s="93">
        <v>46295</v>
      </c>
      <c r="D1255" s="164">
        <v>46295</v>
      </c>
      <c r="E1255" s="126">
        <v>46295</v>
      </c>
      <c r="F1255" s="2" t="s">
        <v>77</v>
      </c>
      <c r="G1255" s="300"/>
      <c r="H1255" s="300"/>
      <c r="I1255" s="300"/>
      <c r="J1255" s="300">
        <v>10</v>
      </c>
      <c r="K1255" s="4" t="s">
        <v>1641</v>
      </c>
      <c r="L1255" s="4"/>
      <c r="M1255" s="4" t="s">
        <v>1670</v>
      </c>
      <c r="N1255" s="4" t="s">
        <v>364</v>
      </c>
      <c r="O1255" s="4" t="s">
        <v>47</v>
      </c>
      <c r="P1255" s="4" t="s">
        <v>523</v>
      </c>
      <c r="Q1255" s="4" t="s">
        <v>62</v>
      </c>
      <c r="U1255" s="4"/>
      <c r="V1255" s="2"/>
    </row>
    <row r="1256" spans="1:22" customFormat="1" hidden="1" x14ac:dyDescent="0.2">
      <c r="A1256" s="2" t="s">
        <v>247</v>
      </c>
      <c r="B1256" s="2" t="s">
        <v>1</v>
      </c>
      <c r="C1256" s="93">
        <v>46295</v>
      </c>
      <c r="D1256" s="164">
        <v>46295</v>
      </c>
      <c r="E1256" s="126">
        <v>46295</v>
      </c>
      <c r="F1256" s="2" t="s">
        <v>77</v>
      </c>
      <c r="G1256" s="300"/>
      <c r="H1256" s="300"/>
      <c r="I1256" s="300"/>
      <c r="J1256" s="300">
        <v>15000</v>
      </c>
      <c r="K1256" s="4" t="s">
        <v>1641</v>
      </c>
      <c r="L1256" s="4"/>
      <c r="M1256" s="4" t="s">
        <v>1671</v>
      </c>
      <c r="N1256" s="4" t="s">
        <v>387</v>
      </c>
      <c r="O1256" s="4" t="s">
        <v>47</v>
      </c>
      <c r="P1256" s="4" t="s">
        <v>56</v>
      </c>
      <c r="Q1256" s="4" t="s">
        <v>55</v>
      </c>
      <c r="U1256" s="4"/>
      <c r="V1256" s="2"/>
    </row>
    <row r="1257" spans="1:22" customFormat="1" hidden="1" x14ac:dyDescent="0.2">
      <c r="A1257" s="2" t="s">
        <v>247</v>
      </c>
      <c r="B1257" s="2" t="s">
        <v>1</v>
      </c>
      <c r="C1257" s="93">
        <v>46295</v>
      </c>
      <c r="D1257" s="164">
        <v>46295</v>
      </c>
      <c r="E1257" s="126">
        <v>46295</v>
      </c>
      <c r="F1257" s="2" t="s">
        <v>77</v>
      </c>
      <c r="G1257" s="300"/>
      <c r="H1257" s="300"/>
      <c r="I1257" s="300"/>
      <c r="J1257" s="300">
        <v>3</v>
      </c>
      <c r="K1257" s="4" t="s">
        <v>1641</v>
      </c>
      <c r="L1257" s="4"/>
      <c r="M1257" s="4" t="s">
        <v>1671</v>
      </c>
      <c r="N1257" s="4" t="s">
        <v>387</v>
      </c>
      <c r="O1257" s="4" t="s">
        <v>47</v>
      </c>
      <c r="P1257" s="4" t="s">
        <v>56</v>
      </c>
      <c r="Q1257" s="4" t="s">
        <v>55</v>
      </c>
      <c r="U1257" s="4"/>
      <c r="V1257" s="2"/>
    </row>
    <row r="1258" spans="1:22" customFormat="1" hidden="1" x14ac:dyDescent="0.2">
      <c r="A1258" s="2" t="s">
        <v>247</v>
      </c>
      <c r="B1258" s="2" t="s">
        <v>1</v>
      </c>
      <c r="C1258" s="93">
        <v>46295</v>
      </c>
      <c r="D1258" s="164">
        <v>46295</v>
      </c>
      <c r="E1258" s="126">
        <v>46295</v>
      </c>
      <c r="F1258" s="2" t="s">
        <v>77</v>
      </c>
      <c r="G1258" s="300"/>
      <c r="H1258" s="300"/>
      <c r="I1258" s="300"/>
      <c r="J1258" s="300">
        <v>2500</v>
      </c>
      <c r="K1258" s="4" t="s">
        <v>1641</v>
      </c>
      <c r="L1258" s="4"/>
      <c r="M1258" s="4" t="s">
        <v>1670</v>
      </c>
      <c r="N1258" s="4" t="s">
        <v>364</v>
      </c>
      <c r="O1258" s="4" t="s">
        <v>47</v>
      </c>
      <c r="P1258" s="4" t="s">
        <v>56</v>
      </c>
      <c r="Q1258" s="4" t="s">
        <v>55</v>
      </c>
      <c r="U1258" s="4"/>
      <c r="V1258" s="2"/>
    </row>
    <row r="1259" spans="1:22" customFormat="1" hidden="1" x14ac:dyDescent="0.2">
      <c r="A1259" s="2" t="s">
        <v>247</v>
      </c>
      <c r="B1259" s="2" t="s">
        <v>1</v>
      </c>
      <c r="C1259" s="93">
        <v>46295</v>
      </c>
      <c r="D1259" s="164">
        <v>46295</v>
      </c>
      <c r="E1259" s="126">
        <v>46295</v>
      </c>
      <c r="F1259" s="2" t="s">
        <v>77</v>
      </c>
      <c r="G1259" s="300"/>
      <c r="H1259" s="300"/>
      <c r="I1259" s="300"/>
      <c r="J1259" s="300">
        <v>25000</v>
      </c>
      <c r="K1259" s="4" t="s">
        <v>1641</v>
      </c>
      <c r="L1259" s="4"/>
      <c r="M1259" s="4" t="s">
        <v>1671</v>
      </c>
      <c r="N1259" s="4" t="s">
        <v>387</v>
      </c>
      <c r="O1259" s="4" t="s">
        <v>47</v>
      </c>
      <c r="P1259" s="4" t="s">
        <v>59</v>
      </c>
      <c r="Q1259" s="4" t="s">
        <v>55</v>
      </c>
      <c r="U1259" s="4"/>
      <c r="V1259" s="2"/>
    </row>
    <row r="1260" spans="1:22" customFormat="1" hidden="1" x14ac:dyDescent="0.2">
      <c r="A1260" s="2" t="s">
        <v>247</v>
      </c>
      <c r="B1260" s="2" t="s">
        <v>1</v>
      </c>
      <c r="C1260" s="93">
        <v>46295</v>
      </c>
      <c r="D1260" s="164">
        <v>46295</v>
      </c>
      <c r="E1260" s="126">
        <v>46295</v>
      </c>
      <c r="F1260" s="2" t="s">
        <v>77</v>
      </c>
      <c r="G1260" s="300"/>
      <c r="H1260" s="300"/>
      <c r="I1260" s="300"/>
      <c r="J1260" s="300">
        <v>20</v>
      </c>
      <c r="K1260" s="4" t="s">
        <v>1641</v>
      </c>
      <c r="L1260" s="4"/>
      <c r="M1260" s="4" t="s">
        <v>1670</v>
      </c>
      <c r="N1260" s="4" t="s">
        <v>364</v>
      </c>
      <c r="O1260" s="4" t="s">
        <v>47</v>
      </c>
      <c r="P1260" s="4" t="s">
        <v>59</v>
      </c>
      <c r="Q1260" s="4" t="s">
        <v>55</v>
      </c>
      <c r="U1260" s="4"/>
      <c r="V1260" s="2"/>
    </row>
    <row r="1261" spans="1:22" customFormat="1" hidden="1" x14ac:dyDescent="0.2">
      <c r="A1261" s="2" t="s">
        <v>247</v>
      </c>
      <c r="B1261" s="2" t="s">
        <v>1</v>
      </c>
      <c r="C1261" s="93">
        <v>46295</v>
      </c>
      <c r="D1261" s="164">
        <v>46295</v>
      </c>
      <c r="E1261" s="126">
        <v>46295</v>
      </c>
      <c r="F1261" s="2" t="s">
        <v>77</v>
      </c>
      <c r="G1261" s="300"/>
      <c r="H1261" s="300"/>
      <c r="I1261" s="300"/>
      <c r="J1261" s="300">
        <v>15000</v>
      </c>
      <c r="K1261" s="4" t="s">
        <v>1641</v>
      </c>
      <c r="L1261" s="4"/>
      <c r="M1261" s="4" t="s">
        <v>1671</v>
      </c>
      <c r="N1261" s="4" t="s">
        <v>387</v>
      </c>
      <c r="O1261" s="4" t="s">
        <v>47</v>
      </c>
      <c r="P1261" s="4" t="s">
        <v>438</v>
      </c>
      <c r="Q1261" s="4" t="s">
        <v>61</v>
      </c>
      <c r="U1261" s="4"/>
      <c r="V1261" s="2"/>
    </row>
    <row r="1262" spans="1:22" customFormat="1" hidden="1" x14ac:dyDescent="0.2">
      <c r="A1262" s="2" t="s">
        <v>247</v>
      </c>
      <c r="B1262" s="2" t="s">
        <v>1</v>
      </c>
      <c r="C1262" s="93">
        <v>46295</v>
      </c>
      <c r="D1262" s="164">
        <v>46295</v>
      </c>
      <c r="E1262" s="126">
        <v>46295</v>
      </c>
      <c r="F1262" s="2" t="s">
        <v>77</v>
      </c>
      <c r="G1262" s="300"/>
      <c r="H1262" s="300"/>
      <c r="I1262" s="300"/>
      <c r="J1262" s="300">
        <v>5</v>
      </c>
      <c r="K1262" s="4" t="s">
        <v>1641</v>
      </c>
      <c r="L1262" s="4"/>
      <c r="M1262" s="4" t="s">
        <v>1671</v>
      </c>
      <c r="N1262" s="4" t="s">
        <v>387</v>
      </c>
      <c r="O1262" s="4" t="s">
        <v>47</v>
      </c>
      <c r="P1262" s="4" t="s">
        <v>438</v>
      </c>
      <c r="Q1262" s="4" t="s">
        <v>61</v>
      </c>
      <c r="U1262" s="4"/>
      <c r="V1262" s="2"/>
    </row>
    <row r="1263" spans="1:22" customFormat="1" hidden="1" x14ac:dyDescent="0.2">
      <c r="A1263" s="2" t="s">
        <v>247</v>
      </c>
      <c r="B1263" s="2" t="s">
        <v>1</v>
      </c>
      <c r="C1263" s="93">
        <v>46295</v>
      </c>
      <c r="D1263" s="164">
        <v>46295</v>
      </c>
      <c r="E1263" s="126">
        <v>46295</v>
      </c>
      <c r="F1263" s="2" t="s">
        <v>77</v>
      </c>
      <c r="G1263" s="300"/>
      <c r="H1263" s="300"/>
      <c r="I1263" s="300"/>
      <c r="J1263" s="300">
        <v>4000</v>
      </c>
      <c r="K1263" s="4" t="s">
        <v>1641</v>
      </c>
      <c r="L1263" s="4"/>
      <c r="M1263" s="4" t="s">
        <v>1670</v>
      </c>
      <c r="N1263" s="4" t="s">
        <v>364</v>
      </c>
      <c r="O1263" s="4" t="s">
        <v>47</v>
      </c>
      <c r="P1263" s="4" t="s">
        <v>438</v>
      </c>
      <c r="Q1263" s="4" t="s">
        <v>61</v>
      </c>
      <c r="U1263" s="4"/>
      <c r="V1263" s="2"/>
    </row>
    <row r="1264" spans="1:22" customFormat="1" hidden="1" x14ac:dyDescent="0.2">
      <c r="A1264" s="2" t="s">
        <v>247</v>
      </c>
      <c r="B1264" s="2" t="s">
        <v>1</v>
      </c>
      <c r="C1264" s="93">
        <v>46295</v>
      </c>
      <c r="D1264" s="164"/>
      <c r="E1264" s="126">
        <v>46295</v>
      </c>
      <c r="F1264" s="2" t="s">
        <v>77</v>
      </c>
      <c r="G1264" s="300">
        <v>210.51</v>
      </c>
      <c r="H1264" s="300">
        <v>18.940000000000001</v>
      </c>
      <c r="I1264" s="300">
        <f>G1264+H1264</f>
        <v>229.45</v>
      </c>
      <c r="J1264" s="300">
        <v>176.71</v>
      </c>
      <c r="K1264" s="4" t="s">
        <v>774</v>
      </c>
      <c r="L1264" s="4"/>
      <c r="M1264" s="4" t="s">
        <v>1668</v>
      </c>
      <c r="N1264" s="4" t="s">
        <v>60</v>
      </c>
      <c r="O1264" s="4" t="s">
        <v>60</v>
      </c>
      <c r="P1264" s="4" t="s">
        <v>333</v>
      </c>
      <c r="Q1264" s="4" t="s">
        <v>62</v>
      </c>
      <c r="U1264" s="4"/>
      <c r="V1264" s="2"/>
    </row>
    <row r="1265" spans="1:22" customFormat="1" hidden="1" x14ac:dyDescent="0.2">
      <c r="A1265" s="2" t="s">
        <v>247</v>
      </c>
      <c r="B1265" s="2" t="s">
        <v>1</v>
      </c>
      <c r="C1265" s="93">
        <v>46295</v>
      </c>
      <c r="D1265" s="164"/>
      <c r="E1265" s="126">
        <v>46295</v>
      </c>
      <c r="F1265" s="2" t="s">
        <v>77</v>
      </c>
      <c r="G1265" s="300">
        <v>8000</v>
      </c>
      <c r="H1265" s="300">
        <v>0</v>
      </c>
      <c r="I1265" s="300">
        <v>8000</v>
      </c>
      <c r="J1265" s="300">
        <v>6161.000246335544</v>
      </c>
      <c r="K1265" s="4" t="s">
        <v>662</v>
      </c>
      <c r="L1265" s="4"/>
      <c r="M1265" s="4" t="s">
        <v>1669</v>
      </c>
      <c r="N1265" s="4" t="s">
        <v>367</v>
      </c>
      <c r="O1265" s="134" t="str">
        <f>_xlfn.XLOOKUP(N1265,[1]!costcategory[Account Code],[1]!costcategory[Cost Category],"ERROR")</f>
        <v>Professional &amp; Consultancy Fees</v>
      </c>
      <c r="P1265" s="4" t="s">
        <v>340</v>
      </c>
      <c r="Q1265" s="147" t="str">
        <f>_xlfn.XLOOKUP(P1265,[1]!Table2[Department],[1]!Table2[Group],"ERROR")</f>
        <v>General &amp; Administrative</v>
      </c>
      <c r="U1265" s="4"/>
      <c r="V1265" s="2"/>
    </row>
    <row r="1266" spans="1:22" customFormat="1" hidden="1" x14ac:dyDescent="0.2">
      <c r="A1266" s="2" t="s">
        <v>247</v>
      </c>
      <c r="B1266" s="2" t="s">
        <v>1</v>
      </c>
      <c r="C1266" s="93">
        <v>46295</v>
      </c>
      <c r="D1266" s="164"/>
      <c r="E1266" s="126">
        <v>46295</v>
      </c>
      <c r="F1266" s="2" t="s">
        <v>77</v>
      </c>
      <c r="G1266" s="300"/>
      <c r="H1266" s="300"/>
      <c r="I1266" s="300"/>
      <c r="J1266" s="300">
        <v>55.5</v>
      </c>
      <c r="K1266" s="4" t="s">
        <v>893</v>
      </c>
      <c r="L1266" s="4"/>
      <c r="M1266" s="4" t="s">
        <v>1668</v>
      </c>
      <c r="N1266" s="4" t="s">
        <v>657</v>
      </c>
      <c r="O1266" s="4" t="s">
        <v>398</v>
      </c>
      <c r="P1266" s="4" t="s">
        <v>333</v>
      </c>
      <c r="Q1266" s="4" t="s">
        <v>62</v>
      </c>
      <c r="U1266" s="4"/>
      <c r="V1266" s="2"/>
    </row>
    <row r="1267" spans="1:22" customFormat="1" hidden="1" x14ac:dyDescent="0.2">
      <c r="A1267" s="2" t="s">
        <v>247</v>
      </c>
      <c r="B1267" s="2" t="s">
        <v>1</v>
      </c>
      <c r="C1267" s="93">
        <v>46320</v>
      </c>
      <c r="D1267" s="164"/>
      <c r="E1267" s="126">
        <v>46320</v>
      </c>
      <c r="F1267" s="2" t="s">
        <v>77</v>
      </c>
      <c r="G1267" s="300">
        <v>66.5</v>
      </c>
      <c r="H1267" s="300">
        <v>5.99</v>
      </c>
      <c r="I1267" s="300">
        <v>72.489999999999995</v>
      </c>
      <c r="J1267" s="300">
        <v>55.83</v>
      </c>
      <c r="K1267" s="4" t="s">
        <v>665</v>
      </c>
      <c r="L1267" s="4"/>
      <c r="M1267" s="4" t="s">
        <v>666</v>
      </c>
      <c r="N1267" s="4" t="s">
        <v>50</v>
      </c>
      <c r="O1267" s="4" t="s">
        <v>50</v>
      </c>
      <c r="P1267" s="4" t="s">
        <v>340</v>
      </c>
      <c r="Q1267" s="4" t="s">
        <v>62</v>
      </c>
      <c r="U1267" s="4"/>
      <c r="V1267" s="2"/>
    </row>
    <row r="1268" spans="1:22" customFormat="1" hidden="1" x14ac:dyDescent="0.2">
      <c r="A1268" s="2" t="s">
        <v>247</v>
      </c>
      <c r="B1268" s="2" t="s">
        <v>1</v>
      </c>
      <c r="C1268" s="93">
        <v>46320</v>
      </c>
      <c r="D1268" s="164"/>
      <c r="E1268" s="126">
        <v>46320</v>
      </c>
      <c r="F1268" s="2" t="s">
        <v>77</v>
      </c>
      <c r="G1268" s="300">
        <v>325</v>
      </c>
      <c r="H1268" s="300">
        <v>0</v>
      </c>
      <c r="I1268" s="300">
        <v>325</v>
      </c>
      <c r="J1268" s="300">
        <v>250.2906350073815</v>
      </c>
      <c r="K1268" s="4" t="s">
        <v>661</v>
      </c>
      <c r="L1268" s="4"/>
      <c r="M1268" s="4" t="s">
        <v>1667</v>
      </c>
      <c r="N1268" s="4" t="s">
        <v>58</v>
      </c>
      <c r="O1268" s="4" t="s">
        <v>58</v>
      </c>
      <c r="P1268" s="4" t="s">
        <v>59</v>
      </c>
      <c r="Q1268" s="4" t="s">
        <v>55</v>
      </c>
      <c r="U1268" s="4"/>
      <c r="V1268" s="2"/>
    </row>
    <row r="1269" spans="1:22" customFormat="1" hidden="1" x14ac:dyDescent="0.2">
      <c r="A1269" s="2" t="s">
        <v>247</v>
      </c>
      <c r="B1269" s="2" t="s">
        <v>1</v>
      </c>
      <c r="C1269" s="93">
        <v>46320</v>
      </c>
      <c r="D1269" s="164"/>
      <c r="E1269" s="126">
        <v>46320</v>
      </c>
      <c r="F1269" s="2" t="s">
        <v>77</v>
      </c>
      <c r="G1269" s="300">
        <v>6175</v>
      </c>
      <c r="H1269" s="300">
        <v>0</v>
      </c>
      <c r="I1269" s="300">
        <v>6175</v>
      </c>
      <c r="J1269" s="300">
        <v>4755.5220651402487</v>
      </c>
      <c r="K1269" s="4" t="s">
        <v>661</v>
      </c>
      <c r="L1269" s="4"/>
      <c r="M1269" s="4" t="s">
        <v>1667</v>
      </c>
      <c r="N1269" s="4" t="s">
        <v>58</v>
      </c>
      <c r="O1269" s="4" t="s">
        <v>58</v>
      </c>
      <c r="P1269" s="4" t="s">
        <v>56</v>
      </c>
      <c r="Q1269" s="4" t="s">
        <v>55</v>
      </c>
      <c r="U1269" s="4"/>
      <c r="V1269" s="2"/>
    </row>
    <row r="1270" spans="1:22" customFormat="1" hidden="1" x14ac:dyDescent="0.2">
      <c r="A1270" s="2" t="s">
        <v>247</v>
      </c>
      <c r="B1270" s="2" t="s">
        <v>1</v>
      </c>
      <c r="C1270" s="93">
        <v>46320</v>
      </c>
      <c r="D1270" s="164"/>
      <c r="E1270" s="126">
        <v>46320</v>
      </c>
      <c r="F1270" s="2" t="s">
        <v>77</v>
      </c>
      <c r="G1270" s="300">
        <v>325</v>
      </c>
      <c r="H1270" s="300">
        <v>0</v>
      </c>
      <c r="I1270" s="300">
        <v>325</v>
      </c>
      <c r="J1270" s="300">
        <v>250.2906350073815</v>
      </c>
      <c r="K1270" s="4" t="s">
        <v>661</v>
      </c>
      <c r="L1270" s="4"/>
      <c r="M1270" s="4" t="s">
        <v>1667</v>
      </c>
      <c r="N1270" s="4" t="s">
        <v>58</v>
      </c>
      <c r="O1270" s="4" t="s">
        <v>58</v>
      </c>
      <c r="P1270" s="4" t="s">
        <v>57</v>
      </c>
      <c r="Q1270" s="4" t="s">
        <v>55</v>
      </c>
      <c r="U1270" s="4"/>
      <c r="V1270" s="2"/>
    </row>
    <row r="1271" spans="1:22" customFormat="1" hidden="1" x14ac:dyDescent="0.2">
      <c r="A1271" s="2" t="s">
        <v>247</v>
      </c>
      <c r="B1271" s="2" t="s">
        <v>1</v>
      </c>
      <c r="C1271" s="93">
        <v>46320</v>
      </c>
      <c r="D1271" s="164"/>
      <c r="E1271" s="126">
        <v>46320</v>
      </c>
      <c r="F1271" s="2" t="s">
        <v>77</v>
      </c>
      <c r="G1271" s="300"/>
      <c r="H1271" s="300"/>
      <c r="I1271" s="300"/>
      <c r="J1271" s="300">
        <v>92.415003695033164</v>
      </c>
      <c r="K1271" s="4" t="s">
        <v>659</v>
      </c>
      <c r="L1271" s="4"/>
      <c r="M1271" s="4" t="s">
        <v>1666</v>
      </c>
      <c r="N1271" s="4" t="s">
        <v>370</v>
      </c>
      <c r="O1271" s="4" t="s">
        <v>371</v>
      </c>
      <c r="P1271" s="4" t="s">
        <v>340</v>
      </c>
      <c r="Q1271" s="4" t="s">
        <v>62</v>
      </c>
      <c r="U1271" s="4"/>
      <c r="V1271" s="2"/>
    </row>
    <row r="1272" spans="1:22" customFormat="1" hidden="1" x14ac:dyDescent="0.2">
      <c r="A1272" s="2" t="s">
        <v>247</v>
      </c>
      <c r="B1272" s="2" t="s">
        <v>1</v>
      </c>
      <c r="C1272" s="93">
        <v>46320</v>
      </c>
      <c r="D1272" s="164"/>
      <c r="E1272" s="126">
        <v>46320</v>
      </c>
      <c r="F1272" s="2" t="s">
        <v>77</v>
      </c>
      <c r="G1272" s="300">
        <v>26042.28</v>
      </c>
      <c r="H1272" s="300">
        <v>0</v>
      </c>
      <c r="I1272" s="300">
        <v>26042.28</v>
      </c>
      <c r="J1272" s="300">
        <v>20055.811686892401</v>
      </c>
      <c r="K1272" s="4" t="s">
        <v>660</v>
      </c>
      <c r="L1272" s="4"/>
      <c r="M1272" s="4" t="s">
        <v>1665</v>
      </c>
      <c r="N1272" s="4" t="s">
        <v>409</v>
      </c>
      <c r="O1272" s="4" t="s">
        <v>410</v>
      </c>
      <c r="P1272" s="4" t="s">
        <v>340</v>
      </c>
      <c r="Q1272" s="4" t="s">
        <v>62</v>
      </c>
      <c r="U1272" s="4"/>
      <c r="V1272" s="2"/>
    </row>
    <row r="1273" spans="1:22" customFormat="1" hidden="1" x14ac:dyDescent="0.2">
      <c r="A1273" s="2" t="s">
        <v>247</v>
      </c>
      <c r="B1273" s="2" t="s">
        <v>1</v>
      </c>
      <c r="C1273" s="93">
        <v>46320</v>
      </c>
      <c r="D1273" s="164"/>
      <c r="E1273" s="126">
        <v>46320</v>
      </c>
      <c r="F1273" s="2" t="s">
        <v>77</v>
      </c>
      <c r="G1273" s="300">
        <v>158</v>
      </c>
      <c r="H1273" s="300">
        <v>14.22</v>
      </c>
      <c r="I1273" s="300">
        <v>172.22</v>
      </c>
      <c r="J1273" s="300">
        <v>132.63</v>
      </c>
      <c r="K1273" s="4" t="s">
        <v>661</v>
      </c>
      <c r="L1273" s="4"/>
      <c r="M1273" s="4" t="s">
        <v>1664</v>
      </c>
      <c r="N1273" s="4" t="s">
        <v>374</v>
      </c>
      <c r="O1273" s="4" t="s">
        <v>375</v>
      </c>
      <c r="P1273" s="4" t="s">
        <v>376</v>
      </c>
      <c r="Q1273" s="4" t="s">
        <v>62</v>
      </c>
      <c r="U1273" s="4"/>
      <c r="V1273" s="2"/>
    </row>
    <row r="1274" spans="1:22" customFormat="1" hidden="1" x14ac:dyDescent="0.2">
      <c r="A1274" s="2" t="s">
        <v>247</v>
      </c>
      <c r="B1274" s="2" t="s">
        <v>1</v>
      </c>
      <c r="C1274" s="93">
        <v>46320</v>
      </c>
      <c r="D1274" s="164"/>
      <c r="E1274" s="126">
        <v>46320</v>
      </c>
      <c r="F1274" s="2" t="s">
        <v>77</v>
      </c>
      <c r="G1274" s="300">
        <v>70</v>
      </c>
      <c r="H1274" s="300">
        <v>6.3</v>
      </c>
      <c r="I1274" s="300">
        <v>76.3</v>
      </c>
      <c r="J1274" s="300">
        <v>58.76</v>
      </c>
      <c r="K1274" s="4" t="s">
        <v>661</v>
      </c>
      <c r="L1274" s="4"/>
      <c r="M1274" s="4" t="s">
        <v>1664</v>
      </c>
      <c r="N1274" s="4" t="s">
        <v>374</v>
      </c>
      <c r="O1274" s="4" t="s">
        <v>375</v>
      </c>
      <c r="P1274" s="4" t="s">
        <v>376</v>
      </c>
      <c r="Q1274" s="4" t="s">
        <v>62</v>
      </c>
      <c r="U1274" s="4"/>
      <c r="V1274" s="2"/>
    </row>
    <row r="1275" spans="1:22" customFormat="1" hidden="1" x14ac:dyDescent="0.2">
      <c r="A1275" s="2" t="s">
        <v>247</v>
      </c>
      <c r="B1275" s="2" t="s">
        <v>1</v>
      </c>
      <c r="C1275" s="93">
        <v>46320</v>
      </c>
      <c r="D1275" s="164"/>
      <c r="E1275" s="126">
        <v>46320</v>
      </c>
      <c r="F1275" s="2" t="s">
        <v>77</v>
      </c>
      <c r="G1275" s="300">
        <v>584.1</v>
      </c>
      <c r="H1275" s="300">
        <v>52.57</v>
      </c>
      <c r="I1275" s="300">
        <v>636.66999999999996</v>
      </c>
      <c r="J1275" s="300">
        <v>490.32</v>
      </c>
      <c r="K1275" s="4" t="s">
        <v>661</v>
      </c>
      <c r="L1275" s="4"/>
      <c r="M1275" s="4" t="s">
        <v>1664</v>
      </c>
      <c r="N1275" s="4" t="s">
        <v>374</v>
      </c>
      <c r="O1275" s="4" t="s">
        <v>375</v>
      </c>
      <c r="P1275" s="4" t="s">
        <v>376</v>
      </c>
      <c r="Q1275" s="4" t="s">
        <v>62</v>
      </c>
      <c r="U1275" s="4"/>
      <c r="V1275" s="2"/>
    </row>
    <row r="1276" spans="1:22" customFormat="1" hidden="1" x14ac:dyDescent="0.2">
      <c r="A1276" s="2" t="s">
        <v>247</v>
      </c>
      <c r="B1276" s="2" t="s">
        <v>1</v>
      </c>
      <c r="C1276" s="93">
        <v>46320</v>
      </c>
      <c r="D1276" s="164"/>
      <c r="E1276" s="126">
        <v>46320</v>
      </c>
      <c r="F1276" s="2" t="s">
        <v>77</v>
      </c>
      <c r="G1276" s="300">
        <v>600</v>
      </c>
      <c r="H1276" s="300">
        <v>0</v>
      </c>
      <c r="I1276" s="300">
        <v>600</v>
      </c>
      <c r="J1276" s="300">
        <v>462.07501847516585</v>
      </c>
      <c r="K1276" s="4" t="s">
        <v>757</v>
      </c>
      <c r="L1276" s="4"/>
      <c r="M1276" s="4" t="s">
        <v>1663</v>
      </c>
      <c r="N1276" s="4" t="s">
        <v>621</v>
      </c>
      <c r="O1276" s="4" t="s">
        <v>618</v>
      </c>
      <c r="P1276" s="4" t="s">
        <v>340</v>
      </c>
      <c r="Q1276" s="4" t="s">
        <v>62</v>
      </c>
      <c r="U1276" s="4"/>
      <c r="V1276" s="2"/>
    </row>
    <row r="1277" spans="1:22" customFormat="1" hidden="1" x14ac:dyDescent="0.2">
      <c r="A1277" s="2" t="s">
        <v>247</v>
      </c>
      <c r="B1277" s="2" t="s">
        <v>1</v>
      </c>
      <c r="C1277" s="93">
        <v>46326</v>
      </c>
      <c r="D1277" s="164">
        <v>46326</v>
      </c>
      <c r="E1277" s="126">
        <v>46326</v>
      </c>
      <c r="F1277" s="2" t="s">
        <v>77</v>
      </c>
      <c r="G1277" s="300"/>
      <c r="H1277" s="300"/>
      <c r="I1277" s="300"/>
      <c r="J1277" s="300">
        <v>4000</v>
      </c>
      <c r="K1277" s="4" t="s">
        <v>1641</v>
      </c>
      <c r="L1277" s="4"/>
      <c r="M1277" s="4" t="s">
        <v>1662</v>
      </c>
      <c r="N1277" s="4" t="s">
        <v>387</v>
      </c>
      <c r="O1277" s="4" t="s">
        <v>47</v>
      </c>
      <c r="P1277" s="4" t="s">
        <v>354</v>
      </c>
      <c r="Q1277" s="4" t="s">
        <v>61</v>
      </c>
      <c r="U1277" s="4"/>
      <c r="V1277" s="2"/>
    </row>
    <row r="1278" spans="1:22" customFormat="1" hidden="1" x14ac:dyDescent="0.2">
      <c r="A1278" s="2" t="s">
        <v>247</v>
      </c>
      <c r="B1278" s="2" t="s">
        <v>1</v>
      </c>
      <c r="C1278" s="93">
        <v>46326</v>
      </c>
      <c r="D1278" s="164">
        <v>46326</v>
      </c>
      <c r="E1278" s="126">
        <v>46326</v>
      </c>
      <c r="F1278" s="2" t="s">
        <v>77</v>
      </c>
      <c r="G1278" s="300"/>
      <c r="H1278" s="300"/>
      <c r="I1278" s="300"/>
      <c r="J1278" s="300">
        <v>2</v>
      </c>
      <c r="K1278" s="4" t="s">
        <v>1641</v>
      </c>
      <c r="L1278" s="4"/>
      <c r="M1278" s="4" t="s">
        <v>1662</v>
      </c>
      <c r="N1278" s="4" t="s">
        <v>387</v>
      </c>
      <c r="O1278" s="4" t="s">
        <v>47</v>
      </c>
      <c r="P1278" s="4" t="s">
        <v>354</v>
      </c>
      <c r="Q1278" s="4" t="s">
        <v>61</v>
      </c>
      <c r="U1278" s="4"/>
      <c r="V1278" s="2"/>
    </row>
    <row r="1279" spans="1:22" customFormat="1" hidden="1" x14ac:dyDescent="0.2">
      <c r="A1279" s="2" t="s">
        <v>247</v>
      </c>
      <c r="B1279" s="2" t="s">
        <v>1</v>
      </c>
      <c r="C1279" s="93">
        <v>46326</v>
      </c>
      <c r="D1279" s="164">
        <v>46326</v>
      </c>
      <c r="E1279" s="126">
        <v>46326</v>
      </c>
      <c r="F1279" s="2" t="s">
        <v>77</v>
      </c>
      <c r="G1279" s="300"/>
      <c r="H1279" s="300"/>
      <c r="I1279" s="300"/>
      <c r="J1279" s="300">
        <v>2000</v>
      </c>
      <c r="K1279" s="4" t="s">
        <v>1641</v>
      </c>
      <c r="L1279" s="4"/>
      <c r="M1279" s="4" t="s">
        <v>1661</v>
      </c>
      <c r="N1279" s="4" t="s">
        <v>364</v>
      </c>
      <c r="O1279" s="4" t="s">
        <v>47</v>
      </c>
      <c r="P1279" s="4" t="s">
        <v>354</v>
      </c>
      <c r="Q1279" s="4" t="s">
        <v>61</v>
      </c>
      <c r="U1279" s="4"/>
      <c r="V1279" s="2"/>
    </row>
    <row r="1280" spans="1:22" customFormat="1" hidden="1" x14ac:dyDescent="0.2">
      <c r="A1280" s="2" t="s">
        <v>247</v>
      </c>
      <c r="B1280" s="2" t="s">
        <v>1</v>
      </c>
      <c r="C1280" s="93">
        <v>46326</v>
      </c>
      <c r="D1280" s="164">
        <v>46326</v>
      </c>
      <c r="E1280" s="126">
        <v>46326</v>
      </c>
      <c r="F1280" s="2" t="s">
        <v>77</v>
      </c>
      <c r="G1280" s="300"/>
      <c r="H1280" s="300"/>
      <c r="I1280" s="300"/>
      <c r="J1280" s="300">
        <v>17000</v>
      </c>
      <c r="K1280" s="4" t="s">
        <v>1641</v>
      </c>
      <c r="L1280" s="4"/>
      <c r="M1280" s="4" t="s">
        <v>1662</v>
      </c>
      <c r="N1280" s="4" t="s">
        <v>387</v>
      </c>
      <c r="O1280" s="4" t="s">
        <v>47</v>
      </c>
      <c r="P1280" s="4" t="s">
        <v>45</v>
      </c>
      <c r="Q1280" s="4" t="s">
        <v>45</v>
      </c>
      <c r="U1280" s="4"/>
      <c r="V1280" s="2"/>
    </row>
    <row r="1281" spans="1:22" customFormat="1" hidden="1" x14ac:dyDescent="0.2">
      <c r="A1281" s="2" t="s">
        <v>247</v>
      </c>
      <c r="B1281" s="2" t="s">
        <v>1</v>
      </c>
      <c r="C1281" s="93">
        <v>46326</v>
      </c>
      <c r="D1281" s="164">
        <v>46326</v>
      </c>
      <c r="E1281" s="126">
        <v>46326</v>
      </c>
      <c r="F1281" s="2" t="s">
        <v>77</v>
      </c>
      <c r="G1281" s="300"/>
      <c r="H1281" s="300"/>
      <c r="I1281" s="300"/>
      <c r="J1281" s="300">
        <v>6</v>
      </c>
      <c r="K1281" s="4" t="s">
        <v>1641</v>
      </c>
      <c r="L1281" s="4"/>
      <c r="M1281" s="4" t="s">
        <v>1662</v>
      </c>
      <c r="N1281" s="4" t="s">
        <v>387</v>
      </c>
      <c r="O1281" s="4" t="s">
        <v>47</v>
      </c>
      <c r="P1281" s="4" t="s">
        <v>45</v>
      </c>
      <c r="Q1281" s="4" t="s">
        <v>45</v>
      </c>
      <c r="U1281" s="4"/>
      <c r="V1281" s="2"/>
    </row>
    <row r="1282" spans="1:22" customFormat="1" hidden="1" x14ac:dyDescent="0.2">
      <c r="A1282" s="2" t="s">
        <v>247</v>
      </c>
      <c r="B1282" s="2" t="s">
        <v>1</v>
      </c>
      <c r="C1282" s="93">
        <v>46326</v>
      </c>
      <c r="D1282" s="164">
        <v>46326</v>
      </c>
      <c r="E1282" s="126">
        <v>46326</v>
      </c>
      <c r="F1282" s="2" t="s">
        <v>77</v>
      </c>
      <c r="G1282" s="300"/>
      <c r="H1282" s="300"/>
      <c r="I1282" s="300"/>
      <c r="J1282" s="300">
        <v>6000</v>
      </c>
      <c r="K1282" s="4" t="s">
        <v>1641</v>
      </c>
      <c r="L1282" s="4"/>
      <c r="M1282" s="4" t="s">
        <v>1661</v>
      </c>
      <c r="N1282" s="4" t="s">
        <v>364</v>
      </c>
      <c r="O1282" s="4" t="s">
        <v>47</v>
      </c>
      <c r="P1282" s="4" t="s">
        <v>45</v>
      </c>
      <c r="Q1282" s="4" t="s">
        <v>45</v>
      </c>
      <c r="U1282" s="4"/>
      <c r="V1282" s="2"/>
    </row>
    <row r="1283" spans="1:22" customFormat="1" hidden="1" x14ac:dyDescent="0.2">
      <c r="A1283" s="2" t="s">
        <v>247</v>
      </c>
      <c r="B1283" s="2" t="s">
        <v>1</v>
      </c>
      <c r="C1283" s="93">
        <v>46326</v>
      </c>
      <c r="D1283" s="164">
        <v>46326</v>
      </c>
      <c r="E1283" s="126">
        <v>46326</v>
      </c>
      <c r="F1283" s="2" t="s">
        <v>77</v>
      </c>
      <c r="G1283" s="300"/>
      <c r="H1283" s="300"/>
      <c r="I1283" s="300"/>
      <c r="J1283" s="300">
        <v>32000</v>
      </c>
      <c r="K1283" s="4" t="s">
        <v>1641</v>
      </c>
      <c r="L1283" s="4"/>
      <c r="M1283" s="4" t="s">
        <v>1662</v>
      </c>
      <c r="N1283" s="4" t="s">
        <v>387</v>
      </c>
      <c r="O1283" s="4" t="s">
        <v>47</v>
      </c>
      <c r="P1283" s="4" t="s">
        <v>658</v>
      </c>
      <c r="Q1283" s="4" t="s">
        <v>61</v>
      </c>
      <c r="U1283" s="4"/>
      <c r="V1283" s="2"/>
    </row>
    <row r="1284" spans="1:22" customFormat="1" hidden="1" x14ac:dyDescent="0.2">
      <c r="A1284" s="2" t="s">
        <v>247</v>
      </c>
      <c r="B1284" s="2" t="s">
        <v>1</v>
      </c>
      <c r="C1284" s="93">
        <v>46326</v>
      </c>
      <c r="D1284" s="164">
        <v>46326</v>
      </c>
      <c r="E1284" s="126">
        <v>46326</v>
      </c>
      <c r="F1284" s="2" t="s">
        <v>77</v>
      </c>
      <c r="G1284" s="300"/>
      <c r="H1284" s="300"/>
      <c r="I1284" s="300"/>
      <c r="J1284" s="300">
        <v>3</v>
      </c>
      <c r="K1284" s="4" t="s">
        <v>1641</v>
      </c>
      <c r="L1284" s="4"/>
      <c r="M1284" s="4" t="s">
        <v>1662</v>
      </c>
      <c r="N1284" s="4" t="s">
        <v>387</v>
      </c>
      <c r="O1284" s="4" t="s">
        <v>47</v>
      </c>
      <c r="P1284" s="4" t="s">
        <v>658</v>
      </c>
      <c r="Q1284" s="4" t="s">
        <v>61</v>
      </c>
      <c r="U1284" s="4"/>
      <c r="V1284" s="2"/>
    </row>
    <row r="1285" spans="1:22" customFormat="1" hidden="1" x14ac:dyDescent="0.2">
      <c r="A1285" s="2" t="s">
        <v>247</v>
      </c>
      <c r="B1285" s="2" t="s">
        <v>1</v>
      </c>
      <c r="C1285" s="93">
        <v>46326</v>
      </c>
      <c r="D1285" s="164">
        <v>46326</v>
      </c>
      <c r="E1285" s="126">
        <v>46326</v>
      </c>
      <c r="F1285" s="2" t="s">
        <v>77</v>
      </c>
      <c r="G1285" s="300"/>
      <c r="H1285" s="300"/>
      <c r="I1285" s="300"/>
      <c r="J1285" s="300">
        <v>2500</v>
      </c>
      <c r="K1285" s="4" t="s">
        <v>1641</v>
      </c>
      <c r="L1285" s="4"/>
      <c r="M1285" s="4" t="s">
        <v>1661</v>
      </c>
      <c r="N1285" s="4" t="s">
        <v>364</v>
      </c>
      <c r="O1285" s="4" t="s">
        <v>47</v>
      </c>
      <c r="P1285" s="4" t="s">
        <v>658</v>
      </c>
      <c r="Q1285" s="4" t="s">
        <v>61</v>
      </c>
      <c r="U1285" s="4"/>
      <c r="V1285" s="2"/>
    </row>
    <row r="1286" spans="1:22" customFormat="1" hidden="1" x14ac:dyDescent="0.2">
      <c r="A1286" s="2" t="s">
        <v>247</v>
      </c>
      <c r="B1286" s="2" t="s">
        <v>1</v>
      </c>
      <c r="C1286" s="93">
        <v>46326</v>
      </c>
      <c r="D1286" s="164">
        <v>46326</v>
      </c>
      <c r="E1286" s="126">
        <v>46326</v>
      </c>
      <c r="F1286" s="2" t="s">
        <v>77</v>
      </c>
      <c r="G1286" s="300"/>
      <c r="H1286" s="300"/>
      <c r="I1286" s="300"/>
      <c r="J1286" s="300">
        <v>2000</v>
      </c>
      <c r="K1286" s="4" t="s">
        <v>1641</v>
      </c>
      <c r="L1286" s="4"/>
      <c r="M1286" s="4" t="s">
        <v>1662</v>
      </c>
      <c r="N1286" s="4" t="s">
        <v>387</v>
      </c>
      <c r="O1286" s="4" t="s">
        <v>47</v>
      </c>
      <c r="P1286" s="4" t="s">
        <v>333</v>
      </c>
      <c r="Q1286" s="4" t="s">
        <v>62</v>
      </c>
      <c r="U1286" s="4"/>
      <c r="V1286" s="2"/>
    </row>
    <row r="1287" spans="1:22" customFormat="1" hidden="1" x14ac:dyDescent="0.2">
      <c r="A1287" s="2" t="s">
        <v>247</v>
      </c>
      <c r="B1287" s="2" t="s">
        <v>1</v>
      </c>
      <c r="C1287" s="93">
        <v>46326</v>
      </c>
      <c r="D1287" s="164">
        <v>46326</v>
      </c>
      <c r="E1287" s="126">
        <v>46326</v>
      </c>
      <c r="F1287" s="2" t="s">
        <v>77</v>
      </c>
      <c r="G1287" s="300"/>
      <c r="H1287" s="300"/>
      <c r="I1287" s="300"/>
      <c r="J1287" s="300">
        <v>1</v>
      </c>
      <c r="K1287" s="4" t="s">
        <v>1641</v>
      </c>
      <c r="L1287" s="4"/>
      <c r="M1287" s="4" t="s">
        <v>1662</v>
      </c>
      <c r="N1287" s="4" t="s">
        <v>387</v>
      </c>
      <c r="O1287" s="4" t="s">
        <v>47</v>
      </c>
      <c r="P1287" s="4" t="s">
        <v>333</v>
      </c>
      <c r="Q1287" s="4" t="s">
        <v>62</v>
      </c>
      <c r="U1287" s="4"/>
      <c r="V1287" s="2"/>
    </row>
    <row r="1288" spans="1:22" customFormat="1" hidden="1" x14ac:dyDescent="0.2">
      <c r="A1288" s="2" t="s">
        <v>247</v>
      </c>
      <c r="B1288" s="2" t="s">
        <v>1</v>
      </c>
      <c r="C1288" s="93">
        <v>46326</v>
      </c>
      <c r="D1288" s="164">
        <v>46326</v>
      </c>
      <c r="E1288" s="126">
        <v>46326</v>
      </c>
      <c r="F1288" s="2" t="s">
        <v>77</v>
      </c>
      <c r="G1288" s="300"/>
      <c r="H1288" s="300"/>
      <c r="I1288" s="300"/>
      <c r="J1288" s="300">
        <v>200</v>
      </c>
      <c r="K1288" s="4" t="s">
        <v>1641</v>
      </c>
      <c r="L1288" s="4"/>
      <c r="M1288" s="4" t="s">
        <v>1661</v>
      </c>
      <c r="N1288" s="4" t="s">
        <v>364</v>
      </c>
      <c r="O1288" s="4" t="s">
        <v>47</v>
      </c>
      <c r="P1288" s="4" t="s">
        <v>333</v>
      </c>
      <c r="Q1288" s="4" t="s">
        <v>62</v>
      </c>
      <c r="U1288" s="4"/>
      <c r="V1288" s="2"/>
    </row>
    <row r="1289" spans="1:22" customFormat="1" hidden="1" x14ac:dyDescent="0.2">
      <c r="A1289" s="2" t="s">
        <v>247</v>
      </c>
      <c r="B1289" s="2" t="s">
        <v>1</v>
      </c>
      <c r="C1289" s="93">
        <v>46326</v>
      </c>
      <c r="D1289" s="164">
        <v>46326</v>
      </c>
      <c r="E1289" s="126">
        <v>46326</v>
      </c>
      <c r="F1289" s="2" t="s">
        <v>77</v>
      </c>
      <c r="G1289" s="300"/>
      <c r="H1289" s="300"/>
      <c r="I1289" s="300"/>
      <c r="J1289" s="300">
        <v>25000</v>
      </c>
      <c r="K1289" s="4" t="s">
        <v>1641</v>
      </c>
      <c r="L1289" s="4"/>
      <c r="M1289" s="4" t="s">
        <v>1662</v>
      </c>
      <c r="N1289" s="4" t="s">
        <v>387</v>
      </c>
      <c r="O1289" s="4" t="s">
        <v>47</v>
      </c>
      <c r="P1289" s="4" t="s">
        <v>350</v>
      </c>
      <c r="Q1289" s="4" t="s">
        <v>62</v>
      </c>
      <c r="U1289" s="4"/>
      <c r="V1289" s="2"/>
    </row>
    <row r="1290" spans="1:22" customFormat="1" hidden="1" x14ac:dyDescent="0.2">
      <c r="A1290" s="2" t="s">
        <v>247</v>
      </c>
      <c r="B1290" s="2" t="s">
        <v>1</v>
      </c>
      <c r="C1290" s="93">
        <v>46326</v>
      </c>
      <c r="D1290" s="164">
        <v>46326</v>
      </c>
      <c r="E1290" s="126">
        <v>46326</v>
      </c>
      <c r="F1290" s="2" t="s">
        <v>77</v>
      </c>
      <c r="G1290" s="300"/>
      <c r="H1290" s="300"/>
      <c r="I1290" s="300"/>
      <c r="J1290" s="300">
        <v>4</v>
      </c>
      <c r="K1290" s="4" t="s">
        <v>1641</v>
      </c>
      <c r="L1290" s="4"/>
      <c r="M1290" s="4" t="s">
        <v>1662</v>
      </c>
      <c r="N1290" s="4" t="s">
        <v>387</v>
      </c>
      <c r="O1290" s="4" t="s">
        <v>47</v>
      </c>
      <c r="P1290" s="4" t="s">
        <v>350</v>
      </c>
      <c r="Q1290" s="4" t="s">
        <v>62</v>
      </c>
      <c r="U1290" s="4"/>
      <c r="V1290" s="2"/>
    </row>
    <row r="1291" spans="1:22" customFormat="1" hidden="1" x14ac:dyDescent="0.2">
      <c r="A1291" s="2" t="s">
        <v>247</v>
      </c>
      <c r="B1291" s="2" t="s">
        <v>1</v>
      </c>
      <c r="C1291" s="93">
        <v>46326</v>
      </c>
      <c r="D1291" s="164">
        <v>46326</v>
      </c>
      <c r="E1291" s="126">
        <v>46326</v>
      </c>
      <c r="F1291" s="2" t="s">
        <v>77</v>
      </c>
      <c r="G1291" s="300"/>
      <c r="H1291" s="300"/>
      <c r="I1291" s="300"/>
      <c r="J1291" s="300">
        <v>6000</v>
      </c>
      <c r="K1291" s="4" t="s">
        <v>1641</v>
      </c>
      <c r="L1291" s="4"/>
      <c r="M1291" s="4" t="s">
        <v>1661</v>
      </c>
      <c r="N1291" s="4" t="s">
        <v>364</v>
      </c>
      <c r="O1291" s="4" t="s">
        <v>47</v>
      </c>
      <c r="P1291" s="4" t="s">
        <v>350</v>
      </c>
      <c r="Q1291" s="4" t="s">
        <v>62</v>
      </c>
      <c r="U1291" s="4"/>
      <c r="V1291" s="2"/>
    </row>
    <row r="1292" spans="1:22" customFormat="1" hidden="1" x14ac:dyDescent="0.2">
      <c r="A1292" s="2" t="s">
        <v>247</v>
      </c>
      <c r="B1292" s="2" t="s">
        <v>1</v>
      </c>
      <c r="C1292" s="93">
        <v>46326</v>
      </c>
      <c r="D1292" s="164">
        <v>46326</v>
      </c>
      <c r="E1292" s="126">
        <v>46326</v>
      </c>
      <c r="F1292" s="2" t="s">
        <v>77</v>
      </c>
      <c r="G1292" s="300"/>
      <c r="H1292" s="300"/>
      <c r="I1292" s="300"/>
      <c r="J1292" s="300">
        <v>3000</v>
      </c>
      <c r="K1292" s="4" t="s">
        <v>1641</v>
      </c>
      <c r="L1292" s="4"/>
      <c r="M1292" s="4" t="s">
        <v>1662</v>
      </c>
      <c r="N1292" s="4" t="s">
        <v>387</v>
      </c>
      <c r="O1292" s="4" t="s">
        <v>47</v>
      </c>
      <c r="P1292" s="4" t="s">
        <v>376</v>
      </c>
      <c r="Q1292" s="4" t="s">
        <v>62</v>
      </c>
      <c r="U1292" s="4"/>
      <c r="V1292" s="2"/>
    </row>
    <row r="1293" spans="1:22" customFormat="1" hidden="1" x14ac:dyDescent="0.2">
      <c r="A1293" s="2" t="s">
        <v>247</v>
      </c>
      <c r="B1293" s="2" t="s">
        <v>1</v>
      </c>
      <c r="C1293" s="93">
        <v>46326</v>
      </c>
      <c r="D1293" s="164">
        <v>46326</v>
      </c>
      <c r="E1293" s="126">
        <v>46326</v>
      </c>
      <c r="F1293" s="2" t="s">
        <v>77</v>
      </c>
      <c r="G1293" s="300"/>
      <c r="H1293" s="300"/>
      <c r="I1293" s="300"/>
      <c r="J1293" s="300">
        <v>1</v>
      </c>
      <c r="K1293" s="4" t="s">
        <v>1641</v>
      </c>
      <c r="L1293" s="4"/>
      <c r="M1293" s="4" t="s">
        <v>1662</v>
      </c>
      <c r="N1293" s="4" t="s">
        <v>387</v>
      </c>
      <c r="O1293" s="4" t="s">
        <v>47</v>
      </c>
      <c r="P1293" s="4" t="s">
        <v>376</v>
      </c>
      <c r="Q1293" s="4" t="s">
        <v>62</v>
      </c>
      <c r="U1293" s="4"/>
      <c r="V1293" s="2"/>
    </row>
    <row r="1294" spans="1:22" customFormat="1" hidden="1" x14ac:dyDescent="0.2">
      <c r="A1294" s="2" t="s">
        <v>247</v>
      </c>
      <c r="B1294" s="2" t="s">
        <v>1</v>
      </c>
      <c r="C1294" s="93">
        <v>46326</v>
      </c>
      <c r="D1294" s="164">
        <v>46326</v>
      </c>
      <c r="E1294" s="126">
        <v>46326</v>
      </c>
      <c r="F1294" s="2" t="s">
        <v>77</v>
      </c>
      <c r="G1294" s="300"/>
      <c r="H1294" s="300"/>
      <c r="I1294" s="300"/>
      <c r="J1294" s="300">
        <v>1500</v>
      </c>
      <c r="K1294" s="4" t="s">
        <v>1641</v>
      </c>
      <c r="L1294" s="4"/>
      <c r="M1294" s="4" t="s">
        <v>1661</v>
      </c>
      <c r="N1294" s="4" t="s">
        <v>364</v>
      </c>
      <c r="O1294" s="4" t="s">
        <v>47</v>
      </c>
      <c r="P1294" s="4" t="s">
        <v>376</v>
      </c>
      <c r="Q1294" s="4" t="s">
        <v>62</v>
      </c>
      <c r="U1294" s="4"/>
      <c r="V1294" s="2"/>
    </row>
    <row r="1295" spans="1:22" customFormat="1" hidden="1" x14ac:dyDescent="0.2">
      <c r="A1295" s="2" t="s">
        <v>247</v>
      </c>
      <c r="B1295" s="2" t="s">
        <v>1</v>
      </c>
      <c r="C1295" s="93">
        <v>46326</v>
      </c>
      <c r="D1295" s="164">
        <v>46326</v>
      </c>
      <c r="E1295" s="126">
        <v>46326</v>
      </c>
      <c r="F1295" s="2" t="s">
        <v>77</v>
      </c>
      <c r="G1295" s="300"/>
      <c r="H1295" s="300"/>
      <c r="I1295" s="300"/>
      <c r="J1295" s="300">
        <v>20000</v>
      </c>
      <c r="K1295" s="4" t="s">
        <v>1641</v>
      </c>
      <c r="L1295" s="4"/>
      <c r="M1295" s="4" t="s">
        <v>1662</v>
      </c>
      <c r="N1295" s="4" t="s">
        <v>387</v>
      </c>
      <c r="O1295" s="4" t="s">
        <v>47</v>
      </c>
      <c r="P1295" s="4" t="s">
        <v>523</v>
      </c>
      <c r="Q1295" s="4" t="s">
        <v>62</v>
      </c>
      <c r="U1295" s="4"/>
      <c r="V1295" s="2"/>
    </row>
    <row r="1296" spans="1:22" customFormat="1" hidden="1" x14ac:dyDescent="0.2">
      <c r="A1296" s="2" t="s">
        <v>247</v>
      </c>
      <c r="B1296" s="2" t="s">
        <v>1</v>
      </c>
      <c r="C1296" s="93">
        <v>46326</v>
      </c>
      <c r="D1296" s="164">
        <v>46326</v>
      </c>
      <c r="E1296" s="126">
        <v>46326</v>
      </c>
      <c r="F1296" s="2" t="s">
        <v>77</v>
      </c>
      <c r="G1296" s="300"/>
      <c r="H1296" s="300"/>
      <c r="I1296" s="300"/>
      <c r="J1296" s="300">
        <v>10</v>
      </c>
      <c r="K1296" s="4" t="s">
        <v>1641</v>
      </c>
      <c r="L1296" s="4"/>
      <c r="M1296" s="4" t="s">
        <v>1661</v>
      </c>
      <c r="N1296" s="4" t="s">
        <v>364</v>
      </c>
      <c r="O1296" s="4" t="s">
        <v>47</v>
      </c>
      <c r="P1296" s="4" t="s">
        <v>523</v>
      </c>
      <c r="Q1296" s="4" t="s">
        <v>62</v>
      </c>
      <c r="U1296" s="4"/>
      <c r="V1296" s="2"/>
    </row>
    <row r="1297" spans="1:22" customFormat="1" hidden="1" x14ac:dyDescent="0.2">
      <c r="A1297" s="2" t="s">
        <v>247</v>
      </c>
      <c r="B1297" s="2" t="s">
        <v>1</v>
      </c>
      <c r="C1297" s="93">
        <v>46326</v>
      </c>
      <c r="D1297" s="164">
        <v>46326</v>
      </c>
      <c r="E1297" s="126">
        <v>46326</v>
      </c>
      <c r="F1297" s="2" t="s">
        <v>77</v>
      </c>
      <c r="G1297" s="300"/>
      <c r="H1297" s="300"/>
      <c r="I1297" s="300"/>
      <c r="J1297" s="300">
        <v>15000</v>
      </c>
      <c r="K1297" s="4" t="s">
        <v>1641</v>
      </c>
      <c r="L1297" s="4"/>
      <c r="M1297" s="4" t="s">
        <v>1662</v>
      </c>
      <c r="N1297" s="4" t="s">
        <v>387</v>
      </c>
      <c r="O1297" s="4" t="s">
        <v>47</v>
      </c>
      <c r="P1297" s="4" t="s">
        <v>56</v>
      </c>
      <c r="Q1297" s="4" t="s">
        <v>55</v>
      </c>
      <c r="U1297" s="4"/>
      <c r="V1297" s="2"/>
    </row>
    <row r="1298" spans="1:22" customFormat="1" hidden="1" x14ac:dyDescent="0.2">
      <c r="A1298" s="2" t="s">
        <v>247</v>
      </c>
      <c r="B1298" s="2" t="s">
        <v>1</v>
      </c>
      <c r="C1298" s="93">
        <v>46326</v>
      </c>
      <c r="D1298" s="164">
        <v>46326</v>
      </c>
      <c r="E1298" s="126">
        <v>46326</v>
      </c>
      <c r="F1298" s="2" t="s">
        <v>77</v>
      </c>
      <c r="G1298" s="300"/>
      <c r="H1298" s="300"/>
      <c r="I1298" s="300"/>
      <c r="J1298" s="300">
        <v>3</v>
      </c>
      <c r="K1298" s="4" t="s">
        <v>1641</v>
      </c>
      <c r="L1298" s="4"/>
      <c r="M1298" s="4" t="s">
        <v>1662</v>
      </c>
      <c r="N1298" s="4" t="s">
        <v>387</v>
      </c>
      <c r="O1298" s="4" t="s">
        <v>47</v>
      </c>
      <c r="P1298" s="4" t="s">
        <v>56</v>
      </c>
      <c r="Q1298" s="4" t="s">
        <v>55</v>
      </c>
      <c r="U1298" s="4"/>
      <c r="V1298" s="2"/>
    </row>
    <row r="1299" spans="1:22" customFormat="1" hidden="1" x14ac:dyDescent="0.2">
      <c r="A1299" s="2" t="s">
        <v>247</v>
      </c>
      <c r="B1299" s="2" t="s">
        <v>1</v>
      </c>
      <c r="C1299" s="93">
        <v>46326</v>
      </c>
      <c r="D1299" s="164">
        <v>46326</v>
      </c>
      <c r="E1299" s="126">
        <v>46326</v>
      </c>
      <c r="F1299" s="2" t="s">
        <v>77</v>
      </c>
      <c r="G1299" s="300"/>
      <c r="H1299" s="300"/>
      <c r="I1299" s="300"/>
      <c r="J1299" s="300">
        <v>2500</v>
      </c>
      <c r="K1299" s="4" t="s">
        <v>1641</v>
      </c>
      <c r="L1299" s="4"/>
      <c r="M1299" s="4" t="s">
        <v>1661</v>
      </c>
      <c r="N1299" s="4" t="s">
        <v>364</v>
      </c>
      <c r="O1299" s="4" t="s">
        <v>47</v>
      </c>
      <c r="P1299" s="4" t="s">
        <v>56</v>
      </c>
      <c r="Q1299" s="4" t="s">
        <v>55</v>
      </c>
      <c r="U1299" s="4"/>
      <c r="V1299" s="2"/>
    </row>
    <row r="1300" spans="1:22" customFormat="1" hidden="1" x14ac:dyDescent="0.2">
      <c r="A1300" s="2" t="s">
        <v>247</v>
      </c>
      <c r="B1300" s="2" t="s">
        <v>1</v>
      </c>
      <c r="C1300" s="93">
        <v>46326</v>
      </c>
      <c r="D1300" s="164">
        <v>46326</v>
      </c>
      <c r="E1300" s="126">
        <v>46326</v>
      </c>
      <c r="F1300" s="2" t="s">
        <v>77</v>
      </c>
      <c r="G1300" s="300"/>
      <c r="H1300" s="300"/>
      <c r="I1300" s="300"/>
      <c r="J1300" s="300">
        <v>25000</v>
      </c>
      <c r="K1300" s="4" t="s">
        <v>1641</v>
      </c>
      <c r="L1300" s="4"/>
      <c r="M1300" s="4" t="s">
        <v>1662</v>
      </c>
      <c r="N1300" s="4" t="s">
        <v>387</v>
      </c>
      <c r="O1300" s="4" t="s">
        <v>47</v>
      </c>
      <c r="P1300" s="4" t="s">
        <v>59</v>
      </c>
      <c r="Q1300" s="4" t="s">
        <v>55</v>
      </c>
      <c r="U1300" s="4"/>
      <c r="V1300" s="2"/>
    </row>
    <row r="1301" spans="1:22" customFormat="1" hidden="1" x14ac:dyDescent="0.2">
      <c r="A1301" s="2" t="s">
        <v>247</v>
      </c>
      <c r="B1301" s="2" t="s">
        <v>1</v>
      </c>
      <c r="C1301" s="93">
        <v>46326</v>
      </c>
      <c r="D1301" s="164">
        <v>46326</v>
      </c>
      <c r="E1301" s="126">
        <v>46326</v>
      </c>
      <c r="F1301" s="2" t="s">
        <v>77</v>
      </c>
      <c r="G1301" s="300"/>
      <c r="H1301" s="300"/>
      <c r="I1301" s="300"/>
      <c r="J1301" s="300">
        <v>20</v>
      </c>
      <c r="K1301" s="4" t="s">
        <v>1641</v>
      </c>
      <c r="L1301" s="4"/>
      <c r="M1301" s="4" t="s">
        <v>1661</v>
      </c>
      <c r="N1301" s="4" t="s">
        <v>364</v>
      </c>
      <c r="O1301" s="4" t="s">
        <v>47</v>
      </c>
      <c r="P1301" s="4" t="s">
        <v>59</v>
      </c>
      <c r="Q1301" s="4" t="s">
        <v>55</v>
      </c>
      <c r="U1301" s="4"/>
      <c r="V1301" s="2"/>
    </row>
    <row r="1302" spans="1:22" customFormat="1" hidden="1" x14ac:dyDescent="0.2">
      <c r="A1302" s="2" t="s">
        <v>247</v>
      </c>
      <c r="B1302" s="2" t="s">
        <v>1</v>
      </c>
      <c r="C1302" s="93">
        <v>46326</v>
      </c>
      <c r="D1302" s="164">
        <v>46326</v>
      </c>
      <c r="E1302" s="126">
        <v>46326</v>
      </c>
      <c r="F1302" s="2" t="s">
        <v>77</v>
      </c>
      <c r="G1302" s="300"/>
      <c r="H1302" s="300"/>
      <c r="I1302" s="300"/>
      <c r="J1302" s="300">
        <v>15000</v>
      </c>
      <c r="K1302" s="4" t="s">
        <v>1641</v>
      </c>
      <c r="L1302" s="4"/>
      <c r="M1302" s="4" t="s">
        <v>1662</v>
      </c>
      <c r="N1302" s="4" t="s">
        <v>387</v>
      </c>
      <c r="O1302" s="4" t="s">
        <v>47</v>
      </c>
      <c r="P1302" s="4" t="s">
        <v>438</v>
      </c>
      <c r="Q1302" s="4" t="s">
        <v>61</v>
      </c>
      <c r="U1302" s="4"/>
      <c r="V1302" s="2"/>
    </row>
    <row r="1303" spans="1:22" customFormat="1" hidden="1" x14ac:dyDescent="0.2">
      <c r="A1303" s="2" t="s">
        <v>247</v>
      </c>
      <c r="B1303" s="2" t="s">
        <v>1</v>
      </c>
      <c r="C1303" s="93">
        <v>46326</v>
      </c>
      <c r="D1303" s="164">
        <v>46326</v>
      </c>
      <c r="E1303" s="126">
        <v>46326</v>
      </c>
      <c r="F1303" s="2" t="s">
        <v>77</v>
      </c>
      <c r="G1303" s="300"/>
      <c r="H1303" s="300"/>
      <c r="I1303" s="300"/>
      <c r="J1303" s="300">
        <v>5</v>
      </c>
      <c r="K1303" s="4" t="s">
        <v>1641</v>
      </c>
      <c r="L1303" s="4"/>
      <c r="M1303" s="4" t="s">
        <v>1662</v>
      </c>
      <c r="N1303" s="4" t="s">
        <v>387</v>
      </c>
      <c r="O1303" s="4" t="s">
        <v>47</v>
      </c>
      <c r="P1303" s="4" t="s">
        <v>438</v>
      </c>
      <c r="Q1303" s="4" t="s">
        <v>61</v>
      </c>
      <c r="U1303" s="4"/>
      <c r="V1303" s="2"/>
    </row>
    <row r="1304" spans="1:22" customFormat="1" hidden="1" x14ac:dyDescent="0.2">
      <c r="A1304" s="2" t="s">
        <v>247</v>
      </c>
      <c r="B1304" s="2" t="s">
        <v>1</v>
      </c>
      <c r="C1304" s="93">
        <v>46326</v>
      </c>
      <c r="D1304" s="164">
        <v>46326</v>
      </c>
      <c r="E1304" s="126">
        <v>46326</v>
      </c>
      <c r="F1304" s="2" t="s">
        <v>77</v>
      </c>
      <c r="G1304" s="300"/>
      <c r="H1304" s="300"/>
      <c r="I1304" s="300"/>
      <c r="J1304" s="300">
        <v>4000</v>
      </c>
      <c r="K1304" s="4" t="s">
        <v>1641</v>
      </c>
      <c r="L1304" s="4"/>
      <c r="M1304" s="4" t="s">
        <v>1661</v>
      </c>
      <c r="N1304" s="4" t="s">
        <v>364</v>
      </c>
      <c r="O1304" s="4" t="s">
        <v>47</v>
      </c>
      <c r="P1304" s="4" t="s">
        <v>438</v>
      </c>
      <c r="Q1304" s="4" t="s">
        <v>61</v>
      </c>
      <c r="U1304" s="4"/>
      <c r="V1304" s="2"/>
    </row>
    <row r="1305" spans="1:22" customFormat="1" hidden="1" x14ac:dyDescent="0.2">
      <c r="A1305" s="2" t="s">
        <v>247</v>
      </c>
      <c r="B1305" s="2" t="s">
        <v>1</v>
      </c>
      <c r="C1305" s="93">
        <v>46326</v>
      </c>
      <c r="D1305" s="164"/>
      <c r="E1305" s="126">
        <v>46326</v>
      </c>
      <c r="F1305" s="2" t="s">
        <v>77</v>
      </c>
      <c r="G1305" s="300">
        <v>210.51</v>
      </c>
      <c r="H1305" s="300">
        <v>18.940000000000001</v>
      </c>
      <c r="I1305" s="300">
        <f>G1305+H1305</f>
        <v>229.45</v>
      </c>
      <c r="J1305" s="300">
        <v>176.71</v>
      </c>
      <c r="K1305" s="4" t="s">
        <v>774</v>
      </c>
      <c r="L1305" s="4"/>
      <c r="M1305" s="4" t="s">
        <v>1660</v>
      </c>
      <c r="N1305" s="4" t="s">
        <v>60</v>
      </c>
      <c r="O1305" s="4" t="s">
        <v>60</v>
      </c>
      <c r="P1305" s="4" t="s">
        <v>333</v>
      </c>
      <c r="Q1305" s="4" t="s">
        <v>62</v>
      </c>
      <c r="U1305" s="4"/>
      <c r="V1305" s="2"/>
    </row>
    <row r="1306" spans="1:22" customFormat="1" hidden="1" x14ac:dyDescent="0.2">
      <c r="A1306" s="2" t="s">
        <v>247</v>
      </c>
      <c r="B1306" s="2" t="s">
        <v>1</v>
      </c>
      <c r="C1306" s="93">
        <v>46326</v>
      </c>
      <c r="D1306" s="164"/>
      <c r="E1306" s="126">
        <v>46326</v>
      </c>
      <c r="F1306" s="2" t="s">
        <v>77</v>
      </c>
      <c r="G1306" s="300"/>
      <c r="H1306" s="300"/>
      <c r="I1306" s="300"/>
      <c r="J1306" s="300">
        <v>55.5</v>
      </c>
      <c r="K1306" s="4" t="s">
        <v>893</v>
      </c>
      <c r="L1306" s="4"/>
      <c r="M1306" s="4" t="s">
        <v>1660</v>
      </c>
      <c r="N1306" s="4" t="s">
        <v>657</v>
      </c>
      <c r="O1306" s="4" t="s">
        <v>398</v>
      </c>
      <c r="P1306" s="4" t="s">
        <v>333</v>
      </c>
      <c r="Q1306" s="4" t="s">
        <v>62</v>
      </c>
      <c r="U1306" s="4"/>
      <c r="V1306" s="2"/>
    </row>
    <row r="1307" spans="1:22" customFormat="1" hidden="1" x14ac:dyDescent="0.2">
      <c r="A1307" s="2" t="s">
        <v>247</v>
      </c>
      <c r="B1307" s="2" t="s">
        <v>1</v>
      </c>
      <c r="C1307" s="93">
        <v>46341</v>
      </c>
      <c r="D1307" s="164"/>
      <c r="E1307" s="126">
        <v>46341</v>
      </c>
      <c r="F1307" s="2" t="s">
        <v>77</v>
      </c>
      <c r="G1307" s="300">
        <v>600</v>
      </c>
      <c r="H1307" s="300">
        <v>0</v>
      </c>
      <c r="I1307" s="300">
        <v>600</v>
      </c>
      <c r="J1307" s="300">
        <v>462.07501847516585</v>
      </c>
      <c r="K1307" s="4" t="s">
        <v>757</v>
      </c>
      <c r="L1307" s="4"/>
      <c r="M1307" s="4" t="s">
        <v>1659</v>
      </c>
      <c r="N1307" s="4" t="s">
        <v>621</v>
      </c>
      <c r="O1307" s="4" t="s">
        <v>618</v>
      </c>
      <c r="P1307" s="4" t="s">
        <v>340</v>
      </c>
      <c r="Q1307" s="4" t="s">
        <v>62</v>
      </c>
      <c r="U1307" s="4"/>
      <c r="V1307" s="2"/>
    </row>
    <row r="1308" spans="1:22" customFormat="1" hidden="1" x14ac:dyDescent="0.2">
      <c r="A1308" s="2" t="s">
        <v>247</v>
      </c>
      <c r="B1308" s="2" t="s">
        <v>1</v>
      </c>
      <c r="C1308" s="93">
        <v>46351</v>
      </c>
      <c r="D1308" s="164"/>
      <c r="E1308" s="126">
        <v>46351</v>
      </c>
      <c r="F1308" s="2" t="s">
        <v>77</v>
      </c>
      <c r="G1308" s="300">
        <v>66.5</v>
      </c>
      <c r="H1308" s="300">
        <v>5.99</v>
      </c>
      <c r="I1308" s="300">
        <v>72.489999999999995</v>
      </c>
      <c r="J1308" s="300">
        <v>55.83</v>
      </c>
      <c r="K1308" s="4" t="s">
        <v>665</v>
      </c>
      <c r="L1308" s="4"/>
      <c r="M1308" s="4" t="s">
        <v>666</v>
      </c>
      <c r="N1308" s="4" t="s">
        <v>50</v>
      </c>
      <c r="O1308" s="4" t="s">
        <v>50</v>
      </c>
      <c r="P1308" s="4" t="s">
        <v>340</v>
      </c>
      <c r="Q1308" s="4" t="s">
        <v>62</v>
      </c>
      <c r="U1308" s="4"/>
      <c r="V1308" s="2"/>
    </row>
    <row r="1309" spans="1:22" customFormat="1" hidden="1" x14ac:dyDescent="0.2">
      <c r="A1309" s="2" t="s">
        <v>247</v>
      </c>
      <c r="B1309" s="2" t="s">
        <v>1</v>
      </c>
      <c r="C1309" s="93">
        <v>46351</v>
      </c>
      <c r="D1309" s="164"/>
      <c r="E1309" s="126">
        <v>46351</v>
      </c>
      <c r="F1309" s="2" t="s">
        <v>77</v>
      </c>
      <c r="G1309" s="300">
        <v>6175</v>
      </c>
      <c r="H1309" s="300">
        <v>0</v>
      </c>
      <c r="I1309" s="300">
        <v>6175</v>
      </c>
      <c r="J1309" s="300">
        <v>4755.5220651402487</v>
      </c>
      <c r="K1309" s="4" t="s">
        <v>661</v>
      </c>
      <c r="L1309" s="4"/>
      <c r="M1309" s="4" t="s">
        <v>1658</v>
      </c>
      <c r="N1309" s="4" t="s">
        <v>58</v>
      </c>
      <c r="O1309" s="134" t="str">
        <f>_xlfn.XLOOKUP(N1309,[1]!costcategory[Account Code],[1]!costcategory[Cost Category],"ERROR")</f>
        <v>Network &amp; Server</v>
      </c>
      <c r="P1309" s="4" t="s">
        <v>59</v>
      </c>
      <c r="Q1309" s="147" t="str">
        <f>_xlfn.XLOOKUP(P1309,[1]!Table2[Department],[1]!Table2[Group],"ERROR")</f>
        <v>Research &amp; Development</v>
      </c>
      <c r="U1309" s="4"/>
      <c r="V1309" s="2"/>
    </row>
    <row r="1310" spans="1:22" customFormat="1" hidden="1" x14ac:dyDescent="0.2">
      <c r="A1310" s="2" t="s">
        <v>247</v>
      </c>
      <c r="B1310" s="2" t="s">
        <v>1</v>
      </c>
      <c r="C1310" s="93">
        <v>46351</v>
      </c>
      <c r="D1310" s="164"/>
      <c r="E1310" s="126">
        <v>46351</v>
      </c>
      <c r="F1310" s="2" t="s">
        <v>77</v>
      </c>
      <c r="G1310" s="300">
        <v>325</v>
      </c>
      <c r="H1310" s="300">
        <v>0</v>
      </c>
      <c r="I1310" s="300">
        <v>325</v>
      </c>
      <c r="J1310" s="300">
        <v>250.2906350073815</v>
      </c>
      <c r="K1310" s="4" t="s">
        <v>661</v>
      </c>
      <c r="L1310" s="4"/>
      <c r="M1310" s="4" t="s">
        <v>1658</v>
      </c>
      <c r="N1310" s="4" t="s">
        <v>58</v>
      </c>
      <c r="O1310" s="134" t="str">
        <f>_xlfn.XLOOKUP(N1310,[1]!costcategory[Account Code],[1]!costcategory[Cost Category],"ERROR")</f>
        <v>Network &amp; Server</v>
      </c>
      <c r="P1310" s="4" t="s">
        <v>56</v>
      </c>
      <c r="Q1310" s="147" t="str">
        <f>_xlfn.XLOOKUP(P1310,[1]!Table2[Department],[1]!Table2[Group],"ERROR")</f>
        <v>Research &amp; Development</v>
      </c>
      <c r="U1310" s="4"/>
      <c r="V1310" s="2"/>
    </row>
    <row r="1311" spans="1:22" customFormat="1" hidden="1" x14ac:dyDescent="0.2">
      <c r="A1311" s="2" t="s">
        <v>247</v>
      </c>
      <c r="B1311" s="2" t="s">
        <v>1</v>
      </c>
      <c r="C1311" s="93">
        <v>46351</v>
      </c>
      <c r="D1311" s="164"/>
      <c r="E1311" s="126">
        <v>46351</v>
      </c>
      <c r="F1311" s="2" t="s">
        <v>77</v>
      </c>
      <c r="G1311" s="300">
        <v>6175</v>
      </c>
      <c r="H1311" s="300">
        <v>0</v>
      </c>
      <c r="I1311" s="300">
        <v>6175</v>
      </c>
      <c r="J1311" s="300">
        <v>4755.5220651402487</v>
      </c>
      <c r="K1311" s="4" t="s">
        <v>661</v>
      </c>
      <c r="L1311" s="4"/>
      <c r="M1311" s="4" t="s">
        <v>1658</v>
      </c>
      <c r="N1311" s="4" t="s">
        <v>58</v>
      </c>
      <c r="O1311" s="134" t="str">
        <f>_xlfn.XLOOKUP(N1311,[1]!costcategory[Account Code],[1]!costcategory[Cost Category],"ERROR")</f>
        <v>Network &amp; Server</v>
      </c>
      <c r="P1311" s="4" t="s">
        <v>57</v>
      </c>
      <c r="Q1311" s="147" t="str">
        <f>_xlfn.XLOOKUP(P1311,[1]!Table2[Department],[1]!Table2[Group],"ERROR")</f>
        <v>Research &amp; Development</v>
      </c>
      <c r="U1311" s="4"/>
      <c r="V1311" s="2"/>
    </row>
    <row r="1312" spans="1:22" customFormat="1" hidden="1" x14ac:dyDescent="0.2">
      <c r="A1312" s="2" t="s">
        <v>247</v>
      </c>
      <c r="B1312" s="2" t="s">
        <v>1</v>
      </c>
      <c r="C1312" s="93">
        <v>46351</v>
      </c>
      <c r="D1312" s="164"/>
      <c r="E1312" s="126">
        <v>46351</v>
      </c>
      <c r="F1312" s="2" t="s">
        <v>77</v>
      </c>
      <c r="G1312" s="300"/>
      <c r="H1312" s="300"/>
      <c r="I1312" s="300"/>
      <c r="J1312" s="300">
        <v>92.415003695033164</v>
      </c>
      <c r="K1312" s="4" t="s">
        <v>659</v>
      </c>
      <c r="L1312" s="4"/>
      <c r="M1312" s="4" t="s">
        <v>1657</v>
      </c>
      <c r="N1312" s="4" t="s">
        <v>370</v>
      </c>
      <c r="O1312" s="4" t="s">
        <v>371</v>
      </c>
      <c r="P1312" s="4" t="s">
        <v>340</v>
      </c>
      <c r="Q1312" s="4" t="s">
        <v>62</v>
      </c>
      <c r="U1312" s="4"/>
      <c r="V1312" s="2"/>
    </row>
    <row r="1313" spans="1:22" customFormat="1" hidden="1" x14ac:dyDescent="0.2">
      <c r="A1313" s="2" t="s">
        <v>247</v>
      </c>
      <c r="B1313" s="2" t="s">
        <v>1</v>
      </c>
      <c r="C1313" s="93">
        <v>46351</v>
      </c>
      <c r="D1313" s="164"/>
      <c r="E1313" s="126">
        <v>46351</v>
      </c>
      <c r="F1313" s="2" t="s">
        <v>77</v>
      </c>
      <c r="G1313" s="300">
        <v>26042.28</v>
      </c>
      <c r="H1313" s="300">
        <v>0</v>
      </c>
      <c r="I1313" s="300">
        <v>26042.28</v>
      </c>
      <c r="J1313" s="300">
        <v>20055.811686892401</v>
      </c>
      <c r="K1313" s="4" t="s">
        <v>660</v>
      </c>
      <c r="L1313" s="4"/>
      <c r="M1313" s="4" t="s">
        <v>1656</v>
      </c>
      <c r="N1313" s="4" t="s">
        <v>409</v>
      </c>
      <c r="O1313" s="4" t="s">
        <v>410</v>
      </c>
      <c r="P1313" s="4" t="s">
        <v>340</v>
      </c>
      <c r="Q1313" s="4" t="s">
        <v>62</v>
      </c>
      <c r="U1313" s="4"/>
      <c r="V1313" s="2"/>
    </row>
    <row r="1314" spans="1:22" customFormat="1" hidden="1" x14ac:dyDescent="0.2">
      <c r="A1314" s="2" t="s">
        <v>247</v>
      </c>
      <c r="B1314" s="2" t="s">
        <v>1</v>
      </c>
      <c r="C1314" s="93">
        <v>46351</v>
      </c>
      <c r="D1314" s="164"/>
      <c r="E1314" s="126">
        <v>46351</v>
      </c>
      <c r="F1314" s="2" t="s">
        <v>77</v>
      </c>
      <c r="G1314" s="300">
        <v>158</v>
      </c>
      <c r="H1314" s="300">
        <v>14.22</v>
      </c>
      <c r="I1314" s="300">
        <v>172.22</v>
      </c>
      <c r="J1314" s="300">
        <v>132.63</v>
      </c>
      <c r="K1314" s="4" t="s">
        <v>661</v>
      </c>
      <c r="L1314" s="4"/>
      <c r="M1314" s="4" t="s">
        <v>1655</v>
      </c>
      <c r="N1314" s="4" t="s">
        <v>374</v>
      </c>
      <c r="O1314" s="4" t="s">
        <v>375</v>
      </c>
      <c r="P1314" s="4" t="s">
        <v>376</v>
      </c>
      <c r="Q1314" s="4" t="s">
        <v>62</v>
      </c>
      <c r="U1314" s="4"/>
      <c r="V1314" s="2"/>
    </row>
    <row r="1315" spans="1:22" customFormat="1" hidden="1" x14ac:dyDescent="0.2">
      <c r="A1315" s="2" t="s">
        <v>247</v>
      </c>
      <c r="B1315" s="2" t="s">
        <v>1</v>
      </c>
      <c r="C1315" s="93">
        <v>46351</v>
      </c>
      <c r="D1315" s="164"/>
      <c r="E1315" s="126">
        <v>46351</v>
      </c>
      <c r="F1315" s="2" t="s">
        <v>77</v>
      </c>
      <c r="G1315" s="300">
        <v>70</v>
      </c>
      <c r="H1315" s="300">
        <v>6.3</v>
      </c>
      <c r="I1315" s="300">
        <v>76.3</v>
      </c>
      <c r="J1315" s="300">
        <v>58.76</v>
      </c>
      <c r="K1315" s="4" t="s">
        <v>661</v>
      </c>
      <c r="L1315" s="4"/>
      <c r="M1315" s="4" t="s">
        <v>1655</v>
      </c>
      <c r="N1315" s="4" t="s">
        <v>374</v>
      </c>
      <c r="O1315" s="4" t="s">
        <v>375</v>
      </c>
      <c r="P1315" s="4" t="s">
        <v>376</v>
      </c>
      <c r="Q1315" s="4" t="s">
        <v>62</v>
      </c>
      <c r="U1315" s="4"/>
      <c r="V1315" s="2"/>
    </row>
    <row r="1316" spans="1:22" customFormat="1" hidden="1" x14ac:dyDescent="0.2">
      <c r="A1316" s="2" t="s">
        <v>247</v>
      </c>
      <c r="B1316" s="2" t="s">
        <v>1</v>
      </c>
      <c r="C1316" s="93">
        <v>46351</v>
      </c>
      <c r="D1316" s="164"/>
      <c r="E1316" s="126">
        <v>46351</v>
      </c>
      <c r="F1316" s="2" t="s">
        <v>77</v>
      </c>
      <c r="G1316" s="300">
        <v>584.1</v>
      </c>
      <c r="H1316" s="300">
        <v>52.57</v>
      </c>
      <c r="I1316" s="300">
        <v>636.66999999999996</v>
      </c>
      <c r="J1316" s="300">
        <v>490.32</v>
      </c>
      <c r="K1316" s="4" t="s">
        <v>661</v>
      </c>
      <c r="L1316" s="4"/>
      <c r="M1316" s="4" t="s">
        <v>1655</v>
      </c>
      <c r="N1316" s="4" t="s">
        <v>374</v>
      </c>
      <c r="O1316" s="4" t="s">
        <v>375</v>
      </c>
      <c r="P1316" s="4" t="s">
        <v>376</v>
      </c>
      <c r="Q1316" s="4" t="s">
        <v>62</v>
      </c>
      <c r="U1316" s="4"/>
      <c r="V1316" s="2"/>
    </row>
    <row r="1317" spans="1:22" customFormat="1" hidden="1" x14ac:dyDescent="0.2">
      <c r="A1317" s="2" t="s">
        <v>247</v>
      </c>
      <c r="B1317" s="2" t="s">
        <v>1</v>
      </c>
      <c r="C1317" s="93">
        <v>46351</v>
      </c>
      <c r="D1317" s="164"/>
      <c r="E1317" s="126">
        <v>46351</v>
      </c>
      <c r="F1317" s="2" t="s">
        <v>77</v>
      </c>
      <c r="G1317" s="300">
        <v>6175</v>
      </c>
      <c r="H1317" s="300">
        <v>0</v>
      </c>
      <c r="I1317" s="300">
        <v>6175</v>
      </c>
      <c r="J1317" s="300">
        <v>4755.5220651402487</v>
      </c>
      <c r="K1317" s="4" t="s">
        <v>661</v>
      </c>
      <c r="L1317" s="4"/>
      <c r="M1317" s="4" t="s">
        <v>1654</v>
      </c>
      <c r="N1317" s="4" t="s">
        <v>58</v>
      </c>
      <c r="O1317" s="4" t="s">
        <v>58</v>
      </c>
      <c r="P1317" s="4" t="s">
        <v>59</v>
      </c>
      <c r="Q1317" s="4" t="s">
        <v>55</v>
      </c>
      <c r="U1317" s="4"/>
      <c r="V1317" s="2"/>
    </row>
    <row r="1318" spans="1:22" customFormat="1" hidden="1" x14ac:dyDescent="0.2">
      <c r="A1318" s="2" t="s">
        <v>247</v>
      </c>
      <c r="B1318" s="2" t="s">
        <v>1</v>
      </c>
      <c r="C1318" s="93">
        <v>46351</v>
      </c>
      <c r="D1318" s="164"/>
      <c r="E1318" s="126">
        <v>46351</v>
      </c>
      <c r="F1318" s="2" t="s">
        <v>77</v>
      </c>
      <c r="G1318" s="300">
        <v>325</v>
      </c>
      <c r="H1318" s="300">
        <v>0</v>
      </c>
      <c r="I1318" s="300">
        <v>325</v>
      </c>
      <c r="J1318" s="300">
        <v>250.2906350073815</v>
      </c>
      <c r="K1318" s="4" t="s">
        <v>661</v>
      </c>
      <c r="L1318" s="4"/>
      <c r="M1318" s="4" t="s">
        <v>1654</v>
      </c>
      <c r="N1318" s="4" t="s">
        <v>58</v>
      </c>
      <c r="O1318" s="4" t="s">
        <v>58</v>
      </c>
      <c r="P1318" s="4" t="s">
        <v>56</v>
      </c>
      <c r="Q1318" s="4" t="s">
        <v>55</v>
      </c>
      <c r="U1318" s="4"/>
      <c r="V1318" s="2"/>
    </row>
    <row r="1319" spans="1:22" customFormat="1" hidden="1" x14ac:dyDescent="0.2">
      <c r="A1319" s="2" t="s">
        <v>247</v>
      </c>
      <c r="B1319" s="2" t="s">
        <v>1</v>
      </c>
      <c r="C1319" s="93">
        <v>46351</v>
      </c>
      <c r="D1319" s="164"/>
      <c r="E1319" s="126">
        <v>46351</v>
      </c>
      <c r="F1319" s="2" t="s">
        <v>77</v>
      </c>
      <c r="G1319" s="300">
        <v>6175</v>
      </c>
      <c r="H1319" s="300">
        <v>0</v>
      </c>
      <c r="I1319" s="300">
        <v>6175</v>
      </c>
      <c r="J1319" s="300">
        <v>4755.5220651402487</v>
      </c>
      <c r="K1319" s="4" t="s">
        <v>661</v>
      </c>
      <c r="L1319" s="4"/>
      <c r="M1319" s="4" t="s">
        <v>1654</v>
      </c>
      <c r="N1319" s="4" t="s">
        <v>58</v>
      </c>
      <c r="O1319" s="4" t="s">
        <v>58</v>
      </c>
      <c r="P1319" s="4" t="s">
        <v>57</v>
      </c>
      <c r="Q1319" s="4" t="s">
        <v>55</v>
      </c>
      <c r="U1319" s="4"/>
      <c r="V1319" s="2"/>
    </row>
    <row r="1320" spans="1:22" customFormat="1" hidden="1" x14ac:dyDescent="0.2">
      <c r="A1320" s="2" t="s">
        <v>247</v>
      </c>
      <c r="B1320" s="2" t="s">
        <v>1</v>
      </c>
      <c r="C1320" s="93">
        <v>46356</v>
      </c>
      <c r="D1320" s="164">
        <v>46356</v>
      </c>
      <c r="E1320" s="126">
        <v>46356</v>
      </c>
      <c r="F1320" s="2" t="s">
        <v>77</v>
      </c>
      <c r="G1320" s="300"/>
      <c r="H1320" s="300"/>
      <c r="I1320" s="300"/>
      <c r="J1320" s="300">
        <v>4000</v>
      </c>
      <c r="K1320" s="4" t="s">
        <v>1641</v>
      </c>
      <c r="L1320" s="4"/>
      <c r="M1320" s="4" t="s">
        <v>1653</v>
      </c>
      <c r="N1320" s="4" t="s">
        <v>387</v>
      </c>
      <c r="O1320" s="4" t="s">
        <v>47</v>
      </c>
      <c r="P1320" s="4" t="s">
        <v>354</v>
      </c>
      <c r="Q1320" s="4" t="s">
        <v>61</v>
      </c>
      <c r="U1320" s="4"/>
      <c r="V1320" s="2"/>
    </row>
    <row r="1321" spans="1:22" customFormat="1" hidden="1" x14ac:dyDescent="0.2">
      <c r="A1321" s="2" t="s">
        <v>247</v>
      </c>
      <c r="B1321" s="2" t="s">
        <v>1</v>
      </c>
      <c r="C1321" s="93">
        <v>46356</v>
      </c>
      <c r="D1321" s="164">
        <v>46356</v>
      </c>
      <c r="E1321" s="126">
        <v>46356</v>
      </c>
      <c r="F1321" s="2" t="s">
        <v>77</v>
      </c>
      <c r="G1321" s="300"/>
      <c r="H1321" s="300"/>
      <c r="I1321" s="300"/>
      <c r="J1321" s="300">
        <v>2</v>
      </c>
      <c r="K1321" s="4" t="s">
        <v>1641</v>
      </c>
      <c r="L1321" s="4"/>
      <c r="M1321" s="4" t="s">
        <v>1653</v>
      </c>
      <c r="N1321" s="4" t="s">
        <v>387</v>
      </c>
      <c r="O1321" s="4" t="s">
        <v>47</v>
      </c>
      <c r="P1321" s="4" t="s">
        <v>354</v>
      </c>
      <c r="Q1321" s="4" t="s">
        <v>61</v>
      </c>
      <c r="U1321" s="4"/>
      <c r="V1321" s="2"/>
    </row>
    <row r="1322" spans="1:22" customFormat="1" hidden="1" x14ac:dyDescent="0.2">
      <c r="A1322" s="2" t="s">
        <v>247</v>
      </c>
      <c r="B1322" s="2" t="s">
        <v>1</v>
      </c>
      <c r="C1322" s="93">
        <v>46356</v>
      </c>
      <c r="D1322" s="164">
        <v>46356</v>
      </c>
      <c r="E1322" s="126">
        <v>46356</v>
      </c>
      <c r="F1322" s="2" t="s">
        <v>77</v>
      </c>
      <c r="G1322" s="300"/>
      <c r="H1322" s="300"/>
      <c r="I1322" s="300"/>
      <c r="J1322" s="300">
        <v>2000</v>
      </c>
      <c r="K1322" s="4" t="s">
        <v>1641</v>
      </c>
      <c r="L1322" s="4"/>
      <c r="M1322" s="4" t="s">
        <v>1652</v>
      </c>
      <c r="N1322" s="4" t="s">
        <v>364</v>
      </c>
      <c r="O1322" s="4" t="s">
        <v>47</v>
      </c>
      <c r="P1322" s="4" t="s">
        <v>354</v>
      </c>
      <c r="Q1322" s="4" t="s">
        <v>61</v>
      </c>
      <c r="U1322" s="4"/>
      <c r="V1322" s="2"/>
    </row>
    <row r="1323" spans="1:22" customFormat="1" hidden="1" x14ac:dyDescent="0.2">
      <c r="A1323" s="2" t="s">
        <v>247</v>
      </c>
      <c r="B1323" s="2" t="s">
        <v>1</v>
      </c>
      <c r="C1323" s="93">
        <v>46356</v>
      </c>
      <c r="D1323" s="164">
        <v>46356</v>
      </c>
      <c r="E1323" s="126">
        <v>46356</v>
      </c>
      <c r="F1323" s="2" t="s">
        <v>77</v>
      </c>
      <c r="G1323" s="300"/>
      <c r="H1323" s="300"/>
      <c r="I1323" s="300"/>
      <c r="J1323" s="300">
        <v>17000</v>
      </c>
      <c r="K1323" s="4" t="s">
        <v>1641</v>
      </c>
      <c r="L1323" s="4"/>
      <c r="M1323" s="4" t="s">
        <v>1653</v>
      </c>
      <c r="N1323" s="4" t="s">
        <v>387</v>
      </c>
      <c r="O1323" s="4" t="s">
        <v>47</v>
      </c>
      <c r="P1323" s="4" t="s">
        <v>45</v>
      </c>
      <c r="Q1323" s="4" t="s">
        <v>45</v>
      </c>
      <c r="U1323" s="4"/>
      <c r="V1323" s="2"/>
    </row>
    <row r="1324" spans="1:22" customFormat="1" hidden="1" x14ac:dyDescent="0.2">
      <c r="A1324" s="2" t="s">
        <v>247</v>
      </c>
      <c r="B1324" s="2" t="s">
        <v>1</v>
      </c>
      <c r="C1324" s="93">
        <v>46356</v>
      </c>
      <c r="D1324" s="164">
        <v>46356</v>
      </c>
      <c r="E1324" s="126">
        <v>46356</v>
      </c>
      <c r="F1324" s="2" t="s">
        <v>77</v>
      </c>
      <c r="G1324" s="300"/>
      <c r="H1324" s="300"/>
      <c r="I1324" s="300"/>
      <c r="J1324" s="300">
        <v>6</v>
      </c>
      <c r="K1324" s="4" t="s">
        <v>1641</v>
      </c>
      <c r="L1324" s="4"/>
      <c r="M1324" s="4" t="s">
        <v>1653</v>
      </c>
      <c r="N1324" s="4" t="s">
        <v>387</v>
      </c>
      <c r="O1324" s="4" t="s">
        <v>47</v>
      </c>
      <c r="P1324" s="4" t="s">
        <v>45</v>
      </c>
      <c r="Q1324" s="4" t="s">
        <v>45</v>
      </c>
      <c r="U1324" s="4"/>
      <c r="V1324" s="2"/>
    </row>
    <row r="1325" spans="1:22" customFormat="1" hidden="1" x14ac:dyDescent="0.2">
      <c r="A1325" s="2" t="s">
        <v>247</v>
      </c>
      <c r="B1325" s="2" t="s">
        <v>1</v>
      </c>
      <c r="C1325" s="93">
        <v>46356</v>
      </c>
      <c r="D1325" s="164">
        <v>46356</v>
      </c>
      <c r="E1325" s="126">
        <v>46356</v>
      </c>
      <c r="F1325" s="2" t="s">
        <v>77</v>
      </c>
      <c r="G1325" s="300"/>
      <c r="H1325" s="300"/>
      <c r="I1325" s="300"/>
      <c r="J1325" s="300">
        <v>6000</v>
      </c>
      <c r="K1325" s="4" t="s">
        <v>1641</v>
      </c>
      <c r="L1325" s="4"/>
      <c r="M1325" s="4" t="s">
        <v>1652</v>
      </c>
      <c r="N1325" s="4" t="s">
        <v>364</v>
      </c>
      <c r="O1325" s="4" t="s">
        <v>47</v>
      </c>
      <c r="P1325" s="4" t="s">
        <v>45</v>
      </c>
      <c r="Q1325" s="4" t="s">
        <v>45</v>
      </c>
      <c r="U1325" s="4"/>
      <c r="V1325" s="2"/>
    </row>
    <row r="1326" spans="1:22" customFormat="1" hidden="1" x14ac:dyDescent="0.2">
      <c r="A1326" s="2" t="s">
        <v>247</v>
      </c>
      <c r="B1326" s="2" t="s">
        <v>1</v>
      </c>
      <c r="C1326" s="93">
        <v>46356</v>
      </c>
      <c r="D1326" s="164">
        <v>46356</v>
      </c>
      <c r="E1326" s="126">
        <v>46356</v>
      </c>
      <c r="F1326" s="2" t="s">
        <v>77</v>
      </c>
      <c r="G1326" s="300"/>
      <c r="H1326" s="300"/>
      <c r="I1326" s="300"/>
      <c r="J1326" s="300">
        <v>32000</v>
      </c>
      <c r="K1326" s="4" t="s">
        <v>1641</v>
      </c>
      <c r="L1326" s="4"/>
      <c r="M1326" s="4" t="s">
        <v>1653</v>
      </c>
      <c r="N1326" s="4" t="s">
        <v>387</v>
      </c>
      <c r="O1326" s="4" t="s">
        <v>47</v>
      </c>
      <c r="P1326" s="4" t="s">
        <v>658</v>
      </c>
      <c r="Q1326" s="4" t="s">
        <v>61</v>
      </c>
      <c r="U1326" s="4"/>
      <c r="V1326" s="2"/>
    </row>
    <row r="1327" spans="1:22" customFormat="1" hidden="1" x14ac:dyDescent="0.2">
      <c r="A1327" s="2" t="s">
        <v>247</v>
      </c>
      <c r="B1327" s="2" t="s">
        <v>1</v>
      </c>
      <c r="C1327" s="93">
        <v>46356</v>
      </c>
      <c r="D1327" s="164">
        <v>46356</v>
      </c>
      <c r="E1327" s="126">
        <v>46356</v>
      </c>
      <c r="F1327" s="2" t="s">
        <v>77</v>
      </c>
      <c r="G1327" s="300"/>
      <c r="H1327" s="300"/>
      <c r="I1327" s="300"/>
      <c r="J1327" s="300">
        <v>3</v>
      </c>
      <c r="K1327" s="4" t="s">
        <v>1641</v>
      </c>
      <c r="L1327" s="4"/>
      <c r="M1327" s="4" t="s">
        <v>1653</v>
      </c>
      <c r="N1327" s="4" t="s">
        <v>387</v>
      </c>
      <c r="O1327" s="4" t="s">
        <v>47</v>
      </c>
      <c r="P1327" s="4" t="s">
        <v>658</v>
      </c>
      <c r="Q1327" s="4" t="s">
        <v>61</v>
      </c>
      <c r="U1327" s="4"/>
      <c r="V1327" s="2"/>
    </row>
    <row r="1328" spans="1:22" customFormat="1" hidden="1" x14ac:dyDescent="0.2">
      <c r="A1328" s="2" t="s">
        <v>247</v>
      </c>
      <c r="B1328" s="2" t="s">
        <v>1</v>
      </c>
      <c r="C1328" s="93">
        <v>46356</v>
      </c>
      <c r="D1328" s="164">
        <v>46356</v>
      </c>
      <c r="E1328" s="126">
        <v>46356</v>
      </c>
      <c r="F1328" s="2" t="s">
        <v>77</v>
      </c>
      <c r="G1328" s="300"/>
      <c r="H1328" s="300"/>
      <c r="I1328" s="300"/>
      <c r="J1328" s="300">
        <v>2500</v>
      </c>
      <c r="K1328" s="4" t="s">
        <v>1641</v>
      </c>
      <c r="L1328" s="4"/>
      <c r="M1328" s="4" t="s">
        <v>1652</v>
      </c>
      <c r="N1328" s="4" t="s">
        <v>364</v>
      </c>
      <c r="O1328" s="4" t="s">
        <v>47</v>
      </c>
      <c r="P1328" s="4" t="s">
        <v>658</v>
      </c>
      <c r="Q1328" s="4" t="s">
        <v>61</v>
      </c>
      <c r="U1328" s="4"/>
      <c r="V1328" s="2"/>
    </row>
    <row r="1329" spans="1:22" customFormat="1" hidden="1" x14ac:dyDescent="0.2">
      <c r="A1329" s="2" t="s">
        <v>247</v>
      </c>
      <c r="B1329" s="2" t="s">
        <v>1</v>
      </c>
      <c r="C1329" s="93">
        <v>46356</v>
      </c>
      <c r="D1329" s="164">
        <v>46356</v>
      </c>
      <c r="E1329" s="126">
        <v>46356</v>
      </c>
      <c r="F1329" s="2" t="s">
        <v>77</v>
      </c>
      <c r="G1329" s="300"/>
      <c r="H1329" s="300"/>
      <c r="I1329" s="300"/>
      <c r="J1329" s="300">
        <v>2000</v>
      </c>
      <c r="K1329" s="4" t="s">
        <v>1641</v>
      </c>
      <c r="L1329" s="4"/>
      <c r="M1329" s="4" t="s">
        <v>1653</v>
      </c>
      <c r="N1329" s="4" t="s">
        <v>387</v>
      </c>
      <c r="O1329" s="4" t="s">
        <v>47</v>
      </c>
      <c r="P1329" s="4" t="s">
        <v>333</v>
      </c>
      <c r="Q1329" s="4" t="s">
        <v>62</v>
      </c>
      <c r="U1329" s="4"/>
      <c r="V1329" s="2"/>
    </row>
    <row r="1330" spans="1:22" customFormat="1" hidden="1" x14ac:dyDescent="0.2">
      <c r="A1330" s="2" t="s">
        <v>247</v>
      </c>
      <c r="B1330" s="2" t="s">
        <v>1</v>
      </c>
      <c r="C1330" s="93">
        <v>46356</v>
      </c>
      <c r="D1330" s="164">
        <v>46356</v>
      </c>
      <c r="E1330" s="126">
        <v>46356</v>
      </c>
      <c r="F1330" s="2" t="s">
        <v>77</v>
      </c>
      <c r="G1330" s="300"/>
      <c r="H1330" s="300"/>
      <c r="I1330" s="300"/>
      <c r="J1330" s="300">
        <v>1</v>
      </c>
      <c r="K1330" s="4" t="s">
        <v>1641</v>
      </c>
      <c r="L1330" s="4"/>
      <c r="M1330" s="4" t="s">
        <v>1653</v>
      </c>
      <c r="N1330" s="4" t="s">
        <v>387</v>
      </c>
      <c r="O1330" s="4" t="s">
        <v>47</v>
      </c>
      <c r="P1330" s="4" t="s">
        <v>333</v>
      </c>
      <c r="Q1330" s="4" t="s">
        <v>62</v>
      </c>
      <c r="U1330" s="4"/>
      <c r="V1330" s="2"/>
    </row>
    <row r="1331" spans="1:22" customFormat="1" hidden="1" x14ac:dyDescent="0.2">
      <c r="A1331" s="2" t="s">
        <v>247</v>
      </c>
      <c r="B1331" s="2" t="s">
        <v>1</v>
      </c>
      <c r="C1331" s="93">
        <v>46356</v>
      </c>
      <c r="D1331" s="164">
        <v>46356</v>
      </c>
      <c r="E1331" s="126">
        <v>46356</v>
      </c>
      <c r="F1331" s="2" t="s">
        <v>77</v>
      </c>
      <c r="G1331" s="300"/>
      <c r="H1331" s="300"/>
      <c r="I1331" s="300"/>
      <c r="J1331" s="300">
        <v>200</v>
      </c>
      <c r="K1331" s="4" t="s">
        <v>1641</v>
      </c>
      <c r="L1331" s="4"/>
      <c r="M1331" s="4" t="s">
        <v>1652</v>
      </c>
      <c r="N1331" s="4" t="s">
        <v>364</v>
      </c>
      <c r="O1331" s="4" t="s">
        <v>47</v>
      </c>
      <c r="P1331" s="4" t="s">
        <v>333</v>
      </c>
      <c r="Q1331" s="4" t="s">
        <v>62</v>
      </c>
      <c r="U1331" s="4"/>
      <c r="V1331" s="2"/>
    </row>
    <row r="1332" spans="1:22" customFormat="1" hidden="1" x14ac:dyDescent="0.2">
      <c r="A1332" s="2" t="s">
        <v>247</v>
      </c>
      <c r="B1332" s="2" t="s">
        <v>1</v>
      </c>
      <c r="C1332" s="93">
        <v>46356</v>
      </c>
      <c r="D1332" s="164">
        <v>46356</v>
      </c>
      <c r="E1332" s="126">
        <v>46356</v>
      </c>
      <c r="F1332" s="2" t="s">
        <v>77</v>
      </c>
      <c r="G1332" s="300"/>
      <c r="H1332" s="300"/>
      <c r="I1332" s="300"/>
      <c r="J1332" s="300">
        <v>25000</v>
      </c>
      <c r="K1332" s="4" t="s">
        <v>1641</v>
      </c>
      <c r="L1332" s="4"/>
      <c r="M1332" s="4" t="s">
        <v>1653</v>
      </c>
      <c r="N1332" s="4" t="s">
        <v>387</v>
      </c>
      <c r="O1332" s="4" t="s">
        <v>47</v>
      </c>
      <c r="P1332" s="4" t="s">
        <v>350</v>
      </c>
      <c r="Q1332" s="4" t="s">
        <v>62</v>
      </c>
      <c r="U1332" s="4"/>
      <c r="V1332" s="2"/>
    </row>
    <row r="1333" spans="1:22" customFormat="1" hidden="1" x14ac:dyDescent="0.2">
      <c r="A1333" s="2" t="s">
        <v>247</v>
      </c>
      <c r="B1333" s="2" t="s">
        <v>1</v>
      </c>
      <c r="C1333" s="93">
        <v>46356</v>
      </c>
      <c r="D1333" s="164">
        <v>46356</v>
      </c>
      <c r="E1333" s="126">
        <v>46356</v>
      </c>
      <c r="F1333" s="2" t="s">
        <v>77</v>
      </c>
      <c r="G1333" s="300"/>
      <c r="H1333" s="300"/>
      <c r="I1333" s="300"/>
      <c r="J1333" s="300">
        <v>4</v>
      </c>
      <c r="K1333" s="4" t="s">
        <v>1641</v>
      </c>
      <c r="L1333" s="4"/>
      <c r="M1333" s="4" t="s">
        <v>1653</v>
      </c>
      <c r="N1333" s="4" t="s">
        <v>387</v>
      </c>
      <c r="O1333" s="4" t="s">
        <v>47</v>
      </c>
      <c r="P1333" s="4" t="s">
        <v>350</v>
      </c>
      <c r="Q1333" s="4" t="s">
        <v>62</v>
      </c>
      <c r="U1333" s="4"/>
      <c r="V1333" s="2"/>
    </row>
    <row r="1334" spans="1:22" customFormat="1" hidden="1" x14ac:dyDescent="0.2">
      <c r="A1334" s="2" t="s">
        <v>247</v>
      </c>
      <c r="B1334" s="2" t="s">
        <v>1</v>
      </c>
      <c r="C1334" s="93">
        <v>46356</v>
      </c>
      <c r="D1334" s="164">
        <v>46356</v>
      </c>
      <c r="E1334" s="126">
        <v>46356</v>
      </c>
      <c r="F1334" s="2" t="s">
        <v>77</v>
      </c>
      <c r="G1334" s="300"/>
      <c r="H1334" s="300"/>
      <c r="I1334" s="300"/>
      <c r="J1334" s="300">
        <v>6000</v>
      </c>
      <c r="K1334" s="4" t="s">
        <v>1641</v>
      </c>
      <c r="L1334" s="4"/>
      <c r="M1334" s="4" t="s">
        <v>1652</v>
      </c>
      <c r="N1334" s="4" t="s">
        <v>364</v>
      </c>
      <c r="O1334" s="4" t="s">
        <v>47</v>
      </c>
      <c r="P1334" s="4" t="s">
        <v>350</v>
      </c>
      <c r="Q1334" s="4" t="s">
        <v>62</v>
      </c>
      <c r="U1334" s="4"/>
      <c r="V1334" s="2"/>
    </row>
    <row r="1335" spans="1:22" customFormat="1" hidden="1" x14ac:dyDescent="0.2">
      <c r="A1335" s="2" t="s">
        <v>247</v>
      </c>
      <c r="B1335" s="2" t="s">
        <v>1</v>
      </c>
      <c r="C1335" s="93">
        <v>46356</v>
      </c>
      <c r="D1335" s="164">
        <v>46356</v>
      </c>
      <c r="E1335" s="126">
        <v>46356</v>
      </c>
      <c r="F1335" s="2" t="s">
        <v>77</v>
      </c>
      <c r="G1335" s="300"/>
      <c r="H1335" s="300"/>
      <c r="I1335" s="300"/>
      <c r="J1335" s="300">
        <v>3000</v>
      </c>
      <c r="K1335" s="4" t="s">
        <v>1641</v>
      </c>
      <c r="L1335" s="4"/>
      <c r="M1335" s="4" t="s">
        <v>1653</v>
      </c>
      <c r="N1335" s="4" t="s">
        <v>387</v>
      </c>
      <c r="O1335" s="4" t="s">
        <v>47</v>
      </c>
      <c r="P1335" s="4" t="s">
        <v>376</v>
      </c>
      <c r="Q1335" s="4" t="s">
        <v>62</v>
      </c>
      <c r="U1335" s="4"/>
      <c r="V1335" s="2"/>
    </row>
    <row r="1336" spans="1:22" customFormat="1" hidden="1" x14ac:dyDescent="0.2">
      <c r="A1336" s="2" t="s">
        <v>247</v>
      </c>
      <c r="B1336" s="2" t="s">
        <v>1</v>
      </c>
      <c r="C1336" s="93">
        <v>46356</v>
      </c>
      <c r="D1336" s="164">
        <v>46356</v>
      </c>
      <c r="E1336" s="126">
        <v>46356</v>
      </c>
      <c r="F1336" s="2" t="s">
        <v>77</v>
      </c>
      <c r="G1336" s="300"/>
      <c r="H1336" s="300"/>
      <c r="I1336" s="300"/>
      <c r="J1336" s="300">
        <v>1</v>
      </c>
      <c r="K1336" s="4" t="s">
        <v>1641</v>
      </c>
      <c r="L1336" s="4"/>
      <c r="M1336" s="4" t="s">
        <v>1653</v>
      </c>
      <c r="N1336" s="4" t="s">
        <v>387</v>
      </c>
      <c r="O1336" s="4" t="s">
        <v>47</v>
      </c>
      <c r="P1336" s="4" t="s">
        <v>376</v>
      </c>
      <c r="Q1336" s="4" t="s">
        <v>62</v>
      </c>
      <c r="U1336" s="4"/>
      <c r="V1336" s="2"/>
    </row>
    <row r="1337" spans="1:22" customFormat="1" hidden="1" x14ac:dyDescent="0.2">
      <c r="A1337" s="2" t="s">
        <v>247</v>
      </c>
      <c r="B1337" s="2" t="s">
        <v>1</v>
      </c>
      <c r="C1337" s="93">
        <v>46356</v>
      </c>
      <c r="D1337" s="164">
        <v>46356</v>
      </c>
      <c r="E1337" s="126">
        <v>46356</v>
      </c>
      <c r="F1337" s="2" t="s">
        <v>77</v>
      </c>
      <c r="G1337" s="300"/>
      <c r="H1337" s="300"/>
      <c r="I1337" s="300"/>
      <c r="J1337" s="300">
        <v>1500</v>
      </c>
      <c r="K1337" s="4" t="s">
        <v>1641</v>
      </c>
      <c r="L1337" s="4"/>
      <c r="M1337" s="4" t="s">
        <v>1652</v>
      </c>
      <c r="N1337" s="4" t="s">
        <v>364</v>
      </c>
      <c r="O1337" s="4" t="s">
        <v>47</v>
      </c>
      <c r="P1337" s="4" t="s">
        <v>376</v>
      </c>
      <c r="Q1337" s="4" t="s">
        <v>62</v>
      </c>
      <c r="U1337" s="4"/>
      <c r="V1337" s="2"/>
    </row>
    <row r="1338" spans="1:22" customFormat="1" hidden="1" x14ac:dyDescent="0.2">
      <c r="A1338" s="2" t="s">
        <v>247</v>
      </c>
      <c r="B1338" s="2" t="s">
        <v>1</v>
      </c>
      <c r="C1338" s="93">
        <v>46356</v>
      </c>
      <c r="D1338" s="164">
        <v>46356</v>
      </c>
      <c r="E1338" s="126">
        <v>46356</v>
      </c>
      <c r="F1338" s="2" t="s">
        <v>77</v>
      </c>
      <c r="G1338" s="300"/>
      <c r="H1338" s="300"/>
      <c r="I1338" s="300"/>
      <c r="J1338" s="300">
        <v>20000</v>
      </c>
      <c r="K1338" s="4" t="s">
        <v>1641</v>
      </c>
      <c r="L1338" s="4"/>
      <c r="M1338" s="4" t="s">
        <v>1653</v>
      </c>
      <c r="N1338" s="4" t="s">
        <v>387</v>
      </c>
      <c r="O1338" s="4" t="s">
        <v>47</v>
      </c>
      <c r="P1338" s="4" t="s">
        <v>523</v>
      </c>
      <c r="Q1338" s="4" t="s">
        <v>62</v>
      </c>
      <c r="U1338" s="4"/>
      <c r="V1338" s="2"/>
    </row>
    <row r="1339" spans="1:22" customFormat="1" hidden="1" x14ac:dyDescent="0.2">
      <c r="A1339" s="2" t="s">
        <v>247</v>
      </c>
      <c r="B1339" s="2" t="s">
        <v>1</v>
      </c>
      <c r="C1339" s="93">
        <v>46356</v>
      </c>
      <c r="D1339" s="164">
        <v>46356</v>
      </c>
      <c r="E1339" s="126">
        <v>46356</v>
      </c>
      <c r="F1339" s="2" t="s">
        <v>77</v>
      </c>
      <c r="G1339" s="300"/>
      <c r="H1339" s="300"/>
      <c r="I1339" s="300"/>
      <c r="J1339" s="300">
        <v>10</v>
      </c>
      <c r="K1339" s="4" t="s">
        <v>1641</v>
      </c>
      <c r="L1339" s="4"/>
      <c r="M1339" s="4" t="s">
        <v>1652</v>
      </c>
      <c r="N1339" s="4" t="s">
        <v>364</v>
      </c>
      <c r="O1339" s="4" t="s">
        <v>47</v>
      </c>
      <c r="P1339" s="4" t="s">
        <v>523</v>
      </c>
      <c r="Q1339" s="4" t="s">
        <v>62</v>
      </c>
      <c r="U1339" s="4"/>
      <c r="V1339" s="2"/>
    </row>
    <row r="1340" spans="1:22" customFormat="1" hidden="1" x14ac:dyDescent="0.2">
      <c r="A1340" s="2" t="s">
        <v>247</v>
      </c>
      <c r="B1340" s="2" t="s">
        <v>1</v>
      </c>
      <c r="C1340" s="93">
        <v>46356</v>
      </c>
      <c r="D1340" s="164">
        <v>46356</v>
      </c>
      <c r="E1340" s="126">
        <v>46356</v>
      </c>
      <c r="F1340" s="2" t="s">
        <v>77</v>
      </c>
      <c r="G1340" s="300"/>
      <c r="H1340" s="300"/>
      <c r="I1340" s="300"/>
      <c r="J1340" s="300">
        <v>15000</v>
      </c>
      <c r="K1340" s="4" t="s">
        <v>1641</v>
      </c>
      <c r="L1340" s="4"/>
      <c r="M1340" s="4" t="s">
        <v>1653</v>
      </c>
      <c r="N1340" s="4" t="s">
        <v>387</v>
      </c>
      <c r="O1340" s="4" t="s">
        <v>47</v>
      </c>
      <c r="P1340" s="4" t="s">
        <v>56</v>
      </c>
      <c r="Q1340" s="4" t="s">
        <v>55</v>
      </c>
      <c r="U1340" s="4"/>
      <c r="V1340" s="2"/>
    </row>
    <row r="1341" spans="1:22" customFormat="1" hidden="1" x14ac:dyDescent="0.2">
      <c r="A1341" s="2" t="s">
        <v>247</v>
      </c>
      <c r="B1341" s="2" t="s">
        <v>1</v>
      </c>
      <c r="C1341" s="93">
        <v>46356</v>
      </c>
      <c r="D1341" s="164">
        <v>46356</v>
      </c>
      <c r="E1341" s="126">
        <v>46356</v>
      </c>
      <c r="F1341" s="2" t="s">
        <v>77</v>
      </c>
      <c r="G1341" s="300"/>
      <c r="H1341" s="300"/>
      <c r="I1341" s="300"/>
      <c r="J1341" s="300">
        <v>3</v>
      </c>
      <c r="K1341" s="4" t="s">
        <v>1641</v>
      </c>
      <c r="L1341" s="4"/>
      <c r="M1341" s="4" t="s">
        <v>1653</v>
      </c>
      <c r="N1341" s="4" t="s">
        <v>387</v>
      </c>
      <c r="O1341" s="4" t="s">
        <v>47</v>
      </c>
      <c r="P1341" s="4" t="s">
        <v>56</v>
      </c>
      <c r="Q1341" s="4" t="s">
        <v>55</v>
      </c>
      <c r="U1341" s="4"/>
      <c r="V1341" s="2"/>
    </row>
    <row r="1342" spans="1:22" customFormat="1" hidden="1" x14ac:dyDescent="0.2">
      <c r="A1342" s="2" t="s">
        <v>247</v>
      </c>
      <c r="B1342" s="2" t="s">
        <v>1</v>
      </c>
      <c r="C1342" s="93">
        <v>46356</v>
      </c>
      <c r="D1342" s="164">
        <v>46356</v>
      </c>
      <c r="E1342" s="126">
        <v>46356</v>
      </c>
      <c r="F1342" s="2" t="s">
        <v>77</v>
      </c>
      <c r="G1342" s="300"/>
      <c r="H1342" s="300"/>
      <c r="I1342" s="300"/>
      <c r="J1342" s="300">
        <v>2500</v>
      </c>
      <c r="K1342" s="4" t="s">
        <v>1641</v>
      </c>
      <c r="L1342" s="4"/>
      <c r="M1342" s="4" t="s">
        <v>1652</v>
      </c>
      <c r="N1342" s="4" t="s">
        <v>364</v>
      </c>
      <c r="O1342" s="4" t="s">
        <v>47</v>
      </c>
      <c r="P1342" s="4" t="s">
        <v>56</v>
      </c>
      <c r="Q1342" s="4" t="s">
        <v>55</v>
      </c>
      <c r="U1342" s="4"/>
      <c r="V1342" s="2"/>
    </row>
    <row r="1343" spans="1:22" customFormat="1" hidden="1" x14ac:dyDescent="0.2">
      <c r="A1343" s="2" t="s">
        <v>247</v>
      </c>
      <c r="B1343" s="2" t="s">
        <v>1</v>
      </c>
      <c r="C1343" s="93">
        <v>46356</v>
      </c>
      <c r="D1343" s="164">
        <v>46356</v>
      </c>
      <c r="E1343" s="126">
        <v>46356</v>
      </c>
      <c r="F1343" s="2" t="s">
        <v>77</v>
      </c>
      <c r="G1343" s="300"/>
      <c r="H1343" s="300"/>
      <c r="I1343" s="300"/>
      <c r="J1343" s="300">
        <v>25000</v>
      </c>
      <c r="K1343" s="4" t="s">
        <v>1641</v>
      </c>
      <c r="L1343" s="4"/>
      <c r="M1343" s="4" t="s">
        <v>1653</v>
      </c>
      <c r="N1343" s="4" t="s">
        <v>387</v>
      </c>
      <c r="O1343" s="4" t="s">
        <v>47</v>
      </c>
      <c r="P1343" s="4" t="s">
        <v>59</v>
      </c>
      <c r="Q1343" s="4" t="s">
        <v>55</v>
      </c>
      <c r="U1343" s="4"/>
      <c r="V1343" s="2"/>
    </row>
    <row r="1344" spans="1:22" customFormat="1" hidden="1" x14ac:dyDescent="0.2">
      <c r="A1344" s="2" t="s">
        <v>247</v>
      </c>
      <c r="B1344" s="2" t="s">
        <v>1</v>
      </c>
      <c r="C1344" s="93">
        <v>46356</v>
      </c>
      <c r="D1344" s="164">
        <v>46356</v>
      </c>
      <c r="E1344" s="126">
        <v>46356</v>
      </c>
      <c r="F1344" s="2" t="s">
        <v>77</v>
      </c>
      <c r="G1344" s="300"/>
      <c r="H1344" s="300"/>
      <c r="I1344" s="300"/>
      <c r="J1344" s="300">
        <v>20</v>
      </c>
      <c r="K1344" s="4" t="s">
        <v>1641</v>
      </c>
      <c r="L1344" s="4"/>
      <c r="M1344" s="4" t="s">
        <v>1652</v>
      </c>
      <c r="N1344" s="4" t="s">
        <v>364</v>
      </c>
      <c r="O1344" s="4" t="s">
        <v>47</v>
      </c>
      <c r="P1344" s="4" t="s">
        <v>59</v>
      </c>
      <c r="Q1344" s="4" t="s">
        <v>55</v>
      </c>
      <c r="U1344" s="4"/>
      <c r="V1344" s="2"/>
    </row>
    <row r="1345" spans="1:22" customFormat="1" hidden="1" x14ac:dyDescent="0.2">
      <c r="A1345" s="2" t="s">
        <v>247</v>
      </c>
      <c r="B1345" s="2" t="s">
        <v>1</v>
      </c>
      <c r="C1345" s="93">
        <v>46356</v>
      </c>
      <c r="D1345" s="164">
        <v>46356</v>
      </c>
      <c r="E1345" s="126">
        <v>46356</v>
      </c>
      <c r="F1345" s="2" t="s">
        <v>77</v>
      </c>
      <c r="G1345" s="300"/>
      <c r="H1345" s="300"/>
      <c r="I1345" s="300"/>
      <c r="J1345" s="300">
        <v>15000</v>
      </c>
      <c r="K1345" s="4" t="s">
        <v>1641</v>
      </c>
      <c r="L1345" s="4"/>
      <c r="M1345" s="4" t="s">
        <v>1653</v>
      </c>
      <c r="N1345" s="4" t="s">
        <v>387</v>
      </c>
      <c r="O1345" s="4" t="s">
        <v>47</v>
      </c>
      <c r="P1345" s="4" t="s">
        <v>438</v>
      </c>
      <c r="Q1345" s="4" t="s">
        <v>61</v>
      </c>
      <c r="U1345" s="4"/>
      <c r="V1345" s="2"/>
    </row>
    <row r="1346" spans="1:22" customFormat="1" hidden="1" x14ac:dyDescent="0.2">
      <c r="A1346" s="2" t="s">
        <v>247</v>
      </c>
      <c r="B1346" s="2" t="s">
        <v>1</v>
      </c>
      <c r="C1346" s="93">
        <v>46356</v>
      </c>
      <c r="D1346" s="164">
        <v>46356</v>
      </c>
      <c r="E1346" s="126">
        <v>46356</v>
      </c>
      <c r="F1346" s="2" t="s">
        <v>77</v>
      </c>
      <c r="G1346" s="300"/>
      <c r="H1346" s="300"/>
      <c r="I1346" s="300"/>
      <c r="J1346" s="300">
        <v>5</v>
      </c>
      <c r="K1346" s="4" t="s">
        <v>1641</v>
      </c>
      <c r="L1346" s="4"/>
      <c r="M1346" s="4" t="s">
        <v>1653</v>
      </c>
      <c r="N1346" s="4" t="s">
        <v>387</v>
      </c>
      <c r="O1346" s="4" t="s">
        <v>47</v>
      </c>
      <c r="P1346" s="4" t="s">
        <v>438</v>
      </c>
      <c r="Q1346" s="4" t="s">
        <v>61</v>
      </c>
      <c r="U1346" s="4"/>
      <c r="V1346" s="2"/>
    </row>
    <row r="1347" spans="1:22" customFormat="1" hidden="1" x14ac:dyDescent="0.2">
      <c r="A1347" s="2" t="s">
        <v>247</v>
      </c>
      <c r="B1347" s="2" t="s">
        <v>1</v>
      </c>
      <c r="C1347" s="93">
        <v>46356</v>
      </c>
      <c r="D1347" s="164">
        <v>46356</v>
      </c>
      <c r="E1347" s="126">
        <v>46356</v>
      </c>
      <c r="F1347" s="2" t="s">
        <v>77</v>
      </c>
      <c r="G1347" s="300"/>
      <c r="H1347" s="300"/>
      <c r="I1347" s="300"/>
      <c r="J1347" s="300">
        <v>4000</v>
      </c>
      <c r="K1347" s="4" t="s">
        <v>1641</v>
      </c>
      <c r="L1347" s="4"/>
      <c r="M1347" s="4" t="s">
        <v>1652</v>
      </c>
      <c r="N1347" s="4" t="s">
        <v>364</v>
      </c>
      <c r="O1347" s="4" t="s">
        <v>47</v>
      </c>
      <c r="P1347" s="4" t="s">
        <v>438</v>
      </c>
      <c r="Q1347" s="4" t="s">
        <v>61</v>
      </c>
      <c r="U1347" s="4"/>
      <c r="V1347" s="2"/>
    </row>
    <row r="1348" spans="1:22" customFormat="1" hidden="1" x14ac:dyDescent="0.2">
      <c r="A1348" s="2" t="s">
        <v>247</v>
      </c>
      <c r="B1348" s="2" t="s">
        <v>1</v>
      </c>
      <c r="C1348" s="93">
        <v>46356</v>
      </c>
      <c r="D1348" s="164"/>
      <c r="E1348" s="126">
        <v>46356</v>
      </c>
      <c r="F1348" s="2" t="s">
        <v>77</v>
      </c>
      <c r="G1348" s="300">
        <v>210.51</v>
      </c>
      <c r="H1348" s="300">
        <v>18.940000000000001</v>
      </c>
      <c r="I1348" s="300">
        <f>G1348+H1348</f>
        <v>229.45</v>
      </c>
      <c r="J1348" s="300">
        <v>176.71</v>
      </c>
      <c r="K1348" s="4" t="s">
        <v>774</v>
      </c>
      <c r="L1348" s="4"/>
      <c r="M1348" s="4" t="s">
        <v>1651</v>
      </c>
      <c r="N1348" s="4" t="s">
        <v>60</v>
      </c>
      <c r="O1348" s="4" t="s">
        <v>60</v>
      </c>
      <c r="P1348" s="4" t="s">
        <v>333</v>
      </c>
      <c r="Q1348" s="4" t="s">
        <v>62</v>
      </c>
      <c r="U1348" s="4"/>
      <c r="V1348" s="2"/>
    </row>
    <row r="1349" spans="1:22" customFormat="1" hidden="1" x14ac:dyDescent="0.2">
      <c r="A1349" s="2" t="s">
        <v>247</v>
      </c>
      <c r="B1349" s="2" t="s">
        <v>1</v>
      </c>
      <c r="C1349" s="93">
        <v>46356</v>
      </c>
      <c r="D1349" s="164"/>
      <c r="E1349" s="126">
        <v>46356</v>
      </c>
      <c r="F1349" s="2" t="s">
        <v>77</v>
      </c>
      <c r="G1349" s="300"/>
      <c r="H1349" s="300"/>
      <c r="I1349" s="300"/>
      <c r="J1349" s="300">
        <v>55.5</v>
      </c>
      <c r="K1349" s="4" t="s">
        <v>893</v>
      </c>
      <c r="L1349" s="4"/>
      <c r="M1349" s="4" t="s">
        <v>1651</v>
      </c>
      <c r="N1349" s="4" t="s">
        <v>657</v>
      </c>
      <c r="O1349" s="4" t="s">
        <v>398</v>
      </c>
      <c r="P1349" s="4" t="s">
        <v>333</v>
      </c>
      <c r="Q1349" s="4" t="s">
        <v>62</v>
      </c>
      <c r="U1349" s="4"/>
      <c r="V1349" s="2"/>
    </row>
    <row r="1350" spans="1:22" customFormat="1" hidden="1" x14ac:dyDescent="0.2">
      <c r="A1350" s="2" t="s">
        <v>247</v>
      </c>
      <c r="B1350" s="2" t="s">
        <v>1</v>
      </c>
      <c r="C1350" s="93">
        <v>46381</v>
      </c>
      <c r="D1350" s="164"/>
      <c r="E1350" s="126">
        <v>46381</v>
      </c>
      <c r="F1350" s="2" t="s">
        <v>77</v>
      </c>
      <c r="G1350" s="300">
        <v>66.5</v>
      </c>
      <c r="H1350" s="300">
        <v>5.99</v>
      </c>
      <c r="I1350" s="300">
        <v>72.489999999999995</v>
      </c>
      <c r="J1350" s="300">
        <v>55.83</v>
      </c>
      <c r="K1350" s="4" t="s">
        <v>665</v>
      </c>
      <c r="L1350" s="4"/>
      <c r="M1350" s="4" t="s">
        <v>666</v>
      </c>
      <c r="N1350" s="4" t="s">
        <v>50</v>
      </c>
      <c r="O1350" s="4" t="s">
        <v>50</v>
      </c>
      <c r="P1350" s="4" t="s">
        <v>340</v>
      </c>
      <c r="Q1350" s="4" t="s">
        <v>62</v>
      </c>
      <c r="U1350" s="4"/>
      <c r="V1350" s="2"/>
    </row>
    <row r="1351" spans="1:22" customFormat="1" hidden="1" x14ac:dyDescent="0.2">
      <c r="A1351" s="2" t="s">
        <v>247</v>
      </c>
      <c r="B1351" s="2" t="s">
        <v>1</v>
      </c>
      <c r="C1351" s="93">
        <v>46381</v>
      </c>
      <c r="D1351" s="164"/>
      <c r="E1351" s="126">
        <v>46381</v>
      </c>
      <c r="F1351" s="2" t="s">
        <v>77</v>
      </c>
      <c r="G1351" s="300">
        <v>325</v>
      </c>
      <c r="H1351" s="300">
        <v>0</v>
      </c>
      <c r="I1351" s="300">
        <v>325</v>
      </c>
      <c r="J1351" s="300">
        <v>250.2906350073815</v>
      </c>
      <c r="K1351" s="4" t="s">
        <v>661</v>
      </c>
      <c r="L1351" s="4"/>
      <c r="M1351" s="4" t="s">
        <v>1650</v>
      </c>
      <c r="N1351" s="4" t="s">
        <v>58</v>
      </c>
      <c r="O1351" s="4" t="s">
        <v>58</v>
      </c>
      <c r="P1351" s="4" t="s">
        <v>59</v>
      </c>
      <c r="Q1351" s="4" t="s">
        <v>55</v>
      </c>
      <c r="U1351" s="4"/>
      <c r="V1351" s="2"/>
    </row>
    <row r="1352" spans="1:22" customFormat="1" hidden="1" x14ac:dyDescent="0.2">
      <c r="A1352" s="2" t="s">
        <v>247</v>
      </c>
      <c r="B1352" s="2" t="s">
        <v>1</v>
      </c>
      <c r="C1352" s="93">
        <v>46381</v>
      </c>
      <c r="D1352" s="164"/>
      <c r="E1352" s="126">
        <v>46381</v>
      </c>
      <c r="F1352" s="2" t="s">
        <v>77</v>
      </c>
      <c r="G1352" s="300">
        <v>6175</v>
      </c>
      <c r="H1352" s="300">
        <v>0</v>
      </c>
      <c r="I1352" s="300">
        <v>6175</v>
      </c>
      <c r="J1352" s="300">
        <v>4755.5220651402487</v>
      </c>
      <c r="K1352" s="4" t="s">
        <v>661</v>
      </c>
      <c r="L1352" s="4"/>
      <c r="M1352" s="4" t="s">
        <v>1650</v>
      </c>
      <c r="N1352" s="4" t="s">
        <v>58</v>
      </c>
      <c r="O1352" s="4" t="s">
        <v>58</v>
      </c>
      <c r="P1352" s="4" t="s">
        <v>56</v>
      </c>
      <c r="Q1352" s="4" t="s">
        <v>55</v>
      </c>
      <c r="U1352" s="4"/>
      <c r="V1352" s="2"/>
    </row>
    <row r="1353" spans="1:22" customFormat="1" hidden="1" x14ac:dyDescent="0.2">
      <c r="A1353" s="2" t="s">
        <v>247</v>
      </c>
      <c r="B1353" s="2" t="s">
        <v>1</v>
      </c>
      <c r="C1353" s="93">
        <v>46381</v>
      </c>
      <c r="D1353" s="164"/>
      <c r="E1353" s="126">
        <v>46381</v>
      </c>
      <c r="F1353" s="2" t="s">
        <v>77</v>
      </c>
      <c r="G1353" s="300">
        <v>325</v>
      </c>
      <c r="H1353" s="300">
        <v>0</v>
      </c>
      <c r="I1353" s="300">
        <v>325</v>
      </c>
      <c r="J1353" s="300">
        <v>250.2906350073815</v>
      </c>
      <c r="K1353" s="4" t="s">
        <v>661</v>
      </c>
      <c r="L1353" s="4"/>
      <c r="M1353" s="4" t="s">
        <v>1650</v>
      </c>
      <c r="N1353" s="4" t="s">
        <v>58</v>
      </c>
      <c r="O1353" s="4" t="s">
        <v>58</v>
      </c>
      <c r="P1353" s="4" t="s">
        <v>57</v>
      </c>
      <c r="Q1353" s="4" t="s">
        <v>55</v>
      </c>
      <c r="U1353" s="4"/>
      <c r="V1353" s="2"/>
    </row>
    <row r="1354" spans="1:22" customFormat="1" hidden="1" x14ac:dyDescent="0.2">
      <c r="A1354" s="2" t="s">
        <v>247</v>
      </c>
      <c r="B1354" s="2" t="s">
        <v>1</v>
      </c>
      <c r="C1354" s="93">
        <v>46381</v>
      </c>
      <c r="D1354" s="164"/>
      <c r="E1354" s="126">
        <v>46381</v>
      </c>
      <c r="F1354" s="2" t="s">
        <v>77</v>
      </c>
      <c r="G1354" s="300">
        <v>8000</v>
      </c>
      <c r="H1354" s="300">
        <v>0</v>
      </c>
      <c r="I1354" s="300">
        <v>8000</v>
      </c>
      <c r="J1354" s="300">
        <v>6161.000246335544</v>
      </c>
      <c r="K1354" s="4" t="s">
        <v>662</v>
      </c>
      <c r="L1354" s="4"/>
      <c r="M1354" s="4" t="s">
        <v>1649</v>
      </c>
      <c r="N1354" s="4" t="s">
        <v>367</v>
      </c>
      <c r="O1354" s="134" t="str">
        <f>_xlfn.XLOOKUP(N1354,[1]!costcategory[Account Code],[1]!costcategory[Cost Category],"ERROR")</f>
        <v>Professional &amp; Consultancy Fees</v>
      </c>
      <c r="P1354" s="4" t="s">
        <v>340</v>
      </c>
      <c r="Q1354" s="147" t="str">
        <f>_xlfn.XLOOKUP(P1354,[1]!Table2[Department],[1]!Table2[Group],"ERROR")</f>
        <v>General &amp; Administrative</v>
      </c>
      <c r="U1354" s="4"/>
      <c r="V1354" s="2"/>
    </row>
    <row r="1355" spans="1:22" customFormat="1" hidden="1" x14ac:dyDescent="0.2">
      <c r="A1355" s="2" t="s">
        <v>247</v>
      </c>
      <c r="B1355" s="2" t="s">
        <v>1</v>
      </c>
      <c r="C1355" s="93">
        <v>46381</v>
      </c>
      <c r="D1355" s="164"/>
      <c r="E1355" s="126">
        <v>46381</v>
      </c>
      <c r="F1355" s="2" t="s">
        <v>77</v>
      </c>
      <c r="G1355" s="300">
        <v>8000</v>
      </c>
      <c r="H1355" s="300">
        <v>0</v>
      </c>
      <c r="I1355" s="300">
        <v>8000</v>
      </c>
      <c r="J1355" s="300">
        <v>6161.000246335544</v>
      </c>
      <c r="K1355" s="4" t="s">
        <v>662</v>
      </c>
      <c r="L1355" s="4"/>
      <c r="M1355" s="4" t="s">
        <v>1648</v>
      </c>
      <c r="N1355" s="4" t="s">
        <v>367</v>
      </c>
      <c r="O1355" s="134" t="str">
        <f>_xlfn.XLOOKUP(N1355,[1]!costcategory[Account Code],[1]!costcategory[Cost Category],"ERROR")</f>
        <v>Professional &amp; Consultancy Fees</v>
      </c>
      <c r="P1355" s="4" t="s">
        <v>340</v>
      </c>
      <c r="Q1355" s="147" t="str">
        <f>_xlfn.XLOOKUP(P1355,[1]!Table2[Department],[1]!Table2[Group],"ERROR")</f>
        <v>General &amp; Administrative</v>
      </c>
      <c r="U1355" s="4"/>
      <c r="V1355" s="2"/>
    </row>
    <row r="1356" spans="1:22" customFormat="1" hidden="1" x14ac:dyDescent="0.2">
      <c r="A1356" s="2" t="s">
        <v>247</v>
      </c>
      <c r="B1356" s="2" t="s">
        <v>1</v>
      </c>
      <c r="C1356" s="93">
        <v>46381</v>
      </c>
      <c r="D1356" s="164"/>
      <c r="E1356" s="126">
        <v>46381</v>
      </c>
      <c r="F1356" s="2" t="s">
        <v>77</v>
      </c>
      <c r="G1356" s="300">
        <v>8000</v>
      </c>
      <c r="H1356" s="300">
        <v>0</v>
      </c>
      <c r="I1356" s="300">
        <v>8000</v>
      </c>
      <c r="J1356" s="300">
        <v>6161.000246335544</v>
      </c>
      <c r="K1356" s="4" t="s">
        <v>662</v>
      </c>
      <c r="L1356" s="4"/>
      <c r="M1356" s="4" t="s">
        <v>1647</v>
      </c>
      <c r="N1356" s="4" t="s">
        <v>367</v>
      </c>
      <c r="O1356" s="134" t="str">
        <f>_xlfn.XLOOKUP(N1356,[1]!costcategory[Account Code],[1]!costcategory[Cost Category],"ERROR")</f>
        <v>Professional &amp; Consultancy Fees</v>
      </c>
      <c r="P1356" s="4" t="s">
        <v>340</v>
      </c>
      <c r="Q1356" s="147" t="str">
        <f>_xlfn.XLOOKUP(P1356,[1]!Table2[Department],[1]!Table2[Group],"ERROR")</f>
        <v>General &amp; Administrative</v>
      </c>
      <c r="U1356" s="4"/>
      <c r="V1356" s="2"/>
    </row>
    <row r="1357" spans="1:22" customFormat="1" hidden="1" x14ac:dyDescent="0.2">
      <c r="A1357" s="2" t="s">
        <v>247</v>
      </c>
      <c r="B1357" s="2" t="s">
        <v>1</v>
      </c>
      <c r="C1357" s="93">
        <v>46381</v>
      </c>
      <c r="D1357" s="164"/>
      <c r="E1357" s="126">
        <v>46381</v>
      </c>
      <c r="F1357" s="2" t="s">
        <v>77</v>
      </c>
      <c r="G1357" s="300"/>
      <c r="H1357" s="300"/>
      <c r="I1357" s="300"/>
      <c r="J1357" s="300">
        <v>92.415003695033164</v>
      </c>
      <c r="K1357" s="4" t="s">
        <v>659</v>
      </c>
      <c r="L1357" s="4"/>
      <c r="M1357" s="4" t="s">
        <v>1646</v>
      </c>
      <c r="N1357" s="4" t="s">
        <v>370</v>
      </c>
      <c r="O1357" s="4" t="s">
        <v>371</v>
      </c>
      <c r="P1357" s="4" t="s">
        <v>340</v>
      </c>
      <c r="Q1357" s="4" t="s">
        <v>62</v>
      </c>
      <c r="U1357" s="4"/>
      <c r="V1357" s="2"/>
    </row>
    <row r="1358" spans="1:22" customFormat="1" hidden="1" x14ac:dyDescent="0.2">
      <c r="A1358" s="2" t="s">
        <v>247</v>
      </c>
      <c r="B1358" s="2" t="s">
        <v>1</v>
      </c>
      <c r="C1358" s="93">
        <v>46381</v>
      </c>
      <c r="D1358" s="164"/>
      <c r="E1358" s="126">
        <v>46381</v>
      </c>
      <c r="F1358" s="2" t="s">
        <v>77</v>
      </c>
      <c r="G1358" s="300">
        <v>26042.28</v>
      </c>
      <c r="H1358" s="300">
        <v>0</v>
      </c>
      <c r="I1358" s="300">
        <v>26042.28</v>
      </c>
      <c r="J1358" s="300">
        <v>20055.811686892401</v>
      </c>
      <c r="K1358" s="4" t="s">
        <v>660</v>
      </c>
      <c r="L1358" s="4"/>
      <c r="M1358" s="4" t="s">
        <v>1645</v>
      </c>
      <c r="N1358" s="4" t="s">
        <v>786</v>
      </c>
      <c r="O1358" s="4" t="s">
        <v>572</v>
      </c>
      <c r="P1358" s="4" t="s">
        <v>340</v>
      </c>
      <c r="Q1358" s="4" t="s">
        <v>62</v>
      </c>
      <c r="U1358" s="4"/>
      <c r="V1358" s="2"/>
    </row>
    <row r="1359" spans="1:22" customFormat="1" hidden="1" x14ac:dyDescent="0.2">
      <c r="A1359" s="2" t="s">
        <v>247</v>
      </c>
      <c r="B1359" s="2" t="s">
        <v>1</v>
      </c>
      <c r="C1359" s="93">
        <v>46381</v>
      </c>
      <c r="D1359" s="164"/>
      <c r="E1359" s="126">
        <v>46381</v>
      </c>
      <c r="F1359" s="2" t="s">
        <v>77</v>
      </c>
      <c r="G1359" s="300">
        <v>158</v>
      </c>
      <c r="H1359" s="300">
        <v>14.22</v>
      </c>
      <c r="I1359" s="300">
        <v>172.22</v>
      </c>
      <c r="J1359" s="300">
        <v>132.63</v>
      </c>
      <c r="K1359" s="4" t="s">
        <v>661</v>
      </c>
      <c r="L1359" s="4"/>
      <c r="M1359" s="4" t="s">
        <v>1644</v>
      </c>
      <c r="N1359" s="4" t="s">
        <v>374</v>
      </c>
      <c r="O1359" s="4" t="s">
        <v>375</v>
      </c>
      <c r="P1359" s="4" t="s">
        <v>376</v>
      </c>
      <c r="Q1359" s="4" t="s">
        <v>62</v>
      </c>
      <c r="U1359" s="4"/>
      <c r="V1359" s="2"/>
    </row>
    <row r="1360" spans="1:22" customFormat="1" hidden="1" x14ac:dyDescent="0.2">
      <c r="A1360" s="2" t="s">
        <v>247</v>
      </c>
      <c r="B1360" s="2" t="s">
        <v>1</v>
      </c>
      <c r="C1360" s="93">
        <v>46381</v>
      </c>
      <c r="D1360" s="164"/>
      <c r="E1360" s="126">
        <v>46381</v>
      </c>
      <c r="F1360" s="2" t="s">
        <v>77</v>
      </c>
      <c r="G1360" s="300">
        <v>70</v>
      </c>
      <c r="H1360" s="300">
        <v>6.3</v>
      </c>
      <c r="I1360" s="300">
        <v>76.3</v>
      </c>
      <c r="J1360" s="300">
        <v>58.76</v>
      </c>
      <c r="K1360" s="4" t="s">
        <v>661</v>
      </c>
      <c r="L1360" s="4"/>
      <c r="M1360" s="4" t="s">
        <v>1644</v>
      </c>
      <c r="N1360" s="4" t="s">
        <v>374</v>
      </c>
      <c r="O1360" s="4" t="s">
        <v>375</v>
      </c>
      <c r="P1360" s="4" t="s">
        <v>376</v>
      </c>
      <c r="Q1360" s="4" t="s">
        <v>62</v>
      </c>
      <c r="U1360" s="4"/>
      <c r="V1360" s="2"/>
    </row>
    <row r="1361" spans="1:22" customFormat="1" hidden="1" x14ac:dyDescent="0.2">
      <c r="A1361" s="2" t="s">
        <v>247</v>
      </c>
      <c r="B1361" s="2" t="s">
        <v>1</v>
      </c>
      <c r="C1361" s="93">
        <v>46381</v>
      </c>
      <c r="D1361" s="164"/>
      <c r="E1361" s="126">
        <v>46381</v>
      </c>
      <c r="F1361" s="2" t="s">
        <v>77</v>
      </c>
      <c r="G1361" s="300">
        <v>584.1</v>
      </c>
      <c r="H1361" s="300">
        <v>52.57</v>
      </c>
      <c r="I1361" s="300">
        <v>636.66999999999996</v>
      </c>
      <c r="J1361" s="300">
        <v>490.32</v>
      </c>
      <c r="K1361" s="4" t="s">
        <v>661</v>
      </c>
      <c r="L1361" s="4"/>
      <c r="M1361" s="4" t="s">
        <v>1644</v>
      </c>
      <c r="N1361" s="4" t="s">
        <v>374</v>
      </c>
      <c r="O1361" s="4" t="s">
        <v>375</v>
      </c>
      <c r="P1361" s="4" t="s">
        <v>376</v>
      </c>
      <c r="Q1361" s="4" t="s">
        <v>62</v>
      </c>
      <c r="U1361" s="4"/>
      <c r="V1361" s="2"/>
    </row>
    <row r="1362" spans="1:22" customFormat="1" hidden="1" x14ac:dyDescent="0.2">
      <c r="A1362" s="2" t="s">
        <v>247</v>
      </c>
      <c r="B1362" s="2" t="s">
        <v>1</v>
      </c>
      <c r="C1362" s="93">
        <v>46381</v>
      </c>
      <c r="D1362" s="164"/>
      <c r="E1362" s="126">
        <v>46381</v>
      </c>
      <c r="F1362" s="2" t="s">
        <v>77</v>
      </c>
      <c r="G1362" s="300">
        <v>600</v>
      </c>
      <c r="H1362" s="300">
        <v>0</v>
      </c>
      <c r="I1362" s="300">
        <v>600</v>
      </c>
      <c r="J1362" s="300">
        <v>462.07501847516585</v>
      </c>
      <c r="K1362" s="4" t="s">
        <v>757</v>
      </c>
      <c r="L1362" s="4"/>
      <c r="M1362" s="4" t="s">
        <v>1643</v>
      </c>
      <c r="N1362" s="4" t="s">
        <v>621</v>
      </c>
      <c r="O1362" s="4" t="s">
        <v>618</v>
      </c>
      <c r="P1362" s="4" t="s">
        <v>340</v>
      </c>
      <c r="Q1362" s="4" t="s">
        <v>62</v>
      </c>
      <c r="U1362" s="4"/>
      <c r="V1362" s="2"/>
    </row>
    <row r="1363" spans="1:22" customFormat="1" hidden="1" x14ac:dyDescent="0.2">
      <c r="A1363" s="2" t="s">
        <v>247</v>
      </c>
      <c r="B1363" s="2" t="s">
        <v>1</v>
      </c>
      <c r="C1363" s="93">
        <v>46387</v>
      </c>
      <c r="D1363" s="164"/>
      <c r="E1363" s="126">
        <v>46387</v>
      </c>
      <c r="F1363" s="2" t="s">
        <v>77</v>
      </c>
      <c r="G1363" s="300">
        <v>210.51</v>
      </c>
      <c r="H1363" s="300">
        <v>18.940000000000001</v>
      </c>
      <c r="I1363" s="300">
        <f>G1363+H1363</f>
        <v>229.45</v>
      </c>
      <c r="J1363" s="300">
        <v>176.71</v>
      </c>
      <c r="K1363" s="4" t="s">
        <v>774</v>
      </c>
      <c r="L1363" s="4"/>
      <c r="M1363" s="4" t="s">
        <v>1639</v>
      </c>
      <c r="N1363" s="4" t="s">
        <v>60</v>
      </c>
      <c r="O1363" s="4" t="s">
        <v>60</v>
      </c>
      <c r="P1363" s="4" t="s">
        <v>333</v>
      </c>
      <c r="Q1363" s="4" t="s">
        <v>62</v>
      </c>
      <c r="U1363" s="4"/>
      <c r="V1363" s="2"/>
    </row>
    <row r="1364" spans="1:22" customFormat="1" hidden="1" x14ac:dyDescent="0.2">
      <c r="A1364" s="2" t="s">
        <v>247</v>
      </c>
      <c r="B1364" s="2" t="s">
        <v>1</v>
      </c>
      <c r="C1364" s="93">
        <v>46387</v>
      </c>
      <c r="D1364" s="164">
        <v>46387</v>
      </c>
      <c r="E1364" s="126">
        <v>46387</v>
      </c>
      <c r="F1364" s="2" t="s">
        <v>77</v>
      </c>
      <c r="G1364" s="300"/>
      <c r="H1364" s="300"/>
      <c r="I1364" s="300"/>
      <c r="J1364" s="300">
        <v>4000</v>
      </c>
      <c r="K1364" s="4" t="s">
        <v>1641</v>
      </c>
      <c r="L1364" s="4"/>
      <c r="M1364" s="4" t="s">
        <v>1642</v>
      </c>
      <c r="N1364" s="4" t="s">
        <v>387</v>
      </c>
      <c r="O1364" s="4" t="s">
        <v>47</v>
      </c>
      <c r="P1364" s="4" t="s">
        <v>354</v>
      </c>
      <c r="Q1364" s="4" t="s">
        <v>61</v>
      </c>
      <c r="U1364" s="4"/>
      <c r="V1364" s="2"/>
    </row>
    <row r="1365" spans="1:22" customFormat="1" hidden="1" x14ac:dyDescent="0.2">
      <c r="A1365" s="2" t="s">
        <v>247</v>
      </c>
      <c r="B1365" s="2" t="s">
        <v>1</v>
      </c>
      <c r="C1365" s="93">
        <v>46387</v>
      </c>
      <c r="D1365" s="164">
        <v>46387</v>
      </c>
      <c r="E1365" s="126">
        <v>46387</v>
      </c>
      <c r="F1365" s="2" t="s">
        <v>77</v>
      </c>
      <c r="G1365" s="300"/>
      <c r="H1365" s="300"/>
      <c r="I1365" s="300"/>
      <c r="J1365" s="300">
        <v>2</v>
      </c>
      <c r="K1365" s="4" t="s">
        <v>1641</v>
      </c>
      <c r="L1365" s="4"/>
      <c r="M1365" s="4" t="s">
        <v>1642</v>
      </c>
      <c r="N1365" s="4" t="s">
        <v>387</v>
      </c>
      <c r="O1365" s="4" t="s">
        <v>47</v>
      </c>
      <c r="P1365" s="4" t="s">
        <v>354</v>
      </c>
      <c r="Q1365" s="4" t="s">
        <v>61</v>
      </c>
      <c r="U1365" s="4"/>
      <c r="V1365" s="2"/>
    </row>
    <row r="1366" spans="1:22" customFormat="1" hidden="1" x14ac:dyDescent="0.2">
      <c r="A1366" s="2" t="s">
        <v>247</v>
      </c>
      <c r="B1366" s="2" t="s">
        <v>1</v>
      </c>
      <c r="C1366" s="93">
        <v>46387</v>
      </c>
      <c r="D1366" s="164">
        <v>46387</v>
      </c>
      <c r="E1366" s="126">
        <v>46387</v>
      </c>
      <c r="F1366" s="2" t="s">
        <v>77</v>
      </c>
      <c r="G1366" s="300"/>
      <c r="H1366" s="300"/>
      <c r="I1366" s="300"/>
      <c r="J1366" s="300">
        <v>2000</v>
      </c>
      <c r="K1366" s="4" t="s">
        <v>1641</v>
      </c>
      <c r="L1366" s="4"/>
      <c r="M1366" s="4" t="s">
        <v>1640</v>
      </c>
      <c r="N1366" s="4" t="s">
        <v>364</v>
      </c>
      <c r="O1366" s="4" t="s">
        <v>47</v>
      </c>
      <c r="P1366" s="4" t="s">
        <v>354</v>
      </c>
      <c r="Q1366" s="4" t="s">
        <v>61</v>
      </c>
      <c r="U1366" s="4"/>
      <c r="V1366" s="2"/>
    </row>
    <row r="1367" spans="1:22" customFormat="1" hidden="1" x14ac:dyDescent="0.2">
      <c r="A1367" s="2" t="s">
        <v>247</v>
      </c>
      <c r="B1367" s="2" t="s">
        <v>1</v>
      </c>
      <c r="C1367" s="93">
        <v>46387</v>
      </c>
      <c r="D1367" s="164">
        <v>46387</v>
      </c>
      <c r="E1367" s="126">
        <v>46387</v>
      </c>
      <c r="F1367" s="2" t="s">
        <v>77</v>
      </c>
      <c r="G1367" s="300"/>
      <c r="H1367" s="300"/>
      <c r="I1367" s="300"/>
      <c r="J1367" s="300">
        <v>17000</v>
      </c>
      <c r="K1367" s="4" t="s">
        <v>1641</v>
      </c>
      <c r="L1367" s="4"/>
      <c r="M1367" s="4" t="s">
        <v>1642</v>
      </c>
      <c r="N1367" s="4" t="s">
        <v>387</v>
      </c>
      <c r="O1367" s="4" t="s">
        <v>47</v>
      </c>
      <c r="P1367" s="4" t="s">
        <v>45</v>
      </c>
      <c r="Q1367" s="4" t="s">
        <v>45</v>
      </c>
      <c r="U1367" s="4"/>
      <c r="V1367" s="2"/>
    </row>
    <row r="1368" spans="1:22" customFormat="1" hidden="1" x14ac:dyDescent="0.2">
      <c r="A1368" s="2" t="s">
        <v>247</v>
      </c>
      <c r="B1368" s="2" t="s">
        <v>1</v>
      </c>
      <c r="C1368" s="93">
        <v>46387</v>
      </c>
      <c r="D1368" s="164">
        <v>46387</v>
      </c>
      <c r="E1368" s="126">
        <v>46387</v>
      </c>
      <c r="F1368" s="2" t="s">
        <v>77</v>
      </c>
      <c r="G1368" s="300"/>
      <c r="H1368" s="300"/>
      <c r="I1368" s="300"/>
      <c r="J1368" s="300">
        <v>6</v>
      </c>
      <c r="K1368" s="4" t="s">
        <v>1641</v>
      </c>
      <c r="L1368" s="4"/>
      <c r="M1368" s="4" t="s">
        <v>1642</v>
      </c>
      <c r="N1368" s="4" t="s">
        <v>387</v>
      </c>
      <c r="O1368" s="4" t="s">
        <v>47</v>
      </c>
      <c r="P1368" s="4" t="s">
        <v>45</v>
      </c>
      <c r="Q1368" s="4" t="s">
        <v>45</v>
      </c>
      <c r="U1368" s="4"/>
      <c r="V1368" s="2"/>
    </row>
    <row r="1369" spans="1:22" customFormat="1" hidden="1" x14ac:dyDescent="0.2">
      <c r="A1369" s="2" t="s">
        <v>247</v>
      </c>
      <c r="B1369" s="2" t="s">
        <v>1</v>
      </c>
      <c r="C1369" s="93">
        <v>46387</v>
      </c>
      <c r="D1369" s="164">
        <v>46387</v>
      </c>
      <c r="E1369" s="126">
        <v>46387</v>
      </c>
      <c r="F1369" s="2" t="s">
        <v>77</v>
      </c>
      <c r="G1369" s="300"/>
      <c r="H1369" s="300"/>
      <c r="I1369" s="300"/>
      <c r="J1369" s="300">
        <v>6000</v>
      </c>
      <c r="K1369" s="4" t="s">
        <v>1641</v>
      </c>
      <c r="L1369" s="4"/>
      <c r="M1369" s="4" t="s">
        <v>1640</v>
      </c>
      <c r="N1369" s="4" t="s">
        <v>364</v>
      </c>
      <c r="O1369" s="4" t="s">
        <v>47</v>
      </c>
      <c r="P1369" s="4" t="s">
        <v>45</v>
      </c>
      <c r="Q1369" s="4" t="s">
        <v>45</v>
      </c>
      <c r="U1369" s="4"/>
      <c r="V1369" s="2"/>
    </row>
    <row r="1370" spans="1:22" customFormat="1" hidden="1" x14ac:dyDescent="0.2">
      <c r="A1370" s="2" t="s">
        <v>247</v>
      </c>
      <c r="B1370" s="2" t="s">
        <v>1</v>
      </c>
      <c r="C1370" s="93">
        <v>46387</v>
      </c>
      <c r="D1370" s="164">
        <v>46387</v>
      </c>
      <c r="E1370" s="126">
        <v>46387</v>
      </c>
      <c r="F1370" s="2" t="s">
        <v>77</v>
      </c>
      <c r="G1370" s="300"/>
      <c r="H1370" s="300"/>
      <c r="I1370" s="300"/>
      <c r="J1370" s="300">
        <v>32000</v>
      </c>
      <c r="K1370" s="4" t="s">
        <v>1641</v>
      </c>
      <c r="L1370" s="4"/>
      <c r="M1370" s="4" t="s">
        <v>1642</v>
      </c>
      <c r="N1370" s="4" t="s">
        <v>387</v>
      </c>
      <c r="O1370" s="4" t="s">
        <v>47</v>
      </c>
      <c r="P1370" s="4" t="s">
        <v>658</v>
      </c>
      <c r="Q1370" s="4" t="s">
        <v>61</v>
      </c>
      <c r="U1370" s="4"/>
      <c r="V1370" s="2"/>
    </row>
    <row r="1371" spans="1:22" customFormat="1" hidden="1" x14ac:dyDescent="0.2">
      <c r="A1371" s="2" t="s">
        <v>247</v>
      </c>
      <c r="B1371" s="2" t="s">
        <v>1</v>
      </c>
      <c r="C1371" s="93">
        <v>46387</v>
      </c>
      <c r="D1371" s="164">
        <v>46387</v>
      </c>
      <c r="E1371" s="126">
        <v>46387</v>
      </c>
      <c r="F1371" s="2" t="s">
        <v>77</v>
      </c>
      <c r="G1371" s="300"/>
      <c r="H1371" s="300"/>
      <c r="I1371" s="300"/>
      <c r="J1371" s="300">
        <v>3</v>
      </c>
      <c r="K1371" s="4" t="s">
        <v>1641</v>
      </c>
      <c r="L1371" s="4"/>
      <c r="M1371" s="4" t="s">
        <v>1642</v>
      </c>
      <c r="N1371" s="4" t="s">
        <v>387</v>
      </c>
      <c r="O1371" s="4" t="s">
        <v>47</v>
      </c>
      <c r="P1371" s="4" t="s">
        <v>658</v>
      </c>
      <c r="Q1371" s="4" t="s">
        <v>61</v>
      </c>
      <c r="U1371" s="4"/>
      <c r="V1371" s="2"/>
    </row>
    <row r="1372" spans="1:22" customFormat="1" hidden="1" x14ac:dyDescent="0.2">
      <c r="A1372" s="2" t="s">
        <v>247</v>
      </c>
      <c r="B1372" s="2" t="s">
        <v>1</v>
      </c>
      <c r="C1372" s="93">
        <v>46387</v>
      </c>
      <c r="D1372" s="164">
        <v>46387</v>
      </c>
      <c r="E1372" s="126">
        <v>46387</v>
      </c>
      <c r="F1372" s="2" t="s">
        <v>77</v>
      </c>
      <c r="G1372" s="300"/>
      <c r="H1372" s="300"/>
      <c r="I1372" s="300"/>
      <c r="J1372" s="300">
        <v>2500</v>
      </c>
      <c r="K1372" s="4" t="s">
        <v>1641</v>
      </c>
      <c r="L1372" s="4"/>
      <c r="M1372" s="4" t="s">
        <v>1640</v>
      </c>
      <c r="N1372" s="4" t="s">
        <v>364</v>
      </c>
      <c r="O1372" s="4" t="s">
        <v>47</v>
      </c>
      <c r="P1372" s="4" t="s">
        <v>658</v>
      </c>
      <c r="Q1372" s="4" t="s">
        <v>61</v>
      </c>
      <c r="U1372" s="4"/>
      <c r="V1372" s="2"/>
    </row>
    <row r="1373" spans="1:22" customFormat="1" hidden="1" x14ac:dyDescent="0.2">
      <c r="A1373" s="2" t="s">
        <v>247</v>
      </c>
      <c r="B1373" s="2" t="s">
        <v>1</v>
      </c>
      <c r="C1373" s="93">
        <v>46387</v>
      </c>
      <c r="D1373" s="164">
        <v>46387</v>
      </c>
      <c r="E1373" s="126">
        <v>46387</v>
      </c>
      <c r="F1373" s="2" t="s">
        <v>77</v>
      </c>
      <c r="G1373" s="300"/>
      <c r="H1373" s="300"/>
      <c r="I1373" s="300"/>
      <c r="J1373" s="300">
        <v>2000</v>
      </c>
      <c r="K1373" s="4" t="s">
        <v>1641</v>
      </c>
      <c r="L1373" s="4"/>
      <c r="M1373" s="4" t="s">
        <v>1642</v>
      </c>
      <c r="N1373" s="4" t="s">
        <v>387</v>
      </c>
      <c r="O1373" s="4" t="s">
        <v>47</v>
      </c>
      <c r="P1373" s="4" t="s">
        <v>333</v>
      </c>
      <c r="Q1373" s="4" t="s">
        <v>62</v>
      </c>
      <c r="U1373" s="4"/>
      <c r="V1373" s="2"/>
    </row>
    <row r="1374" spans="1:22" customFormat="1" hidden="1" x14ac:dyDescent="0.2">
      <c r="A1374" s="2" t="s">
        <v>247</v>
      </c>
      <c r="B1374" s="2" t="s">
        <v>1</v>
      </c>
      <c r="C1374" s="93">
        <v>46387</v>
      </c>
      <c r="D1374" s="164">
        <v>46387</v>
      </c>
      <c r="E1374" s="126">
        <v>46387</v>
      </c>
      <c r="F1374" s="2" t="s">
        <v>77</v>
      </c>
      <c r="G1374" s="300"/>
      <c r="H1374" s="300"/>
      <c r="I1374" s="300"/>
      <c r="J1374" s="300">
        <v>1</v>
      </c>
      <c r="K1374" s="4" t="s">
        <v>1641</v>
      </c>
      <c r="L1374" s="4"/>
      <c r="M1374" s="4" t="s">
        <v>1642</v>
      </c>
      <c r="N1374" s="4" t="s">
        <v>387</v>
      </c>
      <c r="O1374" s="4" t="s">
        <v>47</v>
      </c>
      <c r="P1374" s="4" t="s">
        <v>333</v>
      </c>
      <c r="Q1374" s="4" t="s">
        <v>62</v>
      </c>
      <c r="U1374" s="4"/>
      <c r="V1374" s="2"/>
    </row>
    <row r="1375" spans="1:22" customFormat="1" hidden="1" x14ac:dyDescent="0.2">
      <c r="A1375" s="2" t="s">
        <v>247</v>
      </c>
      <c r="B1375" s="2" t="s">
        <v>1</v>
      </c>
      <c r="C1375" s="93">
        <v>46387</v>
      </c>
      <c r="D1375" s="164">
        <v>46387</v>
      </c>
      <c r="E1375" s="126">
        <v>46387</v>
      </c>
      <c r="F1375" s="2" t="s">
        <v>77</v>
      </c>
      <c r="G1375" s="300"/>
      <c r="H1375" s="300"/>
      <c r="I1375" s="300"/>
      <c r="J1375" s="300">
        <v>200</v>
      </c>
      <c r="K1375" s="4" t="s">
        <v>1641</v>
      </c>
      <c r="L1375" s="4"/>
      <c r="M1375" s="4" t="s">
        <v>1640</v>
      </c>
      <c r="N1375" s="4" t="s">
        <v>364</v>
      </c>
      <c r="O1375" s="4" t="s">
        <v>47</v>
      </c>
      <c r="P1375" s="4" t="s">
        <v>333</v>
      </c>
      <c r="Q1375" s="4" t="s">
        <v>62</v>
      </c>
      <c r="U1375" s="4"/>
      <c r="V1375" s="2"/>
    </row>
    <row r="1376" spans="1:22" customFormat="1" hidden="1" x14ac:dyDescent="0.2">
      <c r="A1376" s="2" t="s">
        <v>247</v>
      </c>
      <c r="B1376" s="2" t="s">
        <v>1</v>
      </c>
      <c r="C1376" s="93">
        <v>46387</v>
      </c>
      <c r="D1376" s="164">
        <v>46387</v>
      </c>
      <c r="E1376" s="126">
        <v>46387</v>
      </c>
      <c r="F1376" s="2" t="s">
        <v>77</v>
      </c>
      <c r="G1376" s="300"/>
      <c r="H1376" s="300"/>
      <c r="I1376" s="300"/>
      <c r="J1376" s="300">
        <v>25000</v>
      </c>
      <c r="K1376" s="4" t="s">
        <v>1641</v>
      </c>
      <c r="L1376" s="4"/>
      <c r="M1376" s="4" t="s">
        <v>1642</v>
      </c>
      <c r="N1376" s="4" t="s">
        <v>387</v>
      </c>
      <c r="O1376" s="4" t="s">
        <v>47</v>
      </c>
      <c r="P1376" s="4" t="s">
        <v>350</v>
      </c>
      <c r="Q1376" s="4" t="s">
        <v>62</v>
      </c>
      <c r="U1376" s="4"/>
      <c r="V1376" s="2"/>
    </row>
    <row r="1377" spans="1:22" customFormat="1" hidden="1" x14ac:dyDescent="0.2">
      <c r="A1377" s="2" t="s">
        <v>247</v>
      </c>
      <c r="B1377" s="2" t="s">
        <v>1</v>
      </c>
      <c r="C1377" s="93">
        <v>46387</v>
      </c>
      <c r="D1377" s="164">
        <v>46387</v>
      </c>
      <c r="E1377" s="126">
        <v>46387</v>
      </c>
      <c r="F1377" s="2" t="s">
        <v>77</v>
      </c>
      <c r="G1377" s="300"/>
      <c r="H1377" s="300"/>
      <c r="I1377" s="300"/>
      <c r="J1377" s="300">
        <v>4</v>
      </c>
      <c r="K1377" s="4" t="s">
        <v>1641</v>
      </c>
      <c r="L1377" s="4"/>
      <c r="M1377" s="4" t="s">
        <v>1642</v>
      </c>
      <c r="N1377" s="4" t="s">
        <v>387</v>
      </c>
      <c r="O1377" s="4" t="s">
        <v>47</v>
      </c>
      <c r="P1377" s="4" t="s">
        <v>350</v>
      </c>
      <c r="Q1377" s="4" t="s">
        <v>62</v>
      </c>
      <c r="U1377" s="4"/>
      <c r="V1377" s="2"/>
    </row>
    <row r="1378" spans="1:22" customFormat="1" hidden="1" x14ac:dyDescent="0.2">
      <c r="A1378" s="2" t="s">
        <v>247</v>
      </c>
      <c r="B1378" s="2" t="s">
        <v>1</v>
      </c>
      <c r="C1378" s="93">
        <v>46387</v>
      </c>
      <c r="D1378" s="164">
        <v>46387</v>
      </c>
      <c r="E1378" s="126">
        <v>46387</v>
      </c>
      <c r="F1378" s="2" t="s">
        <v>77</v>
      </c>
      <c r="G1378" s="300"/>
      <c r="H1378" s="300"/>
      <c r="I1378" s="300"/>
      <c r="J1378" s="300">
        <v>6000</v>
      </c>
      <c r="K1378" s="4" t="s">
        <v>1641</v>
      </c>
      <c r="L1378" s="4"/>
      <c r="M1378" s="4" t="s">
        <v>1640</v>
      </c>
      <c r="N1378" s="4" t="s">
        <v>364</v>
      </c>
      <c r="O1378" s="4" t="s">
        <v>47</v>
      </c>
      <c r="P1378" s="4" t="s">
        <v>350</v>
      </c>
      <c r="Q1378" s="4" t="s">
        <v>62</v>
      </c>
      <c r="U1378" s="4"/>
      <c r="V1378" s="2"/>
    </row>
    <row r="1379" spans="1:22" customFormat="1" hidden="1" x14ac:dyDescent="0.2">
      <c r="A1379" s="2" t="s">
        <v>247</v>
      </c>
      <c r="B1379" s="2" t="s">
        <v>1</v>
      </c>
      <c r="C1379" s="93">
        <v>46387</v>
      </c>
      <c r="D1379" s="164">
        <v>46387</v>
      </c>
      <c r="E1379" s="126">
        <v>46387</v>
      </c>
      <c r="F1379" s="2" t="s">
        <v>77</v>
      </c>
      <c r="G1379" s="300"/>
      <c r="H1379" s="300"/>
      <c r="I1379" s="300"/>
      <c r="J1379" s="300">
        <v>3000</v>
      </c>
      <c r="K1379" s="4" t="s">
        <v>1641</v>
      </c>
      <c r="L1379" s="4"/>
      <c r="M1379" s="4" t="s">
        <v>1642</v>
      </c>
      <c r="N1379" s="4" t="s">
        <v>387</v>
      </c>
      <c r="O1379" s="4" t="s">
        <v>47</v>
      </c>
      <c r="P1379" s="4" t="s">
        <v>376</v>
      </c>
      <c r="Q1379" s="4" t="s">
        <v>62</v>
      </c>
      <c r="U1379" s="4"/>
      <c r="V1379" s="2"/>
    </row>
    <row r="1380" spans="1:22" customFormat="1" hidden="1" x14ac:dyDescent="0.2">
      <c r="A1380" s="2" t="s">
        <v>247</v>
      </c>
      <c r="B1380" s="2" t="s">
        <v>1</v>
      </c>
      <c r="C1380" s="93">
        <v>46387</v>
      </c>
      <c r="D1380" s="164">
        <v>46387</v>
      </c>
      <c r="E1380" s="126">
        <v>46387</v>
      </c>
      <c r="F1380" s="2" t="s">
        <v>77</v>
      </c>
      <c r="G1380" s="300"/>
      <c r="H1380" s="300"/>
      <c r="I1380" s="300"/>
      <c r="J1380" s="300">
        <v>1</v>
      </c>
      <c r="K1380" s="4" t="s">
        <v>1641</v>
      </c>
      <c r="L1380" s="4"/>
      <c r="M1380" s="4" t="s">
        <v>1642</v>
      </c>
      <c r="N1380" s="4" t="s">
        <v>387</v>
      </c>
      <c r="O1380" s="4" t="s">
        <v>47</v>
      </c>
      <c r="P1380" s="4" t="s">
        <v>376</v>
      </c>
      <c r="Q1380" s="4" t="s">
        <v>62</v>
      </c>
      <c r="U1380" s="4"/>
      <c r="V1380" s="2"/>
    </row>
    <row r="1381" spans="1:22" customFormat="1" hidden="1" x14ac:dyDescent="0.2">
      <c r="A1381" s="2" t="s">
        <v>247</v>
      </c>
      <c r="B1381" s="2" t="s">
        <v>1</v>
      </c>
      <c r="C1381" s="93">
        <v>46387</v>
      </c>
      <c r="D1381" s="164">
        <v>46387</v>
      </c>
      <c r="E1381" s="126">
        <v>46387</v>
      </c>
      <c r="F1381" s="2" t="s">
        <v>77</v>
      </c>
      <c r="G1381" s="300"/>
      <c r="H1381" s="300"/>
      <c r="I1381" s="300"/>
      <c r="J1381" s="300">
        <v>1500</v>
      </c>
      <c r="K1381" s="4" t="s">
        <v>1641</v>
      </c>
      <c r="L1381" s="4"/>
      <c r="M1381" s="4" t="s">
        <v>1640</v>
      </c>
      <c r="N1381" s="4" t="s">
        <v>364</v>
      </c>
      <c r="O1381" s="4" t="s">
        <v>47</v>
      </c>
      <c r="P1381" s="4" t="s">
        <v>376</v>
      </c>
      <c r="Q1381" s="4" t="s">
        <v>62</v>
      </c>
      <c r="U1381" s="4"/>
      <c r="V1381" s="2"/>
    </row>
    <row r="1382" spans="1:22" customFormat="1" hidden="1" x14ac:dyDescent="0.2">
      <c r="A1382" s="2" t="s">
        <v>247</v>
      </c>
      <c r="B1382" s="2" t="s">
        <v>1</v>
      </c>
      <c r="C1382" s="93">
        <v>46387</v>
      </c>
      <c r="D1382" s="164">
        <v>46387</v>
      </c>
      <c r="E1382" s="126">
        <v>46387</v>
      </c>
      <c r="F1382" s="2" t="s">
        <v>77</v>
      </c>
      <c r="G1382" s="300"/>
      <c r="H1382" s="300"/>
      <c r="I1382" s="300"/>
      <c r="J1382" s="300">
        <v>20000</v>
      </c>
      <c r="K1382" s="4" t="s">
        <v>1641</v>
      </c>
      <c r="L1382" s="4"/>
      <c r="M1382" s="4" t="s">
        <v>1642</v>
      </c>
      <c r="N1382" s="4" t="s">
        <v>387</v>
      </c>
      <c r="O1382" s="4" t="s">
        <v>47</v>
      </c>
      <c r="P1382" s="4" t="s">
        <v>523</v>
      </c>
      <c r="Q1382" s="4" t="s">
        <v>62</v>
      </c>
      <c r="U1382" s="4"/>
      <c r="V1382" s="2"/>
    </row>
    <row r="1383" spans="1:22" customFormat="1" hidden="1" x14ac:dyDescent="0.2">
      <c r="A1383" s="2" t="s">
        <v>247</v>
      </c>
      <c r="B1383" s="2" t="s">
        <v>1</v>
      </c>
      <c r="C1383" s="93">
        <v>46387</v>
      </c>
      <c r="D1383" s="164">
        <v>46387</v>
      </c>
      <c r="E1383" s="126">
        <v>46387</v>
      </c>
      <c r="F1383" s="2" t="s">
        <v>77</v>
      </c>
      <c r="G1383" s="300"/>
      <c r="H1383" s="300"/>
      <c r="I1383" s="300"/>
      <c r="J1383" s="300">
        <v>10</v>
      </c>
      <c r="K1383" s="4" t="s">
        <v>1641</v>
      </c>
      <c r="L1383" s="4"/>
      <c r="M1383" s="4" t="s">
        <v>1640</v>
      </c>
      <c r="N1383" s="4" t="s">
        <v>364</v>
      </c>
      <c r="O1383" s="4" t="s">
        <v>47</v>
      </c>
      <c r="P1383" s="4" t="s">
        <v>523</v>
      </c>
      <c r="Q1383" s="4" t="s">
        <v>62</v>
      </c>
      <c r="U1383" s="4"/>
      <c r="V1383" s="2"/>
    </row>
    <row r="1384" spans="1:22" customFormat="1" hidden="1" x14ac:dyDescent="0.2">
      <c r="A1384" s="2" t="s">
        <v>247</v>
      </c>
      <c r="B1384" s="2" t="s">
        <v>1</v>
      </c>
      <c r="C1384" s="93">
        <v>46387</v>
      </c>
      <c r="D1384" s="164">
        <v>46387</v>
      </c>
      <c r="E1384" s="126">
        <v>46387</v>
      </c>
      <c r="F1384" s="2" t="s">
        <v>77</v>
      </c>
      <c r="G1384" s="300"/>
      <c r="H1384" s="300"/>
      <c r="I1384" s="300"/>
      <c r="J1384" s="300">
        <v>15000</v>
      </c>
      <c r="K1384" s="4" t="s">
        <v>1641</v>
      </c>
      <c r="L1384" s="4"/>
      <c r="M1384" s="4" t="s">
        <v>1642</v>
      </c>
      <c r="N1384" s="4" t="s">
        <v>387</v>
      </c>
      <c r="O1384" s="4" t="s">
        <v>47</v>
      </c>
      <c r="P1384" s="4" t="s">
        <v>56</v>
      </c>
      <c r="Q1384" s="4" t="s">
        <v>55</v>
      </c>
      <c r="U1384" s="4"/>
      <c r="V1384" s="2"/>
    </row>
    <row r="1385" spans="1:22" customFormat="1" hidden="1" x14ac:dyDescent="0.2">
      <c r="A1385" s="2" t="s">
        <v>247</v>
      </c>
      <c r="B1385" s="2" t="s">
        <v>1</v>
      </c>
      <c r="C1385" s="93">
        <v>46387</v>
      </c>
      <c r="D1385" s="164">
        <v>46387</v>
      </c>
      <c r="E1385" s="126">
        <v>46387</v>
      </c>
      <c r="F1385" s="2" t="s">
        <v>77</v>
      </c>
      <c r="G1385" s="300"/>
      <c r="H1385" s="300"/>
      <c r="I1385" s="300"/>
      <c r="J1385" s="300">
        <v>3</v>
      </c>
      <c r="K1385" s="4" t="s">
        <v>1641</v>
      </c>
      <c r="L1385" s="4"/>
      <c r="M1385" s="4" t="s">
        <v>1642</v>
      </c>
      <c r="N1385" s="4" t="s">
        <v>387</v>
      </c>
      <c r="O1385" s="4" t="s">
        <v>47</v>
      </c>
      <c r="P1385" s="4" t="s">
        <v>56</v>
      </c>
      <c r="Q1385" s="4" t="s">
        <v>55</v>
      </c>
      <c r="U1385" s="4"/>
      <c r="V1385" s="2"/>
    </row>
    <row r="1386" spans="1:22" hidden="1" x14ac:dyDescent="0.2">
      <c r="A1386" s="2" t="s">
        <v>247</v>
      </c>
      <c r="B1386" s="2" t="s">
        <v>1</v>
      </c>
      <c r="C1386" s="93">
        <v>46387</v>
      </c>
      <c r="D1386" s="164">
        <v>46387</v>
      </c>
      <c r="E1386" s="126">
        <v>46387</v>
      </c>
      <c r="F1386" s="2" t="s">
        <v>77</v>
      </c>
      <c r="J1386" s="300">
        <v>2500</v>
      </c>
      <c r="K1386" s="4" t="s">
        <v>1641</v>
      </c>
      <c r="M1386" s="4" t="s">
        <v>1640</v>
      </c>
      <c r="N1386" s="4" t="s">
        <v>364</v>
      </c>
      <c r="O1386" s="4" t="s">
        <v>47</v>
      </c>
      <c r="P1386" s="4" t="s">
        <v>56</v>
      </c>
      <c r="Q1386" s="4" t="s">
        <v>55</v>
      </c>
    </row>
    <row r="1387" spans="1:22" hidden="1" x14ac:dyDescent="0.2">
      <c r="A1387" s="2" t="s">
        <v>247</v>
      </c>
      <c r="B1387" s="2" t="s">
        <v>1</v>
      </c>
      <c r="C1387" s="93">
        <v>46387</v>
      </c>
      <c r="D1387" s="164">
        <v>46387</v>
      </c>
      <c r="E1387" s="126">
        <v>46387</v>
      </c>
      <c r="F1387" s="2" t="s">
        <v>77</v>
      </c>
      <c r="J1387" s="300">
        <v>25000</v>
      </c>
      <c r="K1387" s="4" t="s">
        <v>1641</v>
      </c>
      <c r="M1387" s="4" t="s">
        <v>1642</v>
      </c>
      <c r="N1387" s="4" t="s">
        <v>387</v>
      </c>
      <c r="O1387" s="4" t="s">
        <v>47</v>
      </c>
      <c r="P1387" s="4" t="s">
        <v>59</v>
      </c>
      <c r="Q1387" s="4" t="s">
        <v>55</v>
      </c>
    </row>
    <row r="1388" spans="1:22" hidden="1" x14ac:dyDescent="0.2">
      <c r="A1388" s="2" t="s">
        <v>247</v>
      </c>
      <c r="B1388" s="2" t="s">
        <v>1</v>
      </c>
      <c r="C1388" s="93">
        <v>46387</v>
      </c>
      <c r="D1388" s="164">
        <v>46387</v>
      </c>
      <c r="E1388" s="126">
        <v>46387</v>
      </c>
      <c r="F1388" s="2" t="s">
        <v>77</v>
      </c>
      <c r="J1388" s="300">
        <v>20</v>
      </c>
      <c r="K1388" s="4" t="s">
        <v>1641</v>
      </c>
      <c r="M1388" s="4" t="s">
        <v>1640</v>
      </c>
      <c r="N1388" s="4" t="s">
        <v>364</v>
      </c>
      <c r="O1388" s="4" t="s">
        <v>47</v>
      </c>
      <c r="P1388" s="4" t="s">
        <v>59</v>
      </c>
      <c r="Q1388" s="4" t="s">
        <v>55</v>
      </c>
    </row>
    <row r="1389" spans="1:22" hidden="1" x14ac:dyDescent="0.2">
      <c r="A1389" s="2" t="s">
        <v>247</v>
      </c>
      <c r="B1389" s="2" t="s">
        <v>1</v>
      </c>
      <c r="C1389" s="93">
        <v>46387</v>
      </c>
      <c r="D1389" s="164">
        <v>46387</v>
      </c>
      <c r="E1389" s="126">
        <v>46387</v>
      </c>
      <c r="F1389" s="2" t="s">
        <v>77</v>
      </c>
      <c r="J1389" s="300">
        <v>15000</v>
      </c>
      <c r="K1389" s="4" t="s">
        <v>1641</v>
      </c>
      <c r="M1389" s="4" t="s">
        <v>1642</v>
      </c>
      <c r="N1389" s="4" t="s">
        <v>387</v>
      </c>
      <c r="O1389" s="4" t="s">
        <v>47</v>
      </c>
      <c r="P1389" s="4" t="s">
        <v>438</v>
      </c>
      <c r="Q1389" s="4" t="s">
        <v>61</v>
      </c>
    </row>
    <row r="1390" spans="1:22" hidden="1" x14ac:dyDescent="0.2">
      <c r="A1390" s="2" t="s">
        <v>247</v>
      </c>
      <c r="B1390" s="2" t="s">
        <v>1</v>
      </c>
      <c r="C1390" s="93">
        <v>46387</v>
      </c>
      <c r="D1390" s="164">
        <v>46387</v>
      </c>
      <c r="E1390" s="126">
        <v>46387</v>
      </c>
      <c r="F1390" s="2" t="s">
        <v>77</v>
      </c>
      <c r="J1390" s="300">
        <v>5</v>
      </c>
      <c r="K1390" s="4" t="s">
        <v>1641</v>
      </c>
      <c r="M1390" s="4" t="s">
        <v>1642</v>
      </c>
      <c r="N1390" s="4" t="s">
        <v>387</v>
      </c>
      <c r="O1390" s="4" t="s">
        <v>47</v>
      </c>
      <c r="P1390" s="4" t="s">
        <v>438</v>
      </c>
      <c r="Q1390" s="4" t="s">
        <v>61</v>
      </c>
    </row>
    <row r="1391" spans="1:22" hidden="1" x14ac:dyDescent="0.2">
      <c r="A1391" s="2" t="s">
        <v>247</v>
      </c>
      <c r="B1391" s="2" t="s">
        <v>1</v>
      </c>
      <c r="C1391" s="93">
        <v>46387</v>
      </c>
      <c r="D1391" s="164">
        <v>46387</v>
      </c>
      <c r="E1391" s="126">
        <v>46387</v>
      </c>
      <c r="F1391" s="2" t="s">
        <v>77</v>
      </c>
      <c r="J1391" s="300">
        <v>4000</v>
      </c>
      <c r="K1391" s="4" t="s">
        <v>1641</v>
      </c>
      <c r="M1391" s="4" t="s">
        <v>1640</v>
      </c>
      <c r="N1391" s="4" t="s">
        <v>364</v>
      </c>
      <c r="O1391" s="4" t="s">
        <v>47</v>
      </c>
      <c r="P1391" s="4" t="s">
        <v>438</v>
      </c>
      <c r="Q1391" s="4" t="s">
        <v>61</v>
      </c>
    </row>
    <row r="1392" spans="1:22" hidden="1" x14ac:dyDescent="0.2">
      <c r="A1392" s="2" t="s">
        <v>247</v>
      </c>
      <c r="B1392" s="2" t="s">
        <v>1</v>
      </c>
      <c r="C1392" s="93">
        <v>46387</v>
      </c>
      <c r="E1392" s="126">
        <v>46387</v>
      </c>
      <c r="F1392" s="2" t="s">
        <v>77</v>
      </c>
      <c r="J1392" s="300">
        <v>55.5</v>
      </c>
      <c r="K1392" s="4" t="s">
        <v>893</v>
      </c>
      <c r="M1392" s="4" t="s">
        <v>1639</v>
      </c>
      <c r="N1392" s="4" t="s">
        <v>657</v>
      </c>
      <c r="O1392" s="4" t="s">
        <v>398</v>
      </c>
      <c r="P1392" s="4" t="s">
        <v>333</v>
      </c>
      <c r="Q1392" s="4" t="s">
        <v>62</v>
      </c>
    </row>
    <row r="1393" spans="1:22" hidden="1" x14ac:dyDescent="0.2">
      <c r="A1393" s="2" t="s">
        <v>247</v>
      </c>
      <c r="B1393" s="2" t="s">
        <v>1</v>
      </c>
      <c r="C1393" s="93">
        <v>46412</v>
      </c>
      <c r="E1393" s="126">
        <v>46412</v>
      </c>
      <c r="F1393" s="2" t="s">
        <v>77</v>
      </c>
      <c r="J1393" s="300">
        <v>92.415003695033164</v>
      </c>
      <c r="K1393" s="4" t="s">
        <v>659</v>
      </c>
      <c r="M1393" s="4" t="s">
        <v>1638</v>
      </c>
      <c r="N1393" s="4" t="s">
        <v>370</v>
      </c>
      <c r="O1393" s="4" t="s">
        <v>371</v>
      </c>
      <c r="P1393" s="4" t="s">
        <v>340</v>
      </c>
      <c r="Q1393" s="4" t="s">
        <v>62</v>
      </c>
    </row>
    <row r="1394" spans="1:22" hidden="1" x14ac:dyDescent="0.2">
      <c r="A1394" s="2" t="s">
        <v>247</v>
      </c>
      <c r="B1394" s="2" t="s">
        <v>1</v>
      </c>
      <c r="C1394" s="93">
        <v>46412</v>
      </c>
      <c r="E1394" s="126">
        <v>46412</v>
      </c>
      <c r="F1394" s="2" t="s">
        <v>77</v>
      </c>
      <c r="G1394" s="300">
        <v>325</v>
      </c>
      <c r="H1394" s="300">
        <v>0</v>
      </c>
      <c r="I1394" s="300">
        <v>325</v>
      </c>
      <c r="J1394" s="300">
        <v>250.2906350073815</v>
      </c>
      <c r="K1394" s="4" t="s">
        <v>661</v>
      </c>
      <c r="M1394" s="4" t="s">
        <v>1637</v>
      </c>
      <c r="N1394" s="4" t="s">
        <v>58</v>
      </c>
      <c r="O1394" s="4" t="s">
        <v>58</v>
      </c>
      <c r="P1394" s="4" t="s">
        <v>59</v>
      </c>
      <c r="Q1394" s="4" t="s">
        <v>55</v>
      </c>
    </row>
    <row r="1395" spans="1:22" hidden="1" x14ac:dyDescent="0.2">
      <c r="A1395" s="2" t="s">
        <v>247</v>
      </c>
      <c r="B1395" s="2" t="s">
        <v>1</v>
      </c>
      <c r="C1395" s="93">
        <v>46412</v>
      </c>
      <c r="E1395" s="126">
        <v>46412</v>
      </c>
      <c r="F1395" s="2" t="s">
        <v>77</v>
      </c>
      <c r="G1395" s="300">
        <v>6175</v>
      </c>
      <c r="H1395" s="300">
        <v>0</v>
      </c>
      <c r="I1395" s="300">
        <v>6175</v>
      </c>
      <c r="J1395" s="300">
        <v>4755.5220651402487</v>
      </c>
      <c r="K1395" s="4" t="s">
        <v>661</v>
      </c>
      <c r="M1395" s="4" t="s">
        <v>1637</v>
      </c>
      <c r="N1395" s="4" t="s">
        <v>58</v>
      </c>
      <c r="O1395" s="4" t="s">
        <v>58</v>
      </c>
      <c r="P1395" s="4" t="s">
        <v>56</v>
      </c>
      <c r="Q1395" s="4" t="s">
        <v>55</v>
      </c>
    </row>
    <row r="1396" spans="1:22" hidden="1" x14ac:dyDescent="0.2">
      <c r="A1396" s="2" t="s">
        <v>247</v>
      </c>
      <c r="B1396" s="2" t="s">
        <v>1</v>
      </c>
      <c r="C1396" s="93">
        <v>46412</v>
      </c>
      <c r="E1396" s="126">
        <v>46412</v>
      </c>
      <c r="F1396" s="2" t="s">
        <v>77</v>
      </c>
      <c r="G1396" s="300">
        <v>325</v>
      </c>
      <c r="H1396" s="300">
        <v>0</v>
      </c>
      <c r="I1396" s="300">
        <v>325</v>
      </c>
      <c r="J1396" s="300">
        <v>250.2906350073815</v>
      </c>
      <c r="K1396" s="4" t="s">
        <v>661</v>
      </c>
      <c r="M1396" s="4" t="s">
        <v>1637</v>
      </c>
      <c r="N1396" s="4" t="s">
        <v>58</v>
      </c>
      <c r="O1396" s="4" t="s">
        <v>58</v>
      </c>
      <c r="P1396" s="4" t="s">
        <v>57</v>
      </c>
      <c r="Q1396" s="4" t="s">
        <v>55</v>
      </c>
    </row>
    <row r="1397" spans="1:22" hidden="1" x14ac:dyDescent="0.2">
      <c r="A1397" s="2" t="s">
        <v>247</v>
      </c>
      <c r="B1397" s="2" t="s">
        <v>1</v>
      </c>
      <c r="C1397" s="93">
        <v>46296</v>
      </c>
      <c r="D1397" s="164">
        <v>46296</v>
      </c>
      <c r="E1397" s="126">
        <v>46477</v>
      </c>
      <c r="F1397" s="2" t="s">
        <v>77</v>
      </c>
      <c r="G1397" s="300">
        <v>8000</v>
      </c>
      <c r="H1397" s="300">
        <v>0</v>
      </c>
      <c r="I1397" s="300">
        <v>8000</v>
      </c>
      <c r="J1397" s="300">
        <v>6161.000246335544</v>
      </c>
      <c r="K1397" s="4" t="s">
        <v>662</v>
      </c>
      <c r="M1397" s="4" t="s">
        <v>1636</v>
      </c>
      <c r="N1397" s="4" t="s">
        <v>367</v>
      </c>
      <c r="O1397" s="134" t="str">
        <f>_xlfn.XLOOKUP(N1397,[1]!costcategory[Account Code],[1]!costcategory[Cost Category],"ERROR")</f>
        <v>Professional &amp; Consultancy Fees</v>
      </c>
      <c r="P1397" s="4" t="s">
        <v>340</v>
      </c>
      <c r="Q1397" s="147" t="str">
        <f>_xlfn.XLOOKUP(P1397,[1]!Table2[Department],[1]!Table2[Group],"ERROR")</f>
        <v>General &amp; Administrative</v>
      </c>
    </row>
    <row r="1398" spans="1:22" hidden="1" x14ac:dyDescent="0.2">
      <c r="A1398" s="2" t="s">
        <v>247</v>
      </c>
      <c r="B1398" s="2" t="s">
        <v>1</v>
      </c>
      <c r="C1398" s="93">
        <v>46327</v>
      </c>
      <c r="D1398" s="164">
        <v>46327</v>
      </c>
      <c r="E1398" s="126">
        <v>46477</v>
      </c>
      <c r="F1398" s="2" t="s">
        <v>77</v>
      </c>
      <c r="G1398" s="300">
        <v>8000</v>
      </c>
      <c r="H1398" s="300">
        <v>0</v>
      </c>
      <c r="I1398" s="300">
        <v>8000</v>
      </c>
      <c r="J1398" s="300">
        <v>6161.000246335544</v>
      </c>
      <c r="K1398" s="4" t="s">
        <v>662</v>
      </c>
      <c r="M1398" s="4" t="s">
        <v>1635</v>
      </c>
      <c r="N1398" s="4" t="s">
        <v>367</v>
      </c>
      <c r="O1398" s="134" t="str">
        <f>_xlfn.XLOOKUP(N1398,[1]!costcategory[Account Code],[1]!costcategory[Cost Category],"ERROR")</f>
        <v>Professional &amp; Consultancy Fees</v>
      </c>
      <c r="P1398" s="4" t="s">
        <v>340</v>
      </c>
      <c r="Q1398" s="147" t="str">
        <f>_xlfn.XLOOKUP(P1398,[1]!Table2[Department],[1]!Table2[Group],"ERROR")</f>
        <v>General &amp; Administrative</v>
      </c>
    </row>
    <row r="1399" spans="1:22" hidden="1" x14ac:dyDescent="0.2">
      <c r="A1399" s="2" t="s">
        <v>247</v>
      </c>
      <c r="B1399" s="2" t="s">
        <v>1</v>
      </c>
      <c r="C1399" s="93">
        <v>46357</v>
      </c>
      <c r="D1399" s="164">
        <v>46357</v>
      </c>
      <c r="E1399" s="126">
        <v>46477</v>
      </c>
      <c r="F1399" s="2" t="s">
        <v>77</v>
      </c>
      <c r="G1399" s="300">
        <v>8000</v>
      </c>
      <c r="H1399" s="300">
        <v>0</v>
      </c>
      <c r="I1399" s="300">
        <v>8000</v>
      </c>
      <c r="J1399" s="300">
        <v>6161.000246335544</v>
      </c>
      <c r="K1399" s="4" t="s">
        <v>662</v>
      </c>
      <c r="M1399" s="4" t="s">
        <v>1634</v>
      </c>
      <c r="N1399" s="4" t="s">
        <v>367</v>
      </c>
      <c r="O1399" s="134" t="str">
        <f>_xlfn.XLOOKUP(N1399,[1]!costcategory[Account Code],[1]!costcategory[Cost Category],"ERROR")</f>
        <v>Professional &amp; Consultancy Fees</v>
      </c>
      <c r="P1399" s="4" t="s">
        <v>340</v>
      </c>
      <c r="Q1399" s="147" t="str">
        <f>_xlfn.XLOOKUP(P1399,[1]!Table2[Department],[1]!Table2[Group],"ERROR")</f>
        <v>General &amp; Administrative</v>
      </c>
    </row>
    <row r="1400" spans="1:22" hidden="1" x14ac:dyDescent="0.2">
      <c r="A1400" s="2" t="s">
        <v>15</v>
      </c>
      <c r="B1400" s="2" t="s">
        <v>1</v>
      </c>
      <c r="C1400" s="93">
        <v>46037</v>
      </c>
      <c r="D1400" s="3">
        <v>46037</v>
      </c>
      <c r="E1400" s="126">
        <v>46037</v>
      </c>
      <c r="F1400" s="2" t="s">
        <v>4</v>
      </c>
      <c r="G1400" s="204">
        <v>-2000</v>
      </c>
      <c r="H1400" s="204">
        <v>0</v>
      </c>
      <c r="I1400" s="301">
        <f t="shared" ref="I1400:I1431" si="7">SUM(G1400:H1400)</f>
        <v>-2000</v>
      </c>
      <c r="J1400" s="205">
        <v>-2000</v>
      </c>
      <c r="K1400" s="109" t="s">
        <v>1001</v>
      </c>
      <c r="L1400" s="4" t="s">
        <v>456</v>
      </c>
      <c r="M1400" s="4" t="s">
        <v>693</v>
      </c>
      <c r="N1400" s="4" t="s">
        <v>418</v>
      </c>
      <c r="O1400" s="134" t="str">
        <f>_xlfn.XLOOKUP(N1400,[1]!costcategory[Account Code],[1]!costcategory[Cost Category],"ERROR")</f>
        <v>Internal Fund Transfer</v>
      </c>
      <c r="P1400" s="135" t="s">
        <v>66</v>
      </c>
      <c r="Q1400" s="147" t="str">
        <f>_xlfn.XLOOKUP(P1400,[1]!Table2[Department],[1]!Table2[Group],"ERROR")</f>
        <v>Others</v>
      </c>
      <c r="R1400" s="136" t="s">
        <v>458</v>
      </c>
      <c r="S1400" s="136" t="s">
        <v>459</v>
      </c>
      <c r="T1400" s="136" t="s">
        <v>458</v>
      </c>
      <c r="V1400" s="136"/>
    </row>
    <row r="1401" spans="1:22" hidden="1" x14ac:dyDescent="0.2">
      <c r="A1401" s="2" t="s">
        <v>15</v>
      </c>
      <c r="B1401" s="2" t="s">
        <v>1</v>
      </c>
      <c r="C1401" s="93">
        <v>46037</v>
      </c>
      <c r="D1401" s="3">
        <v>46037</v>
      </c>
      <c r="E1401" s="126">
        <v>46037</v>
      </c>
      <c r="F1401" s="2" t="s">
        <v>4</v>
      </c>
      <c r="G1401" s="204">
        <v>58000</v>
      </c>
      <c r="H1401" s="204">
        <v>0</v>
      </c>
      <c r="I1401" s="301">
        <f t="shared" si="7"/>
        <v>58000</v>
      </c>
      <c r="J1401" s="205">
        <v>58000</v>
      </c>
      <c r="K1401" s="109" t="s">
        <v>1002</v>
      </c>
      <c r="L1401" s="4" t="s">
        <v>1003</v>
      </c>
      <c r="M1401" s="4" t="s">
        <v>1004</v>
      </c>
      <c r="N1401" s="4" t="s">
        <v>657</v>
      </c>
      <c r="O1401" s="134" t="str">
        <f>_xlfn.XLOOKUP(N1401,[1]!costcategory[Account Code],[1]!costcategory[Cost Category],"ERROR")</f>
        <v>Intercompany</v>
      </c>
      <c r="P1401" s="135" t="s">
        <v>333</v>
      </c>
      <c r="Q1401" s="147" t="str">
        <f>_xlfn.XLOOKUP(P1401,[1]!Table2[Department],[1]!Table2[Group],"ERROR")</f>
        <v>General &amp; Administrative</v>
      </c>
      <c r="R1401" s="136" t="s">
        <v>458</v>
      </c>
      <c r="S1401" s="136" t="s">
        <v>459</v>
      </c>
      <c r="T1401" s="136" t="s">
        <v>458</v>
      </c>
      <c r="V1401" s="136"/>
    </row>
    <row r="1402" spans="1:22" hidden="1" x14ac:dyDescent="0.2">
      <c r="A1402" s="2" t="s">
        <v>15</v>
      </c>
      <c r="B1402" s="2" t="s">
        <v>1</v>
      </c>
      <c r="C1402" s="93">
        <v>46037</v>
      </c>
      <c r="D1402" s="3">
        <v>46037</v>
      </c>
      <c r="E1402" s="126">
        <v>46037</v>
      </c>
      <c r="F1402" s="2" t="s">
        <v>4</v>
      </c>
      <c r="G1402" s="204">
        <v>23.49</v>
      </c>
      <c r="H1402" s="300">
        <v>0</v>
      </c>
      <c r="I1402" s="301">
        <f t="shared" si="7"/>
        <v>23.49</v>
      </c>
      <c r="J1402" s="205">
        <v>23.49</v>
      </c>
      <c r="K1402" s="109" t="s">
        <v>455</v>
      </c>
      <c r="L1402" s="4" t="s">
        <v>1005</v>
      </c>
      <c r="M1402" s="4" t="s">
        <v>1006</v>
      </c>
      <c r="N1402" s="4" t="s">
        <v>332</v>
      </c>
      <c r="O1402" s="134" t="str">
        <f>_xlfn.XLOOKUP(N1402,[1]!costcategory[Account Code],[1]!costcategory[Cost Category],"ERROR")</f>
        <v>Bank Charges</v>
      </c>
      <c r="P1402" s="135" t="s">
        <v>333</v>
      </c>
      <c r="Q1402" s="147" t="str">
        <f>_xlfn.XLOOKUP(P1402,[1]!Table2[Department],[1]!Table2[Group],"ERROR")</f>
        <v>General &amp; Administrative</v>
      </c>
      <c r="R1402" s="136" t="s">
        <v>451</v>
      </c>
      <c r="S1402" s="136" t="s">
        <v>452</v>
      </c>
      <c r="T1402" s="136" t="s">
        <v>452</v>
      </c>
      <c r="V1402" s="136"/>
    </row>
    <row r="1403" spans="1:22" hidden="1" x14ac:dyDescent="0.2">
      <c r="A1403" s="2" t="s">
        <v>15</v>
      </c>
      <c r="B1403" s="2" t="s">
        <v>1</v>
      </c>
      <c r="C1403" s="93">
        <v>46038</v>
      </c>
      <c r="D1403" s="3">
        <v>46038</v>
      </c>
      <c r="E1403" s="126">
        <v>46038</v>
      </c>
      <c r="F1403" s="2" t="s">
        <v>4</v>
      </c>
      <c r="G1403" s="204">
        <v>-300000</v>
      </c>
      <c r="H1403" s="204">
        <v>0</v>
      </c>
      <c r="I1403" s="301">
        <f t="shared" si="7"/>
        <v>-300000</v>
      </c>
      <c r="J1403" s="205">
        <v>-300000</v>
      </c>
      <c r="K1403" s="109" t="s">
        <v>1007</v>
      </c>
      <c r="L1403" s="4" t="s">
        <v>481</v>
      </c>
      <c r="M1403" s="4" t="s">
        <v>1008</v>
      </c>
      <c r="N1403" s="4" t="s">
        <v>418</v>
      </c>
      <c r="O1403" s="134" t="str">
        <f>_xlfn.XLOOKUP(N1403,[1]!costcategory[Account Code],[1]!costcategory[Cost Category],"ERROR")</f>
        <v>Internal Fund Transfer</v>
      </c>
      <c r="P1403" s="135" t="s">
        <v>66</v>
      </c>
      <c r="Q1403" s="147" t="str">
        <f>_xlfn.XLOOKUP(P1403,[1]!Table2[Department],[1]!Table2[Group],"ERROR")</f>
        <v>Others</v>
      </c>
      <c r="R1403" s="136" t="s">
        <v>458</v>
      </c>
      <c r="S1403" s="136" t="s">
        <v>459</v>
      </c>
      <c r="T1403" s="136" t="s">
        <v>458</v>
      </c>
      <c r="V1403" s="136"/>
    </row>
    <row r="1404" spans="1:22" hidden="1" x14ac:dyDescent="0.2">
      <c r="A1404" s="2" t="s">
        <v>15</v>
      </c>
      <c r="B1404" s="2" t="s">
        <v>1</v>
      </c>
      <c r="C1404" s="93">
        <v>46038</v>
      </c>
      <c r="D1404" s="3">
        <v>46038</v>
      </c>
      <c r="E1404" s="126">
        <v>46038</v>
      </c>
      <c r="F1404" s="2" t="s">
        <v>4</v>
      </c>
      <c r="G1404" s="204">
        <v>30</v>
      </c>
      <c r="H1404" s="300">
        <v>0</v>
      </c>
      <c r="I1404" s="301">
        <f t="shared" si="7"/>
        <v>30</v>
      </c>
      <c r="J1404" s="205">
        <v>30</v>
      </c>
      <c r="K1404" s="109" t="s">
        <v>455</v>
      </c>
      <c r="L1404" s="4" t="s">
        <v>1009</v>
      </c>
      <c r="M1404" s="4" t="s">
        <v>1010</v>
      </c>
      <c r="N1404" s="4" t="s">
        <v>332</v>
      </c>
      <c r="O1404" s="134" t="str">
        <f>_xlfn.XLOOKUP(N1404,[1]!costcategory[Account Code],[1]!costcategory[Cost Category],"ERROR")</f>
        <v>Bank Charges</v>
      </c>
      <c r="P1404" s="135" t="s">
        <v>333</v>
      </c>
      <c r="Q1404" s="147" t="str">
        <f>_xlfn.XLOOKUP(P1404,[1]!Table2[Department],[1]!Table2[Group],"ERROR")</f>
        <v>General &amp; Administrative</v>
      </c>
      <c r="R1404" s="136" t="s">
        <v>451</v>
      </c>
      <c r="S1404" s="136" t="s">
        <v>452</v>
      </c>
      <c r="T1404" s="136" t="s">
        <v>452</v>
      </c>
      <c r="V1404" s="136"/>
    </row>
    <row r="1405" spans="1:22" hidden="1" x14ac:dyDescent="0.2">
      <c r="A1405" s="2" t="s">
        <v>15</v>
      </c>
      <c r="B1405" s="2" t="s">
        <v>1</v>
      </c>
      <c r="C1405" s="93">
        <v>46038</v>
      </c>
      <c r="D1405" s="3">
        <v>46038</v>
      </c>
      <c r="E1405" s="126">
        <v>46038</v>
      </c>
      <c r="F1405" s="2" t="s">
        <v>4</v>
      </c>
      <c r="G1405" s="204">
        <v>7.7</v>
      </c>
      <c r="H1405" s="300">
        <v>0</v>
      </c>
      <c r="I1405" s="301">
        <f t="shared" si="7"/>
        <v>7.7</v>
      </c>
      <c r="J1405" s="205">
        <v>7.7</v>
      </c>
      <c r="K1405" s="109" t="s">
        <v>455</v>
      </c>
      <c r="L1405" s="4" t="s">
        <v>1009</v>
      </c>
      <c r="M1405" s="4" t="s">
        <v>1010</v>
      </c>
      <c r="N1405" s="4" t="s">
        <v>332</v>
      </c>
      <c r="O1405" s="134" t="str">
        <f>_xlfn.XLOOKUP(N1405,[1]!costcategory[Account Code],[1]!costcategory[Cost Category],"ERROR")</f>
        <v>Bank Charges</v>
      </c>
      <c r="P1405" s="135" t="s">
        <v>333</v>
      </c>
      <c r="Q1405" s="147" t="str">
        <f>_xlfn.XLOOKUP(P1405,[1]!Table2[Department],[1]!Table2[Group],"ERROR")</f>
        <v>General &amp; Administrative</v>
      </c>
      <c r="R1405" s="136" t="s">
        <v>451</v>
      </c>
      <c r="S1405" s="136" t="s">
        <v>452</v>
      </c>
      <c r="T1405" s="136" t="s">
        <v>452</v>
      </c>
      <c r="V1405" s="136"/>
    </row>
    <row r="1406" spans="1:22" hidden="1" x14ac:dyDescent="0.2">
      <c r="A1406" s="2" t="s">
        <v>15</v>
      </c>
      <c r="B1406" s="2" t="s">
        <v>1</v>
      </c>
      <c r="C1406" s="93">
        <v>46038</v>
      </c>
      <c r="D1406" s="3">
        <v>46038</v>
      </c>
      <c r="E1406" s="126">
        <v>46038</v>
      </c>
      <c r="F1406" s="2" t="s">
        <v>4</v>
      </c>
      <c r="G1406" s="212">
        <v>300000</v>
      </c>
      <c r="H1406" s="212">
        <v>0</v>
      </c>
      <c r="I1406" s="301">
        <f t="shared" si="7"/>
        <v>300000</v>
      </c>
      <c r="J1406" s="205">
        <v>300000</v>
      </c>
      <c r="K1406" s="106" t="s">
        <v>455</v>
      </c>
      <c r="L1406" s="4" t="s">
        <v>481</v>
      </c>
      <c r="M1406" s="4" t="s">
        <v>1008</v>
      </c>
      <c r="N1406" s="135" t="s">
        <v>418</v>
      </c>
      <c r="O1406" s="266" t="str">
        <f>_xlfn.XLOOKUP(N1406,[1]!costcategory[Account Code],[1]!costcategory[Cost Category],"ERROR")</f>
        <v>Internal Fund Transfer</v>
      </c>
      <c r="P1406" s="135" t="s">
        <v>66</v>
      </c>
      <c r="Q1406" s="267" t="str">
        <f>_xlfn.XLOOKUP(P1406,[1]!Table2[Department],[1]!Table2[Group],"ERROR")</f>
        <v>Others</v>
      </c>
      <c r="R1406" s="138" t="s">
        <v>458</v>
      </c>
      <c r="S1406" s="138" t="s">
        <v>459</v>
      </c>
      <c r="T1406" s="138" t="s">
        <v>458</v>
      </c>
      <c r="U1406" s="2"/>
      <c r="V1406" s="138"/>
    </row>
    <row r="1407" spans="1:22" hidden="1" x14ac:dyDescent="0.2">
      <c r="A1407" s="2" t="s">
        <v>15</v>
      </c>
      <c r="B1407" s="2" t="s">
        <v>1</v>
      </c>
      <c r="C1407" s="93">
        <v>46038</v>
      </c>
      <c r="D1407" s="3">
        <v>46038</v>
      </c>
      <c r="E1407" s="126">
        <v>46038</v>
      </c>
      <c r="F1407" s="2" t="s">
        <v>4</v>
      </c>
      <c r="G1407" s="212">
        <v>26</v>
      </c>
      <c r="H1407" s="300">
        <v>0</v>
      </c>
      <c r="I1407" s="301">
        <f t="shared" si="7"/>
        <v>26</v>
      </c>
      <c r="J1407" s="205">
        <v>26</v>
      </c>
      <c r="K1407" s="106" t="s">
        <v>1011</v>
      </c>
      <c r="L1407" s="4" t="s">
        <v>1009</v>
      </c>
      <c r="M1407" s="4" t="s">
        <v>1010</v>
      </c>
      <c r="N1407" s="135" t="s">
        <v>332</v>
      </c>
      <c r="O1407" s="134" t="str">
        <f>_xlfn.XLOOKUP(N1407,[1]!costcategory[Account Code],[1]!costcategory[Cost Category],"ERROR")</f>
        <v>Bank Charges</v>
      </c>
      <c r="P1407" s="135" t="s">
        <v>333</v>
      </c>
      <c r="Q1407" s="267" t="str">
        <f>_xlfn.XLOOKUP(P1407,[1]!Table2[Department],[1]!Table2[Group],"ERROR")</f>
        <v>General &amp; Administrative</v>
      </c>
      <c r="R1407" s="138" t="s">
        <v>451</v>
      </c>
      <c r="S1407" s="138" t="s">
        <v>452</v>
      </c>
      <c r="T1407" s="138" t="s">
        <v>452</v>
      </c>
      <c r="U1407" s="2"/>
      <c r="V1407" s="138"/>
    </row>
    <row r="1408" spans="1:22" hidden="1" x14ac:dyDescent="0.2">
      <c r="A1408" s="2" t="s">
        <v>15</v>
      </c>
      <c r="B1408" s="2" t="s">
        <v>1</v>
      </c>
      <c r="C1408" s="93">
        <v>46045</v>
      </c>
      <c r="D1408" s="3">
        <v>46045</v>
      </c>
      <c r="E1408" s="126">
        <v>46045</v>
      </c>
      <c r="F1408" s="2" t="s">
        <v>4</v>
      </c>
      <c r="G1408" s="204">
        <v>235849.06</v>
      </c>
      <c r="H1408" s="204">
        <v>0</v>
      </c>
      <c r="I1408" s="301">
        <f t="shared" si="7"/>
        <v>235849.06</v>
      </c>
      <c r="J1408" s="205">
        <v>235849.06</v>
      </c>
      <c r="K1408" s="109" t="s">
        <v>670</v>
      </c>
      <c r="L1408" s="4" t="s">
        <v>460</v>
      </c>
      <c r="M1408" s="4" t="s">
        <v>696</v>
      </c>
      <c r="N1408" s="4" t="s">
        <v>418</v>
      </c>
      <c r="O1408" s="134" t="str">
        <f>_xlfn.XLOOKUP(N1408,[1]!costcategory[Account Code],[1]!costcategory[Cost Category],"ERROR")</f>
        <v>Internal Fund Transfer</v>
      </c>
      <c r="P1408" s="135" t="s">
        <v>66</v>
      </c>
      <c r="Q1408" s="147" t="str">
        <f>_xlfn.XLOOKUP(P1408,[1]!Table2[Department],[1]!Table2[Group],"ERROR")</f>
        <v>Others</v>
      </c>
      <c r="R1408" s="136" t="s">
        <v>466</v>
      </c>
      <c r="S1408" s="136" t="s">
        <v>459</v>
      </c>
      <c r="T1408" s="136" t="s">
        <v>458</v>
      </c>
      <c r="V1408" s="136"/>
    </row>
    <row r="1409" spans="1:22" hidden="1" x14ac:dyDescent="0.2">
      <c r="A1409" s="2" t="s">
        <v>15</v>
      </c>
      <c r="B1409" s="2" t="s">
        <v>1</v>
      </c>
      <c r="C1409" s="93">
        <v>46048</v>
      </c>
      <c r="D1409" s="3">
        <v>46048</v>
      </c>
      <c r="E1409" s="126">
        <v>46048</v>
      </c>
      <c r="F1409" s="2" t="s">
        <v>4</v>
      </c>
      <c r="G1409" s="204">
        <v>63000</v>
      </c>
      <c r="H1409" s="204">
        <v>0</v>
      </c>
      <c r="I1409" s="301">
        <f t="shared" si="7"/>
        <v>63000</v>
      </c>
      <c r="J1409" s="205">
        <v>63000</v>
      </c>
      <c r="K1409" s="109" t="s">
        <v>1002</v>
      </c>
      <c r="L1409" s="4" t="s">
        <v>1003</v>
      </c>
      <c r="M1409" s="4" t="s">
        <v>1004</v>
      </c>
      <c r="N1409" s="4" t="s">
        <v>657</v>
      </c>
      <c r="O1409" s="134" t="str">
        <f>_xlfn.XLOOKUP(N1409,[1]!costcategory[Account Code],[1]!costcategory[Cost Category],"ERROR")</f>
        <v>Intercompany</v>
      </c>
      <c r="P1409" s="135" t="s">
        <v>333</v>
      </c>
      <c r="Q1409" s="147" t="str">
        <f>_xlfn.XLOOKUP(P1409,[1]!Table2[Department],[1]!Table2[Group],"ERROR")</f>
        <v>General &amp; Administrative</v>
      </c>
      <c r="R1409" s="136" t="s">
        <v>458</v>
      </c>
      <c r="S1409" s="136" t="s">
        <v>459</v>
      </c>
      <c r="T1409" s="136" t="s">
        <v>458</v>
      </c>
      <c r="V1409" s="136"/>
    </row>
    <row r="1410" spans="1:22" hidden="1" x14ac:dyDescent="0.2">
      <c r="A1410" s="2" t="s">
        <v>15</v>
      </c>
      <c r="B1410" s="2" t="s">
        <v>1</v>
      </c>
      <c r="C1410" s="93">
        <v>46048</v>
      </c>
      <c r="D1410" s="3">
        <v>46048</v>
      </c>
      <c r="E1410" s="126">
        <v>46048</v>
      </c>
      <c r="F1410" s="2" t="s">
        <v>4</v>
      </c>
      <c r="G1410" s="204">
        <v>23.84</v>
      </c>
      <c r="H1410" s="300">
        <v>0</v>
      </c>
      <c r="I1410" s="301">
        <f t="shared" si="7"/>
        <v>23.84</v>
      </c>
      <c r="J1410" s="205">
        <v>23.84</v>
      </c>
      <c r="K1410" s="109" t="s">
        <v>455</v>
      </c>
      <c r="L1410" s="4" t="s">
        <v>1012</v>
      </c>
      <c r="M1410" s="4" t="s">
        <v>1006</v>
      </c>
      <c r="N1410" s="4" t="s">
        <v>332</v>
      </c>
      <c r="O1410" s="134" t="str">
        <f>_xlfn.XLOOKUP(N1410,[1]!costcategory[Account Code],[1]!costcategory[Cost Category],"ERROR")</f>
        <v>Bank Charges</v>
      </c>
      <c r="P1410" s="135" t="s">
        <v>333</v>
      </c>
      <c r="Q1410" s="147" t="str">
        <f>_xlfn.XLOOKUP(P1410,[1]!Table2[Department],[1]!Table2[Group],"ERROR")</f>
        <v>General &amp; Administrative</v>
      </c>
      <c r="R1410" s="136" t="s">
        <v>451</v>
      </c>
      <c r="S1410" s="136" t="s">
        <v>452</v>
      </c>
      <c r="T1410" s="136" t="s">
        <v>452</v>
      </c>
      <c r="V1410" s="136"/>
    </row>
    <row r="1411" spans="1:22" hidden="1" x14ac:dyDescent="0.2">
      <c r="A1411" s="2" t="s">
        <v>15</v>
      </c>
      <c r="B1411" s="2" t="s">
        <v>1</v>
      </c>
      <c r="C1411" s="93">
        <v>46049</v>
      </c>
      <c r="D1411" s="3">
        <v>46049</v>
      </c>
      <c r="E1411" s="126">
        <v>46049</v>
      </c>
      <c r="F1411" s="2" t="s">
        <v>4</v>
      </c>
      <c r="G1411" s="204">
        <v>7.81</v>
      </c>
      <c r="H1411" s="300">
        <v>0</v>
      </c>
      <c r="I1411" s="301">
        <f t="shared" si="7"/>
        <v>7.81</v>
      </c>
      <c r="J1411" s="205">
        <v>7.81</v>
      </c>
      <c r="K1411" s="109" t="s">
        <v>455</v>
      </c>
      <c r="L1411" s="4" t="s">
        <v>1013</v>
      </c>
      <c r="M1411" s="4" t="s">
        <v>1014</v>
      </c>
      <c r="N1411" s="4" t="s">
        <v>332</v>
      </c>
      <c r="O1411" s="134" t="str">
        <f>_xlfn.XLOOKUP(N1411,[1]!costcategory[Account Code],[1]!costcategory[Cost Category],"ERROR")</f>
        <v>Bank Charges</v>
      </c>
      <c r="P1411" s="135" t="s">
        <v>333</v>
      </c>
      <c r="Q1411" s="147" t="str">
        <f>_xlfn.XLOOKUP(P1411,[1]!Table2[Department],[1]!Table2[Group],"ERROR")</f>
        <v>General &amp; Administrative</v>
      </c>
      <c r="R1411" s="136" t="s">
        <v>451</v>
      </c>
      <c r="S1411" s="136" t="s">
        <v>452</v>
      </c>
      <c r="T1411" s="136" t="s">
        <v>452</v>
      </c>
      <c r="V1411" s="136"/>
    </row>
    <row r="1412" spans="1:22" hidden="1" x14ac:dyDescent="0.2">
      <c r="A1412" s="2" t="s">
        <v>15</v>
      </c>
      <c r="B1412" s="2" t="s">
        <v>1</v>
      </c>
      <c r="C1412" s="93">
        <v>46021</v>
      </c>
      <c r="D1412" s="3">
        <v>46051</v>
      </c>
      <c r="E1412" s="126">
        <v>46049</v>
      </c>
      <c r="F1412" s="2" t="s">
        <v>4</v>
      </c>
      <c r="G1412" s="204">
        <v>-8978</v>
      </c>
      <c r="H1412" s="204">
        <v>-808.02</v>
      </c>
      <c r="I1412" s="301">
        <f t="shared" si="7"/>
        <v>-9786.02</v>
      </c>
      <c r="J1412" s="205">
        <v>-9786.02</v>
      </c>
      <c r="K1412" s="109" t="s">
        <v>99</v>
      </c>
      <c r="L1412" s="4" t="s">
        <v>100</v>
      </c>
      <c r="M1412" s="4" t="s">
        <v>101</v>
      </c>
      <c r="N1412" s="4" t="s">
        <v>382</v>
      </c>
      <c r="O1412" s="134" t="str">
        <f>_xlfn.XLOOKUP(N1412,[1]!costcategory[Account Code],[1]!costcategory[Cost Category],"ERROR")</f>
        <v>Revenue</v>
      </c>
      <c r="P1412" s="135" t="s">
        <v>438</v>
      </c>
      <c r="Q1412" s="147" t="str">
        <f>_xlfn.XLOOKUP(P1412,[1]!Table2[Department],[1]!Table2[Group],"ERROR")</f>
        <v>Sales &amp; Marketing</v>
      </c>
      <c r="R1412" s="136" t="s">
        <v>452</v>
      </c>
      <c r="S1412" s="136" t="s">
        <v>452</v>
      </c>
      <c r="T1412" s="136" t="s">
        <v>452</v>
      </c>
      <c r="V1412" s="136"/>
    </row>
    <row r="1413" spans="1:22" hidden="1" x14ac:dyDescent="0.2">
      <c r="A1413" s="2" t="s">
        <v>15</v>
      </c>
      <c r="B1413" s="2" t="s">
        <v>1</v>
      </c>
      <c r="C1413" s="93">
        <v>46052</v>
      </c>
      <c r="D1413" s="3">
        <v>46052</v>
      </c>
      <c r="E1413" s="126">
        <v>46052</v>
      </c>
      <c r="F1413" s="2" t="s">
        <v>4</v>
      </c>
      <c r="G1413" s="212">
        <v>-5.77</v>
      </c>
      <c r="H1413" s="212">
        <v>0</v>
      </c>
      <c r="I1413" s="301">
        <f t="shared" si="7"/>
        <v>-5.77</v>
      </c>
      <c r="J1413" s="205">
        <v>-5.77</v>
      </c>
      <c r="K1413" s="106" t="s">
        <v>1011</v>
      </c>
      <c r="L1413" s="4" t="s">
        <v>1015</v>
      </c>
      <c r="M1413" s="4" t="s">
        <v>1016</v>
      </c>
      <c r="N1413" s="135" t="s">
        <v>332</v>
      </c>
      <c r="O1413" s="266" t="str">
        <f>_xlfn.XLOOKUP(N1413,[1]!costcategory[Account Code],[1]!costcategory[Cost Category],"ERROR")</f>
        <v>Bank Charges</v>
      </c>
      <c r="P1413" s="135" t="s">
        <v>333</v>
      </c>
      <c r="Q1413" s="267" t="str">
        <f>_xlfn.XLOOKUP(P1413,[1]!Table2[Department],[1]!Table2[Group],"ERROR")</f>
        <v>General &amp; Administrative</v>
      </c>
      <c r="R1413" s="138" t="s">
        <v>451</v>
      </c>
      <c r="S1413" s="138" t="s">
        <v>452</v>
      </c>
      <c r="T1413" s="138" t="s">
        <v>452</v>
      </c>
      <c r="U1413" s="2"/>
      <c r="V1413" s="138"/>
    </row>
    <row r="1414" spans="1:22" hidden="1" x14ac:dyDescent="0.2">
      <c r="A1414" s="2" t="s">
        <v>15</v>
      </c>
      <c r="B1414" s="2" t="s">
        <v>1</v>
      </c>
      <c r="C1414" s="93">
        <v>46080</v>
      </c>
      <c r="D1414" s="3">
        <v>46080</v>
      </c>
      <c r="E1414" s="126">
        <v>46080</v>
      </c>
      <c r="F1414" s="2" t="s">
        <v>4</v>
      </c>
      <c r="G1414" s="212">
        <v>-4.09</v>
      </c>
      <c r="H1414" s="212">
        <v>0</v>
      </c>
      <c r="I1414" s="301">
        <f t="shared" si="7"/>
        <v>-4.09</v>
      </c>
      <c r="J1414" s="205">
        <v>-4.09</v>
      </c>
      <c r="K1414" s="106" t="s">
        <v>1011</v>
      </c>
      <c r="L1414" s="4" t="s">
        <v>1017</v>
      </c>
      <c r="M1414" s="4" t="s">
        <v>1018</v>
      </c>
      <c r="N1414" s="135" t="s">
        <v>332</v>
      </c>
      <c r="O1414" s="266" t="str">
        <f>_xlfn.XLOOKUP(N1414,[1]!costcategory[Account Code],[1]!costcategory[Cost Category],"ERROR")</f>
        <v>Bank Charges</v>
      </c>
      <c r="P1414" s="135" t="s">
        <v>333</v>
      </c>
      <c r="Q1414" s="267" t="str">
        <f>_xlfn.XLOOKUP(P1414,[1]!Table2[Department],[1]!Table2[Group],"ERROR")</f>
        <v>General &amp; Administrative</v>
      </c>
      <c r="R1414" s="138" t="s">
        <v>451</v>
      </c>
      <c r="S1414" s="138" t="s">
        <v>452</v>
      </c>
      <c r="T1414" s="138" t="s">
        <v>452</v>
      </c>
      <c r="U1414" s="2"/>
      <c r="V1414" s="138"/>
    </row>
    <row r="1415" spans="1:22" customFormat="1" hidden="1" x14ac:dyDescent="0.2">
      <c r="A1415" s="121" t="s">
        <v>15</v>
      </c>
      <c r="B1415" s="2" t="s">
        <v>1</v>
      </c>
      <c r="C1415" s="93">
        <v>46083</v>
      </c>
      <c r="D1415" s="3">
        <v>46083</v>
      </c>
      <c r="E1415" s="126">
        <v>46083</v>
      </c>
      <c r="F1415" s="121" t="s">
        <v>4</v>
      </c>
      <c r="G1415" s="241">
        <v>26.76</v>
      </c>
      <c r="H1415" s="281">
        <v>0</v>
      </c>
      <c r="I1415" s="301">
        <f t="shared" si="7"/>
        <v>26.76</v>
      </c>
      <c r="J1415" s="205">
        <v>26.76</v>
      </c>
      <c r="K1415" s="116" t="s">
        <v>455</v>
      </c>
      <c r="L1415" s="4" t="s">
        <v>1633</v>
      </c>
      <c r="M1415" s="4" t="s">
        <v>332</v>
      </c>
      <c r="N1415" s="4" t="s">
        <v>332</v>
      </c>
      <c r="O1415" s="134" t="str">
        <f>_xlfn.XLOOKUP(N1415,[1]!costcategory[Account Code],[1]!costcategory[Cost Category],"ERROR")</f>
        <v>Bank Charges</v>
      </c>
      <c r="P1415" s="135" t="s">
        <v>333</v>
      </c>
      <c r="Q1415" s="89" t="str">
        <f>_xlfn.XLOOKUP(P1415,[1]!Table2[Department],[1]!Table2[Group],"ERROR")</f>
        <v>General &amp; Administrative</v>
      </c>
      <c r="R1415" s="116"/>
      <c r="S1415" s="116"/>
      <c r="T1415" s="121" t="s">
        <v>1019</v>
      </c>
      <c r="U1415" s="116"/>
      <c r="V1415" s="4"/>
    </row>
    <row r="1416" spans="1:22" hidden="1" x14ac:dyDescent="0.2">
      <c r="A1416" s="2" t="s">
        <v>15</v>
      </c>
      <c r="B1416" s="2" t="s">
        <v>1</v>
      </c>
      <c r="C1416" s="93">
        <v>46083</v>
      </c>
      <c r="D1416" s="3">
        <v>46083</v>
      </c>
      <c r="E1416" s="126">
        <v>46083</v>
      </c>
      <c r="F1416" s="2" t="s">
        <v>4</v>
      </c>
      <c r="G1416" s="204">
        <v>12000</v>
      </c>
      <c r="H1416" s="204">
        <v>0</v>
      </c>
      <c r="I1416" s="301">
        <f t="shared" si="7"/>
        <v>12000</v>
      </c>
      <c r="J1416" s="205">
        <v>12000</v>
      </c>
      <c r="K1416" s="109" t="s">
        <v>1001</v>
      </c>
      <c r="L1416" s="4" t="s">
        <v>881</v>
      </c>
      <c r="M1416" s="4" t="s">
        <v>696</v>
      </c>
      <c r="N1416" s="4" t="s">
        <v>418</v>
      </c>
      <c r="O1416" s="134" t="str">
        <f>_xlfn.XLOOKUP(N1416,[1]!costcategory[Account Code],[1]!costcategory[Cost Category],"ERROR")</f>
        <v>Internal Fund Transfer</v>
      </c>
      <c r="P1416" s="135" t="s">
        <v>66</v>
      </c>
      <c r="Q1416" s="147" t="str">
        <f>_xlfn.XLOOKUP(P1416,[1]!Table2[Department],[1]!Table2[Group],"ERROR")</f>
        <v>Others</v>
      </c>
      <c r="R1416" s="136"/>
      <c r="S1416" s="136"/>
      <c r="T1416" s="136"/>
      <c r="V1416" s="136"/>
    </row>
    <row r="1417" spans="1:22" hidden="1" x14ac:dyDescent="0.2">
      <c r="A1417" s="2" t="s">
        <v>15</v>
      </c>
      <c r="B1417" s="2" t="s">
        <v>1</v>
      </c>
      <c r="C1417" s="93">
        <v>46083</v>
      </c>
      <c r="D1417" s="3">
        <v>46083</v>
      </c>
      <c r="E1417" s="126">
        <v>46083</v>
      </c>
      <c r="F1417" s="2" t="s">
        <v>4</v>
      </c>
      <c r="G1417" s="204">
        <v>-349970</v>
      </c>
      <c r="H1417" s="204">
        <v>0</v>
      </c>
      <c r="I1417" s="301">
        <f t="shared" si="7"/>
        <v>-349970</v>
      </c>
      <c r="J1417" s="205">
        <v>-349970</v>
      </c>
      <c r="K1417" s="109" t="s">
        <v>1007</v>
      </c>
      <c r="L1417" s="4" t="s">
        <v>881</v>
      </c>
      <c r="M1417" s="4" t="s">
        <v>1008</v>
      </c>
      <c r="N1417" s="4" t="s">
        <v>418</v>
      </c>
      <c r="O1417" s="134" t="str">
        <f>_xlfn.XLOOKUP(N1417,[1]!costcategory[Account Code],[1]!costcategory[Cost Category],"ERROR")</f>
        <v>Internal Fund Transfer</v>
      </c>
      <c r="P1417" s="135" t="s">
        <v>66</v>
      </c>
      <c r="Q1417" s="147" t="str">
        <f>_xlfn.XLOOKUP(P1417,[1]!Table2[Department],[1]!Table2[Group],"ERROR")</f>
        <v>Others</v>
      </c>
      <c r="R1417" s="136"/>
      <c r="S1417" s="136"/>
      <c r="T1417" s="136"/>
      <c r="V1417" s="136"/>
    </row>
    <row r="1418" spans="1:22" hidden="1" x14ac:dyDescent="0.2">
      <c r="A1418" s="2" t="s">
        <v>15</v>
      </c>
      <c r="B1418" s="2" t="s">
        <v>1</v>
      </c>
      <c r="C1418" s="93">
        <v>46083</v>
      </c>
      <c r="D1418" s="3">
        <v>46083</v>
      </c>
      <c r="E1418" s="126">
        <v>46083</v>
      </c>
      <c r="F1418" s="2" t="s">
        <v>4</v>
      </c>
      <c r="G1418" s="204">
        <v>7.83</v>
      </c>
      <c r="H1418" s="204">
        <v>0</v>
      </c>
      <c r="I1418" s="301">
        <f t="shared" si="7"/>
        <v>7.83</v>
      </c>
      <c r="J1418" s="205">
        <v>7.83</v>
      </c>
      <c r="K1418" s="109" t="s">
        <v>455</v>
      </c>
      <c r="L1418" s="4" t="s">
        <v>609</v>
      </c>
      <c r="M1418" s="4" t="s">
        <v>1020</v>
      </c>
      <c r="N1418" s="4" t="s">
        <v>332</v>
      </c>
      <c r="O1418" s="134" t="str">
        <f>_xlfn.XLOOKUP(N1418,[1]!costcategory[Account Code],[1]!costcategory[Cost Category],"ERROR")</f>
        <v>Bank Charges</v>
      </c>
      <c r="P1418" s="135" t="s">
        <v>333</v>
      </c>
      <c r="Q1418" s="147" t="str">
        <f>_xlfn.XLOOKUP(P1418,[1]!Table2[Department],[1]!Table2[Group],"ERROR")</f>
        <v>General &amp; Administrative</v>
      </c>
      <c r="R1418" s="136"/>
      <c r="S1418" s="136"/>
      <c r="T1418" s="136"/>
      <c r="V1418" s="136"/>
    </row>
    <row r="1419" spans="1:22" hidden="1" x14ac:dyDescent="0.2">
      <c r="A1419" s="2" t="s">
        <v>15</v>
      </c>
      <c r="B1419" s="2" t="s">
        <v>1</v>
      </c>
      <c r="C1419" s="93">
        <v>46083</v>
      </c>
      <c r="D1419" s="3">
        <v>46083</v>
      </c>
      <c r="E1419" s="126">
        <v>46083</v>
      </c>
      <c r="F1419" s="2" t="s">
        <v>4</v>
      </c>
      <c r="G1419" s="204">
        <v>200000</v>
      </c>
      <c r="H1419" s="204">
        <v>0</v>
      </c>
      <c r="I1419" s="301">
        <f t="shared" si="7"/>
        <v>200000</v>
      </c>
      <c r="J1419" s="205">
        <v>200000</v>
      </c>
      <c r="K1419" s="109" t="s">
        <v>1001</v>
      </c>
      <c r="L1419" s="4" t="s">
        <v>881</v>
      </c>
      <c r="M1419" s="4" t="s">
        <v>696</v>
      </c>
      <c r="N1419" s="4" t="s">
        <v>418</v>
      </c>
      <c r="O1419" s="134" t="str">
        <f>_xlfn.XLOOKUP(N1419,[1]!costcategory[Account Code],[1]!costcategory[Cost Category],"ERROR")</f>
        <v>Internal Fund Transfer</v>
      </c>
      <c r="P1419" s="135" t="s">
        <v>66</v>
      </c>
      <c r="Q1419" s="147" t="str">
        <f>_xlfn.XLOOKUP(P1419,[1]!Table2[Department],[1]!Table2[Group],"ERROR")</f>
        <v>Others</v>
      </c>
      <c r="R1419" s="136"/>
      <c r="S1419" s="136"/>
      <c r="T1419" s="136"/>
      <c r="V1419" s="136"/>
    </row>
    <row r="1420" spans="1:22" hidden="1" x14ac:dyDescent="0.2">
      <c r="A1420" s="2" t="s">
        <v>15</v>
      </c>
      <c r="B1420" s="2" t="s">
        <v>1</v>
      </c>
      <c r="C1420" s="93">
        <v>46083</v>
      </c>
      <c r="D1420" s="3">
        <v>46083</v>
      </c>
      <c r="E1420" s="126">
        <v>46083</v>
      </c>
      <c r="F1420" s="2" t="s">
        <v>4</v>
      </c>
      <c r="G1420" s="212">
        <v>350000</v>
      </c>
      <c r="H1420" s="212">
        <v>0</v>
      </c>
      <c r="I1420" s="301">
        <f t="shared" si="7"/>
        <v>350000</v>
      </c>
      <c r="J1420" s="205">
        <v>350000</v>
      </c>
      <c r="K1420" s="106" t="s">
        <v>455</v>
      </c>
      <c r="L1420" s="4" t="s">
        <v>528</v>
      </c>
      <c r="M1420" s="4" t="s">
        <v>1008</v>
      </c>
      <c r="N1420" s="135" t="s">
        <v>418</v>
      </c>
      <c r="O1420" s="266" t="str">
        <f>_xlfn.XLOOKUP(N1420,[1]!costcategory[Account Code],[1]!costcategory[Cost Category],"ERROR")</f>
        <v>Internal Fund Transfer</v>
      </c>
      <c r="P1420" s="135" t="s">
        <v>66</v>
      </c>
      <c r="Q1420" s="267" t="str">
        <f>_xlfn.XLOOKUP(P1420,[1]!Table2[Department],[1]!Table2[Group],"ERROR")</f>
        <v>Others</v>
      </c>
      <c r="R1420" s="138" t="s">
        <v>451</v>
      </c>
      <c r="S1420" s="138" t="s">
        <v>452</v>
      </c>
      <c r="T1420" s="138" t="s">
        <v>452</v>
      </c>
      <c r="U1420" s="2"/>
      <c r="V1420" s="138"/>
    </row>
    <row r="1421" spans="1:22" hidden="1" x14ac:dyDescent="0.2">
      <c r="A1421" s="2" t="s">
        <v>15</v>
      </c>
      <c r="B1421" s="2" t="s">
        <v>1</v>
      </c>
      <c r="C1421" s="93">
        <v>46083</v>
      </c>
      <c r="D1421" s="3">
        <v>46083</v>
      </c>
      <c r="E1421" s="126">
        <v>46083</v>
      </c>
      <c r="F1421" s="2" t="s">
        <v>4</v>
      </c>
      <c r="G1421" s="205">
        <v>26</v>
      </c>
      <c r="H1421" s="205">
        <v>0</v>
      </c>
      <c r="I1421" s="301">
        <f t="shared" si="7"/>
        <v>26</v>
      </c>
      <c r="J1421" s="205">
        <v>26</v>
      </c>
      <c r="K1421" s="109" t="s">
        <v>1011</v>
      </c>
      <c r="L1421" s="4" t="s">
        <v>609</v>
      </c>
      <c r="M1421" s="4" t="s">
        <v>1010</v>
      </c>
      <c r="N1421" s="4" t="s">
        <v>332</v>
      </c>
      <c r="O1421" s="134" t="str">
        <f>_xlfn.XLOOKUP(N1421,[1]!costcategory[Account Code],[1]!costcategory[Cost Category],"ERROR")</f>
        <v>Bank Charges</v>
      </c>
      <c r="P1421" s="135" t="s">
        <v>333</v>
      </c>
      <c r="Q1421" s="267" t="str">
        <f>_xlfn.XLOOKUP(P1421,[1]!Table2[Department],[1]!Table2[Group],"ERROR")</f>
        <v>General &amp; Administrative</v>
      </c>
      <c r="R1421" s="136" t="s">
        <v>451</v>
      </c>
      <c r="S1421" s="136" t="s">
        <v>452</v>
      </c>
      <c r="T1421" s="136" t="s">
        <v>452</v>
      </c>
      <c r="U1421" s="2"/>
      <c r="V1421" s="136"/>
    </row>
    <row r="1422" spans="1:22" hidden="1" x14ac:dyDescent="0.2">
      <c r="A1422" s="2" t="s">
        <v>15</v>
      </c>
      <c r="B1422" s="2" t="s">
        <v>1</v>
      </c>
      <c r="C1422" s="93">
        <v>46091</v>
      </c>
      <c r="D1422" s="3">
        <v>46091</v>
      </c>
      <c r="E1422" s="126">
        <v>46091</v>
      </c>
      <c r="F1422" s="2" t="s">
        <v>4</v>
      </c>
      <c r="G1422" s="204">
        <v>-9786.02</v>
      </c>
      <c r="H1422" s="204">
        <v>0</v>
      </c>
      <c r="I1422" s="301">
        <f t="shared" si="7"/>
        <v>-9786.02</v>
      </c>
      <c r="J1422" s="205">
        <v>-9786.02</v>
      </c>
      <c r="K1422" s="109" t="s">
        <v>99</v>
      </c>
      <c r="L1422" s="4" t="s">
        <v>120</v>
      </c>
      <c r="M1422" s="4" t="s">
        <v>1021</v>
      </c>
      <c r="N1422" s="4" t="s">
        <v>382</v>
      </c>
      <c r="O1422" s="134" t="str">
        <f>_xlfn.XLOOKUP(N1422,[1]!costcategory[Account Code],[1]!costcategory[Cost Category],"ERROR")</f>
        <v>Revenue</v>
      </c>
      <c r="P1422" s="135" t="s">
        <v>438</v>
      </c>
      <c r="Q1422" s="147" t="str">
        <f>_xlfn.XLOOKUP(P1422,[1]!Table2[Department],[1]!Table2[Group],"ERROR")</f>
        <v>Sales &amp; Marketing</v>
      </c>
      <c r="R1422" s="136"/>
      <c r="S1422" s="136"/>
      <c r="T1422" s="136"/>
      <c r="V1422" s="136"/>
    </row>
    <row r="1423" spans="1:22" hidden="1" x14ac:dyDescent="0.2">
      <c r="A1423" s="2" t="s">
        <v>15</v>
      </c>
      <c r="B1423" s="2" t="s">
        <v>1</v>
      </c>
      <c r="C1423" s="93">
        <v>46091</v>
      </c>
      <c r="D1423" s="3">
        <v>46091</v>
      </c>
      <c r="E1423" s="126">
        <v>46091</v>
      </c>
      <c r="F1423" s="2" t="s">
        <v>4</v>
      </c>
      <c r="G1423" s="204">
        <v>7.8</v>
      </c>
      <c r="H1423" s="204">
        <v>0</v>
      </c>
      <c r="I1423" s="301">
        <f t="shared" si="7"/>
        <v>7.8</v>
      </c>
      <c r="J1423" s="205">
        <v>7.8</v>
      </c>
      <c r="K1423" s="109" t="s">
        <v>455</v>
      </c>
      <c r="L1423" s="4" t="s">
        <v>609</v>
      </c>
      <c r="M1423" s="4" t="s">
        <v>1020</v>
      </c>
      <c r="N1423" s="4" t="s">
        <v>332</v>
      </c>
      <c r="O1423" s="134" t="str">
        <f>_xlfn.XLOOKUP(N1423,[1]!costcategory[Account Code],[1]!costcategory[Cost Category],"ERROR")</f>
        <v>Bank Charges</v>
      </c>
      <c r="P1423" s="135" t="s">
        <v>333</v>
      </c>
      <c r="Q1423" s="147" t="str">
        <f>_xlfn.XLOOKUP(P1423,[1]!Table2[Department],[1]!Table2[Group],"ERROR")</f>
        <v>General &amp; Administrative</v>
      </c>
      <c r="R1423" s="136"/>
      <c r="S1423" s="136"/>
      <c r="T1423" s="136"/>
      <c r="V1423" s="136"/>
    </row>
    <row r="1424" spans="1:22" hidden="1" x14ac:dyDescent="0.2">
      <c r="A1424" s="2" t="s">
        <v>15</v>
      </c>
      <c r="B1424" s="2" t="s">
        <v>1</v>
      </c>
      <c r="C1424" s="93">
        <v>46097</v>
      </c>
      <c r="D1424" s="3">
        <v>46097</v>
      </c>
      <c r="E1424" s="126">
        <v>46097</v>
      </c>
      <c r="F1424" s="2" t="s">
        <v>4</v>
      </c>
      <c r="G1424" s="204">
        <v>4855.2299999999996</v>
      </c>
      <c r="H1424" s="204">
        <v>0</v>
      </c>
      <c r="I1424" s="301">
        <f t="shared" si="7"/>
        <v>4855.2299999999996</v>
      </c>
      <c r="J1424" s="205">
        <v>4855.2299999999996</v>
      </c>
      <c r="K1424" s="109" t="s">
        <v>1022</v>
      </c>
      <c r="M1424" s="4" t="s">
        <v>1023</v>
      </c>
      <c r="N1424" s="4" t="s">
        <v>1024</v>
      </c>
      <c r="O1424" s="134" t="str">
        <f>_xlfn.XLOOKUP(N1424,[1]!costcategory[Account Code],[1]!costcategory[Cost Category],"ERROR")</f>
        <v>Intercompany</v>
      </c>
      <c r="P1424" s="135" t="s">
        <v>66</v>
      </c>
      <c r="Q1424" s="147" t="str">
        <f>_xlfn.XLOOKUP(P1424,[1]!Table2[Department],[1]!Table2[Group],"ERROR")</f>
        <v>Others</v>
      </c>
      <c r="R1424" s="136"/>
      <c r="S1424" s="136"/>
      <c r="T1424" s="136"/>
      <c r="V1424" s="136"/>
    </row>
    <row r="1425" spans="1:22" hidden="1" x14ac:dyDescent="0.2">
      <c r="A1425" s="2" t="s">
        <v>15</v>
      </c>
      <c r="B1425" s="2" t="s">
        <v>1</v>
      </c>
      <c r="C1425" s="93">
        <v>46097</v>
      </c>
      <c r="D1425" s="3">
        <v>46097</v>
      </c>
      <c r="E1425" s="126">
        <v>46097</v>
      </c>
      <c r="F1425" s="2" t="s">
        <v>4</v>
      </c>
      <c r="G1425" s="204">
        <v>23.42</v>
      </c>
      <c r="H1425" s="204">
        <v>0</v>
      </c>
      <c r="I1425" s="301">
        <f t="shared" si="7"/>
        <v>23.42</v>
      </c>
      <c r="J1425" s="205">
        <v>23.42</v>
      </c>
      <c r="K1425" s="109" t="s">
        <v>455</v>
      </c>
      <c r="L1425" s="4" t="s">
        <v>609</v>
      </c>
      <c r="M1425" s="4" t="s">
        <v>609</v>
      </c>
      <c r="N1425" s="4" t="s">
        <v>332</v>
      </c>
      <c r="O1425" s="134" t="str">
        <f>_xlfn.XLOOKUP(N1425,[1]!costcategory[Account Code],[1]!costcategory[Cost Category],"ERROR")</f>
        <v>Bank Charges</v>
      </c>
      <c r="P1425" s="135" t="s">
        <v>333</v>
      </c>
      <c r="Q1425" s="147" t="str">
        <f>_xlfn.XLOOKUP(P1425,[1]!Table2[Department],[1]!Table2[Group],"ERROR")</f>
        <v>General &amp; Administrative</v>
      </c>
      <c r="R1425" s="136"/>
      <c r="S1425" s="136"/>
      <c r="T1425" s="136"/>
      <c r="V1425" s="136"/>
    </row>
    <row r="1426" spans="1:22" hidden="1" x14ac:dyDescent="0.2">
      <c r="A1426" s="2" t="s">
        <v>15</v>
      </c>
      <c r="B1426" s="2" t="s">
        <v>1</v>
      </c>
      <c r="C1426" s="93">
        <v>46105</v>
      </c>
      <c r="D1426" s="3">
        <v>46105</v>
      </c>
      <c r="E1426" s="126">
        <v>46105</v>
      </c>
      <c r="F1426" s="2" t="s">
        <v>4</v>
      </c>
      <c r="G1426" s="204">
        <v>100000</v>
      </c>
      <c r="H1426" s="204">
        <v>0</v>
      </c>
      <c r="I1426" s="301">
        <f t="shared" si="7"/>
        <v>100000</v>
      </c>
      <c r="J1426" s="205">
        <v>100000</v>
      </c>
      <c r="K1426" s="109" t="s">
        <v>1001</v>
      </c>
      <c r="L1426" s="4" t="s">
        <v>881</v>
      </c>
      <c r="M1426" s="4" t="s">
        <v>696</v>
      </c>
      <c r="N1426" s="4" t="s">
        <v>418</v>
      </c>
      <c r="O1426" s="134" t="str">
        <f>_xlfn.XLOOKUP(N1426,[1]!costcategory[Account Code],[1]!costcategory[Cost Category],"ERROR")</f>
        <v>Internal Fund Transfer</v>
      </c>
      <c r="P1426" s="135" t="s">
        <v>66</v>
      </c>
      <c r="Q1426" s="147" t="str">
        <f>_xlfn.XLOOKUP(P1426,[1]!Table2[Department],[1]!Table2[Group],"ERROR")</f>
        <v>Others</v>
      </c>
      <c r="R1426" s="136"/>
      <c r="S1426" s="136"/>
      <c r="T1426" s="136"/>
      <c r="V1426" s="136"/>
    </row>
    <row r="1427" spans="1:22" hidden="1" x14ac:dyDescent="0.2">
      <c r="A1427" s="2" t="s">
        <v>15</v>
      </c>
      <c r="B1427" s="2" t="s">
        <v>1</v>
      </c>
      <c r="C1427" s="93">
        <v>46105</v>
      </c>
      <c r="D1427" s="3">
        <v>46105</v>
      </c>
      <c r="E1427" s="126">
        <v>46105</v>
      </c>
      <c r="F1427" s="2" t="s">
        <v>4</v>
      </c>
      <c r="G1427" s="204">
        <v>-1090</v>
      </c>
      <c r="H1427" s="204">
        <v>0</v>
      </c>
      <c r="I1427" s="301">
        <f t="shared" si="7"/>
        <v>-1090</v>
      </c>
      <c r="J1427" s="205">
        <v>-1090</v>
      </c>
      <c r="K1427" s="109" t="s">
        <v>1025</v>
      </c>
      <c r="L1427" s="4" t="s">
        <v>146</v>
      </c>
      <c r="M1427" s="4" t="s">
        <v>1026</v>
      </c>
      <c r="N1427" s="4" t="s">
        <v>382</v>
      </c>
      <c r="O1427" s="134" t="str">
        <f>_xlfn.XLOOKUP(N1427,[1]!costcategory[Account Code],[1]!costcategory[Cost Category],"ERROR")</f>
        <v>Revenue</v>
      </c>
      <c r="P1427" s="135" t="s">
        <v>658</v>
      </c>
      <c r="Q1427" s="147" t="str">
        <f>_xlfn.XLOOKUP(P1427,[1]!Table2[Department],[1]!Table2[Group],"ERROR")</f>
        <v>Sales &amp; Marketing</v>
      </c>
      <c r="R1427" s="136"/>
      <c r="S1427" s="136"/>
      <c r="T1427" s="136"/>
      <c r="V1427" s="136"/>
    </row>
    <row r="1428" spans="1:22" hidden="1" x14ac:dyDescent="0.2">
      <c r="A1428" s="2" t="s">
        <v>15</v>
      </c>
      <c r="B1428" s="2" t="s">
        <v>1</v>
      </c>
      <c r="C1428" s="93">
        <v>46106</v>
      </c>
      <c r="D1428" s="3">
        <v>46106</v>
      </c>
      <c r="E1428" s="126">
        <v>46106</v>
      </c>
      <c r="F1428" s="2" t="s">
        <v>4</v>
      </c>
      <c r="G1428" s="212">
        <v>-500000</v>
      </c>
      <c r="H1428" s="212">
        <v>0</v>
      </c>
      <c r="I1428" s="301">
        <f t="shared" si="7"/>
        <v>-500000</v>
      </c>
      <c r="J1428" s="205">
        <v>-500000</v>
      </c>
      <c r="K1428" s="106" t="s">
        <v>1027</v>
      </c>
      <c r="M1428" s="4" t="s">
        <v>1632</v>
      </c>
      <c r="N1428" s="135" t="s">
        <v>1027</v>
      </c>
      <c r="O1428" s="266" t="str">
        <f>_xlfn.XLOOKUP(N1428,[1]!costcategory[Account Code],[1]!costcategory[Cost Category],"ERROR")</f>
        <v>Intercompany</v>
      </c>
      <c r="P1428" s="135" t="s">
        <v>66</v>
      </c>
      <c r="Q1428" s="267" t="str">
        <f>_xlfn.XLOOKUP(P1428,[1]!Table2[Department],[1]!Table2[Group],"ERROR")</f>
        <v>Others</v>
      </c>
      <c r="R1428" s="138"/>
      <c r="S1428" s="138"/>
      <c r="T1428" s="138"/>
      <c r="U1428" s="2"/>
      <c r="V1428" s="138"/>
    </row>
    <row r="1429" spans="1:22" hidden="1" x14ac:dyDescent="0.2">
      <c r="A1429" s="2" t="s">
        <v>15</v>
      </c>
      <c r="B1429" s="2" t="s">
        <v>1</v>
      </c>
      <c r="C1429" s="93">
        <v>46107</v>
      </c>
      <c r="D1429" s="3">
        <v>46107</v>
      </c>
      <c r="E1429" s="126">
        <v>46107</v>
      </c>
      <c r="F1429" s="2" t="s">
        <v>4</v>
      </c>
      <c r="G1429" s="204">
        <v>-9786.02</v>
      </c>
      <c r="H1429" s="204">
        <v>0</v>
      </c>
      <c r="I1429" s="301">
        <f t="shared" si="7"/>
        <v>-9786.02</v>
      </c>
      <c r="J1429" s="205">
        <v>-9786.02</v>
      </c>
      <c r="K1429" s="109" t="s">
        <v>99</v>
      </c>
      <c r="L1429" s="4" t="s">
        <v>135</v>
      </c>
      <c r="M1429" s="4" t="s">
        <v>1028</v>
      </c>
      <c r="N1429" s="4" t="s">
        <v>382</v>
      </c>
      <c r="O1429" s="134" t="str">
        <f>_xlfn.XLOOKUP(N1429,[1]!costcategory[Account Code],[1]!costcategory[Cost Category],"ERROR")</f>
        <v>Revenue</v>
      </c>
      <c r="P1429" s="135" t="s">
        <v>438</v>
      </c>
      <c r="Q1429" s="147" t="str">
        <f>_xlfn.XLOOKUP(P1429,[1]!Table2[Department],[1]!Table2[Group],"ERROR")</f>
        <v>Sales &amp; Marketing</v>
      </c>
      <c r="R1429" s="136"/>
      <c r="S1429" s="136"/>
      <c r="T1429" s="136"/>
      <c r="V1429" s="136"/>
    </row>
    <row r="1430" spans="1:22" hidden="1" x14ac:dyDescent="0.2">
      <c r="A1430" s="2" t="s">
        <v>15</v>
      </c>
      <c r="B1430" s="2" t="s">
        <v>1</v>
      </c>
      <c r="C1430" s="93">
        <v>46107</v>
      </c>
      <c r="D1430" s="3">
        <v>46107</v>
      </c>
      <c r="E1430" s="126">
        <v>46107</v>
      </c>
      <c r="F1430" s="2" t="s">
        <v>4</v>
      </c>
      <c r="G1430" s="204">
        <v>7.74</v>
      </c>
      <c r="H1430" s="204">
        <v>0</v>
      </c>
      <c r="I1430" s="301">
        <f t="shared" si="7"/>
        <v>7.74</v>
      </c>
      <c r="J1430" s="205">
        <v>7.74</v>
      </c>
      <c r="K1430" s="109" t="s">
        <v>455</v>
      </c>
      <c r="L1430" s="4" t="s">
        <v>609</v>
      </c>
      <c r="M1430" s="4" t="s">
        <v>609</v>
      </c>
      <c r="N1430" s="4" t="s">
        <v>332</v>
      </c>
      <c r="O1430" s="134" t="str">
        <f>_xlfn.XLOOKUP(N1430,[1]!costcategory[Account Code],[1]!costcategory[Cost Category],"ERROR")</f>
        <v>Bank Charges</v>
      </c>
      <c r="P1430" s="135" t="s">
        <v>333</v>
      </c>
      <c r="Q1430" s="147" t="str">
        <f>_xlfn.XLOOKUP(P1430,[1]!Table2[Department],[1]!Table2[Group],"ERROR")</f>
        <v>General &amp; Administrative</v>
      </c>
      <c r="R1430" s="136"/>
      <c r="S1430" s="136"/>
      <c r="T1430" s="136"/>
      <c r="V1430" s="136"/>
    </row>
    <row r="1431" spans="1:22" hidden="1" x14ac:dyDescent="0.2">
      <c r="A1431" s="2" t="s">
        <v>15</v>
      </c>
      <c r="B1431" s="2" t="s">
        <v>1</v>
      </c>
      <c r="C1431" s="93">
        <v>46112</v>
      </c>
      <c r="D1431" s="3">
        <v>46112</v>
      </c>
      <c r="E1431" s="126">
        <v>46112</v>
      </c>
      <c r="F1431" s="2" t="s">
        <v>4</v>
      </c>
      <c r="G1431" s="212">
        <v>-2.58</v>
      </c>
      <c r="H1431" s="212">
        <v>0</v>
      </c>
      <c r="I1431" s="301">
        <f t="shared" si="7"/>
        <v>-2.58</v>
      </c>
      <c r="J1431" s="205">
        <v>-2.58</v>
      </c>
      <c r="K1431" s="106" t="s">
        <v>1011</v>
      </c>
      <c r="L1431" s="4" t="s">
        <v>1029</v>
      </c>
      <c r="M1431" s="4" t="s">
        <v>1030</v>
      </c>
      <c r="N1431" s="135" t="s">
        <v>332</v>
      </c>
      <c r="O1431" s="266" t="str">
        <f>_xlfn.XLOOKUP(N1431,[1]!costcategory[Account Code],[1]!costcategory[Cost Category],"ERROR")</f>
        <v>Bank Charges</v>
      </c>
      <c r="P1431" s="135" t="s">
        <v>333</v>
      </c>
      <c r="Q1431" s="267" t="str">
        <f>_xlfn.XLOOKUP(P1431,[1]!Table2[Department],[1]!Table2[Group],"ERROR")</f>
        <v>General &amp; Administrative</v>
      </c>
      <c r="R1431" s="138" t="s">
        <v>451</v>
      </c>
      <c r="S1431" s="138" t="s">
        <v>452</v>
      </c>
      <c r="T1431" s="138" t="s">
        <v>452</v>
      </c>
      <c r="U1431" s="2"/>
      <c r="V1431" s="138"/>
    </row>
    <row r="1432" spans="1:22" hidden="1" x14ac:dyDescent="0.2">
      <c r="A1432" s="2" t="s">
        <v>15</v>
      </c>
      <c r="B1432" s="2" t="s">
        <v>1</v>
      </c>
      <c r="C1432" s="93">
        <v>46113</v>
      </c>
      <c r="D1432" s="3">
        <v>46113</v>
      </c>
      <c r="E1432" s="126">
        <v>46113</v>
      </c>
      <c r="F1432" s="2" t="s">
        <v>4</v>
      </c>
      <c r="G1432" s="204">
        <v>4637</v>
      </c>
      <c r="H1432" s="204">
        <v>0</v>
      </c>
      <c r="I1432" s="301">
        <f t="shared" ref="I1432:I1463" si="8">SUM(G1432:H1432)</f>
        <v>4637</v>
      </c>
      <c r="J1432" s="205">
        <v>4637</v>
      </c>
      <c r="K1432" s="109" t="s">
        <v>1031</v>
      </c>
      <c r="L1432" s="4" t="s">
        <v>1032</v>
      </c>
      <c r="M1432" s="4" t="s">
        <v>1033</v>
      </c>
      <c r="N1432" s="4" t="s">
        <v>1034</v>
      </c>
      <c r="O1432" s="134" t="str">
        <f>_xlfn.XLOOKUP(N1432,[1]!costcategory[Account Code],[1]!costcategory[Cost Category],"ERROR")</f>
        <v>Intercompany</v>
      </c>
      <c r="P1432" s="135" t="s">
        <v>333</v>
      </c>
      <c r="Q1432" s="147" t="str">
        <f>_xlfn.XLOOKUP(P1432,[1]!Table2[Department],[1]!Table2[Group],"ERROR")</f>
        <v>General &amp; Administrative</v>
      </c>
      <c r="R1432" s="136"/>
      <c r="S1432" s="136"/>
      <c r="T1432" s="136"/>
      <c r="V1432" s="136"/>
    </row>
    <row r="1433" spans="1:22" hidden="1" x14ac:dyDescent="0.2">
      <c r="A1433" s="2" t="s">
        <v>15</v>
      </c>
      <c r="B1433" s="2" t="s">
        <v>1</v>
      </c>
      <c r="C1433" s="93">
        <v>46113</v>
      </c>
      <c r="D1433" s="3">
        <v>46113</v>
      </c>
      <c r="E1433" s="126">
        <v>46113</v>
      </c>
      <c r="F1433" s="2" t="s">
        <v>4</v>
      </c>
      <c r="G1433" s="204">
        <v>23.56</v>
      </c>
      <c r="H1433" s="204">
        <v>0</v>
      </c>
      <c r="I1433" s="301">
        <f t="shared" si="8"/>
        <v>23.56</v>
      </c>
      <c r="J1433" s="205">
        <v>23.56</v>
      </c>
      <c r="K1433" s="109" t="s">
        <v>455</v>
      </c>
      <c r="L1433" s="4" t="s">
        <v>609</v>
      </c>
      <c r="M1433" s="4" t="s">
        <v>609</v>
      </c>
      <c r="N1433" s="4" t="s">
        <v>332</v>
      </c>
      <c r="O1433" s="134" t="str">
        <f>_xlfn.XLOOKUP(N1433,[1]!costcategory[Account Code],[1]!costcategory[Cost Category],"ERROR")</f>
        <v>Bank Charges</v>
      </c>
      <c r="P1433" s="135" t="s">
        <v>333</v>
      </c>
      <c r="Q1433" s="147" t="str">
        <f>_xlfn.XLOOKUP(P1433,[1]!Table2[Department],[1]!Table2[Group],"ERROR")</f>
        <v>General &amp; Administrative</v>
      </c>
      <c r="R1433" s="136"/>
      <c r="S1433" s="136"/>
      <c r="T1433" s="136"/>
      <c r="V1433" s="136"/>
    </row>
    <row r="1434" spans="1:22" hidden="1" x14ac:dyDescent="0.2">
      <c r="A1434" s="2" t="s">
        <v>15</v>
      </c>
      <c r="B1434" s="2" t="s">
        <v>1</v>
      </c>
      <c r="C1434" s="93">
        <v>46125</v>
      </c>
      <c r="D1434" s="3">
        <v>46125</v>
      </c>
      <c r="E1434" s="126">
        <v>46125</v>
      </c>
      <c r="F1434" s="2" t="s">
        <v>4</v>
      </c>
      <c r="G1434" s="204">
        <v>-47.33</v>
      </c>
      <c r="H1434" s="204">
        <v>0</v>
      </c>
      <c r="I1434" s="301">
        <f t="shared" si="8"/>
        <v>-47.33</v>
      </c>
      <c r="J1434" s="205">
        <v>-47.33</v>
      </c>
      <c r="K1434" s="109" t="s">
        <v>455</v>
      </c>
      <c r="L1434" s="4" t="s">
        <v>609</v>
      </c>
      <c r="M1434" s="4" t="s">
        <v>609</v>
      </c>
      <c r="N1434" s="4" t="s">
        <v>332</v>
      </c>
      <c r="O1434" s="134" t="str">
        <f>_xlfn.XLOOKUP(N1434,[1]!costcategory[Account Code],[1]!costcategory[Cost Category],"ERROR")</f>
        <v>Bank Charges</v>
      </c>
      <c r="P1434" s="135" t="s">
        <v>333</v>
      </c>
      <c r="Q1434" s="147" t="str">
        <f>_xlfn.XLOOKUP(P1434,[1]!Table2[Department],[1]!Table2[Group],"ERROR")</f>
        <v>General &amp; Administrative</v>
      </c>
      <c r="R1434" s="136"/>
      <c r="S1434" s="136"/>
      <c r="T1434" s="136"/>
      <c r="V1434" s="136"/>
    </row>
    <row r="1435" spans="1:22" hidden="1" x14ac:dyDescent="0.2">
      <c r="A1435" s="2" t="s">
        <v>15</v>
      </c>
      <c r="B1435" s="2" t="s">
        <v>1</v>
      </c>
      <c r="C1435" s="93">
        <v>46128</v>
      </c>
      <c r="D1435" s="3">
        <v>46128</v>
      </c>
      <c r="E1435" s="126">
        <v>46128</v>
      </c>
      <c r="F1435" s="2" t="s">
        <v>4</v>
      </c>
      <c r="G1435" s="204">
        <v>-249970</v>
      </c>
      <c r="H1435" s="204">
        <v>0</v>
      </c>
      <c r="I1435" s="301">
        <f t="shared" si="8"/>
        <v>-249970</v>
      </c>
      <c r="J1435" s="205">
        <v>-249970</v>
      </c>
      <c r="K1435" s="109" t="s">
        <v>1007</v>
      </c>
      <c r="L1435" s="4" t="s">
        <v>881</v>
      </c>
      <c r="M1435" s="4" t="s">
        <v>1008</v>
      </c>
      <c r="N1435" s="4" t="s">
        <v>418</v>
      </c>
      <c r="O1435" s="134" t="str">
        <f>_xlfn.XLOOKUP(N1435,[1]!costcategory[Account Code],[1]!costcategory[Cost Category],"ERROR")</f>
        <v>Internal Fund Transfer</v>
      </c>
      <c r="P1435" s="135" t="s">
        <v>66</v>
      </c>
      <c r="Q1435" s="147" t="str">
        <f>_xlfn.XLOOKUP(P1435,[1]!Table2[Department],[1]!Table2[Group],"ERROR")</f>
        <v>Others</v>
      </c>
      <c r="R1435" s="136"/>
      <c r="S1435" s="136"/>
      <c r="T1435" s="136"/>
      <c r="V1435" s="136"/>
    </row>
    <row r="1436" spans="1:22" hidden="1" x14ac:dyDescent="0.2">
      <c r="A1436" s="2" t="s">
        <v>15</v>
      </c>
      <c r="B1436" s="2" t="s">
        <v>1</v>
      </c>
      <c r="C1436" s="93">
        <v>46128</v>
      </c>
      <c r="D1436" s="3">
        <v>46128</v>
      </c>
      <c r="E1436" s="126">
        <v>46128</v>
      </c>
      <c r="F1436" s="2" t="s">
        <v>4</v>
      </c>
      <c r="G1436" s="204">
        <v>7.81</v>
      </c>
      <c r="H1436" s="204">
        <v>0</v>
      </c>
      <c r="I1436" s="301">
        <f t="shared" si="8"/>
        <v>7.81</v>
      </c>
      <c r="J1436" s="205">
        <v>7.81</v>
      </c>
      <c r="K1436" s="109" t="s">
        <v>455</v>
      </c>
      <c r="L1436" s="4" t="s">
        <v>609</v>
      </c>
      <c r="M1436" s="4" t="s">
        <v>609</v>
      </c>
      <c r="N1436" s="4" t="s">
        <v>332</v>
      </c>
      <c r="O1436" s="134" t="str">
        <f>_xlfn.XLOOKUP(N1436,[1]!costcategory[Account Code],[1]!costcategory[Cost Category],"ERROR")</f>
        <v>Bank Charges</v>
      </c>
      <c r="P1436" s="135" t="s">
        <v>333</v>
      </c>
      <c r="Q1436" s="147" t="str">
        <f>_xlfn.XLOOKUP(P1436,[1]!Table2[Department],[1]!Table2[Group],"ERROR")</f>
        <v>General &amp; Administrative</v>
      </c>
      <c r="R1436" s="136"/>
      <c r="S1436" s="136"/>
      <c r="T1436" s="136"/>
      <c r="V1436" s="136"/>
    </row>
    <row r="1437" spans="1:22" hidden="1" x14ac:dyDescent="0.2">
      <c r="A1437" s="2" t="s">
        <v>15</v>
      </c>
      <c r="B1437" s="2" t="s">
        <v>1</v>
      </c>
      <c r="C1437" s="93">
        <v>46128</v>
      </c>
      <c r="D1437" s="3">
        <v>46128</v>
      </c>
      <c r="E1437" s="126">
        <v>46128</v>
      </c>
      <c r="F1437" s="2" t="s">
        <v>4</v>
      </c>
      <c r="G1437" s="212">
        <v>250000</v>
      </c>
      <c r="H1437" s="212">
        <v>0</v>
      </c>
      <c r="I1437" s="301">
        <f t="shared" si="8"/>
        <v>250000</v>
      </c>
      <c r="J1437" s="205">
        <v>250000</v>
      </c>
      <c r="K1437" s="106" t="s">
        <v>455</v>
      </c>
      <c r="L1437" s="4" t="s">
        <v>528</v>
      </c>
      <c r="M1437" s="4" t="s">
        <v>1008</v>
      </c>
      <c r="N1437" s="135" t="s">
        <v>418</v>
      </c>
      <c r="O1437" s="266" t="str">
        <f>_xlfn.XLOOKUP(N1437,[1]!costcategory[Account Code],[1]!costcategory[Cost Category],"ERROR")</f>
        <v>Internal Fund Transfer</v>
      </c>
      <c r="P1437" s="135" t="s">
        <v>66</v>
      </c>
      <c r="Q1437" s="267" t="str">
        <f>_xlfn.XLOOKUP(P1437,[1]!Table2[Department],[1]!Table2[Group],"ERROR")</f>
        <v>Others</v>
      </c>
      <c r="R1437" s="138"/>
      <c r="S1437" s="138"/>
      <c r="T1437" s="138"/>
      <c r="U1437" s="2"/>
      <c r="V1437" s="138"/>
    </row>
    <row r="1438" spans="1:22" hidden="1" x14ac:dyDescent="0.2">
      <c r="A1438" s="2" t="s">
        <v>15</v>
      </c>
      <c r="B1438" s="2" t="s">
        <v>1</v>
      </c>
      <c r="C1438" s="93">
        <v>46128</v>
      </c>
      <c r="D1438" s="3">
        <v>46128</v>
      </c>
      <c r="E1438" s="126">
        <v>46128</v>
      </c>
      <c r="F1438" s="2" t="s">
        <v>4</v>
      </c>
      <c r="G1438" s="205">
        <v>26</v>
      </c>
      <c r="H1438" s="205">
        <v>0</v>
      </c>
      <c r="I1438" s="301">
        <f t="shared" si="8"/>
        <v>26</v>
      </c>
      <c r="J1438" s="205">
        <v>26</v>
      </c>
      <c r="K1438" s="109" t="s">
        <v>1011</v>
      </c>
      <c r="L1438" s="4" t="s">
        <v>528</v>
      </c>
      <c r="M1438" s="4" t="s">
        <v>1035</v>
      </c>
      <c r="N1438" s="4" t="s">
        <v>332</v>
      </c>
      <c r="O1438" s="134" t="str">
        <f>_xlfn.XLOOKUP(N1438,[1]!costcategory[Account Code],[1]!costcategory[Cost Category],"ERROR")</f>
        <v>Bank Charges</v>
      </c>
      <c r="P1438" s="135" t="s">
        <v>66</v>
      </c>
      <c r="Q1438" s="267" t="str">
        <f>_xlfn.XLOOKUP(P1438,[1]!Table2[Department],[1]!Table2[Group],"ERROR")</f>
        <v>Others</v>
      </c>
      <c r="R1438" s="136"/>
      <c r="S1438" s="136"/>
      <c r="T1438" s="136"/>
      <c r="U1438" s="2"/>
      <c r="V1438" s="136"/>
    </row>
    <row r="1439" spans="1:22" ht="12.75" hidden="1" customHeight="1" x14ac:dyDescent="0.2">
      <c r="A1439" s="2" t="s">
        <v>15</v>
      </c>
      <c r="B1439" s="2" t="s">
        <v>1</v>
      </c>
      <c r="C1439" s="93">
        <v>46135</v>
      </c>
      <c r="D1439" s="3">
        <v>46135</v>
      </c>
      <c r="E1439" s="126">
        <v>46135</v>
      </c>
      <c r="F1439" s="2" t="s">
        <v>4</v>
      </c>
      <c r="G1439" s="204">
        <v>197160.88</v>
      </c>
      <c r="H1439" s="212">
        <v>0</v>
      </c>
      <c r="I1439" s="301">
        <f t="shared" si="8"/>
        <v>197160.88</v>
      </c>
      <c r="J1439" s="205">
        <v>197160.88</v>
      </c>
      <c r="K1439" s="109" t="s">
        <v>1001</v>
      </c>
      <c r="L1439" s="4" t="s">
        <v>881</v>
      </c>
      <c r="M1439" s="4" t="s">
        <v>696</v>
      </c>
      <c r="N1439" s="4" t="s">
        <v>418</v>
      </c>
      <c r="O1439" s="134" t="str">
        <f>_xlfn.XLOOKUP(N1439,[1]!costcategory[Account Code],[1]!costcategory[Cost Category],"ERROR")</f>
        <v>Internal Fund Transfer</v>
      </c>
      <c r="P1439" s="135" t="s">
        <v>66</v>
      </c>
      <c r="Q1439" s="147" t="str">
        <f>_xlfn.XLOOKUP(P1439,[1]!Table2[Department],[1]!Table2[Group],"ERROR")</f>
        <v>Others</v>
      </c>
      <c r="R1439" s="136"/>
      <c r="S1439" s="136"/>
      <c r="T1439" s="136"/>
      <c r="V1439" s="136"/>
    </row>
    <row r="1440" spans="1:22" hidden="1" x14ac:dyDescent="0.2">
      <c r="A1440" s="2" t="s">
        <v>15</v>
      </c>
      <c r="B1440" s="2" t="s">
        <v>1</v>
      </c>
      <c r="C1440" s="93">
        <v>46139</v>
      </c>
      <c r="D1440" s="3">
        <v>46139</v>
      </c>
      <c r="E1440" s="126">
        <v>46139</v>
      </c>
      <c r="F1440" s="2" t="s">
        <v>4</v>
      </c>
      <c r="G1440" s="204">
        <v>-9786.02</v>
      </c>
      <c r="H1440" s="212">
        <v>0</v>
      </c>
      <c r="I1440" s="301">
        <f t="shared" si="8"/>
        <v>-9786.02</v>
      </c>
      <c r="J1440" s="205">
        <v>-9786.02</v>
      </c>
      <c r="K1440" s="109" t="s">
        <v>99</v>
      </c>
      <c r="L1440" s="4" t="s">
        <v>149</v>
      </c>
      <c r="M1440" s="4" t="s">
        <v>1036</v>
      </c>
      <c r="N1440" s="4" t="s">
        <v>382</v>
      </c>
      <c r="O1440" s="134" t="str">
        <f>_xlfn.XLOOKUP(N1440,[1]!costcategory[Account Code],[1]!costcategory[Cost Category],"ERROR")</f>
        <v>Revenue</v>
      </c>
      <c r="P1440" s="4" t="s">
        <v>438</v>
      </c>
      <c r="Q1440" s="147" t="str">
        <f>_xlfn.XLOOKUP(P1440,[1]!Table2[Department],[1]!Table2[Group],"ERROR")</f>
        <v>Sales &amp; Marketing</v>
      </c>
      <c r="R1440" s="302"/>
      <c r="S1440" s="136"/>
      <c r="T1440" s="136"/>
      <c r="U1440" s="2"/>
      <c r="V1440" s="302"/>
    </row>
    <row r="1441" spans="1:24" hidden="1" x14ac:dyDescent="0.2">
      <c r="A1441" s="2" t="s">
        <v>15</v>
      </c>
      <c r="B1441" s="2" t="s">
        <v>1</v>
      </c>
      <c r="C1441" s="93">
        <v>46139</v>
      </c>
      <c r="D1441" s="3">
        <v>46139</v>
      </c>
      <c r="E1441" s="126">
        <v>46139</v>
      </c>
      <c r="F1441" s="2" t="s">
        <v>4</v>
      </c>
      <c r="G1441" s="300">
        <v>7.77</v>
      </c>
      <c r="H1441" s="212">
        <v>0</v>
      </c>
      <c r="I1441" s="301">
        <f t="shared" si="8"/>
        <v>7.77</v>
      </c>
      <c r="J1441" s="205">
        <v>7.77</v>
      </c>
      <c r="K1441" s="109" t="s">
        <v>455</v>
      </c>
      <c r="L1441" s="4" t="s">
        <v>609</v>
      </c>
      <c r="M1441" s="4" t="s">
        <v>609</v>
      </c>
      <c r="N1441" s="4" t="s">
        <v>332</v>
      </c>
      <c r="O1441" s="134" t="str">
        <f>_xlfn.XLOOKUP(N1441,[1]!costcategory[Account Code],[1]!costcategory[Cost Category],"ERROR")</f>
        <v>Bank Charges</v>
      </c>
      <c r="P1441" s="135" t="s">
        <v>333</v>
      </c>
      <c r="Q1441" s="147" t="str">
        <f>_xlfn.XLOOKUP(P1441,[1]!Table2[Department],[1]!Table2[Group],"ERROR")</f>
        <v>General &amp; Administrative</v>
      </c>
      <c r="R1441" s="302"/>
      <c r="S1441" s="136"/>
      <c r="T1441" s="136"/>
      <c r="U1441" s="2"/>
      <c r="V1441" s="302"/>
    </row>
    <row r="1442" spans="1:24" hidden="1" x14ac:dyDescent="0.2">
      <c r="A1442" s="2" t="s">
        <v>15</v>
      </c>
      <c r="B1442" s="2" t="s">
        <v>1</v>
      </c>
      <c r="C1442" s="93">
        <v>46142</v>
      </c>
      <c r="D1442" s="3" t="s">
        <v>1037</v>
      </c>
      <c r="E1442" s="126">
        <v>46142</v>
      </c>
      <c r="F1442" s="2" t="s">
        <v>4</v>
      </c>
      <c r="G1442" s="212">
        <v>-4.59</v>
      </c>
      <c r="H1442" s="212">
        <v>0</v>
      </c>
      <c r="I1442" s="301">
        <f t="shared" si="8"/>
        <v>-4.59</v>
      </c>
      <c r="J1442" s="205">
        <v>-4.59</v>
      </c>
      <c r="K1442" s="106" t="s">
        <v>1011</v>
      </c>
      <c r="L1442" s="4" t="s">
        <v>1038</v>
      </c>
      <c r="M1442" s="4" t="s">
        <v>1039</v>
      </c>
      <c r="N1442" s="135" t="s">
        <v>332</v>
      </c>
      <c r="O1442" s="266" t="s">
        <v>332</v>
      </c>
      <c r="P1442" s="135" t="s">
        <v>333</v>
      </c>
      <c r="Q1442" s="267" t="s">
        <v>62</v>
      </c>
      <c r="R1442" s="138"/>
      <c r="S1442" s="138" t="s">
        <v>451</v>
      </c>
      <c r="T1442" s="138" t="s">
        <v>452</v>
      </c>
      <c r="U1442" s="138"/>
    </row>
    <row r="1443" spans="1:24" hidden="1" x14ac:dyDescent="0.2">
      <c r="A1443" s="2" t="s">
        <v>15</v>
      </c>
      <c r="B1443" s="2" t="s">
        <v>1</v>
      </c>
      <c r="C1443" s="93">
        <v>46150</v>
      </c>
      <c r="D1443" s="3">
        <v>46150</v>
      </c>
      <c r="E1443" s="126">
        <v>46150</v>
      </c>
      <c r="F1443" s="2" t="s">
        <v>4</v>
      </c>
      <c r="G1443" s="204">
        <v>-59000</v>
      </c>
      <c r="H1443" s="212">
        <v>0</v>
      </c>
      <c r="I1443" s="301">
        <f t="shared" si="8"/>
        <v>-59000</v>
      </c>
      <c r="J1443" s="205">
        <v>-59000</v>
      </c>
      <c r="K1443" s="109" t="s">
        <v>185</v>
      </c>
      <c r="L1443" s="4" t="s">
        <v>186</v>
      </c>
      <c r="M1443" s="4" t="s">
        <v>187</v>
      </c>
      <c r="N1443" s="4" t="s">
        <v>382</v>
      </c>
      <c r="O1443" s="134" t="str">
        <f>_xlfn.XLOOKUP(N1443,[1]!costcategory[Account Code],[1]!costcategory[Cost Category],"ERROR")</f>
        <v>Revenue</v>
      </c>
      <c r="P1443" s="135" t="s">
        <v>438</v>
      </c>
      <c r="Q1443" s="147" t="str">
        <f>_xlfn.XLOOKUP(P1443,[1]!Table2[Department],[1]!Table2[Group],"ERROR")</f>
        <v>Sales &amp; Marketing</v>
      </c>
      <c r="R1443" s="136"/>
      <c r="S1443" s="136"/>
      <c r="T1443" s="136"/>
      <c r="U1443" s="2"/>
      <c r="V1443" s="136"/>
    </row>
    <row r="1444" spans="1:24" hidden="1" x14ac:dyDescent="0.2">
      <c r="A1444" s="2" t="s">
        <v>15</v>
      </c>
      <c r="B1444" s="2" t="s">
        <v>1</v>
      </c>
      <c r="C1444" s="93">
        <v>46150</v>
      </c>
      <c r="D1444" s="3">
        <v>46150</v>
      </c>
      <c r="E1444" s="126">
        <v>46150</v>
      </c>
      <c r="F1444" s="2" t="s">
        <v>4</v>
      </c>
      <c r="G1444" s="204">
        <v>25</v>
      </c>
      <c r="H1444" s="212">
        <v>0</v>
      </c>
      <c r="I1444" s="301">
        <f t="shared" si="8"/>
        <v>25</v>
      </c>
      <c r="J1444" s="205">
        <v>25</v>
      </c>
      <c r="K1444" s="109" t="s">
        <v>455</v>
      </c>
      <c r="L1444" s="4" t="s">
        <v>609</v>
      </c>
      <c r="M1444" s="4" t="s">
        <v>1040</v>
      </c>
      <c r="N1444" s="4" t="s">
        <v>332</v>
      </c>
      <c r="O1444" s="134" t="str">
        <f>_xlfn.XLOOKUP(N1444,[1]!costcategory[Account Code],[1]!costcategory[Cost Category],"ERROR")</f>
        <v>Bank Charges</v>
      </c>
      <c r="P1444" s="135" t="s">
        <v>333</v>
      </c>
      <c r="Q1444" s="147" t="str">
        <f>_xlfn.XLOOKUP(P1444,[1]!Table2[Department],[1]!Table2[Group],"ERROR")</f>
        <v>General &amp; Administrative</v>
      </c>
      <c r="R1444" s="136"/>
      <c r="S1444" s="136"/>
      <c r="T1444" s="136"/>
      <c r="U1444" s="2"/>
      <c r="V1444" s="136"/>
    </row>
    <row r="1445" spans="1:24" hidden="1" x14ac:dyDescent="0.2">
      <c r="A1445" s="2" t="s">
        <v>15</v>
      </c>
      <c r="B1445" s="2" t="s">
        <v>1</v>
      </c>
      <c r="C1445" s="93">
        <v>46150</v>
      </c>
      <c r="D1445" s="3">
        <v>46150</v>
      </c>
      <c r="E1445" s="126">
        <v>46150</v>
      </c>
      <c r="F1445" s="2" t="s">
        <v>4</v>
      </c>
      <c r="G1445" s="204">
        <v>7.82</v>
      </c>
      <c r="H1445" s="212">
        <v>0</v>
      </c>
      <c r="I1445" s="301">
        <f t="shared" si="8"/>
        <v>7.82</v>
      </c>
      <c r="J1445" s="205">
        <v>7.82</v>
      </c>
      <c r="K1445" s="109" t="s">
        <v>455</v>
      </c>
      <c r="L1445" s="4" t="s">
        <v>609</v>
      </c>
      <c r="M1445" s="4" t="s">
        <v>609</v>
      </c>
      <c r="N1445" s="4" t="s">
        <v>332</v>
      </c>
      <c r="O1445" s="134" t="str">
        <f>_xlfn.XLOOKUP(N1445,[1]!costcategory[Account Code],[1]!costcategory[Cost Category],"ERROR")</f>
        <v>Bank Charges</v>
      </c>
      <c r="P1445" s="135" t="s">
        <v>333</v>
      </c>
      <c r="Q1445" s="147" t="str">
        <f>_xlfn.XLOOKUP(P1445,[1]!Table2[Department],[1]!Table2[Group],"ERROR")</f>
        <v>General &amp; Administrative</v>
      </c>
      <c r="R1445" s="136"/>
      <c r="S1445" s="136"/>
      <c r="T1445" s="136"/>
      <c r="U1445" s="2"/>
      <c r="V1445" s="136"/>
    </row>
    <row r="1446" spans="1:24" hidden="1" x14ac:dyDescent="0.2">
      <c r="A1446" s="2" t="s">
        <v>15</v>
      </c>
      <c r="B1446" s="2" t="s">
        <v>1</v>
      </c>
      <c r="C1446" s="93">
        <v>46160</v>
      </c>
      <c r="D1446" s="3">
        <v>46160</v>
      </c>
      <c r="E1446" s="126">
        <v>46160</v>
      </c>
      <c r="F1446" s="2" t="s">
        <v>4</v>
      </c>
      <c r="G1446" s="204">
        <v>180760.77</v>
      </c>
      <c r="H1446" s="212">
        <v>0</v>
      </c>
      <c r="I1446" s="301">
        <f t="shared" si="8"/>
        <v>180760.77</v>
      </c>
      <c r="J1446" s="205">
        <v>180760.77</v>
      </c>
      <c r="K1446" s="109" t="s">
        <v>1001</v>
      </c>
      <c r="L1446" s="4" t="s">
        <v>881</v>
      </c>
      <c r="M1446" s="4" t="s">
        <v>696</v>
      </c>
      <c r="N1446" s="4" t="s">
        <v>1041</v>
      </c>
      <c r="O1446" s="134" t="str">
        <f>_xlfn.XLOOKUP(N1446,[1]!costcategory[Account Code],[1]!costcategory[Cost Category],"ERROR")</f>
        <v>Bank</v>
      </c>
      <c r="P1446" s="135" t="s">
        <v>333</v>
      </c>
      <c r="Q1446" s="147" t="str">
        <f>_xlfn.XLOOKUP(P1446,[1]!Table2[Department],[1]!Table2[Group],"ERROR")</f>
        <v>General &amp; Administrative</v>
      </c>
      <c r="R1446" s="136"/>
      <c r="S1446" s="136"/>
      <c r="T1446" s="136"/>
      <c r="U1446" s="2"/>
      <c r="V1446" s="136"/>
    </row>
    <row r="1447" spans="1:24" hidden="1" x14ac:dyDescent="0.2">
      <c r="A1447" s="2" t="s">
        <v>15</v>
      </c>
      <c r="B1447" s="2" t="s">
        <v>1</v>
      </c>
      <c r="C1447" s="93">
        <v>46147</v>
      </c>
      <c r="D1447" s="3">
        <v>46177</v>
      </c>
      <c r="E1447" s="126">
        <v>46168</v>
      </c>
      <c r="F1447" s="2" t="s">
        <v>4</v>
      </c>
      <c r="G1447" s="204">
        <v>-9786.02</v>
      </c>
      <c r="H1447" s="212">
        <v>0</v>
      </c>
      <c r="I1447" s="301">
        <f t="shared" si="8"/>
        <v>-9786.02</v>
      </c>
      <c r="J1447" s="205">
        <v>-9786.02</v>
      </c>
      <c r="K1447" s="109" t="s">
        <v>99</v>
      </c>
      <c r="L1447" s="4" t="s">
        <v>188</v>
      </c>
      <c r="M1447" s="4" t="s">
        <v>1042</v>
      </c>
      <c r="N1447" s="4" t="s">
        <v>382</v>
      </c>
      <c r="O1447" s="134" t="str">
        <f>_xlfn.XLOOKUP(N1447,[1]!costcategory[Account Code],[1]!costcategory[Cost Category],"ERROR")</f>
        <v>Revenue</v>
      </c>
      <c r="P1447" s="4" t="s">
        <v>438</v>
      </c>
      <c r="Q1447" s="147" t="str">
        <f>_xlfn.XLOOKUP(P1447,[1]!Table2[Department],[1]!Table2[Group],"ERROR")</f>
        <v>Sales &amp; Marketing</v>
      </c>
      <c r="R1447" s="136"/>
      <c r="S1447" s="136"/>
      <c r="T1447" s="136"/>
      <c r="U1447" s="2"/>
      <c r="V1447" s="136"/>
    </row>
    <row r="1448" spans="1:24" hidden="1" x14ac:dyDescent="0.2">
      <c r="A1448" s="2" t="s">
        <v>15</v>
      </c>
      <c r="B1448" s="2" t="s">
        <v>1</v>
      </c>
      <c r="C1448" s="93">
        <v>46168</v>
      </c>
      <c r="D1448" s="3">
        <v>46168</v>
      </c>
      <c r="E1448" s="126">
        <v>46168</v>
      </c>
      <c r="F1448" s="2" t="s">
        <v>4</v>
      </c>
      <c r="G1448" s="204">
        <v>7.77</v>
      </c>
      <c r="H1448" s="212">
        <v>0</v>
      </c>
      <c r="I1448" s="301">
        <f t="shared" si="8"/>
        <v>7.77</v>
      </c>
      <c r="J1448" s="205">
        <v>7.77</v>
      </c>
      <c r="K1448" s="109" t="s">
        <v>455</v>
      </c>
      <c r="L1448" s="4" t="s">
        <v>609</v>
      </c>
      <c r="M1448" s="4" t="s">
        <v>609</v>
      </c>
      <c r="N1448" s="4" t="s">
        <v>332</v>
      </c>
      <c r="O1448" s="134" t="str">
        <f>_xlfn.XLOOKUP(N1448,[1]!costcategory[Account Code],[1]!costcategory[Cost Category],"ERROR")</f>
        <v>Bank Charges</v>
      </c>
      <c r="P1448" s="135" t="s">
        <v>333</v>
      </c>
      <c r="Q1448" s="147" t="str">
        <f>_xlfn.XLOOKUP(P1448,[1]!Table2[Department],[1]!Table2[Group],"ERROR")</f>
        <v>General &amp; Administrative</v>
      </c>
      <c r="R1448" s="136"/>
      <c r="S1448" s="136"/>
      <c r="T1448" s="136"/>
      <c r="U1448" s="2"/>
      <c r="V1448" s="136"/>
      <c r="X1448" s="2"/>
    </row>
    <row r="1449" spans="1:24" hidden="1" x14ac:dyDescent="0.2">
      <c r="A1449" s="2" t="s">
        <v>15</v>
      </c>
      <c r="B1449" s="2" t="s">
        <v>1</v>
      </c>
      <c r="C1449" s="93">
        <v>46171</v>
      </c>
      <c r="D1449" s="3">
        <v>46171</v>
      </c>
      <c r="E1449" s="126">
        <v>46171</v>
      </c>
      <c r="F1449" s="2" t="s">
        <v>4</v>
      </c>
      <c r="G1449" s="212">
        <v>-3.66</v>
      </c>
      <c r="H1449" s="212">
        <v>0</v>
      </c>
      <c r="I1449" s="301">
        <f t="shared" si="8"/>
        <v>-3.66</v>
      </c>
      <c r="J1449" s="205">
        <v>-3.66</v>
      </c>
      <c r="K1449" s="106" t="s">
        <v>1011</v>
      </c>
      <c r="L1449" s="4" t="s">
        <v>1043</v>
      </c>
      <c r="M1449" s="4" t="s">
        <v>1044</v>
      </c>
      <c r="N1449" s="135" t="s">
        <v>332</v>
      </c>
      <c r="O1449" s="266" t="s">
        <v>332</v>
      </c>
      <c r="P1449" s="135" t="s">
        <v>333</v>
      </c>
      <c r="Q1449" s="267" t="s">
        <v>62</v>
      </c>
      <c r="R1449" s="138"/>
      <c r="S1449" s="138" t="s">
        <v>451</v>
      </c>
      <c r="T1449" s="138" t="s">
        <v>452</v>
      </c>
      <c r="U1449" s="138"/>
    </row>
    <row r="1450" spans="1:24" hidden="1" x14ac:dyDescent="0.2">
      <c r="A1450" s="2" t="s">
        <v>15</v>
      </c>
      <c r="B1450" s="2" t="s">
        <v>1</v>
      </c>
      <c r="C1450" s="93">
        <v>46197</v>
      </c>
      <c r="D1450" s="3">
        <v>46197</v>
      </c>
      <c r="E1450" s="126">
        <v>46197</v>
      </c>
      <c r="F1450" s="2" t="s">
        <v>4</v>
      </c>
      <c r="G1450" s="212">
        <v>200000</v>
      </c>
      <c r="H1450" s="212">
        <v>0</v>
      </c>
      <c r="I1450" s="301">
        <f t="shared" si="8"/>
        <v>200000</v>
      </c>
      <c r="J1450" s="205">
        <v>200000</v>
      </c>
      <c r="K1450" s="106" t="s">
        <v>455</v>
      </c>
      <c r="L1450" s="4" t="s">
        <v>528</v>
      </c>
      <c r="M1450" s="4" t="s">
        <v>1008</v>
      </c>
      <c r="N1450" s="135" t="s">
        <v>418</v>
      </c>
      <c r="O1450" s="266" t="str">
        <f>_xlfn.XLOOKUP(N1450,[1]!costcategory[Account Code],[1]!costcategory[Cost Category],"ERROR")</f>
        <v>Internal Fund Transfer</v>
      </c>
      <c r="P1450" s="135" t="s">
        <v>66</v>
      </c>
      <c r="Q1450" s="267" t="str">
        <f>_xlfn.XLOOKUP(P1450,[1]!Table2[Department],[1]!Table2[Group],"ERROR")</f>
        <v>Others</v>
      </c>
      <c r="R1450" s="138" t="s">
        <v>451</v>
      </c>
      <c r="S1450" s="138" t="s">
        <v>452</v>
      </c>
      <c r="T1450" s="138" t="s">
        <v>452</v>
      </c>
      <c r="U1450" s="138"/>
      <c r="V1450" s="138"/>
      <c r="W1450" s="2"/>
    </row>
    <row r="1451" spans="1:24" hidden="1" x14ac:dyDescent="0.2">
      <c r="A1451" s="2" t="s">
        <v>15</v>
      </c>
      <c r="B1451" s="2" t="s">
        <v>1</v>
      </c>
      <c r="C1451" s="93">
        <v>46195</v>
      </c>
      <c r="D1451" s="3">
        <v>46195</v>
      </c>
      <c r="E1451" s="126">
        <v>46195</v>
      </c>
      <c r="F1451" s="2" t="s">
        <v>4</v>
      </c>
      <c r="G1451" s="212">
        <v>-50000</v>
      </c>
      <c r="H1451" s="204">
        <v>0</v>
      </c>
      <c r="I1451" s="301">
        <f t="shared" si="8"/>
        <v>-50000</v>
      </c>
      <c r="J1451" s="205">
        <v>-50000</v>
      </c>
      <c r="K1451" s="109" t="s">
        <v>1045</v>
      </c>
      <c r="M1451" s="116" t="s">
        <v>1046</v>
      </c>
      <c r="N1451" s="4" t="s">
        <v>1047</v>
      </c>
      <c r="O1451" s="134" t="str">
        <f>_xlfn.XLOOKUP(N1451,[1]!costcategory[Account Code],[1]!costcategory[Cost Category],"ERROR")</f>
        <v>Current Liabilities</v>
      </c>
      <c r="P1451" s="135" t="s">
        <v>333</v>
      </c>
      <c r="Q1451" s="89" t="str">
        <f>_xlfn.XLOOKUP(P1451,[1]!Table2[Department],[1]!Table2[Group],"ERROR")</f>
        <v>General &amp; Administrative</v>
      </c>
      <c r="R1451" s="136"/>
      <c r="S1451" s="136"/>
      <c r="T1451" s="136"/>
      <c r="U1451" s="2"/>
      <c r="V1451" s="136"/>
    </row>
    <row r="1452" spans="1:24" hidden="1" x14ac:dyDescent="0.2">
      <c r="A1452" s="2" t="s">
        <v>15</v>
      </c>
      <c r="B1452" s="2" t="s">
        <v>1</v>
      </c>
      <c r="C1452" s="93">
        <v>46195</v>
      </c>
      <c r="D1452" s="3">
        <v>46195</v>
      </c>
      <c r="E1452" s="126">
        <v>46195</v>
      </c>
      <c r="F1452" s="2" t="s">
        <v>4</v>
      </c>
      <c r="G1452" s="212">
        <v>-650</v>
      </c>
      <c r="H1452" s="204">
        <v>0</v>
      </c>
      <c r="I1452" s="301">
        <f t="shared" si="8"/>
        <v>-650</v>
      </c>
      <c r="J1452" s="205">
        <v>-650</v>
      </c>
      <c r="K1452" s="109" t="s">
        <v>1045</v>
      </c>
      <c r="M1452" s="4" t="s">
        <v>384</v>
      </c>
      <c r="N1452" s="4" t="s">
        <v>384</v>
      </c>
      <c r="O1452" s="134" t="str">
        <f>_xlfn.XLOOKUP(N1452,[1]!costcategory[Account Code],[1]!costcategory[Cost Category],"ERROR")</f>
        <v>Other Income</v>
      </c>
      <c r="P1452" s="135" t="s">
        <v>333</v>
      </c>
      <c r="Q1452" s="89" t="str">
        <f>_xlfn.XLOOKUP(P1452,[1]!Table2[Department],[1]!Table2[Group],"ERROR")</f>
        <v>General &amp; Administrative</v>
      </c>
      <c r="R1452" s="136"/>
      <c r="S1452" s="136"/>
      <c r="T1452" s="136"/>
      <c r="U1452" s="2"/>
      <c r="V1452" s="136"/>
    </row>
    <row r="1453" spans="1:24" hidden="1" x14ac:dyDescent="0.2">
      <c r="A1453" s="2" t="s">
        <v>15</v>
      </c>
      <c r="B1453" s="2" t="s">
        <v>1</v>
      </c>
      <c r="C1453" s="93">
        <v>46195</v>
      </c>
      <c r="D1453" s="3">
        <v>46195</v>
      </c>
      <c r="E1453" s="126">
        <v>46195</v>
      </c>
      <c r="F1453" s="2" t="s">
        <v>4</v>
      </c>
      <c r="G1453" s="212">
        <v>7.67</v>
      </c>
      <c r="H1453" s="204">
        <v>0</v>
      </c>
      <c r="I1453" s="301">
        <f t="shared" si="8"/>
        <v>7.67</v>
      </c>
      <c r="J1453" s="205">
        <v>7.67</v>
      </c>
      <c r="K1453" s="109" t="s">
        <v>455</v>
      </c>
      <c r="L1453" s="4" t="s">
        <v>609</v>
      </c>
      <c r="M1453" s="4" t="s">
        <v>609</v>
      </c>
      <c r="N1453" s="4" t="s">
        <v>332</v>
      </c>
      <c r="O1453" s="134" t="str">
        <f>_xlfn.XLOOKUP(N1453,[1]!costcategory[Account Code],[1]!costcategory[Cost Category],"ERROR")</f>
        <v>Bank Charges</v>
      </c>
      <c r="P1453" s="135" t="s">
        <v>333</v>
      </c>
      <c r="Q1453" s="89" t="str">
        <f>_xlfn.XLOOKUP(P1453,[1]!Table2[Department],[1]!Table2[Group],"ERROR")</f>
        <v>General &amp; Administrative</v>
      </c>
      <c r="R1453" s="136"/>
      <c r="S1453" s="136"/>
      <c r="T1453" s="136"/>
      <c r="U1453" s="2"/>
      <c r="V1453" s="136"/>
    </row>
    <row r="1454" spans="1:24" hidden="1" x14ac:dyDescent="0.2">
      <c r="A1454" s="2" t="s">
        <v>15</v>
      </c>
      <c r="B1454" s="2" t="s">
        <v>1</v>
      </c>
      <c r="C1454" s="93">
        <v>46197</v>
      </c>
      <c r="D1454" s="3">
        <v>46197</v>
      </c>
      <c r="E1454" s="126">
        <v>46197</v>
      </c>
      <c r="F1454" s="2" t="s">
        <v>4</v>
      </c>
      <c r="G1454" s="204">
        <v>62000</v>
      </c>
      <c r="H1454" s="204">
        <v>0</v>
      </c>
      <c r="I1454" s="301">
        <f t="shared" si="8"/>
        <v>62000</v>
      </c>
      <c r="J1454" s="205">
        <v>62000</v>
      </c>
      <c r="K1454" s="109" t="s">
        <v>1001</v>
      </c>
      <c r="L1454" s="4" t="s">
        <v>881</v>
      </c>
      <c r="M1454" s="4" t="s">
        <v>696</v>
      </c>
      <c r="N1454" s="4" t="s">
        <v>1041</v>
      </c>
      <c r="O1454" s="134" t="str">
        <f>_xlfn.XLOOKUP(N1454,[1]!costcategory[Account Code],[1]!costcategory[Cost Category],"ERROR")</f>
        <v>Bank</v>
      </c>
      <c r="P1454" s="135" t="s">
        <v>333</v>
      </c>
      <c r="Q1454" s="89" t="str">
        <f>_xlfn.XLOOKUP(P1454,[1]!Table2[Department],[1]!Table2[Group],"ERROR")</f>
        <v>General &amp; Administrative</v>
      </c>
      <c r="R1454" s="136"/>
      <c r="S1454" s="136"/>
      <c r="T1454" s="136"/>
      <c r="U1454" s="2"/>
      <c r="V1454" s="136"/>
    </row>
    <row r="1455" spans="1:24" hidden="1" x14ac:dyDescent="0.2">
      <c r="A1455" s="2" t="s">
        <v>15</v>
      </c>
      <c r="B1455" s="2" t="s">
        <v>1</v>
      </c>
      <c r="C1455" s="93">
        <v>46197</v>
      </c>
      <c r="D1455" s="3">
        <v>46197</v>
      </c>
      <c r="E1455" s="126">
        <v>46197</v>
      </c>
      <c r="F1455" s="2" t="s">
        <v>4</v>
      </c>
      <c r="G1455" s="204">
        <v>-199970</v>
      </c>
      <c r="H1455" s="204">
        <v>0</v>
      </c>
      <c r="I1455" s="301">
        <f t="shared" si="8"/>
        <v>-199970</v>
      </c>
      <c r="J1455" s="205">
        <v>-199970</v>
      </c>
      <c r="K1455" s="109" t="s">
        <v>1007</v>
      </c>
      <c r="L1455" s="4" t="s">
        <v>881</v>
      </c>
      <c r="M1455" s="4" t="s">
        <v>1008</v>
      </c>
      <c r="N1455" s="4" t="s">
        <v>418</v>
      </c>
      <c r="O1455" s="134" t="str">
        <f>_xlfn.XLOOKUP(N1455,[1]!costcategory[Account Code],[1]!costcategory[Cost Category],"ERROR")</f>
        <v>Internal Fund Transfer</v>
      </c>
      <c r="P1455" s="135" t="s">
        <v>66</v>
      </c>
      <c r="Q1455" s="89" t="str">
        <f>_xlfn.XLOOKUP(P1455,[1]!Table2[Department],[1]!Table2[Group],"ERROR")</f>
        <v>Others</v>
      </c>
      <c r="R1455" s="136"/>
      <c r="S1455" s="136"/>
      <c r="T1455" s="136"/>
      <c r="U1455" s="2"/>
      <c r="V1455" s="136"/>
    </row>
    <row r="1456" spans="1:24" hidden="1" x14ac:dyDescent="0.2">
      <c r="A1456" s="2" t="s">
        <v>15</v>
      </c>
      <c r="B1456" s="2" t="s">
        <v>1</v>
      </c>
      <c r="C1456" s="93">
        <v>46197</v>
      </c>
      <c r="D1456" s="3">
        <v>46197</v>
      </c>
      <c r="E1456" s="126">
        <v>46197</v>
      </c>
      <c r="F1456" s="2" t="s">
        <v>4</v>
      </c>
      <c r="G1456" s="199">
        <v>7.65</v>
      </c>
      <c r="H1456" s="204">
        <v>0</v>
      </c>
      <c r="I1456" s="301">
        <f t="shared" si="8"/>
        <v>7.65</v>
      </c>
      <c r="J1456" s="205">
        <v>7.65</v>
      </c>
      <c r="K1456" s="109" t="s">
        <v>455</v>
      </c>
      <c r="L1456" s="4" t="s">
        <v>609</v>
      </c>
      <c r="M1456" s="4" t="s">
        <v>609</v>
      </c>
      <c r="N1456" s="4" t="s">
        <v>332</v>
      </c>
      <c r="O1456" s="134" t="str">
        <f>_xlfn.XLOOKUP(N1456,[1]!costcategory[Account Code],[1]!costcategory[Cost Category],"ERROR")</f>
        <v>Bank Charges</v>
      </c>
      <c r="P1456" s="135" t="s">
        <v>333</v>
      </c>
      <c r="Q1456" s="89" t="str">
        <f>_xlfn.XLOOKUP(P1456,[1]!Table2[Department],[1]!Table2[Group],"ERROR")</f>
        <v>General &amp; Administrative</v>
      </c>
      <c r="R1456" s="138"/>
      <c r="S1456" s="138"/>
      <c r="T1456" s="138"/>
      <c r="U1456" s="2"/>
      <c r="V1456" s="136"/>
    </row>
    <row r="1457" spans="1:24" hidden="1" x14ac:dyDescent="0.2">
      <c r="A1457" s="2" t="s">
        <v>15</v>
      </c>
      <c r="B1457" s="2" t="s">
        <v>1</v>
      </c>
      <c r="C1457" s="93">
        <v>46170</v>
      </c>
      <c r="D1457" s="164">
        <v>46200</v>
      </c>
      <c r="E1457" s="126">
        <v>46199</v>
      </c>
      <c r="F1457" s="2" t="s">
        <v>4</v>
      </c>
      <c r="G1457" s="204">
        <v>-8978</v>
      </c>
      <c r="H1457" s="204">
        <v>-808.02</v>
      </c>
      <c r="I1457" s="301">
        <f t="shared" si="8"/>
        <v>-9786.02</v>
      </c>
      <c r="J1457" s="205">
        <v>-9786.02</v>
      </c>
      <c r="K1457" s="4" t="s">
        <v>99</v>
      </c>
      <c r="L1457" s="135" t="s">
        <v>212</v>
      </c>
      <c r="M1457" s="4" t="s">
        <v>213</v>
      </c>
      <c r="N1457" s="4" t="s">
        <v>382</v>
      </c>
      <c r="O1457" s="134" t="str">
        <f>_xlfn.XLOOKUP(N1457,[1]!costcategory[Account Code],[1]!costcategory[Cost Category],"ERROR")</f>
        <v>Revenue</v>
      </c>
      <c r="P1457" s="135" t="s">
        <v>438</v>
      </c>
      <c r="Q1457" s="89" t="str">
        <f>_xlfn.XLOOKUP(P1457,[1]!Table2[Department],[1]!Table2[Group],"ERROR")</f>
        <v>Sales &amp; Marketing</v>
      </c>
      <c r="R1457" s="136"/>
      <c r="S1457" s="136"/>
      <c r="T1457" s="136"/>
      <c r="U1457" s="2"/>
      <c r="V1457" s="136"/>
    </row>
    <row r="1458" spans="1:24" hidden="1" x14ac:dyDescent="0.2">
      <c r="A1458" s="2" t="s">
        <v>15</v>
      </c>
      <c r="B1458" s="2" t="s">
        <v>1</v>
      </c>
      <c r="C1458" s="93">
        <v>46199</v>
      </c>
      <c r="D1458" s="3">
        <v>46199</v>
      </c>
      <c r="E1458" s="126">
        <v>46199</v>
      </c>
      <c r="F1458" s="2" t="s">
        <v>4</v>
      </c>
      <c r="G1458" s="204">
        <v>7.65</v>
      </c>
      <c r="H1458" s="204">
        <v>0</v>
      </c>
      <c r="I1458" s="301">
        <f t="shared" si="8"/>
        <v>7.65</v>
      </c>
      <c r="J1458" s="205">
        <v>7.65</v>
      </c>
      <c r="K1458" s="109" t="s">
        <v>455</v>
      </c>
      <c r="L1458" s="4" t="s">
        <v>609</v>
      </c>
      <c r="M1458" s="4" t="s">
        <v>609</v>
      </c>
      <c r="N1458" s="4" t="s">
        <v>332</v>
      </c>
      <c r="O1458" s="134" t="str">
        <f>_xlfn.XLOOKUP(N1458,[1]!costcategory[Account Code],[1]!costcategory[Cost Category],"ERROR")</f>
        <v>Bank Charges</v>
      </c>
      <c r="P1458" s="135" t="s">
        <v>333</v>
      </c>
      <c r="Q1458" s="89" t="str">
        <f>_xlfn.XLOOKUP(P1458,[1]!Table2[Department],[1]!Table2[Group],"ERROR")</f>
        <v>General &amp; Administrative</v>
      </c>
      <c r="R1458" s="136"/>
      <c r="S1458" s="136"/>
      <c r="T1458" s="136"/>
      <c r="U1458" s="2"/>
      <c r="V1458" s="136"/>
    </row>
    <row r="1459" spans="1:24" customFormat="1" hidden="1" x14ac:dyDescent="0.2">
      <c r="A1459" s="121" t="s">
        <v>15</v>
      </c>
      <c r="B1459" s="121" t="s">
        <v>2</v>
      </c>
      <c r="C1459" s="93">
        <v>46037</v>
      </c>
      <c r="D1459" s="121" t="s">
        <v>1048</v>
      </c>
      <c r="E1459" s="125">
        <v>46037</v>
      </c>
      <c r="F1459" s="121" t="s">
        <v>4</v>
      </c>
      <c r="G1459" s="241">
        <v>11698.62</v>
      </c>
      <c r="H1459" s="212">
        <v>0</v>
      </c>
      <c r="I1459" s="301">
        <f t="shared" si="8"/>
        <v>11698.62</v>
      </c>
      <c r="J1459" s="205">
        <v>11698.62</v>
      </c>
      <c r="K1459" s="116" t="s">
        <v>448</v>
      </c>
      <c r="L1459" s="116" t="s">
        <v>1049</v>
      </c>
      <c r="M1459" s="116" t="s">
        <v>1050</v>
      </c>
      <c r="N1459" s="4" t="s">
        <v>1049</v>
      </c>
      <c r="O1459" s="146" t="str">
        <f>_xlfn.XLOOKUP(N1459,[1]!costcategory[Account Code],[1]!costcategory[Cost Category],"ERROR")</f>
        <v>Bank</v>
      </c>
      <c r="P1459" s="116" t="s">
        <v>333</v>
      </c>
      <c r="Q1459" s="147" t="str">
        <f>_xlfn.XLOOKUP(P1459,[1]!Table2[Department],[1]!Table2[Group],"ERROR")</f>
        <v>General &amp; Administrative</v>
      </c>
      <c r="R1459" s="116"/>
      <c r="S1459" s="116"/>
      <c r="T1459" s="116"/>
      <c r="U1459" s="121"/>
      <c r="V1459" s="116"/>
      <c r="W1459" s="4"/>
      <c r="X1459" s="4"/>
    </row>
    <row r="1460" spans="1:24" customFormat="1" hidden="1" x14ac:dyDescent="0.2">
      <c r="A1460" s="121" t="s">
        <v>15</v>
      </c>
      <c r="B1460" s="121" t="s">
        <v>2</v>
      </c>
      <c r="C1460" s="93">
        <v>46038</v>
      </c>
      <c r="D1460" s="121" t="s">
        <v>1051</v>
      </c>
      <c r="E1460" s="125">
        <v>46038</v>
      </c>
      <c r="F1460" s="121" t="s">
        <v>4</v>
      </c>
      <c r="G1460" s="241">
        <v>-58000</v>
      </c>
      <c r="H1460" s="212">
        <v>0</v>
      </c>
      <c r="I1460" s="301">
        <f t="shared" si="8"/>
        <v>-58000</v>
      </c>
      <c r="J1460" s="205">
        <v>-58000</v>
      </c>
      <c r="K1460" s="116" t="s">
        <v>1052</v>
      </c>
      <c r="L1460" s="116" t="s">
        <v>1047</v>
      </c>
      <c r="M1460" s="116" t="s">
        <v>1053</v>
      </c>
      <c r="N1460" s="4" t="s">
        <v>1047</v>
      </c>
      <c r="O1460" s="146" t="str">
        <f>_xlfn.XLOOKUP(N1460,[1]!costcategory[Account Code],[1]!costcategory[Cost Category],"ERROR")</f>
        <v>Current Liabilities</v>
      </c>
      <c r="P1460" s="116" t="s">
        <v>340</v>
      </c>
      <c r="Q1460" s="147" t="str">
        <f>_xlfn.XLOOKUP(P1460,[1]!Table2[Department],[1]!Table2[Group],"ERROR")</f>
        <v>General &amp; Administrative</v>
      </c>
      <c r="R1460" s="116"/>
      <c r="S1460" s="116"/>
      <c r="T1460" s="116"/>
      <c r="U1460" s="121"/>
      <c r="V1460" s="116"/>
      <c r="W1460" s="4"/>
      <c r="X1460" s="4"/>
    </row>
    <row r="1461" spans="1:24" customFormat="1" hidden="1" x14ac:dyDescent="0.2">
      <c r="A1461" s="121" t="s">
        <v>15</v>
      </c>
      <c r="B1461" s="121" t="s">
        <v>2</v>
      </c>
      <c r="C1461" s="93">
        <v>46038</v>
      </c>
      <c r="D1461" s="121" t="s">
        <v>1051</v>
      </c>
      <c r="E1461" s="125">
        <v>46038</v>
      </c>
      <c r="F1461" s="121" t="s">
        <v>4</v>
      </c>
      <c r="G1461" s="241">
        <v>2.5099999999999998</v>
      </c>
      <c r="H1461" s="212">
        <v>0</v>
      </c>
      <c r="I1461" s="301">
        <f t="shared" si="8"/>
        <v>2.5099999999999998</v>
      </c>
      <c r="J1461" s="205">
        <v>2.5099999999999998</v>
      </c>
      <c r="K1461" s="116" t="s">
        <v>455</v>
      </c>
      <c r="L1461" s="4" t="s">
        <v>1631</v>
      </c>
      <c r="M1461" s="116" t="s">
        <v>1054</v>
      </c>
      <c r="N1461" s="4" t="s">
        <v>332</v>
      </c>
      <c r="O1461" s="146" t="str">
        <f>_xlfn.XLOOKUP(N1461,[1]!costcategory[Account Code],[1]!costcategory[Cost Category],"ERROR")</f>
        <v>Bank Charges</v>
      </c>
      <c r="P1461" s="116" t="s">
        <v>340</v>
      </c>
      <c r="Q1461" s="147" t="str">
        <f>_xlfn.XLOOKUP(P1461,[1]!Table2[Department],[1]!Table2[Group],"ERROR")</f>
        <v>General &amp; Administrative</v>
      </c>
      <c r="R1461" s="116"/>
      <c r="S1461" s="116"/>
      <c r="T1461" s="116"/>
      <c r="U1461" s="121"/>
      <c r="V1461" s="116"/>
      <c r="W1461" s="4"/>
      <c r="X1461" s="4"/>
    </row>
    <row r="1462" spans="1:24" customFormat="1" hidden="1" x14ac:dyDescent="0.2">
      <c r="A1462" s="121" t="s">
        <v>15</v>
      </c>
      <c r="B1462" s="121" t="s">
        <v>2</v>
      </c>
      <c r="C1462" s="93">
        <v>46038</v>
      </c>
      <c r="D1462" s="121" t="s">
        <v>1051</v>
      </c>
      <c r="E1462" s="125">
        <v>46038</v>
      </c>
      <c r="F1462" s="121" t="s">
        <v>4</v>
      </c>
      <c r="G1462" s="241">
        <v>58000</v>
      </c>
      <c r="H1462" s="212">
        <v>0</v>
      </c>
      <c r="I1462" s="301">
        <f t="shared" si="8"/>
        <v>58000</v>
      </c>
      <c r="J1462" s="205">
        <v>58000</v>
      </c>
      <c r="K1462" s="116" t="s">
        <v>448</v>
      </c>
      <c r="L1462" s="116" t="s">
        <v>1049</v>
      </c>
      <c r="M1462" s="116" t="s">
        <v>1050</v>
      </c>
      <c r="N1462" s="4" t="s">
        <v>1049</v>
      </c>
      <c r="O1462" s="146" t="str">
        <f>_xlfn.XLOOKUP(N1462,[1]!costcategory[Account Code],[1]!costcategory[Cost Category],"ERROR")</f>
        <v>Bank</v>
      </c>
      <c r="P1462" s="116" t="s">
        <v>333</v>
      </c>
      <c r="Q1462" s="147" t="str">
        <f>_xlfn.XLOOKUP(P1462,[1]!Table2[Department],[1]!Table2[Group],"ERROR")</f>
        <v>General &amp; Administrative</v>
      </c>
      <c r="R1462" s="116"/>
      <c r="S1462" s="116"/>
      <c r="T1462" s="116"/>
      <c r="U1462" s="121"/>
      <c r="V1462" s="116"/>
      <c r="W1462" s="4"/>
      <c r="X1462" s="4"/>
    </row>
    <row r="1463" spans="1:24" customFormat="1" hidden="1" x14ac:dyDescent="0.2">
      <c r="A1463" s="121" t="s">
        <v>15</v>
      </c>
      <c r="B1463" s="121" t="s">
        <v>2</v>
      </c>
      <c r="C1463" s="93">
        <v>46077</v>
      </c>
      <c r="D1463" s="121" t="s">
        <v>1055</v>
      </c>
      <c r="E1463" s="125">
        <v>46077</v>
      </c>
      <c r="F1463" s="121" t="s">
        <v>4</v>
      </c>
      <c r="G1463" s="241">
        <v>-190100</v>
      </c>
      <c r="H1463" s="212">
        <v>0</v>
      </c>
      <c r="I1463" s="301">
        <f t="shared" si="8"/>
        <v>-190100</v>
      </c>
      <c r="J1463" s="205">
        <v>-190100</v>
      </c>
      <c r="K1463" s="116" t="s">
        <v>448</v>
      </c>
      <c r="L1463" s="116"/>
      <c r="M1463" s="116" t="s">
        <v>1050</v>
      </c>
      <c r="N1463" s="4" t="s">
        <v>1049</v>
      </c>
      <c r="O1463" s="146" t="str">
        <f>_xlfn.XLOOKUP(N1463,[1]!costcategory[Account Code],[1]!costcategory[Cost Category],"ERROR")</f>
        <v>Bank</v>
      </c>
      <c r="P1463" s="116" t="s">
        <v>333</v>
      </c>
      <c r="Q1463" s="147" t="str">
        <f>_xlfn.XLOOKUP(P1463,[1]!Table2[Department],[1]!Table2[Group],"ERROR")</f>
        <v>General &amp; Administrative</v>
      </c>
      <c r="R1463" s="116"/>
      <c r="S1463" s="116"/>
      <c r="T1463" s="116"/>
      <c r="U1463" s="121"/>
      <c r="V1463" s="116"/>
      <c r="W1463" s="4"/>
    </row>
    <row r="1464" spans="1:24" customFormat="1" hidden="1" x14ac:dyDescent="0.2">
      <c r="A1464" s="121" t="s">
        <v>15</v>
      </c>
      <c r="B1464" s="121" t="s">
        <v>2</v>
      </c>
      <c r="C1464" s="93">
        <v>46079</v>
      </c>
      <c r="D1464" s="121" t="s">
        <v>1056</v>
      </c>
      <c r="E1464" s="125">
        <v>46079</v>
      </c>
      <c r="F1464" s="121" t="s">
        <v>4</v>
      </c>
      <c r="G1464" s="241">
        <v>190000</v>
      </c>
      <c r="H1464" s="212">
        <v>0</v>
      </c>
      <c r="I1464" s="301">
        <f t="shared" ref="I1464:I1468" si="9">SUM(G1464:H1464)</f>
        <v>190000</v>
      </c>
      <c r="J1464" s="205">
        <v>190000</v>
      </c>
      <c r="K1464" s="116" t="s">
        <v>1052</v>
      </c>
      <c r="L1464" s="116"/>
      <c r="M1464" s="116" t="s">
        <v>1057</v>
      </c>
      <c r="N1464" s="4" t="s">
        <v>1047</v>
      </c>
      <c r="O1464" s="146" t="str">
        <f>_xlfn.XLOOKUP(N1464,[1]!costcategory[Account Code],[1]!costcategory[Cost Category],"ERROR")</f>
        <v>Current Liabilities</v>
      </c>
      <c r="P1464" s="116" t="s">
        <v>333</v>
      </c>
      <c r="Q1464" s="147" t="str">
        <f>_xlfn.XLOOKUP(P1464,[1]!Table2[Department],[1]!Table2[Group],"ERROR")</f>
        <v>General &amp; Administrative</v>
      </c>
      <c r="R1464" s="116"/>
      <c r="S1464" s="116"/>
      <c r="T1464" s="116"/>
      <c r="U1464" s="121"/>
      <c r="V1464" s="116"/>
      <c r="W1464" s="4"/>
    </row>
    <row r="1465" spans="1:24" customFormat="1" hidden="1" x14ac:dyDescent="0.2">
      <c r="A1465" s="121" t="s">
        <v>15</v>
      </c>
      <c r="B1465" s="121" t="s">
        <v>2</v>
      </c>
      <c r="C1465" s="93">
        <v>46079</v>
      </c>
      <c r="D1465" s="121" t="s">
        <v>1056</v>
      </c>
      <c r="E1465" s="125">
        <v>46079</v>
      </c>
      <c r="F1465" s="121" t="s">
        <v>4</v>
      </c>
      <c r="G1465" s="241">
        <v>5.66</v>
      </c>
      <c r="H1465" s="212">
        <v>0</v>
      </c>
      <c r="I1465" s="301">
        <f t="shared" si="9"/>
        <v>5.66</v>
      </c>
      <c r="J1465" s="205">
        <v>5.66</v>
      </c>
      <c r="K1465" s="116" t="s">
        <v>1052</v>
      </c>
      <c r="L1465" s="4" t="s">
        <v>771</v>
      </c>
      <c r="M1465" s="116" t="s">
        <v>332</v>
      </c>
      <c r="N1465" s="4" t="s">
        <v>332</v>
      </c>
      <c r="O1465" s="146" t="str">
        <f>_xlfn.XLOOKUP(N1465,[1]!costcategory[Account Code],[1]!costcategory[Cost Category],"ERROR")</f>
        <v>Bank Charges</v>
      </c>
      <c r="P1465" s="116" t="s">
        <v>333</v>
      </c>
      <c r="Q1465" s="147" t="str">
        <f>_xlfn.XLOOKUP(P1465,[1]!Table2[Department],[1]!Table2[Group],"ERROR")</f>
        <v>General &amp; Administrative</v>
      </c>
      <c r="R1465" s="116"/>
      <c r="S1465" s="116"/>
      <c r="T1465" s="116"/>
      <c r="U1465" s="121"/>
      <c r="V1465" s="116"/>
      <c r="W1465" s="4"/>
    </row>
    <row r="1466" spans="1:24" customFormat="1" hidden="1" x14ac:dyDescent="0.2">
      <c r="A1466" s="121" t="s">
        <v>15</v>
      </c>
      <c r="B1466" s="121" t="s">
        <v>2</v>
      </c>
      <c r="C1466" s="93">
        <v>46049</v>
      </c>
      <c r="D1466" s="121" t="s">
        <v>1058</v>
      </c>
      <c r="E1466" s="125">
        <v>46049</v>
      </c>
      <c r="F1466" s="121" t="s">
        <v>4</v>
      </c>
      <c r="G1466" s="241">
        <v>-63000</v>
      </c>
      <c r="H1466" s="204">
        <v>0</v>
      </c>
      <c r="I1466" s="301">
        <f t="shared" si="9"/>
        <v>-63000</v>
      </c>
      <c r="J1466" s="205">
        <v>-63000</v>
      </c>
      <c r="K1466" s="116" t="s">
        <v>1052</v>
      </c>
      <c r="L1466" s="116" t="s">
        <v>1047</v>
      </c>
      <c r="M1466" s="116" t="s">
        <v>1059</v>
      </c>
      <c r="N1466" s="4" t="s">
        <v>1047</v>
      </c>
      <c r="O1466" s="146" t="str">
        <f>_xlfn.XLOOKUP(N1466,[1]!costcategory[Account Code],[1]!costcategory[Cost Category],"ERROR")</f>
        <v>Current Liabilities</v>
      </c>
      <c r="P1466" s="116" t="s">
        <v>340</v>
      </c>
      <c r="Q1466" s="147" t="str">
        <f>_xlfn.XLOOKUP(P1466,[1]!Table2[Department],[1]!Table2[Group],"ERROR")</f>
        <v>General &amp; Administrative</v>
      </c>
      <c r="R1466" s="116"/>
      <c r="S1466" s="116"/>
      <c r="T1466" s="116"/>
      <c r="U1466" s="121"/>
      <c r="V1466" s="116"/>
      <c r="W1466" s="4"/>
      <c r="X1466" s="4"/>
    </row>
    <row r="1467" spans="1:24" customFormat="1" hidden="1" x14ac:dyDescent="0.2">
      <c r="A1467" s="121" t="s">
        <v>15</v>
      </c>
      <c r="B1467" s="121" t="s">
        <v>2</v>
      </c>
      <c r="C1467" s="93">
        <v>46049</v>
      </c>
      <c r="D1467" s="121" t="s">
        <v>1058</v>
      </c>
      <c r="E1467" s="125">
        <v>46049</v>
      </c>
      <c r="F1467" s="121" t="s">
        <v>4</v>
      </c>
      <c r="G1467" s="241">
        <v>2.56</v>
      </c>
      <c r="H1467" s="204">
        <v>0</v>
      </c>
      <c r="I1467" s="301">
        <f t="shared" si="9"/>
        <v>2.56</v>
      </c>
      <c r="J1467" s="205">
        <v>2.56</v>
      </c>
      <c r="K1467" s="116" t="s">
        <v>455</v>
      </c>
      <c r="L1467" s="4" t="s">
        <v>710</v>
      </c>
      <c r="M1467" s="116" t="s">
        <v>332</v>
      </c>
      <c r="N1467" s="4" t="s">
        <v>332</v>
      </c>
      <c r="O1467" s="146" t="str">
        <f>_xlfn.XLOOKUP(N1467,[1]!costcategory[Account Code],[1]!costcategory[Cost Category],"ERROR")</f>
        <v>Bank Charges</v>
      </c>
      <c r="P1467" s="116" t="s">
        <v>333</v>
      </c>
      <c r="Q1467" s="147" t="str">
        <f>_xlfn.XLOOKUP(P1467,[1]!Table2[Department],[1]!Table2[Group],"ERROR")</f>
        <v>General &amp; Administrative</v>
      </c>
      <c r="R1467" s="116"/>
      <c r="S1467" s="116"/>
      <c r="T1467" s="116"/>
      <c r="U1467" s="121"/>
      <c r="V1467" s="116"/>
      <c r="W1467" s="4"/>
      <c r="X1467" s="4"/>
    </row>
    <row r="1468" spans="1:24" customFormat="1" hidden="1" x14ac:dyDescent="0.2">
      <c r="A1468" s="121" t="s">
        <v>15</v>
      </c>
      <c r="B1468" s="121" t="s">
        <v>2</v>
      </c>
      <c r="C1468" s="93">
        <v>46051</v>
      </c>
      <c r="D1468" s="121" t="s">
        <v>1060</v>
      </c>
      <c r="E1468" s="125">
        <v>46051</v>
      </c>
      <c r="F1468" s="121" t="s">
        <v>4</v>
      </c>
      <c r="G1468" s="241">
        <v>62990</v>
      </c>
      <c r="H1468" s="204">
        <v>0</v>
      </c>
      <c r="I1468" s="301">
        <f t="shared" si="9"/>
        <v>62990</v>
      </c>
      <c r="J1468" s="205">
        <v>62990</v>
      </c>
      <c r="K1468" s="116" t="s">
        <v>448</v>
      </c>
      <c r="L1468" s="116" t="s">
        <v>1049</v>
      </c>
      <c r="M1468" s="116" t="s">
        <v>1050</v>
      </c>
      <c r="N1468" s="4" t="s">
        <v>1049</v>
      </c>
      <c r="O1468" s="146" t="str">
        <f>_xlfn.XLOOKUP(N1468,[1]!costcategory[Account Code],[1]!costcategory[Cost Category],"ERROR")</f>
        <v>Bank</v>
      </c>
      <c r="P1468" s="116" t="s">
        <v>333</v>
      </c>
      <c r="Q1468" s="147" t="str">
        <f>_xlfn.XLOOKUP(P1468,[1]!Table2[Department],[1]!Table2[Group],"ERROR")</f>
        <v>General &amp; Administrative</v>
      </c>
      <c r="R1468" s="116"/>
      <c r="S1468" s="116"/>
      <c r="T1468" s="116"/>
      <c r="U1468" s="121"/>
      <c r="V1468" s="116"/>
      <c r="W1468" s="4"/>
      <c r="X1468" s="4"/>
    </row>
  </sheetData>
  <autoFilter ref="A1:X1468" xr:uid="{B64D5EE6-0D67-463D-998B-BE6E8419D753}">
    <filterColumn colId="16">
      <filters>
        <filter val="ERROR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2B28-1F16-4C4E-81B2-DCBD715A5B26}">
  <dimension ref="A1:V130"/>
  <sheetViews>
    <sheetView topLeftCell="A91" zoomScale="90" zoomScaleNormal="90" workbookViewId="0">
      <selection activeCell="J140" sqref="J140"/>
    </sheetView>
  </sheetViews>
  <sheetFormatPr defaultColWidth="9.140625" defaultRowHeight="12.75" x14ac:dyDescent="0.2"/>
  <cols>
    <col min="1" max="1" width="10.28515625" style="4" customWidth="1"/>
    <col min="2" max="2" width="11" style="4" bestFit="1" customWidth="1"/>
    <col min="3" max="6" width="11.42578125" style="160" customWidth="1"/>
    <col min="7" max="7" width="11" style="2" bestFit="1" customWidth="1"/>
    <col min="8" max="11" width="12.28515625" style="6" customWidth="1"/>
    <col min="12" max="12" width="30" style="6" customWidth="1"/>
    <col min="13" max="13" width="11.5703125" style="19" customWidth="1"/>
    <col min="14" max="14" width="41.85546875" style="4" customWidth="1"/>
    <col min="15" max="15" width="24.42578125" style="4" customWidth="1"/>
    <col min="16" max="16" width="15.42578125" style="4" customWidth="1"/>
    <col min="17" max="17" width="16.85546875" style="2" bestFit="1" customWidth="1"/>
    <col min="18" max="18" width="15.7109375" style="2" bestFit="1" customWidth="1"/>
    <col min="19" max="19" width="15.7109375" style="4" bestFit="1" customWidth="1"/>
    <col min="20" max="20" width="11.140625" style="2" bestFit="1" customWidth="1"/>
    <col min="21" max="21" width="29.85546875" style="4" bestFit="1" customWidth="1"/>
    <col min="22" max="16384" width="9.140625" style="4"/>
  </cols>
  <sheetData>
    <row r="1" spans="1:22" x14ac:dyDescent="0.2">
      <c r="A1" s="110" t="s">
        <v>86</v>
      </c>
      <c r="J1" s="19" t="s">
        <v>77</v>
      </c>
      <c r="K1" s="161">
        <v>0.77012503079194305</v>
      </c>
    </row>
    <row r="2" spans="1:22" s="2" customFormat="1" x14ac:dyDescent="0.2">
      <c r="A2" s="7" t="s">
        <v>87</v>
      </c>
      <c r="B2" s="7" t="s">
        <v>43</v>
      </c>
      <c r="C2" s="162" t="s">
        <v>6</v>
      </c>
      <c r="D2" s="162" t="s">
        <v>88</v>
      </c>
      <c r="E2" s="162" t="s">
        <v>5</v>
      </c>
      <c r="F2" s="163" t="s">
        <v>89</v>
      </c>
      <c r="G2" s="7" t="s">
        <v>70</v>
      </c>
      <c r="H2" s="9" t="s">
        <v>90</v>
      </c>
      <c r="I2" s="9" t="s">
        <v>91</v>
      </c>
      <c r="J2" s="9" t="s">
        <v>92</v>
      </c>
      <c r="K2" s="9" t="s">
        <v>72</v>
      </c>
      <c r="L2" s="9" t="s">
        <v>93</v>
      </c>
      <c r="M2" s="9" t="s">
        <v>94</v>
      </c>
      <c r="N2" s="7" t="s">
        <v>95</v>
      </c>
      <c r="O2" s="7" t="s">
        <v>96</v>
      </c>
      <c r="P2" s="7"/>
      <c r="Q2" s="7" t="s">
        <v>53</v>
      </c>
      <c r="R2" s="7" t="s">
        <v>64</v>
      </c>
      <c r="S2" s="7" t="s">
        <v>67</v>
      </c>
      <c r="T2" s="7" t="s">
        <v>97</v>
      </c>
      <c r="U2" s="7" t="s">
        <v>98</v>
      </c>
    </row>
    <row r="3" spans="1:22" s="165" customFormat="1" x14ac:dyDescent="0.2">
      <c r="A3" s="270" t="s">
        <v>15</v>
      </c>
      <c r="B3" s="2" t="s">
        <v>1</v>
      </c>
      <c r="C3" s="166">
        <v>46021</v>
      </c>
      <c r="D3" s="166">
        <v>46051</v>
      </c>
      <c r="E3" s="166">
        <v>46049</v>
      </c>
      <c r="F3" s="166">
        <v>46049</v>
      </c>
      <c r="G3" s="2" t="s">
        <v>4</v>
      </c>
      <c r="H3" s="271">
        <v>8978</v>
      </c>
      <c r="I3" s="271">
        <v>808.02</v>
      </c>
      <c r="J3" s="6">
        <f t="shared" ref="J3:J46" si="0">H3+I3</f>
        <v>9786.02</v>
      </c>
      <c r="K3" s="6">
        <f t="shared" ref="K3:K33" si="1">IF(G3="SGD", J3*$K$1, J3)</f>
        <v>9786.02</v>
      </c>
      <c r="L3" s="4" t="s">
        <v>99</v>
      </c>
      <c r="M3" s="2" t="s">
        <v>100</v>
      </c>
      <c r="N3" s="4" t="s">
        <v>101</v>
      </c>
      <c r="O3" s="4" t="s">
        <v>25</v>
      </c>
      <c r="P3" s="4" t="s">
        <v>102</v>
      </c>
      <c r="Q3" s="2" t="s">
        <v>10</v>
      </c>
      <c r="R3" s="2" t="s">
        <v>10</v>
      </c>
      <c r="S3" s="135" t="s">
        <v>103</v>
      </c>
      <c r="T3" s="2" t="s">
        <v>104</v>
      </c>
      <c r="U3" s="2"/>
      <c r="V3" s="4"/>
    </row>
    <row r="4" spans="1:22" s="165" customFormat="1" x14ac:dyDescent="0.2">
      <c r="A4" s="270" t="s">
        <v>15</v>
      </c>
      <c r="B4" s="2" t="s">
        <v>1</v>
      </c>
      <c r="C4" s="166">
        <v>46043</v>
      </c>
      <c r="D4" s="166">
        <v>46073</v>
      </c>
      <c r="E4" s="166">
        <v>46108</v>
      </c>
      <c r="F4" s="166">
        <v>46108</v>
      </c>
      <c r="G4" s="2" t="s">
        <v>77</v>
      </c>
      <c r="H4" s="271">
        <v>8866.67</v>
      </c>
      <c r="I4" s="271">
        <v>798</v>
      </c>
      <c r="J4" s="6">
        <f t="shared" si="0"/>
        <v>9664.67</v>
      </c>
      <c r="K4" s="6">
        <f t="shared" si="1"/>
        <v>7443.0042813439686</v>
      </c>
      <c r="L4" s="4" t="s">
        <v>105</v>
      </c>
      <c r="M4" s="2" t="s">
        <v>106</v>
      </c>
      <c r="N4" s="4" t="s">
        <v>107</v>
      </c>
      <c r="O4" s="4" t="s">
        <v>35</v>
      </c>
      <c r="P4" s="4" t="s">
        <v>108</v>
      </c>
      <c r="Q4" s="2" t="s">
        <v>10</v>
      </c>
      <c r="R4" s="2" t="s">
        <v>10</v>
      </c>
      <c r="S4" s="135" t="s">
        <v>103</v>
      </c>
      <c r="T4" s="2" t="s">
        <v>104</v>
      </c>
      <c r="U4" s="2"/>
      <c r="V4" s="4"/>
    </row>
    <row r="5" spans="1:22" s="165" customFormat="1" x14ac:dyDescent="0.2">
      <c r="A5" s="270" t="s">
        <v>15</v>
      </c>
      <c r="B5" s="2" t="s">
        <v>1</v>
      </c>
      <c r="C5" s="164">
        <v>46044</v>
      </c>
      <c r="D5" s="164">
        <v>46074</v>
      </c>
      <c r="E5" s="166">
        <v>46080</v>
      </c>
      <c r="F5" s="164">
        <v>46080</v>
      </c>
      <c r="G5" s="2" t="s">
        <v>77</v>
      </c>
      <c r="H5" s="271">
        <v>5000</v>
      </c>
      <c r="I5" s="271">
        <v>0</v>
      </c>
      <c r="J5" s="6">
        <f t="shared" si="0"/>
        <v>5000</v>
      </c>
      <c r="K5" s="6">
        <f t="shared" si="1"/>
        <v>3850.6251539597151</v>
      </c>
      <c r="L5" s="4" t="s">
        <v>109</v>
      </c>
      <c r="M5" s="2" t="s">
        <v>110</v>
      </c>
      <c r="N5" s="4" t="s">
        <v>111</v>
      </c>
      <c r="O5" s="4" t="s">
        <v>30</v>
      </c>
      <c r="P5" s="4" t="s">
        <v>112</v>
      </c>
      <c r="Q5" s="2" t="s">
        <v>10</v>
      </c>
      <c r="R5" s="2" t="s">
        <v>10</v>
      </c>
      <c r="S5" s="135" t="s">
        <v>56</v>
      </c>
      <c r="T5" s="2" t="s">
        <v>113</v>
      </c>
      <c r="U5" s="2"/>
      <c r="V5" s="4"/>
    </row>
    <row r="6" spans="1:22" s="167" customFormat="1" x14ac:dyDescent="0.2">
      <c r="A6" s="270" t="s">
        <v>15</v>
      </c>
      <c r="B6" s="2" t="s">
        <v>1</v>
      </c>
      <c r="C6" s="164">
        <v>46052</v>
      </c>
      <c r="D6" s="164">
        <v>46082</v>
      </c>
      <c r="E6" s="166">
        <v>46080</v>
      </c>
      <c r="F6" s="164">
        <v>46080</v>
      </c>
      <c r="G6" s="2" t="s">
        <v>77</v>
      </c>
      <c r="H6" s="271">
        <v>26900</v>
      </c>
      <c r="I6" s="271">
        <v>2421</v>
      </c>
      <c r="J6" s="6">
        <f t="shared" si="0"/>
        <v>29321</v>
      </c>
      <c r="K6" s="6">
        <f t="shared" si="1"/>
        <v>22580.836027850561</v>
      </c>
      <c r="L6" s="4" t="s">
        <v>109</v>
      </c>
      <c r="M6" s="2" t="s">
        <v>114</v>
      </c>
      <c r="N6" s="4" t="s">
        <v>115</v>
      </c>
      <c r="O6" s="4" t="s">
        <v>16</v>
      </c>
      <c r="P6" s="4" t="s">
        <v>116</v>
      </c>
      <c r="Q6" s="2" t="s">
        <v>10</v>
      </c>
      <c r="R6" s="2" t="s">
        <v>10</v>
      </c>
      <c r="S6" s="135" t="s">
        <v>56</v>
      </c>
      <c r="T6" s="2" t="s">
        <v>104</v>
      </c>
      <c r="U6" s="2"/>
      <c r="V6" s="4"/>
    </row>
    <row r="7" spans="1:22" s="167" customFormat="1" x14ac:dyDescent="0.2">
      <c r="A7" s="270" t="s">
        <v>15</v>
      </c>
      <c r="B7" s="2" t="s">
        <v>1</v>
      </c>
      <c r="C7" s="164">
        <v>46056</v>
      </c>
      <c r="D7" s="164">
        <v>46086</v>
      </c>
      <c r="E7" s="166">
        <v>46142</v>
      </c>
      <c r="F7" s="164">
        <v>46140</v>
      </c>
      <c r="G7" s="2" t="s">
        <v>77</v>
      </c>
      <c r="H7" s="271">
        <v>8866.67</v>
      </c>
      <c r="I7" s="271">
        <v>798</v>
      </c>
      <c r="J7" s="6">
        <f t="shared" si="0"/>
        <v>9664.67</v>
      </c>
      <c r="K7" s="6">
        <f t="shared" si="1"/>
        <v>7443.0042813439686</v>
      </c>
      <c r="L7" s="4" t="s">
        <v>105</v>
      </c>
      <c r="M7" s="2" t="s">
        <v>117</v>
      </c>
      <c r="N7" s="4" t="s">
        <v>118</v>
      </c>
      <c r="O7" s="4" t="s">
        <v>35</v>
      </c>
      <c r="P7" s="4" t="s">
        <v>119</v>
      </c>
      <c r="Q7" s="2" t="s">
        <v>10</v>
      </c>
      <c r="R7" s="2" t="s">
        <v>10</v>
      </c>
      <c r="S7" s="135" t="s">
        <v>103</v>
      </c>
      <c r="T7" s="2" t="s">
        <v>104</v>
      </c>
      <c r="U7" s="2"/>
      <c r="V7" s="4"/>
    </row>
    <row r="8" spans="1:22" s="167" customFormat="1" x14ac:dyDescent="0.2">
      <c r="A8" s="270" t="s">
        <v>15</v>
      </c>
      <c r="B8" s="2" t="s">
        <v>1</v>
      </c>
      <c r="C8" s="166">
        <v>46056</v>
      </c>
      <c r="D8" s="166">
        <v>46086</v>
      </c>
      <c r="E8" s="166">
        <v>46091</v>
      </c>
      <c r="F8" s="166">
        <v>46091</v>
      </c>
      <c r="G8" s="2" t="s">
        <v>4</v>
      </c>
      <c r="H8" s="271">
        <v>8978</v>
      </c>
      <c r="I8" s="271">
        <v>808.02</v>
      </c>
      <c r="J8" s="6">
        <f t="shared" si="0"/>
        <v>9786.02</v>
      </c>
      <c r="K8" s="6">
        <f t="shared" si="1"/>
        <v>9786.02</v>
      </c>
      <c r="L8" s="4" t="s">
        <v>99</v>
      </c>
      <c r="M8" s="2" t="s">
        <v>120</v>
      </c>
      <c r="N8" s="4" t="s">
        <v>121</v>
      </c>
      <c r="O8" s="4" t="s">
        <v>25</v>
      </c>
      <c r="P8" s="4" t="s">
        <v>122</v>
      </c>
      <c r="Q8" s="2" t="s">
        <v>10</v>
      </c>
      <c r="R8" s="2" t="s">
        <v>10</v>
      </c>
      <c r="S8" s="135" t="s">
        <v>103</v>
      </c>
      <c r="T8" s="2" t="s">
        <v>104</v>
      </c>
      <c r="U8" s="2"/>
      <c r="V8" s="4"/>
    </row>
    <row r="9" spans="1:22" s="167" customFormat="1" x14ac:dyDescent="0.2">
      <c r="A9" s="270" t="s">
        <v>15</v>
      </c>
      <c r="B9" s="2" t="s">
        <v>1</v>
      </c>
      <c r="C9" s="166">
        <v>46062</v>
      </c>
      <c r="D9" s="166">
        <v>46092</v>
      </c>
      <c r="E9" s="166">
        <v>46142</v>
      </c>
      <c r="F9" s="166">
        <v>46125</v>
      </c>
      <c r="G9" s="2" t="s">
        <v>77</v>
      </c>
      <c r="H9" s="271">
        <v>26900</v>
      </c>
      <c r="I9" s="271">
        <v>2421</v>
      </c>
      <c r="J9" s="6">
        <f t="shared" si="0"/>
        <v>29321</v>
      </c>
      <c r="K9" s="6">
        <f t="shared" si="1"/>
        <v>22580.836027850561</v>
      </c>
      <c r="L9" s="4" t="s">
        <v>109</v>
      </c>
      <c r="M9" s="2" t="s">
        <v>123</v>
      </c>
      <c r="N9" s="4" t="s">
        <v>124</v>
      </c>
      <c r="O9" s="4" t="s">
        <v>16</v>
      </c>
      <c r="P9" s="4" t="s">
        <v>125</v>
      </c>
      <c r="Q9" s="2" t="s">
        <v>10</v>
      </c>
      <c r="R9" s="2" t="s">
        <v>10</v>
      </c>
      <c r="S9" s="135" t="s">
        <v>56</v>
      </c>
      <c r="T9" s="2" t="s">
        <v>104</v>
      </c>
      <c r="U9" s="2"/>
      <c r="V9" s="4"/>
    </row>
    <row r="10" spans="1:22" s="167" customFormat="1" x14ac:dyDescent="0.2">
      <c r="A10" s="270" t="s">
        <v>15</v>
      </c>
      <c r="B10" s="2" t="s">
        <v>1</v>
      </c>
      <c r="C10" s="164">
        <v>46063</v>
      </c>
      <c r="D10" s="164">
        <v>46093</v>
      </c>
      <c r="E10" s="166">
        <v>46142</v>
      </c>
      <c r="F10" s="164">
        <v>46125</v>
      </c>
      <c r="G10" s="2" t="s">
        <v>77</v>
      </c>
      <c r="H10" s="271">
        <v>2609.69</v>
      </c>
      <c r="I10" s="271">
        <v>234.87</v>
      </c>
      <c r="J10" s="6">
        <f t="shared" si="0"/>
        <v>2844.56</v>
      </c>
      <c r="K10" s="6">
        <f t="shared" si="1"/>
        <v>2190.6668575895296</v>
      </c>
      <c r="L10" s="4" t="s">
        <v>109</v>
      </c>
      <c r="M10" s="2" t="s">
        <v>126</v>
      </c>
      <c r="N10" s="4" t="s">
        <v>127</v>
      </c>
      <c r="O10" s="4" t="s">
        <v>16</v>
      </c>
      <c r="P10" s="4"/>
      <c r="Q10" s="2" t="s">
        <v>10</v>
      </c>
      <c r="R10" s="2" t="s">
        <v>10</v>
      </c>
      <c r="S10" s="135" t="s">
        <v>56</v>
      </c>
      <c r="T10" s="2" t="s">
        <v>104</v>
      </c>
      <c r="U10" s="2"/>
      <c r="V10" s="4"/>
    </row>
    <row r="11" spans="1:22" s="167" customFormat="1" x14ac:dyDescent="0.2">
      <c r="A11" s="270" t="s">
        <v>15</v>
      </c>
      <c r="B11" s="2" t="s">
        <v>1</v>
      </c>
      <c r="C11" s="164">
        <v>46080</v>
      </c>
      <c r="D11" s="164">
        <v>46110</v>
      </c>
      <c r="E11" s="166">
        <v>46142</v>
      </c>
      <c r="F11" s="164">
        <v>46125</v>
      </c>
      <c r="G11" s="2" t="s">
        <v>77</v>
      </c>
      <c r="H11" s="271">
        <v>1948.24</v>
      </c>
      <c r="I11" s="271">
        <v>175.34</v>
      </c>
      <c r="J11" s="6">
        <f t="shared" si="0"/>
        <v>2123.58</v>
      </c>
      <c r="K11" s="6">
        <f t="shared" si="1"/>
        <v>1635.4221128891543</v>
      </c>
      <c r="L11" s="4" t="s">
        <v>109</v>
      </c>
      <c r="M11" s="2" t="s">
        <v>128</v>
      </c>
      <c r="N11" s="4" t="s">
        <v>129</v>
      </c>
      <c r="O11" s="4" t="s">
        <v>16</v>
      </c>
      <c r="P11" s="4"/>
      <c r="Q11" s="2" t="s">
        <v>10</v>
      </c>
      <c r="R11" s="2" t="s">
        <v>10</v>
      </c>
      <c r="S11" s="135" t="s">
        <v>56</v>
      </c>
      <c r="T11" s="2" t="s">
        <v>104</v>
      </c>
      <c r="U11" s="2"/>
      <c r="V11" s="4"/>
    </row>
    <row r="12" spans="1:22" s="167" customFormat="1" x14ac:dyDescent="0.2">
      <c r="A12" s="270" t="s">
        <v>15</v>
      </c>
      <c r="B12" s="2" t="s">
        <v>1</v>
      </c>
      <c r="C12" s="164">
        <v>46084</v>
      </c>
      <c r="D12" s="164">
        <v>46114</v>
      </c>
      <c r="E12" s="166">
        <v>46142</v>
      </c>
      <c r="F12" s="164">
        <v>46154</v>
      </c>
      <c r="G12" s="2" t="s">
        <v>77</v>
      </c>
      <c r="H12" s="271">
        <v>585.13</v>
      </c>
      <c r="I12" s="271">
        <v>52.66</v>
      </c>
      <c r="J12" s="6">
        <f t="shared" si="0"/>
        <v>637.79</v>
      </c>
      <c r="K12" s="6">
        <f t="shared" si="1"/>
        <v>491.17804338879336</v>
      </c>
      <c r="L12" s="4" t="s">
        <v>109</v>
      </c>
      <c r="M12" s="2" t="s">
        <v>130</v>
      </c>
      <c r="N12" s="4" t="s">
        <v>131</v>
      </c>
      <c r="O12" s="4" t="s">
        <v>16</v>
      </c>
      <c r="P12" s="4"/>
      <c r="Q12" s="2" t="s">
        <v>10</v>
      </c>
      <c r="R12" s="2" t="s">
        <v>10</v>
      </c>
      <c r="S12" s="135" t="s">
        <v>56</v>
      </c>
      <c r="T12" s="2" t="s">
        <v>104</v>
      </c>
      <c r="U12" s="2"/>
      <c r="V12" s="4"/>
    </row>
    <row r="13" spans="1:22" s="167" customFormat="1" x14ac:dyDescent="0.2">
      <c r="A13" s="270" t="s">
        <v>15</v>
      </c>
      <c r="B13" s="2" t="s">
        <v>1</v>
      </c>
      <c r="C13" s="166">
        <v>46084</v>
      </c>
      <c r="D13" s="166">
        <v>46114</v>
      </c>
      <c r="E13" s="166">
        <v>46142</v>
      </c>
      <c r="F13" s="166">
        <v>46149</v>
      </c>
      <c r="G13" s="2" t="s">
        <v>77</v>
      </c>
      <c r="H13" s="271">
        <v>8866.67</v>
      </c>
      <c r="I13" s="271">
        <v>798</v>
      </c>
      <c r="J13" s="6">
        <f t="shared" si="0"/>
        <v>9664.67</v>
      </c>
      <c r="K13" s="6">
        <f t="shared" si="1"/>
        <v>7443.0042813439686</v>
      </c>
      <c r="L13" s="4" t="s">
        <v>105</v>
      </c>
      <c r="M13" s="2" t="s">
        <v>132</v>
      </c>
      <c r="N13" s="4" t="s">
        <v>133</v>
      </c>
      <c r="O13" s="4" t="s">
        <v>35</v>
      </c>
      <c r="P13" s="4" t="s">
        <v>134</v>
      </c>
      <c r="Q13" s="2" t="s">
        <v>10</v>
      </c>
      <c r="R13" s="2" t="s">
        <v>10</v>
      </c>
      <c r="S13" s="135" t="s">
        <v>103</v>
      </c>
      <c r="T13" s="2" t="s">
        <v>104</v>
      </c>
      <c r="U13" s="2"/>
      <c r="V13" s="4"/>
    </row>
    <row r="14" spans="1:22" s="167" customFormat="1" x14ac:dyDescent="0.2">
      <c r="A14" s="270" t="s">
        <v>15</v>
      </c>
      <c r="B14" s="2" t="s">
        <v>1</v>
      </c>
      <c r="C14" s="166">
        <v>46086</v>
      </c>
      <c r="D14" s="166">
        <v>46116</v>
      </c>
      <c r="E14" s="166">
        <v>46107</v>
      </c>
      <c r="F14" s="166">
        <v>46107</v>
      </c>
      <c r="G14" s="2" t="s">
        <v>4</v>
      </c>
      <c r="H14" s="271">
        <v>8978</v>
      </c>
      <c r="I14" s="271">
        <v>808.02</v>
      </c>
      <c r="J14" s="6">
        <f t="shared" si="0"/>
        <v>9786.02</v>
      </c>
      <c r="K14" s="6">
        <f t="shared" si="1"/>
        <v>9786.02</v>
      </c>
      <c r="L14" s="4" t="s">
        <v>99</v>
      </c>
      <c r="M14" s="2" t="s">
        <v>135</v>
      </c>
      <c r="N14" s="4" t="s">
        <v>136</v>
      </c>
      <c r="O14" s="4" t="s">
        <v>25</v>
      </c>
      <c r="P14" s="4" t="s">
        <v>137</v>
      </c>
      <c r="Q14" s="2" t="s">
        <v>10</v>
      </c>
      <c r="R14" s="2" t="s">
        <v>10</v>
      </c>
      <c r="S14" s="135" t="s">
        <v>103</v>
      </c>
      <c r="T14" s="2" t="s">
        <v>104</v>
      </c>
      <c r="U14" s="2"/>
      <c r="V14" s="4"/>
    </row>
    <row r="15" spans="1:22" s="167" customFormat="1" x14ac:dyDescent="0.2">
      <c r="A15" s="270" t="s">
        <v>15</v>
      </c>
      <c r="B15" s="2" t="s">
        <v>1</v>
      </c>
      <c r="C15" s="164">
        <v>46087</v>
      </c>
      <c r="D15" s="164">
        <v>46117</v>
      </c>
      <c r="E15" s="166">
        <v>46090</v>
      </c>
      <c r="F15" s="164">
        <v>46090</v>
      </c>
      <c r="G15" s="2" t="s">
        <v>77</v>
      </c>
      <c r="H15" s="271">
        <v>2099</v>
      </c>
      <c r="I15" s="271">
        <v>188.91</v>
      </c>
      <c r="J15" s="6">
        <f t="shared" si="0"/>
        <v>2287.91</v>
      </c>
      <c r="K15" s="6">
        <f t="shared" si="1"/>
        <v>1761.9767591991942</v>
      </c>
      <c r="L15" s="4" t="s">
        <v>138</v>
      </c>
      <c r="M15" s="2" t="s">
        <v>139</v>
      </c>
      <c r="N15" s="4" t="s">
        <v>140</v>
      </c>
      <c r="O15" s="4" t="s">
        <v>21</v>
      </c>
      <c r="P15" s="4" t="s">
        <v>141</v>
      </c>
      <c r="Q15" s="2" t="s">
        <v>10</v>
      </c>
      <c r="R15" s="2" t="s">
        <v>10</v>
      </c>
      <c r="S15" s="135" t="s">
        <v>56</v>
      </c>
      <c r="T15" s="2" t="s">
        <v>104</v>
      </c>
      <c r="U15" s="2"/>
      <c r="V15" s="4"/>
    </row>
    <row r="16" spans="1:22" s="167" customFormat="1" x14ac:dyDescent="0.2">
      <c r="A16" s="270" t="s">
        <v>15</v>
      </c>
      <c r="B16" s="2" t="s">
        <v>1</v>
      </c>
      <c r="C16" s="164">
        <v>46093</v>
      </c>
      <c r="D16" s="164">
        <v>46123</v>
      </c>
      <c r="E16" s="166">
        <v>46142</v>
      </c>
      <c r="F16" s="164">
        <v>46154</v>
      </c>
      <c r="G16" s="2" t="s">
        <v>77</v>
      </c>
      <c r="H16" s="271">
        <v>46400</v>
      </c>
      <c r="I16" s="271">
        <v>4176</v>
      </c>
      <c r="J16" s="6">
        <f t="shared" si="0"/>
        <v>50576</v>
      </c>
      <c r="K16" s="6">
        <f t="shared" si="1"/>
        <v>38949.843557333312</v>
      </c>
      <c r="L16" s="4" t="s">
        <v>109</v>
      </c>
      <c r="M16" s="2" t="s">
        <v>142</v>
      </c>
      <c r="N16" s="4" t="s">
        <v>143</v>
      </c>
      <c r="O16" s="4" t="s">
        <v>16</v>
      </c>
      <c r="P16" s="4" t="s">
        <v>144</v>
      </c>
      <c r="Q16" s="2" t="s">
        <v>10</v>
      </c>
      <c r="R16" s="2" t="s">
        <v>10</v>
      </c>
      <c r="S16" s="135" t="s">
        <v>56</v>
      </c>
      <c r="T16" s="2" t="s">
        <v>104</v>
      </c>
      <c r="U16" s="2"/>
      <c r="V16" s="4"/>
    </row>
    <row r="17" spans="1:22" s="167" customFormat="1" x14ac:dyDescent="0.2">
      <c r="A17" s="270" t="s">
        <v>15</v>
      </c>
      <c r="B17" s="2" t="s">
        <v>1</v>
      </c>
      <c r="C17" s="164">
        <v>46094</v>
      </c>
      <c r="D17" s="164">
        <v>46124</v>
      </c>
      <c r="E17" s="166">
        <v>46107</v>
      </c>
      <c r="F17" s="164">
        <v>46107</v>
      </c>
      <c r="G17" s="2" t="s">
        <v>4</v>
      </c>
      <c r="H17" s="271">
        <v>1000</v>
      </c>
      <c r="I17" s="271">
        <v>90</v>
      </c>
      <c r="J17" s="6">
        <f t="shared" si="0"/>
        <v>1090</v>
      </c>
      <c r="K17" s="6">
        <f t="shared" si="1"/>
        <v>1090</v>
      </c>
      <c r="L17" s="4" t="s">
        <v>145</v>
      </c>
      <c r="M17" s="2" t="s">
        <v>146</v>
      </c>
      <c r="N17" s="4" t="s">
        <v>147</v>
      </c>
      <c r="O17" s="4" t="s">
        <v>18</v>
      </c>
      <c r="P17" s="4" t="s">
        <v>148</v>
      </c>
      <c r="Q17" s="2"/>
      <c r="R17" s="2" t="s">
        <v>10</v>
      </c>
      <c r="S17" s="135" t="s">
        <v>56</v>
      </c>
      <c r="T17" s="2" t="s">
        <v>104</v>
      </c>
      <c r="U17" s="2"/>
      <c r="V17" s="4"/>
    </row>
    <row r="18" spans="1:22" s="167" customFormat="1" x14ac:dyDescent="0.2">
      <c r="A18" s="270" t="s">
        <v>15</v>
      </c>
      <c r="B18" s="2" t="s">
        <v>1</v>
      </c>
      <c r="C18" s="166">
        <v>46111</v>
      </c>
      <c r="D18" s="166">
        <v>46141</v>
      </c>
      <c r="E18" s="166">
        <v>46173</v>
      </c>
      <c r="F18" s="166">
        <v>46139</v>
      </c>
      <c r="G18" s="2" t="s">
        <v>4</v>
      </c>
      <c r="H18" s="271">
        <v>8978</v>
      </c>
      <c r="I18" s="271">
        <v>808.02</v>
      </c>
      <c r="J18" s="6">
        <f t="shared" si="0"/>
        <v>9786.02</v>
      </c>
      <c r="K18" s="6">
        <f t="shared" si="1"/>
        <v>9786.02</v>
      </c>
      <c r="L18" s="4" t="s">
        <v>99</v>
      </c>
      <c r="M18" s="2" t="s">
        <v>149</v>
      </c>
      <c r="N18" s="4" t="s">
        <v>150</v>
      </c>
      <c r="O18" s="4" t="s">
        <v>25</v>
      </c>
      <c r="P18" s="4" t="s">
        <v>151</v>
      </c>
      <c r="Q18" s="2" t="s">
        <v>10</v>
      </c>
      <c r="R18" s="2" t="s">
        <v>10</v>
      </c>
      <c r="S18" s="135" t="s">
        <v>103</v>
      </c>
      <c r="T18" s="2" t="s">
        <v>104</v>
      </c>
      <c r="U18" s="2"/>
      <c r="V18" s="4"/>
    </row>
    <row r="19" spans="1:22" s="167" customFormat="1" x14ac:dyDescent="0.2">
      <c r="A19" s="270" t="s">
        <v>15</v>
      </c>
      <c r="B19" s="2" t="s">
        <v>1</v>
      </c>
      <c r="C19" s="166">
        <v>46113</v>
      </c>
      <c r="D19" s="166">
        <v>46143</v>
      </c>
      <c r="E19" s="166">
        <v>46173</v>
      </c>
      <c r="F19" s="164">
        <v>46170</v>
      </c>
      <c r="G19" s="2" t="s">
        <v>77</v>
      </c>
      <c r="H19" s="271">
        <v>8866.67</v>
      </c>
      <c r="I19" s="271">
        <v>798</v>
      </c>
      <c r="J19" s="6">
        <f t="shared" si="0"/>
        <v>9664.67</v>
      </c>
      <c r="K19" s="6">
        <f t="shared" si="1"/>
        <v>7443.0042813439686</v>
      </c>
      <c r="L19" s="4" t="s">
        <v>105</v>
      </c>
      <c r="M19" s="2" t="s">
        <v>152</v>
      </c>
      <c r="N19" s="4" t="s">
        <v>153</v>
      </c>
      <c r="O19" s="4" t="s">
        <v>22</v>
      </c>
      <c r="P19" s="4"/>
      <c r="Q19" s="2"/>
      <c r="R19" s="2"/>
      <c r="S19" s="135"/>
      <c r="T19" s="2"/>
      <c r="U19" s="2"/>
      <c r="V19" s="4"/>
    </row>
    <row r="20" spans="1:22" s="167" customFormat="1" x14ac:dyDescent="0.2">
      <c r="A20" s="270" t="s">
        <v>15</v>
      </c>
      <c r="B20" s="2" t="s">
        <v>1</v>
      </c>
      <c r="C20" s="164">
        <v>46113</v>
      </c>
      <c r="D20" s="164">
        <v>46143</v>
      </c>
      <c r="E20" s="166">
        <v>46173</v>
      </c>
      <c r="F20" s="164">
        <v>46170</v>
      </c>
      <c r="G20" s="2" t="s">
        <v>77</v>
      </c>
      <c r="H20" s="271">
        <v>8866.67</v>
      </c>
      <c r="I20" s="271">
        <v>798</v>
      </c>
      <c r="J20" s="6">
        <f t="shared" si="0"/>
        <v>9664.67</v>
      </c>
      <c r="K20" s="6">
        <f t="shared" si="1"/>
        <v>7443.0042813439686</v>
      </c>
      <c r="L20" s="4" t="s">
        <v>105</v>
      </c>
      <c r="M20" s="2" t="s">
        <v>154</v>
      </c>
      <c r="N20" s="4" t="s">
        <v>153</v>
      </c>
      <c r="O20" s="4" t="s">
        <v>23</v>
      </c>
      <c r="P20" s="4"/>
      <c r="Q20" s="2"/>
      <c r="R20" s="2"/>
      <c r="S20" s="135"/>
      <c r="T20" s="2"/>
      <c r="U20" s="2"/>
      <c r="V20" s="4"/>
    </row>
    <row r="21" spans="1:22" s="167" customFormat="1" x14ac:dyDescent="0.2">
      <c r="A21" s="270" t="s">
        <v>15</v>
      </c>
      <c r="B21" s="2" t="s">
        <v>1</v>
      </c>
      <c r="C21" s="164">
        <v>46113</v>
      </c>
      <c r="D21" s="164">
        <v>46143</v>
      </c>
      <c r="E21" s="166">
        <v>46173</v>
      </c>
      <c r="F21" s="164">
        <v>46188</v>
      </c>
      <c r="G21" s="2" t="s">
        <v>77</v>
      </c>
      <c r="H21" s="271">
        <v>16000</v>
      </c>
      <c r="I21" s="271">
        <v>1440</v>
      </c>
      <c r="J21" s="6">
        <f t="shared" si="0"/>
        <v>17440</v>
      </c>
      <c r="K21" s="6">
        <f t="shared" si="1"/>
        <v>13430.980537011486</v>
      </c>
      <c r="L21" s="4" t="s">
        <v>109</v>
      </c>
      <c r="M21" s="2" t="s">
        <v>155</v>
      </c>
      <c r="N21" s="4" t="s">
        <v>156</v>
      </c>
      <c r="O21" s="4" t="s">
        <v>157</v>
      </c>
      <c r="P21" s="4"/>
      <c r="Q21" s="2"/>
      <c r="R21" s="2"/>
      <c r="S21" s="4"/>
      <c r="T21" s="2"/>
      <c r="U21" s="4"/>
      <c r="V21" s="4"/>
    </row>
    <row r="22" spans="1:22" s="167" customFormat="1" x14ac:dyDescent="0.2">
      <c r="A22" s="273" t="s">
        <v>1153</v>
      </c>
      <c r="B22" s="2" t="s">
        <v>1</v>
      </c>
      <c r="C22" s="164">
        <v>46119</v>
      </c>
      <c r="D22" s="164">
        <v>46127</v>
      </c>
      <c r="E22" s="166">
        <v>46142</v>
      </c>
      <c r="F22" s="164"/>
      <c r="G22" s="2" t="s">
        <v>77</v>
      </c>
      <c r="H22" s="271">
        <v>76345</v>
      </c>
      <c r="I22" s="271">
        <v>6871.05</v>
      </c>
      <c r="J22" s="6">
        <f t="shared" si="0"/>
        <v>83216.05</v>
      </c>
      <c r="K22" s="6">
        <f t="shared" si="1"/>
        <v>64086.763068633874</v>
      </c>
      <c r="L22" s="4" t="s">
        <v>145</v>
      </c>
      <c r="M22" s="2" t="s">
        <v>158</v>
      </c>
      <c r="N22" s="4" t="s">
        <v>159</v>
      </c>
      <c r="O22" s="4" t="s">
        <v>37</v>
      </c>
      <c r="P22" s="4"/>
      <c r="Q22" s="2"/>
      <c r="R22" s="2"/>
      <c r="S22" s="4"/>
      <c r="T22" s="2"/>
      <c r="U22" s="4"/>
      <c r="V22" s="4"/>
    </row>
    <row r="23" spans="1:22" x14ac:dyDescent="0.2">
      <c r="A23" s="272" t="s">
        <v>14</v>
      </c>
      <c r="B23" s="2" t="s">
        <v>1</v>
      </c>
      <c r="C23" s="166">
        <v>46121</v>
      </c>
      <c r="D23" s="166">
        <v>46151</v>
      </c>
      <c r="E23" s="299">
        <v>46234</v>
      </c>
      <c r="F23" s="166"/>
      <c r="G23" s="2" t="s">
        <v>77</v>
      </c>
      <c r="H23" s="271">
        <v>10800</v>
      </c>
      <c r="I23" s="271">
        <v>972</v>
      </c>
      <c r="J23" s="6">
        <f t="shared" si="0"/>
        <v>11772</v>
      </c>
      <c r="K23" s="6">
        <f t="shared" si="1"/>
        <v>9065.9118624827533</v>
      </c>
      <c r="L23" s="4" t="s">
        <v>109</v>
      </c>
      <c r="M23" s="2" t="s">
        <v>160</v>
      </c>
      <c r="N23" s="4" t="s">
        <v>161</v>
      </c>
      <c r="O23" s="4" t="s">
        <v>16</v>
      </c>
    </row>
    <row r="24" spans="1:22" x14ac:dyDescent="0.2">
      <c r="A24" s="272" t="s">
        <v>14</v>
      </c>
      <c r="B24" s="2" t="s">
        <v>1</v>
      </c>
      <c r="C24" s="166">
        <v>46121</v>
      </c>
      <c r="D24" s="166">
        <v>46151</v>
      </c>
      <c r="E24" s="299">
        <v>46234</v>
      </c>
      <c r="F24" s="166"/>
      <c r="G24" s="2" t="s">
        <v>77</v>
      </c>
      <c r="H24" s="271">
        <v>46400</v>
      </c>
      <c r="I24" s="271">
        <v>4176</v>
      </c>
      <c r="J24" s="6">
        <f t="shared" si="0"/>
        <v>50576</v>
      </c>
      <c r="K24" s="6">
        <f t="shared" si="1"/>
        <v>38949.843557333312</v>
      </c>
      <c r="L24" s="4" t="s">
        <v>109</v>
      </c>
      <c r="M24" s="2" t="s">
        <v>162</v>
      </c>
      <c r="N24" s="4" t="s">
        <v>161</v>
      </c>
      <c r="O24" s="4" t="s">
        <v>16</v>
      </c>
    </row>
    <row r="25" spans="1:22" x14ac:dyDescent="0.2">
      <c r="A25" s="272" t="s">
        <v>14</v>
      </c>
      <c r="B25" s="2" t="s">
        <v>1</v>
      </c>
      <c r="C25" s="164">
        <v>46121</v>
      </c>
      <c r="D25" s="164">
        <v>46151</v>
      </c>
      <c r="E25" s="299">
        <v>46234</v>
      </c>
      <c r="F25" s="164"/>
      <c r="G25" s="2" t="s">
        <v>77</v>
      </c>
      <c r="H25" s="271">
        <v>40000</v>
      </c>
      <c r="I25" s="271">
        <v>3600</v>
      </c>
      <c r="J25" s="6">
        <f t="shared" si="0"/>
        <v>43600</v>
      </c>
      <c r="K25" s="6">
        <f t="shared" si="1"/>
        <v>33577.451342528715</v>
      </c>
      <c r="L25" s="4" t="s">
        <v>109</v>
      </c>
      <c r="M25" s="2" t="s">
        <v>163</v>
      </c>
      <c r="N25" s="4" t="s">
        <v>164</v>
      </c>
      <c r="O25" s="4" t="s">
        <v>16</v>
      </c>
    </row>
    <row r="26" spans="1:22" x14ac:dyDescent="0.2">
      <c r="A26" s="270" t="s">
        <v>15</v>
      </c>
      <c r="B26" s="2" t="s">
        <v>1</v>
      </c>
      <c r="C26" s="164">
        <v>46122</v>
      </c>
      <c r="D26" s="164">
        <v>46152</v>
      </c>
      <c r="E26" s="166">
        <v>46173</v>
      </c>
      <c r="F26" s="164">
        <v>46153</v>
      </c>
      <c r="G26" s="2" t="s">
        <v>77</v>
      </c>
      <c r="H26" s="271">
        <v>99</v>
      </c>
      <c r="I26" s="271">
        <v>8.91</v>
      </c>
      <c r="J26" s="6">
        <f t="shared" si="0"/>
        <v>107.91</v>
      </c>
      <c r="K26" s="6">
        <f t="shared" si="1"/>
        <v>83.104192072758579</v>
      </c>
      <c r="L26" s="4" t="s">
        <v>138</v>
      </c>
      <c r="M26" s="2" t="s">
        <v>165</v>
      </c>
      <c r="N26" s="4" t="s">
        <v>166</v>
      </c>
      <c r="O26" s="4" t="s">
        <v>21</v>
      </c>
      <c r="P26" s="4" t="s">
        <v>167</v>
      </c>
      <c r="Q26" s="2" t="s">
        <v>10</v>
      </c>
      <c r="R26" s="2" t="s">
        <v>10</v>
      </c>
      <c r="S26" s="135" t="s">
        <v>56</v>
      </c>
      <c r="T26" s="2" t="s">
        <v>104</v>
      </c>
      <c r="U26" s="2"/>
    </row>
    <row r="27" spans="1:22" x14ac:dyDescent="0.2">
      <c r="A27" s="270" t="s">
        <v>15</v>
      </c>
      <c r="B27" s="2" t="s">
        <v>1</v>
      </c>
      <c r="C27" s="164">
        <v>46126</v>
      </c>
      <c r="D27" s="164">
        <v>46156</v>
      </c>
      <c r="E27" s="166">
        <v>46173</v>
      </c>
      <c r="F27" s="164">
        <v>46155</v>
      </c>
      <c r="G27" s="2" t="s">
        <v>4</v>
      </c>
      <c r="H27" s="271">
        <v>1000</v>
      </c>
      <c r="I27" s="271">
        <v>90</v>
      </c>
      <c r="J27" s="6">
        <f t="shared" si="0"/>
        <v>1090</v>
      </c>
      <c r="K27" s="6">
        <f t="shared" si="1"/>
        <v>1090</v>
      </c>
      <c r="L27" s="4" t="s">
        <v>145</v>
      </c>
      <c r="M27" s="2" t="s">
        <v>168</v>
      </c>
      <c r="N27" s="4" t="s">
        <v>169</v>
      </c>
      <c r="O27" s="4" t="s">
        <v>18</v>
      </c>
      <c r="P27" s="4" t="s">
        <v>170</v>
      </c>
      <c r="Q27" s="2" t="s">
        <v>10</v>
      </c>
      <c r="R27" s="2" t="s">
        <v>10</v>
      </c>
      <c r="S27" s="135"/>
      <c r="T27" s="2" t="s">
        <v>104</v>
      </c>
      <c r="U27" s="2"/>
    </row>
    <row r="28" spans="1:22" x14ac:dyDescent="0.2">
      <c r="A28" s="270" t="s">
        <v>15</v>
      </c>
      <c r="B28" s="2" t="s">
        <v>1</v>
      </c>
      <c r="C28" s="166">
        <v>46133</v>
      </c>
      <c r="D28" s="166">
        <v>46163</v>
      </c>
      <c r="E28" s="166">
        <v>46173</v>
      </c>
      <c r="F28" s="166">
        <v>46199</v>
      </c>
      <c r="G28" s="2" t="s">
        <v>77</v>
      </c>
      <c r="H28" s="271">
        <v>8866.67</v>
      </c>
      <c r="I28" s="271">
        <v>798.00029999999992</v>
      </c>
      <c r="J28" s="6">
        <f t="shared" si="0"/>
        <v>9664.6702999999998</v>
      </c>
      <c r="K28" s="6">
        <f t="shared" si="1"/>
        <v>7443.0045123814771</v>
      </c>
      <c r="L28" s="4" t="s">
        <v>105</v>
      </c>
      <c r="M28" s="2" t="s">
        <v>171</v>
      </c>
      <c r="N28" s="4" t="s">
        <v>172</v>
      </c>
      <c r="O28" s="4" t="s">
        <v>22</v>
      </c>
      <c r="P28" s="4" t="s">
        <v>173</v>
      </c>
      <c r="Q28" s="2" t="s">
        <v>10</v>
      </c>
      <c r="R28" s="2" t="s">
        <v>10</v>
      </c>
      <c r="T28" s="2" t="s">
        <v>104</v>
      </c>
    </row>
    <row r="29" spans="1:22" x14ac:dyDescent="0.2">
      <c r="A29" s="270" t="s">
        <v>15</v>
      </c>
      <c r="B29" s="2" t="s">
        <v>1</v>
      </c>
      <c r="C29" s="164">
        <v>46133</v>
      </c>
      <c r="D29" s="164">
        <v>46163</v>
      </c>
      <c r="E29" s="166">
        <v>46173</v>
      </c>
      <c r="F29" s="164">
        <v>46170</v>
      </c>
      <c r="G29" s="2" t="s">
        <v>77</v>
      </c>
      <c r="H29" s="6">
        <v>8866.67</v>
      </c>
      <c r="I29" s="6">
        <v>798.00029999999992</v>
      </c>
      <c r="J29" s="6">
        <f t="shared" si="0"/>
        <v>9664.6702999999998</v>
      </c>
      <c r="K29" s="6">
        <f t="shared" si="1"/>
        <v>7443.0045123814771</v>
      </c>
      <c r="L29" s="4" t="s">
        <v>105</v>
      </c>
      <c r="M29" s="2" t="s">
        <v>174</v>
      </c>
      <c r="N29" s="4" t="s">
        <v>175</v>
      </c>
      <c r="O29" s="4" t="s">
        <v>23</v>
      </c>
      <c r="P29" s="4" t="s">
        <v>176</v>
      </c>
      <c r="Q29" s="2" t="s">
        <v>10</v>
      </c>
      <c r="R29" s="2" t="s">
        <v>10</v>
      </c>
      <c r="S29" s="135"/>
      <c r="T29" s="2" t="s">
        <v>104</v>
      </c>
      <c r="U29" s="2"/>
    </row>
    <row r="30" spans="1:22" x14ac:dyDescent="0.2">
      <c r="A30" s="273" t="s">
        <v>8</v>
      </c>
      <c r="B30" s="2" t="s">
        <v>1</v>
      </c>
      <c r="C30" s="166">
        <v>46133</v>
      </c>
      <c r="D30" s="166">
        <v>46194</v>
      </c>
      <c r="E30" s="166">
        <v>46265</v>
      </c>
      <c r="F30" s="166"/>
      <c r="G30" s="2" t="s">
        <v>4</v>
      </c>
      <c r="H30" s="271">
        <v>56000</v>
      </c>
      <c r="I30" s="271">
        <v>5040</v>
      </c>
      <c r="J30" s="6">
        <f t="shared" si="0"/>
        <v>61040</v>
      </c>
      <c r="K30" s="6">
        <f t="shared" si="1"/>
        <v>61040</v>
      </c>
      <c r="L30" s="4" t="s">
        <v>177</v>
      </c>
      <c r="M30" s="2" t="s">
        <v>178</v>
      </c>
      <c r="N30" s="4" t="s">
        <v>179</v>
      </c>
      <c r="O30" s="4" t="s">
        <v>180</v>
      </c>
      <c r="P30" s="4" t="s">
        <v>181</v>
      </c>
      <c r="Q30" s="2" t="s">
        <v>10</v>
      </c>
      <c r="R30" s="2" t="s">
        <v>10</v>
      </c>
      <c r="T30" s="2" t="s">
        <v>104</v>
      </c>
    </row>
    <row r="31" spans="1:22" x14ac:dyDescent="0.2">
      <c r="A31" s="272" t="s">
        <v>14</v>
      </c>
      <c r="B31" s="2" t="s">
        <v>1</v>
      </c>
      <c r="C31" s="164">
        <v>46140</v>
      </c>
      <c r="D31" s="164">
        <v>46170</v>
      </c>
      <c r="E31" s="299">
        <v>46234</v>
      </c>
      <c r="F31" s="164"/>
      <c r="G31" s="2" t="s">
        <v>77</v>
      </c>
      <c r="H31" s="6">
        <v>2705.65</v>
      </c>
      <c r="I31" s="6">
        <v>243.5085</v>
      </c>
      <c r="J31" s="6">
        <f t="shared" si="0"/>
        <v>2949.1585</v>
      </c>
      <c r="K31" s="6">
        <f t="shared" si="1"/>
        <v>2271.2207806228207</v>
      </c>
      <c r="L31" s="4" t="s">
        <v>109</v>
      </c>
      <c r="M31" s="2" t="s">
        <v>182</v>
      </c>
      <c r="N31" s="4" t="s">
        <v>183</v>
      </c>
      <c r="O31" s="4" t="s">
        <v>16</v>
      </c>
      <c r="P31" s="4" t="s">
        <v>184</v>
      </c>
      <c r="Q31" s="2" t="s">
        <v>10</v>
      </c>
      <c r="R31" s="2" t="s">
        <v>10</v>
      </c>
      <c r="T31" s="2" t="s">
        <v>104</v>
      </c>
    </row>
    <row r="32" spans="1:22" x14ac:dyDescent="0.2">
      <c r="A32" s="270" t="s">
        <v>15</v>
      </c>
      <c r="B32" s="2" t="s">
        <v>1</v>
      </c>
      <c r="C32" s="164">
        <v>46141</v>
      </c>
      <c r="D32" s="164">
        <v>46142</v>
      </c>
      <c r="E32" s="166">
        <v>46172</v>
      </c>
      <c r="F32" s="164">
        <v>46150</v>
      </c>
      <c r="G32" s="2" t="s">
        <v>4</v>
      </c>
      <c r="H32" s="6">
        <v>59000</v>
      </c>
      <c r="I32" s="6">
        <v>0</v>
      </c>
      <c r="J32" s="6">
        <f t="shared" si="0"/>
        <v>59000</v>
      </c>
      <c r="K32" s="6">
        <f t="shared" si="1"/>
        <v>59000</v>
      </c>
      <c r="L32" s="4" t="s">
        <v>185</v>
      </c>
      <c r="M32" s="2" t="s">
        <v>186</v>
      </c>
      <c r="N32" s="4" t="s">
        <v>187</v>
      </c>
      <c r="O32" s="4" t="s">
        <v>38</v>
      </c>
      <c r="Q32" s="2" t="s">
        <v>10</v>
      </c>
      <c r="R32" s="2" t="s">
        <v>10</v>
      </c>
      <c r="S32" s="135"/>
      <c r="U32" s="2"/>
    </row>
    <row r="33" spans="1:21" x14ac:dyDescent="0.2">
      <c r="A33" s="270" t="s">
        <v>15</v>
      </c>
      <c r="B33" s="2" t="s">
        <v>1</v>
      </c>
      <c r="C33" s="166">
        <v>46147</v>
      </c>
      <c r="D33" s="166">
        <v>46177</v>
      </c>
      <c r="E33" s="166">
        <v>46203</v>
      </c>
      <c r="F33" s="166">
        <v>46168</v>
      </c>
      <c r="G33" s="2" t="s">
        <v>4</v>
      </c>
      <c r="H33" s="6">
        <v>8978</v>
      </c>
      <c r="I33" s="6">
        <v>808.02</v>
      </c>
      <c r="J33" s="6">
        <f t="shared" si="0"/>
        <v>9786.02</v>
      </c>
      <c r="K33" s="6">
        <f t="shared" si="1"/>
        <v>9786.02</v>
      </c>
      <c r="L33" s="4" t="s">
        <v>99</v>
      </c>
      <c r="M33" s="2" t="s">
        <v>188</v>
      </c>
      <c r="N33" s="4" t="s">
        <v>189</v>
      </c>
      <c r="O33" s="4" t="s">
        <v>25</v>
      </c>
      <c r="P33" s="4" t="s">
        <v>190</v>
      </c>
      <c r="Q33" s="2" t="s">
        <v>10</v>
      </c>
      <c r="R33" s="2" t="s">
        <v>10</v>
      </c>
      <c r="S33" s="135"/>
      <c r="U33" s="2"/>
    </row>
    <row r="34" spans="1:21" x14ac:dyDescent="0.2">
      <c r="A34" s="270" t="s">
        <v>15</v>
      </c>
      <c r="B34" s="2" t="s">
        <v>1</v>
      </c>
      <c r="C34" s="166">
        <v>46150</v>
      </c>
      <c r="D34" s="166">
        <v>46180</v>
      </c>
      <c r="E34" s="166">
        <v>46203</v>
      </c>
      <c r="F34" s="166">
        <v>46176</v>
      </c>
      <c r="G34" s="2" t="s">
        <v>79</v>
      </c>
      <c r="H34" s="6">
        <v>1575966.33</v>
      </c>
      <c r="I34" s="6">
        <v>0</v>
      </c>
      <c r="J34" s="6">
        <f t="shared" si="0"/>
        <v>1575966.33</v>
      </c>
      <c r="K34" s="6">
        <v>232853.75315649001</v>
      </c>
      <c r="L34" s="4" t="s">
        <v>191</v>
      </c>
      <c r="M34" s="2" t="s">
        <v>192</v>
      </c>
      <c r="N34" s="4" t="s">
        <v>193</v>
      </c>
      <c r="O34" s="4" t="s">
        <v>194</v>
      </c>
      <c r="Q34" s="2" t="s">
        <v>10</v>
      </c>
      <c r="R34" s="2" t="s">
        <v>10</v>
      </c>
    </row>
    <row r="35" spans="1:21" x14ac:dyDescent="0.2">
      <c r="A35" s="2" t="s">
        <v>8</v>
      </c>
      <c r="B35" s="2" t="s">
        <v>1</v>
      </c>
      <c r="C35" s="166">
        <v>46157</v>
      </c>
      <c r="D35" s="166">
        <v>46187</v>
      </c>
      <c r="E35" s="166">
        <v>46234</v>
      </c>
      <c r="F35" s="166"/>
      <c r="G35" s="2" t="s">
        <v>77</v>
      </c>
      <c r="H35" s="6">
        <v>18800</v>
      </c>
      <c r="I35" s="6">
        <v>1692</v>
      </c>
      <c r="J35" s="6">
        <f t="shared" si="0"/>
        <v>20492</v>
      </c>
      <c r="K35" s="6">
        <f t="shared" ref="K35:K46" si="2">IF(G35="SGD", J35*$K$1, J35)</f>
        <v>15781.402130988497</v>
      </c>
      <c r="L35" s="4" t="s">
        <v>109</v>
      </c>
      <c r="M35" s="2" t="s">
        <v>195</v>
      </c>
      <c r="N35" s="4" t="s">
        <v>196</v>
      </c>
      <c r="O35" s="4" t="s">
        <v>16</v>
      </c>
      <c r="P35" s="4" t="s">
        <v>197</v>
      </c>
      <c r="Q35" s="2" t="s">
        <v>10</v>
      </c>
      <c r="R35" s="2" t="s">
        <v>10</v>
      </c>
      <c r="T35" s="2" t="s">
        <v>104</v>
      </c>
    </row>
    <row r="36" spans="1:21" x14ac:dyDescent="0.2">
      <c r="A36" s="2" t="s">
        <v>8</v>
      </c>
      <c r="B36" s="2" t="s">
        <v>1</v>
      </c>
      <c r="C36" s="166">
        <v>46157</v>
      </c>
      <c r="D36" s="166">
        <v>46187</v>
      </c>
      <c r="E36" s="166">
        <v>46234</v>
      </c>
      <c r="F36" s="166"/>
      <c r="G36" s="2" t="s">
        <v>77</v>
      </c>
      <c r="H36" s="6">
        <v>8100</v>
      </c>
      <c r="I36" s="6">
        <v>729</v>
      </c>
      <c r="J36" s="6">
        <f t="shared" si="0"/>
        <v>8829</v>
      </c>
      <c r="K36" s="6">
        <f t="shared" si="2"/>
        <v>6799.433896862065</v>
      </c>
      <c r="L36" s="4" t="s">
        <v>109</v>
      </c>
      <c r="M36" s="2" t="s">
        <v>198</v>
      </c>
      <c r="N36" s="4" t="s">
        <v>199</v>
      </c>
      <c r="O36" s="4" t="s">
        <v>16</v>
      </c>
      <c r="P36" s="4" t="s">
        <v>200</v>
      </c>
      <c r="Q36" s="2" t="s">
        <v>10</v>
      </c>
      <c r="R36" s="2" t="s">
        <v>10</v>
      </c>
      <c r="T36" s="2" t="s">
        <v>104</v>
      </c>
    </row>
    <row r="37" spans="1:21" x14ac:dyDescent="0.2">
      <c r="A37" s="2" t="s">
        <v>8</v>
      </c>
      <c r="B37" s="2" t="s">
        <v>1</v>
      </c>
      <c r="C37" s="166">
        <v>46157</v>
      </c>
      <c r="D37" s="166">
        <v>46187</v>
      </c>
      <c r="E37" s="166">
        <v>46234</v>
      </c>
      <c r="F37" s="166"/>
      <c r="G37" s="2" t="s">
        <v>77</v>
      </c>
      <c r="H37" s="6">
        <v>18800</v>
      </c>
      <c r="I37" s="6">
        <v>1692</v>
      </c>
      <c r="J37" s="6">
        <f t="shared" si="0"/>
        <v>20492</v>
      </c>
      <c r="K37" s="6">
        <f t="shared" si="2"/>
        <v>15781.402130988497</v>
      </c>
      <c r="L37" s="4" t="s">
        <v>109</v>
      </c>
      <c r="M37" s="2" t="s">
        <v>201</v>
      </c>
      <c r="N37" s="4" t="s">
        <v>199</v>
      </c>
      <c r="O37" s="4" t="s">
        <v>16</v>
      </c>
      <c r="P37" s="4" t="s">
        <v>197</v>
      </c>
      <c r="Q37" s="2" t="s">
        <v>10</v>
      </c>
      <c r="R37" s="2" t="s">
        <v>10</v>
      </c>
      <c r="T37" s="2" t="s">
        <v>104</v>
      </c>
    </row>
    <row r="38" spans="1:21" x14ac:dyDescent="0.2">
      <c r="A38" s="274" t="s">
        <v>28</v>
      </c>
      <c r="B38" s="2" t="s">
        <v>1</v>
      </c>
      <c r="C38" s="164">
        <v>46157</v>
      </c>
      <c r="D38" s="164">
        <v>46218</v>
      </c>
      <c r="E38" s="166">
        <v>46233</v>
      </c>
      <c r="F38" s="164"/>
      <c r="G38" s="2" t="s">
        <v>4</v>
      </c>
      <c r="H38" s="271"/>
      <c r="I38" s="271"/>
      <c r="J38" s="6">
        <f t="shared" si="0"/>
        <v>0</v>
      </c>
      <c r="K38" s="6">
        <f t="shared" si="2"/>
        <v>0</v>
      </c>
      <c r="L38" s="4" t="s">
        <v>177</v>
      </c>
      <c r="M38" s="2" t="s">
        <v>221</v>
      </c>
      <c r="N38" s="4" t="s">
        <v>222</v>
      </c>
      <c r="O38" s="4" t="s">
        <v>223</v>
      </c>
      <c r="P38" s="4" t="s">
        <v>224</v>
      </c>
    </row>
    <row r="39" spans="1:21" x14ac:dyDescent="0.2">
      <c r="A39" s="274" t="s">
        <v>28</v>
      </c>
      <c r="B39" s="2" t="s">
        <v>1</v>
      </c>
      <c r="C39" s="164">
        <v>46157</v>
      </c>
      <c r="D39" s="164">
        <v>46218</v>
      </c>
      <c r="E39" s="166">
        <v>46233</v>
      </c>
      <c r="F39" s="164"/>
      <c r="G39" s="2" t="s">
        <v>4</v>
      </c>
      <c r="H39" s="271"/>
      <c r="I39" s="271"/>
      <c r="J39" s="6">
        <f t="shared" si="0"/>
        <v>0</v>
      </c>
      <c r="K39" s="6">
        <f t="shared" si="2"/>
        <v>0</v>
      </c>
      <c r="L39" s="4" t="s">
        <v>177</v>
      </c>
      <c r="M39" s="2" t="s">
        <v>221</v>
      </c>
      <c r="N39" s="4" t="s">
        <v>225</v>
      </c>
      <c r="O39" s="4" t="s">
        <v>223</v>
      </c>
      <c r="P39" s="4" t="s">
        <v>226</v>
      </c>
    </row>
    <row r="40" spans="1:21" x14ac:dyDescent="0.2">
      <c r="A40" s="2" t="s">
        <v>15</v>
      </c>
      <c r="B40" s="2" t="s">
        <v>1</v>
      </c>
      <c r="C40" s="164">
        <v>46164</v>
      </c>
      <c r="D40" s="164">
        <v>46194</v>
      </c>
      <c r="E40" s="166">
        <v>46203</v>
      </c>
      <c r="F40" s="164">
        <v>46202</v>
      </c>
      <c r="G40" s="2" t="s">
        <v>77</v>
      </c>
      <c r="H40" s="271">
        <v>2599</v>
      </c>
      <c r="I40" s="271">
        <v>233.91</v>
      </c>
      <c r="J40" s="16">
        <f t="shared" si="0"/>
        <v>2832.91</v>
      </c>
      <c r="K40" s="16">
        <f t="shared" si="2"/>
        <v>2181.6949009808031</v>
      </c>
      <c r="L40" s="4" t="s">
        <v>138</v>
      </c>
      <c r="M40" s="2" t="s">
        <v>202</v>
      </c>
      <c r="N40" s="4" t="s">
        <v>203</v>
      </c>
      <c r="O40" s="4" t="s">
        <v>21</v>
      </c>
      <c r="P40" s="4" t="s">
        <v>204</v>
      </c>
      <c r="Q40" s="2" t="s">
        <v>10</v>
      </c>
      <c r="R40" s="2" t="s">
        <v>10</v>
      </c>
      <c r="S40" s="4" t="s">
        <v>56</v>
      </c>
      <c r="T40" s="2" t="s">
        <v>104</v>
      </c>
    </row>
    <row r="41" spans="1:21" x14ac:dyDescent="0.2">
      <c r="A41" s="2" t="s">
        <v>15</v>
      </c>
      <c r="B41" s="2" t="s">
        <v>1</v>
      </c>
      <c r="C41" s="164">
        <v>46164</v>
      </c>
      <c r="D41" s="164">
        <v>46194</v>
      </c>
      <c r="E41" s="166">
        <v>46203</v>
      </c>
      <c r="F41" s="166">
        <v>46199</v>
      </c>
      <c r="G41" s="2" t="s">
        <v>77</v>
      </c>
      <c r="H41" s="271">
        <v>8866.67</v>
      </c>
      <c r="I41" s="271">
        <v>798</v>
      </c>
      <c r="J41" s="16">
        <f t="shared" si="0"/>
        <v>9664.67</v>
      </c>
      <c r="K41" s="16">
        <f t="shared" si="2"/>
        <v>7443.0042813439686</v>
      </c>
      <c r="L41" s="4" t="s">
        <v>105</v>
      </c>
      <c r="M41" s="2" t="s">
        <v>205</v>
      </c>
      <c r="N41" s="4" t="s">
        <v>206</v>
      </c>
      <c r="O41" s="4" t="s">
        <v>22</v>
      </c>
      <c r="P41" s="4" t="s">
        <v>207</v>
      </c>
      <c r="Q41" s="2" t="s">
        <v>10</v>
      </c>
      <c r="R41" s="2" t="s">
        <v>10</v>
      </c>
      <c r="S41" s="4" t="s">
        <v>103</v>
      </c>
      <c r="T41" s="2" t="s">
        <v>104</v>
      </c>
    </row>
    <row r="42" spans="1:21" x14ac:dyDescent="0.2">
      <c r="A42" s="2" t="s">
        <v>15</v>
      </c>
      <c r="B42" s="2" t="s">
        <v>1</v>
      </c>
      <c r="C42" s="164">
        <v>46164</v>
      </c>
      <c r="D42" s="164">
        <v>46194</v>
      </c>
      <c r="E42" s="166">
        <v>46203</v>
      </c>
      <c r="F42" s="166">
        <v>46199</v>
      </c>
      <c r="G42" s="2" t="s">
        <v>77</v>
      </c>
      <c r="H42" s="271">
        <v>8866.67</v>
      </c>
      <c r="I42" s="271">
        <v>798</v>
      </c>
      <c r="J42" s="16">
        <f t="shared" si="0"/>
        <v>9664.67</v>
      </c>
      <c r="K42" s="16">
        <f t="shared" si="2"/>
        <v>7443.0042813439686</v>
      </c>
      <c r="L42" s="4" t="s">
        <v>105</v>
      </c>
      <c r="M42" s="2" t="s">
        <v>208</v>
      </c>
      <c r="N42" s="4" t="s">
        <v>206</v>
      </c>
      <c r="O42" s="4" t="s">
        <v>23</v>
      </c>
      <c r="P42" s="4" t="s">
        <v>207</v>
      </c>
      <c r="Q42" s="2" t="s">
        <v>10</v>
      </c>
      <c r="R42" s="2" t="s">
        <v>10</v>
      </c>
      <c r="S42" s="4" t="s">
        <v>103</v>
      </c>
      <c r="T42" s="2" t="s">
        <v>104</v>
      </c>
    </row>
    <row r="43" spans="1:21" x14ac:dyDescent="0.2">
      <c r="A43" s="2" t="s">
        <v>8</v>
      </c>
      <c r="B43" s="2" t="s">
        <v>1</v>
      </c>
      <c r="C43" s="164">
        <v>46164</v>
      </c>
      <c r="D43" s="164">
        <v>46194</v>
      </c>
      <c r="E43" s="166">
        <v>46234</v>
      </c>
      <c r="F43" s="164"/>
      <c r="G43" s="2" t="s">
        <v>4</v>
      </c>
      <c r="H43" s="271">
        <v>1000</v>
      </c>
      <c r="I43" s="271">
        <v>90</v>
      </c>
      <c r="J43" s="6">
        <f t="shared" si="0"/>
        <v>1090</v>
      </c>
      <c r="K43" s="6">
        <f t="shared" si="2"/>
        <v>1090</v>
      </c>
      <c r="L43" s="4" t="s">
        <v>145</v>
      </c>
      <c r="M43" s="2" t="s">
        <v>209</v>
      </c>
      <c r="N43" s="4" t="s">
        <v>210</v>
      </c>
      <c r="O43" s="4" t="s">
        <v>18</v>
      </c>
      <c r="P43" s="4" t="s">
        <v>211</v>
      </c>
      <c r="R43" s="2" t="s">
        <v>10</v>
      </c>
      <c r="S43" s="4" t="s">
        <v>56</v>
      </c>
      <c r="T43" s="2" t="s">
        <v>104</v>
      </c>
    </row>
    <row r="44" spans="1:21" x14ac:dyDescent="0.2">
      <c r="A44" s="2" t="s">
        <v>8</v>
      </c>
      <c r="B44" s="2" t="s">
        <v>1</v>
      </c>
      <c r="C44" s="164">
        <v>46170</v>
      </c>
      <c r="D44" s="164">
        <v>46200</v>
      </c>
      <c r="E44" s="166">
        <v>46234</v>
      </c>
      <c r="F44" s="164"/>
      <c r="G44" s="2" t="s">
        <v>4</v>
      </c>
      <c r="H44" s="271">
        <v>8978</v>
      </c>
      <c r="I44" s="271">
        <v>808.02</v>
      </c>
      <c r="J44" s="6">
        <f t="shared" si="0"/>
        <v>9786.02</v>
      </c>
      <c r="K44" s="6">
        <f t="shared" si="2"/>
        <v>9786.02</v>
      </c>
      <c r="L44" s="4" t="s">
        <v>99</v>
      </c>
      <c r="M44" s="2" t="s">
        <v>212</v>
      </c>
      <c r="N44" s="4" t="s">
        <v>213</v>
      </c>
      <c r="O44" s="4" t="s">
        <v>25</v>
      </c>
      <c r="P44" s="4" t="s">
        <v>214</v>
      </c>
      <c r="Q44" s="2" t="s">
        <v>10</v>
      </c>
      <c r="R44" s="2" t="s">
        <v>10</v>
      </c>
      <c r="S44" s="4" t="s">
        <v>103</v>
      </c>
      <c r="T44" s="2" t="s">
        <v>104</v>
      </c>
    </row>
    <row r="45" spans="1:21" x14ac:dyDescent="0.2">
      <c r="A45" s="2" t="s">
        <v>8</v>
      </c>
      <c r="B45" s="2" t="s">
        <v>1</v>
      </c>
      <c r="C45" s="164">
        <v>46176</v>
      </c>
      <c r="D45" s="164">
        <v>46206</v>
      </c>
      <c r="E45" s="166">
        <v>46234</v>
      </c>
      <c r="F45" s="164"/>
      <c r="G45" s="2" t="s">
        <v>77</v>
      </c>
      <c r="H45" s="271">
        <v>569.41</v>
      </c>
      <c r="I45" s="271">
        <v>51.25</v>
      </c>
      <c r="J45" s="271">
        <f t="shared" si="0"/>
        <v>620.66</v>
      </c>
      <c r="K45" s="6">
        <f t="shared" si="2"/>
        <v>477.98580161132736</v>
      </c>
      <c r="L45" s="4" t="s">
        <v>109</v>
      </c>
      <c r="M45" s="2" t="s">
        <v>215</v>
      </c>
      <c r="N45" s="4" t="s">
        <v>216</v>
      </c>
      <c r="O45" s="4" t="s">
        <v>16</v>
      </c>
      <c r="P45" s="4" t="s">
        <v>217</v>
      </c>
      <c r="Q45" s="2" t="s">
        <v>10</v>
      </c>
      <c r="R45" s="2" t="s">
        <v>10</v>
      </c>
      <c r="T45" s="2" t="s">
        <v>104</v>
      </c>
    </row>
    <row r="46" spans="1:21" x14ac:dyDescent="0.2">
      <c r="A46" s="2" t="s">
        <v>8</v>
      </c>
      <c r="B46" s="2" t="s">
        <v>1</v>
      </c>
      <c r="C46" s="164">
        <v>46176</v>
      </c>
      <c r="D46" s="164">
        <v>46206</v>
      </c>
      <c r="E46" s="166">
        <v>46234</v>
      </c>
      <c r="F46" s="164"/>
      <c r="G46" s="2" t="s">
        <v>77</v>
      </c>
      <c r="H46" s="271">
        <v>2093.66</v>
      </c>
      <c r="I46" s="271">
        <v>188.43</v>
      </c>
      <c r="J46" s="271">
        <f t="shared" si="0"/>
        <v>2282.0899999999997</v>
      </c>
      <c r="K46" s="6">
        <f t="shared" si="2"/>
        <v>1757.494631519985</v>
      </c>
      <c r="L46" s="4" t="s">
        <v>109</v>
      </c>
      <c r="M46" s="2" t="s">
        <v>218</v>
      </c>
      <c r="N46" s="4" t="s">
        <v>219</v>
      </c>
      <c r="O46" s="4" t="s">
        <v>16</v>
      </c>
      <c r="P46" s="4" t="s">
        <v>220</v>
      </c>
      <c r="Q46" s="2" t="s">
        <v>10</v>
      </c>
      <c r="R46" s="2" t="s">
        <v>10</v>
      </c>
      <c r="T46" s="2" t="s">
        <v>104</v>
      </c>
    </row>
    <row r="47" spans="1:21" x14ac:dyDescent="0.2">
      <c r="A47" s="2" t="s">
        <v>1620</v>
      </c>
      <c r="B47" s="2" t="s">
        <v>1</v>
      </c>
      <c r="C47" s="164">
        <v>46191</v>
      </c>
      <c r="D47" s="164">
        <v>46221</v>
      </c>
      <c r="E47" s="166">
        <v>46234</v>
      </c>
      <c r="F47" s="164"/>
      <c r="G47" s="2" t="s">
        <v>77</v>
      </c>
      <c r="H47" s="271">
        <v>8866.67</v>
      </c>
      <c r="I47" s="271">
        <v>798</v>
      </c>
      <c r="J47" s="271">
        <v>9664.67</v>
      </c>
      <c r="K47" s="271">
        <v>7443.0042813439686</v>
      </c>
      <c r="L47" s="4" t="s">
        <v>105</v>
      </c>
      <c r="M47" s="2" t="s">
        <v>1621</v>
      </c>
      <c r="N47" s="4" t="s">
        <v>254</v>
      </c>
      <c r="O47" s="4" t="s">
        <v>22</v>
      </c>
      <c r="P47" s="4" t="s">
        <v>255</v>
      </c>
      <c r="Q47" s="2" t="s">
        <v>10</v>
      </c>
      <c r="R47" s="2" t="s">
        <v>10</v>
      </c>
      <c r="S47" s="4" t="s">
        <v>103</v>
      </c>
      <c r="T47" s="2" t="s">
        <v>104</v>
      </c>
    </row>
    <row r="48" spans="1:21" x14ac:dyDescent="0.2">
      <c r="A48" s="2" t="s">
        <v>1620</v>
      </c>
      <c r="B48" s="2" t="s">
        <v>1</v>
      </c>
      <c r="C48" s="164">
        <v>46195</v>
      </c>
      <c r="D48" s="164">
        <v>46225</v>
      </c>
      <c r="E48" s="166">
        <v>46234</v>
      </c>
      <c r="F48" s="164"/>
      <c r="G48" s="2" t="s">
        <v>77</v>
      </c>
      <c r="H48" s="271">
        <v>2364.12</v>
      </c>
      <c r="I48" s="271">
        <v>212.77</v>
      </c>
      <c r="J48" s="271">
        <f>H48+I48</f>
        <v>2576.89</v>
      </c>
      <c r="K48" s="6">
        <f t="shared" ref="K48:K49" si="3">IF(G48="SGD", J48*$K$1, J48)</f>
        <v>1984.52749059745</v>
      </c>
      <c r="L48" s="4" t="s">
        <v>109</v>
      </c>
      <c r="M48" s="2" t="s">
        <v>1622</v>
      </c>
      <c r="N48" s="4" t="s">
        <v>1623</v>
      </c>
      <c r="O48" s="4" t="s">
        <v>16</v>
      </c>
      <c r="Q48" s="2" t="s">
        <v>10</v>
      </c>
      <c r="R48" s="2" t="s">
        <v>10</v>
      </c>
      <c r="S48" s="4" t="s">
        <v>103</v>
      </c>
      <c r="T48" s="2" t="s">
        <v>104</v>
      </c>
    </row>
    <row r="49" spans="1:22" x14ac:dyDescent="0.2">
      <c r="A49" s="2" t="s">
        <v>1620</v>
      </c>
      <c r="B49" s="2" t="s">
        <v>1</v>
      </c>
      <c r="C49" s="164">
        <v>46195</v>
      </c>
      <c r="D49" s="164">
        <v>46225</v>
      </c>
      <c r="E49" s="166">
        <v>46234</v>
      </c>
      <c r="F49" s="164"/>
      <c r="G49" s="2" t="s">
        <v>77</v>
      </c>
      <c r="H49" s="271">
        <v>1700.91</v>
      </c>
      <c r="I49" s="271">
        <v>153.08000000000001</v>
      </c>
      <c r="J49" s="271">
        <f t="shared" ref="J49:J51" si="4">H49+I49</f>
        <v>1853.99</v>
      </c>
      <c r="K49" s="6">
        <f t="shared" si="3"/>
        <v>1427.8041058379545</v>
      </c>
      <c r="L49" s="4" t="s">
        <v>109</v>
      </c>
      <c r="M49" s="2" t="s">
        <v>1624</v>
      </c>
      <c r="N49" s="4" t="s">
        <v>1625</v>
      </c>
      <c r="O49" s="4" t="s">
        <v>16</v>
      </c>
      <c r="Q49" s="2" t="s">
        <v>10</v>
      </c>
      <c r="R49" s="2" t="s">
        <v>10</v>
      </c>
      <c r="S49" s="4" t="s">
        <v>103</v>
      </c>
      <c r="T49" s="2" t="s">
        <v>104</v>
      </c>
    </row>
    <row r="50" spans="1:22" x14ac:dyDescent="0.2">
      <c r="A50" s="270" t="s">
        <v>15</v>
      </c>
      <c r="B50" s="2" t="s">
        <v>1</v>
      </c>
      <c r="C50" s="164">
        <v>46195</v>
      </c>
      <c r="D50" s="164">
        <v>46225</v>
      </c>
      <c r="E50" s="166">
        <v>46234</v>
      </c>
      <c r="F50" s="166">
        <v>46195</v>
      </c>
      <c r="G50" s="2" t="s">
        <v>77</v>
      </c>
      <c r="H50" s="271">
        <v>99</v>
      </c>
      <c r="I50" s="271">
        <v>8.91</v>
      </c>
      <c r="J50" s="271">
        <f t="shared" si="4"/>
        <v>107.91</v>
      </c>
      <c r="K50" s="271">
        <v>7444.0042813439704</v>
      </c>
      <c r="L50" s="4" t="s">
        <v>138</v>
      </c>
      <c r="M50" s="2" t="s">
        <v>988</v>
      </c>
      <c r="N50" s="4" t="s">
        <v>248</v>
      </c>
      <c r="O50" s="4" t="s">
        <v>21</v>
      </c>
      <c r="P50" s="4" t="s">
        <v>249</v>
      </c>
      <c r="Q50" s="2" t="s">
        <v>10</v>
      </c>
      <c r="R50" s="2" t="s">
        <v>10</v>
      </c>
      <c r="S50" s="4" t="s">
        <v>103</v>
      </c>
      <c r="T50" s="2" t="s">
        <v>104</v>
      </c>
    </row>
    <row r="51" spans="1:22" x14ac:dyDescent="0.2">
      <c r="A51" s="2" t="s">
        <v>1620</v>
      </c>
      <c r="B51" s="2" t="s">
        <v>1</v>
      </c>
      <c r="C51" s="164">
        <v>46197</v>
      </c>
      <c r="D51" s="164">
        <v>46227</v>
      </c>
      <c r="E51" s="166">
        <v>46234</v>
      </c>
      <c r="F51" s="166"/>
      <c r="G51" s="2" t="s">
        <v>77</v>
      </c>
      <c r="H51" s="271">
        <v>15000</v>
      </c>
      <c r="I51" s="271">
        <v>1350</v>
      </c>
      <c r="J51" s="271">
        <f t="shared" si="4"/>
        <v>16350</v>
      </c>
      <c r="K51" s="6">
        <f t="shared" ref="K51" si="5">IF(G51="SGD", J51*$K$1, J51)</f>
        <v>12591.544253448268</v>
      </c>
      <c r="L51" s="4" t="s">
        <v>109</v>
      </c>
      <c r="M51" s="2" t="s">
        <v>1626</v>
      </c>
      <c r="N51" s="4" t="s">
        <v>1627</v>
      </c>
      <c r="O51" s="4" t="s">
        <v>1628</v>
      </c>
      <c r="P51" s="4" t="s">
        <v>1629</v>
      </c>
      <c r="Q51" s="2" t="s">
        <v>10</v>
      </c>
      <c r="R51" s="2" t="s">
        <v>10</v>
      </c>
      <c r="S51" s="4" t="s">
        <v>103</v>
      </c>
      <c r="T51" s="2" t="s">
        <v>104</v>
      </c>
    </row>
    <row r="52" spans="1:22" x14ac:dyDescent="0.2">
      <c r="A52" s="2" t="s">
        <v>1620</v>
      </c>
      <c r="B52" s="2" t="s">
        <v>1</v>
      </c>
      <c r="C52" s="166">
        <v>46198</v>
      </c>
      <c r="D52" s="166">
        <v>46228</v>
      </c>
      <c r="E52" s="166">
        <v>46234</v>
      </c>
      <c r="F52" s="166"/>
      <c r="G52" s="2" t="s">
        <v>4</v>
      </c>
      <c r="H52" s="271">
        <v>1000</v>
      </c>
      <c r="I52" s="271">
        <v>90</v>
      </c>
      <c r="J52" s="271">
        <v>1090</v>
      </c>
      <c r="K52" s="271">
        <v>1090</v>
      </c>
      <c r="L52" s="4" t="s">
        <v>145</v>
      </c>
      <c r="M52" s="2" t="s">
        <v>1630</v>
      </c>
      <c r="N52" s="4" t="s">
        <v>266</v>
      </c>
      <c r="O52" s="4" t="s">
        <v>18</v>
      </c>
      <c r="P52" s="4" t="s">
        <v>267</v>
      </c>
      <c r="Q52" s="2" t="s">
        <v>10</v>
      </c>
      <c r="R52" s="2" t="s">
        <v>10</v>
      </c>
      <c r="S52" s="4" t="s">
        <v>103</v>
      </c>
      <c r="T52" s="2" t="s">
        <v>104</v>
      </c>
    </row>
    <row r="53" spans="1:22" x14ac:dyDescent="0.2">
      <c r="A53" s="274" t="s">
        <v>28</v>
      </c>
      <c r="B53" s="2" t="s">
        <v>1</v>
      </c>
      <c r="C53" s="164">
        <v>46204</v>
      </c>
      <c r="D53" s="164">
        <v>46235</v>
      </c>
      <c r="E53" s="166">
        <v>46265</v>
      </c>
      <c r="F53" s="164"/>
      <c r="G53" s="2" t="s">
        <v>77</v>
      </c>
      <c r="H53" s="271">
        <v>18900</v>
      </c>
      <c r="I53" s="271">
        <v>1701</v>
      </c>
      <c r="J53" s="6">
        <f t="shared" ref="J53:J92" si="6">H53+I53</f>
        <v>20601</v>
      </c>
      <c r="K53" s="6">
        <f t="shared" ref="K53:K92" si="7">IF(G53="SGD", J53*$K$1, J53)</f>
        <v>15865.345759344818</v>
      </c>
      <c r="L53" s="4" t="s">
        <v>109</v>
      </c>
      <c r="M53" s="2" t="s">
        <v>221</v>
      </c>
      <c r="N53" s="4" t="s">
        <v>227</v>
      </c>
      <c r="O53" s="4" t="s">
        <v>16</v>
      </c>
      <c r="P53" s="4" t="s">
        <v>228</v>
      </c>
    </row>
    <row r="54" spans="1:22" x14ac:dyDescent="0.2">
      <c r="A54" s="274" t="s">
        <v>28</v>
      </c>
      <c r="B54" s="2" t="s">
        <v>1</v>
      </c>
      <c r="C54" s="166">
        <v>46235</v>
      </c>
      <c r="D54" s="166">
        <v>46266</v>
      </c>
      <c r="E54" s="166">
        <v>46295</v>
      </c>
      <c r="F54" s="166"/>
      <c r="G54" s="2" t="s">
        <v>77</v>
      </c>
      <c r="H54" s="271">
        <v>18900</v>
      </c>
      <c r="I54" s="271">
        <v>1701</v>
      </c>
      <c r="J54" s="6">
        <f t="shared" si="6"/>
        <v>20601</v>
      </c>
      <c r="K54" s="6">
        <f t="shared" si="7"/>
        <v>15865.345759344818</v>
      </c>
      <c r="L54" s="4" t="s">
        <v>109</v>
      </c>
      <c r="M54" s="2" t="s">
        <v>221</v>
      </c>
      <c r="N54" s="4" t="s">
        <v>229</v>
      </c>
      <c r="O54" s="4" t="s">
        <v>16</v>
      </c>
      <c r="P54" s="4" t="s">
        <v>230</v>
      </c>
    </row>
    <row r="55" spans="1:22" s="168" customFormat="1" x14ac:dyDescent="0.2">
      <c r="A55" s="274" t="s">
        <v>28</v>
      </c>
      <c r="B55" s="2" t="s">
        <v>1</v>
      </c>
      <c r="C55" s="166">
        <v>46235</v>
      </c>
      <c r="D55" s="166">
        <v>46266</v>
      </c>
      <c r="E55" s="166">
        <v>46295</v>
      </c>
      <c r="F55" s="166"/>
      <c r="G55" s="2" t="s">
        <v>77</v>
      </c>
      <c r="H55" s="271">
        <v>14318.08</v>
      </c>
      <c r="I55" s="271">
        <v>1288.6271999999999</v>
      </c>
      <c r="J55" s="6">
        <f t="shared" si="6"/>
        <v>15606.707200000001</v>
      </c>
      <c r="K55" s="6">
        <f t="shared" si="7"/>
        <v>12019.11586296084</v>
      </c>
      <c r="L55" s="4" t="s">
        <v>109</v>
      </c>
      <c r="M55" s="2" t="s">
        <v>221</v>
      </c>
      <c r="N55" s="4" t="s">
        <v>231</v>
      </c>
      <c r="O55" s="4" t="s">
        <v>16</v>
      </c>
      <c r="P55" s="4" t="s">
        <v>232</v>
      </c>
      <c r="Q55" s="2"/>
      <c r="R55" s="2"/>
      <c r="S55" s="4"/>
      <c r="T55" s="2"/>
      <c r="U55" s="4"/>
      <c r="V55" s="4"/>
    </row>
    <row r="56" spans="1:22" x14ac:dyDescent="0.2">
      <c r="A56" s="274" t="s">
        <v>28</v>
      </c>
      <c r="B56" s="2" t="s">
        <v>1</v>
      </c>
      <c r="C56" s="164">
        <v>46266</v>
      </c>
      <c r="D56" s="164">
        <v>46296</v>
      </c>
      <c r="E56" s="166">
        <v>46325</v>
      </c>
      <c r="F56" s="164"/>
      <c r="G56" s="2" t="s">
        <v>77</v>
      </c>
      <c r="H56" s="271">
        <v>8225.2800000000007</v>
      </c>
      <c r="I56" s="271">
        <v>740.27520000000004</v>
      </c>
      <c r="J56" s="6">
        <f t="shared" si="6"/>
        <v>8965.5552000000007</v>
      </c>
      <c r="K56" s="6">
        <f t="shared" si="7"/>
        <v>6904.5984744668658</v>
      </c>
      <c r="L56" s="4" t="s">
        <v>109</v>
      </c>
      <c r="M56" s="2" t="s">
        <v>221</v>
      </c>
      <c r="N56" s="4" t="s">
        <v>233</v>
      </c>
      <c r="O56" s="4" t="s">
        <v>16</v>
      </c>
      <c r="P56" s="4" t="s">
        <v>234</v>
      </c>
    </row>
    <row r="57" spans="1:22" x14ac:dyDescent="0.2">
      <c r="A57" s="274" t="s">
        <v>28</v>
      </c>
      <c r="B57" s="2" t="s">
        <v>1</v>
      </c>
      <c r="C57" s="166">
        <v>46296</v>
      </c>
      <c r="D57" s="166">
        <v>46327</v>
      </c>
      <c r="E57" s="166">
        <v>46356</v>
      </c>
      <c r="F57" s="166"/>
      <c r="G57" s="2" t="s">
        <v>77</v>
      </c>
      <c r="H57" s="271">
        <v>46400</v>
      </c>
      <c r="I57" s="271">
        <v>4176</v>
      </c>
      <c r="J57" s="6">
        <f t="shared" si="6"/>
        <v>50576</v>
      </c>
      <c r="K57" s="6">
        <f t="shared" si="7"/>
        <v>38949.843557333312</v>
      </c>
      <c r="L57" s="4" t="s">
        <v>109</v>
      </c>
      <c r="M57" s="2" t="s">
        <v>221</v>
      </c>
      <c r="N57" s="4" t="s">
        <v>235</v>
      </c>
      <c r="O57" s="4" t="s">
        <v>16</v>
      </c>
      <c r="P57" s="4" t="s">
        <v>236</v>
      </c>
    </row>
    <row r="58" spans="1:22" x14ac:dyDescent="0.2">
      <c r="A58" s="274" t="s">
        <v>28</v>
      </c>
      <c r="B58" s="2" t="s">
        <v>1</v>
      </c>
      <c r="C58" s="164">
        <v>46332</v>
      </c>
      <c r="D58" s="164">
        <v>46362</v>
      </c>
      <c r="E58" s="166">
        <v>46387</v>
      </c>
      <c r="F58" s="164"/>
      <c r="G58" s="2" t="s">
        <v>77</v>
      </c>
      <c r="H58" s="271">
        <v>18800</v>
      </c>
      <c r="I58" s="271">
        <v>1692</v>
      </c>
      <c r="J58" s="6">
        <f t="shared" si="6"/>
        <v>20492</v>
      </c>
      <c r="K58" s="6">
        <f t="shared" si="7"/>
        <v>15781.402130988497</v>
      </c>
      <c r="L58" s="4" t="s">
        <v>109</v>
      </c>
      <c r="M58" s="2" t="s">
        <v>221</v>
      </c>
      <c r="N58" s="4" t="s">
        <v>237</v>
      </c>
      <c r="O58" s="4" t="s">
        <v>16</v>
      </c>
      <c r="P58" s="4" t="s">
        <v>238</v>
      </c>
    </row>
    <row r="59" spans="1:22" x14ac:dyDescent="0.2">
      <c r="A59" s="274" t="s">
        <v>28</v>
      </c>
      <c r="B59" s="2" t="s">
        <v>1</v>
      </c>
      <c r="C59" s="164">
        <v>46332</v>
      </c>
      <c r="D59" s="164">
        <v>46362</v>
      </c>
      <c r="E59" s="166">
        <v>46387</v>
      </c>
      <c r="F59" s="164"/>
      <c r="G59" s="2" t="s">
        <v>77</v>
      </c>
      <c r="H59" s="271">
        <v>10800</v>
      </c>
      <c r="I59" s="271">
        <v>972</v>
      </c>
      <c r="J59" s="6">
        <f t="shared" si="6"/>
        <v>11772</v>
      </c>
      <c r="K59" s="6">
        <f t="shared" si="7"/>
        <v>9065.9118624827533</v>
      </c>
      <c r="L59" s="4" t="s">
        <v>109</v>
      </c>
      <c r="M59" s="2" t="s">
        <v>221</v>
      </c>
      <c r="N59" s="4" t="s">
        <v>239</v>
      </c>
      <c r="O59" s="4" t="s">
        <v>16</v>
      </c>
      <c r="P59" s="4" t="s">
        <v>240</v>
      </c>
    </row>
    <row r="60" spans="1:22" x14ac:dyDescent="0.2">
      <c r="A60" s="274" t="s">
        <v>28</v>
      </c>
      <c r="B60" s="2" t="s">
        <v>1</v>
      </c>
      <c r="C60" s="166">
        <v>46341</v>
      </c>
      <c r="D60" s="166">
        <v>46371</v>
      </c>
      <c r="E60" s="166">
        <v>46387</v>
      </c>
      <c r="F60" s="166"/>
      <c r="G60" s="2" t="s">
        <v>77</v>
      </c>
      <c r="H60" s="271">
        <v>18800</v>
      </c>
      <c r="I60" s="271">
        <v>1692</v>
      </c>
      <c r="J60" s="6">
        <f t="shared" si="6"/>
        <v>20492</v>
      </c>
      <c r="K60" s="6">
        <f t="shared" si="7"/>
        <v>15781.402130988497</v>
      </c>
      <c r="L60" s="4" t="s">
        <v>109</v>
      </c>
      <c r="M60" s="2" t="s">
        <v>221</v>
      </c>
      <c r="N60" s="4" t="s">
        <v>241</v>
      </c>
      <c r="O60" s="4" t="s">
        <v>16</v>
      </c>
      <c r="P60" s="4" t="s">
        <v>242</v>
      </c>
    </row>
    <row r="61" spans="1:22" x14ac:dyDescent="0.2">
      <c r="A61" s="274" t="s">
        <v>28</v>
      </c>
      <c r="B61" s="2" t="s">
        <v>1</v>
      </c>
      <c r="C61" s="164">
        <v>46371</v>
      </c>
      <c r="D61" s="164">
        <v>46402</v>
      </c>
      <c r="E61" s="166">
        <v>46418</v>
      </c>
      <c r="F61" s="164"/>
      <c r="G61" s="2" t="s">
        <v>77</v>
      </c>
      <c r="H61" s="271">
        <v>10800</v>
      </c>
      <c r="I61" s="271">
        <v>972</v>
      </c>
      <c r="J61" s="6">
        <f t="shared" si="6"/>
        <v>11772</v>
      </c>
      <c r="K61" s="6">
        <f t="shared" si="7"/>
        <v>9065.9118624827533</v>
      </c>
      <c r="L61" s="4" t="s">
        <v>109</v>
      </c>
      <c r="M61" s="2" t="s">
        <v>221</v>
      </c>
      <c r="N61" s="4" t="s">
        <v>243</v>
      </c>
      <c r="O61" s="4" t="s">
        <v>16</v>
      </c>
      <c r="P61" s="4" t="s">
        <v>244</v>
      </c>
    </row>
    <row r="62" spans="1:22" x14ac:dyDescent="0.2">
      <c r="A62" s="274" t="s">
        <v>28</v>
      </c>
      <c r="B62" s="2" t="s">
        <v>1</v>
      </c>
      <c r="C62" s="164">
        <v>46402</v>
      </c>
      <c r="D62" s="164">
        <v>46433</v>
      </c>
      <c r="E62" s="166">
        <v>46446</v>
      </c>
      <c r="F62" s="164"/>
      <c r="G62" s="2" t="s">
        <v>77</v>
      </c>
      <c r="H62" s="271">
        <v>40000</v>
      </c>
      <c r="I62" s="271">
        <v>3600</v>
      </c>
      <c r="J62" s="6">
        <f t="shared" si="6"/>
        <v>43600</v>
      </c>
      <c r="K62" s="6">
        <f t="shared" si="7"/>
        <v>33577.451342528715</v>
      </c>
      <c r="L62" s="4" t="s">
        <v>109</v>
      </c>
      <c r="M62" s="2" t="s">
        <v>221</v>
      </c>
      <c r="N62" s="4" t="s">
        <v>245</v>
      </c>
      <c r="O62" s="4" t="s">
        <v>16</v>
      </c>
      <c r="P62" s="4" t="s">
        <v>246</v>
      </c>
    </row>
    <row r="63" spans="1:22" x14ac:dyDescent="0.2">
      <c r="A63" s="274" t="s">
        <v>247</v>
      </c>
      <c r="B63" s="2" t="s">
        <v>1</v>
      </c>
      <c r="C63" s="166"/>
      <c r="D63" s="166"/>
      <c r="E63" s="166">
        <v>46234</v>
      </c>
      <c r="F63" s="166"/>
      <c r="G63" s="2" t="s">
        <v>77</v>
      </c>
      <c r="H63" s="271">
        <v>99</v>
      </c>
      <c r="I63" s="271">
        <v>8.91</v>
      </c>
      <c r="J63" s="6">
        <f t="shared" si="6"/>
        <v>107.91</v>
      </c>
      <c r="K63" s="6">
        <f t="shared" si="7"/>
        <v>83.104192072758579</v>
      </c>
      <c r="L63" s="4" t="s">
        <v>138</v>
      </c>
      <c r="M63" s="2" t="s">
        <v>221</v>
      </c>
      <c r="N63" s="4" t="s">
        <v>248</v>
      </c>
      <c r="O63" s="4" t="s">
        <v>21</v>
      </c>
      <c r="P63" s="4" t="s">
        <v>249</v>
      </c>
    </row>
    <row r="64" spans="1:22" s="169" customFormat="1" x14ac:dyDescent="0.2">
      <c r="A64" s="274" t="s">
        <v>247</v>
      </c>
      <c r="B64" s="2" t="s">
        <v>1</v>
      </c>
      <c r="C64" s="166"/>
      <c r="D64" s="166"/>
      <c r="E64" s="166">
        <v>46265</v>
      </c>
      <c r="F64" s="166"/>
      <c r="G64" s="2" t="s">
        <v>77</v>
      </c>
      <c r="H64" s="271">
        <v>99</v>
      </c>
      <c r="I64" s="271">
        <v>8.91</v>
      </c>
      <c r="J64" s="6">
        <f t="shared" si="6"/>
        <v>107.91</v>
      </c>
      <c r="K64" s="6">
        <f t="shared" si="7"/>
        <v>83.104192072758579</v>
      </c>
      <c r="L64" s="4" t="s">
        <v>138</v>
      </c>
      <c r="M64" s="2" t="s">
        <v>221</v>
      </c>
      <c r="N64" s="4" t="s">
        <v>250</v>
      </c>
      <c r="O64" s="4" t="s">
        <v>21</v>
      </c>
      <c r="P64" s="4" t="s">
        <v>251</v>
      </c>
      <c r="Q64" s="2"/>
      <c r="R64" s="2"/>
      <c r="S64" s="4"/>
      <c r="T64" s="2"/>
      <c r="U64" s="4"/>
      <c r="V64" s="4"/>
    </row>
    <row r="65" spans="1:16" x14ac:dyDescent="0.2">
      <c r="A65" s="274" t="s">
        <v>247</v>
      </c>
      <c r="B65" s="2" t="s">
        <v>1</v>
      </c>
      <c r="C65" s="164"/>
      <c r="D65" s="164"/>
      <c r="E65" s="166">
        <v>46295</v>
      </c>
      <c r="F65" s="164"/>
      <c r="G65" s="2" t="s">
        <v>77</v>
      </c>
      <c r="H65" s="271">
        <v>99</v>
      </c>
      <c r="I65" s="271">
        <v>8.91</v>
      </c>
      <c r="J65" s="6">
        <f t="shared" si="6"/>
        <v>107.91</v>
      </c>
      <c r="K65" s="6">
        <f t="shared" si="7"/>
        <v>83.104192072758579</v>
      </c>
      <c r="L65" s="4" t="s">
        <v>138</v>
      </c>
      <c r="M65" s="2" t="s">
        <v>221</v>
      </c>
      <c r="N65" s="4" t="s">
        <v>252</v>
      </c>
      <c r="O65" s="4" t="s">
        <v>21</v>
      </c>
      <c r="P65" s="4" t="s">
        <v>253</v>
      </c>
    </row>
    <row r="66" spans="1:16" x14ac:dyDescent="0.2">
      <c r="A66" s="274" t="s">
        <v>247</v>
      </c>
      <c r="B66" s="2" t="s">
        <v>1</v>
      </c>
      <c r="C66" s="164"/>
      <c r="D66" s="164"/>
      <c r="E66" s="166">
        <v>46265</v>
      </c>
      <c r="F66" s="164"/>
      <c r="G66" s="2" t="s">
        <v>77</v>
      </c>
      <c r="H66" s="271">
        <v>8866.67</v>
      </c>
      <c r="I66" s="271">
        <v>798</v>
      </c>
      <c r="J66" s="6">
        <f t="shared" si="6"/>
        <v>9664.67</v>
      </c>
      <c r="K66" s="6">
        <f t="shared" si="7"/>
        <v>7443.0042813439686</v>
      </c>
      <c r="L66" s="4" t="s">
        <v>105</v>
      </c>
      <c r="M66" s="2" t="s">
        <v>221</v>
      </c>
      <c r="N66" s="4" t="s">
        <v>254</v>
      </c>
      <c r="O66" s="4" t="s">
        <v>22</v>
      </c>
      <c r="P66" s="4" t="s">
        <v>255</v>
      </c>
    </row>
    <row r="67" spans="1:16" x14ac:dyDescent="0.2">
      <c r="A67" s="274" t="s">
        <v>247</v>
      </c>
      <c r="B67" s="2" t="s">
        <v>1</v>
      </c>
      <c r="C67" s="164"/>
      <c r="D67" s="164"/>
      <c r="E67" s="166">
        <v>46295</v>
      </c>
      <c r="F67" s="164"/>
      <c r="G67" s="2" t="s">
        <v>77</v>
      </c>
      <c r="H67" s="271">
        <v>8866.67</v>
      </c>
      <c r="I67" s="271">
        <v>798</v>
      </c>
      <c r="J67" s="6">
        <f t="shared" si="6"/>
        <v>9664.67</v>
      </c>
      <c r="K67" s="6">
        <f t="shared" si="7"/>
        <v>7443.0042813439686</v>
      </c>
      <c r="L67" s="4" t="s">
        <v>105</v>
      </c>
      <c r="M67" s="2" t="s">
        <v>221</v>
      </c>
      <c r="N67" s="4" t="s">
        <v>256</v>
      </c>
      <c r="O67" s="4" t="s">
        <v>22</v>
      </c>
      <c r="P67" s="4" t="s">
        <v>257</v>
      </c>
    </row>
    <row r="68" spans="1:16" x14ac:dyDescent="0.2">
      <c r="A68" s="274" t="s">
        <v>247</v>
      </c>
      <c r="B68" s="2" t="s">
        <v>1</v>
      </c>
      <c r="C68" s="164"/>
      <c r="D68" s="164"/>
      <c r="E68" s="166">
        <v>46326</v>
      </c>
      <c r="F68" s="164"/>
      <c r="G68" s="2" t="s">
        <v>77</v>
      </c>
      <c r="H68" s="271">
        <v>8866.67</v>
      </c>
      <c r="I68" s="271">
        <v>798</v>
      </c>
      <c r="J68" s="6">
        <f t="shared" si="6"/>
        <v>9664.67</v>
      </c>
      <c r="K68" s="6">
        <f t="shared" si="7"/>
        <v>7443.0042813439686</v>
      </c>
      <c r="L68" s="4" t="s">
        <v>105</v>
      </c>
      <c r="M68" s="2" t="s">
        <v>221</v>
      </c>
      <c r="N68" s="4" t="s">
        <v>258</v>
      </c>
      <c r="O68" s="4" t="s">
        <v>22</v>
      </c>
      <c r="P68" s="4" t="s">
        <v>259</v>
      </c>
    </row>
    <row r="69" spans="1:16" x14ac:dyDescent="0.2">
      <c r="A69" s="274" t="s">
        <v>247</v>
      </c>
      <c r="B69" s="2" t="s">
        <v>1</v>
      </c>
      <c r="C69" s="166"/>
      <c r="D69" s="166"/>
      <c r="E69" s="166">
        <v>46356</v>
      </c>
      <c r="F69" s="166"/>
      <c r="G69" s="2" t="s">
        <v>77</v>
      </c>
      <c r="H69" s="271">
        <v>8866.67</v>
      </c>
      <c r="I69" s="271">
        <v>798</v>
      </c>
      <c r="J69" s="6">
        <f t="shared" si="6"/>
        <v>9664.67</v>
      </c>
      <c r="K69" s="6">
        <f t="shared" si="7"/>
        <v>7443.0042813439686</v>
      </c>
      <c r="L69" s="4" t="s">
        <v>105</v>
      </c>
      <c r="M69" s="2" t="s">
        <v>221</v>
      </c>
      <c r="N69" s="4" t="s">
        <v>260</v>
      </c>
      <c r="O69" s="4" t="s">
        <v>22</v>
      </c>
      <c r="P69" s="4" t="s">
        <v>261</v>
      </c>
    </row>
    <row r="70" spans="1:16" x14ac:dyDescent="0.2">
      <c r="A70" s="274" t="s">
        <v>247</v>
      </c>
      <c r="B70" s="2" t="s">
        <v>1</v>
      </c>
      <c r="C70" s="166"/>
      <c r="D70" s="166"/>
      <c r="E70" s="166">
        <v>46387</v>
      </c>
      <c r="F70" s="166"/>
      <c r="G70" s="2" t="s">
        <v>77</v>
      </c>
      <c r="H70" s="271">
        <v>8866.67</v>
      </c>
      <c r="I70" s="271">
        <v>798</v>
      </c>
      <c r="J70" s="6">
        <f t="shared" si="6"/>
        <v>9664.67</v>
      </c>
      <c r="K70" s="6">
        <f t="shared" si="7"/>
        <v>7443.0042813439686</v>
      </c>
      <c r="L70" s="4" t="s">
        <v>105</v>
      </c>
      <c r="M70" s="2" t="s">
        <v>221</v>
      </c>
      <c r="N70" s="4" t="s">
        <v>262</v>
      </c>
      <c r="O70" s="4" t="s">
        <v>22</v>
      </c>
      <c r="P70" s="4" t="s">
        <v>263</v>
      </c>
    </row>
    <row r="71" spans="1:16" x14ac:dyDescent="0.2">
      <c r="A71" s="274" t="s">
        <v>247</v>
      </c>
      <c r="B71" s="2" t="s">
        <v>1</v>
      </c>
      <c r="C71" s="164"/>
      <c r="D71" s="164"/>
      <c r="E71" s="166">
        <v>46418</v>
      </c>
      <c r="F71" s="164"/>
      <c r="G71" s="2" t="s">
        <v>77</v>
      </c>
      <c r="H71" s="271">
        <v>8866.67</v>
      </c>
      <c r="I71" s="271">
        <v>798</v>
      </c>
      <c r="J71" s="6">
        <f t="shared" si="6"/>
        <v>9664.67</v>
      </c>
      <c r="K71" s="6">
        <f t="shared" si="7"/>
        <v>7443.0042813439686</v>
      </c>
      <c r="L71" s="4" t="s">
        <v>105</v>
      </c>
      <c r="M71" s="2" t="s">
        <v>221</v>
      </c>
      <c r="N71" s="4" t="s">
        <v>264</v>
      </c>
      <c r="O71" s="4" t="s">
        <v>22</v>
      </c>
      <c r="P71" s="4" t="s">
        <v>265</v>
      </c>
    </row>
    <row r="72" spans="1:16" x14ac:dyDescent="0.2">
      <c r="A72" s="274" t="s">
        <v>247</v>
      </c>
      <c r="B72" s="2" t="s">
        <v>1</v>
      </c>
      <c r="C72" s="166"/>
      <c r="D72" s="166"/>
      <c r="E72" s="166">
        <v>46265</v>
      </c>
      <c r="F72" s="166"/>
      <c r="G72" s="2" t="s">
        <v>77</v>
      </c>
      <c r="H72" s="271">
        <v>8866.67</v>
      </c>
      <c r="I72" s="271">
        <v>798</v>
      </c>
      <c r="J72" s="6">
        <f t="shared" si="6"/>
        <v>9664.67</v>
      </c>
      <c r="K72" s="6">
        <f t="shared" si="7"/>
        <v>7443.0042813439686</v>
      </c>
      <c r="L72" s="4" t="s">
        <v>105</v>
      </c>
      <c r="M72" s="2" t="s">
        <v>221</v>
      </c>
      <c r="N72" s="4" t="s">
        <v>254</v>
      </c>
      <c r="O72" s="4" t="s">
        <v>23</v>
      </c>
      <c r="P72" s="4" t="s">
        <v>255</v>
      </c>
    </row>
    <row r="73" spans="1:16" x14ac:dyDescent="0.2">
      <c r="A73" s="274" t="s">
        <v>247</v>
      </c>
      <c r="B73" s="2" t="s">
        <v>1</v>
      </c>
      <c r="C73" s="166"/>
      <c r="D73" s="166"/>
      <c r="E73" s="166">
        <v>46295</v>
      </c>
      <c r="F73" s="166"/>
      <c r="G73" s="2" t="s">
        <v>77</v>
      </c>
      <c r="H73" s="271">
        <v>8866.67</v>
      </c>
      <c r="I73" s="271">
        <v>798</v>
      </c>
      <c r="J73" s="6">
        <f t="shared" si="6"/>
        <v>9664.67</v>
      </c>
      <c r="K73" s="6">
        <f t="shared" si="7"/>
        <v>7443.0042813439686</v>
      </c>
      <c r="L73" s="4" t="s">
        <v>105</v>
      </c>
      <c r="M73" s="2" t="s">
        <v>221</v>
      </c>
      <c r="N73" s="4" t="s">
        <v>256</v>
      </c>
      <c r="O73" s="4" t="s">
        <v>23</v>
      </c>
      <c r="P73" s="4" t="s">
        <v>257</v>
      </c>
    </row>
    <row r="74" spans="1:16" x14ac:dyDescent="0.2">
      <c r="A74" s="274" t="s">
        <v>247</v>
      </c>
      <c r="B74" s="2" t="s">
        <v>1</v>
      </c>
      <c r="C74" s="164"/>
      <c r="D74" s="164"/>
      <c r="E74" s="166">
        <v>46326</v>
      </c>
      <c r="F74" s="164"/>
      <c r="G74" s="2" t="s">
        <v>77</v>
      </c>
      <c r="H74" s="271">
        <v>8866.67</v>
      </c>
      <c r="I74" s="271">
        <v>798</v>
      </c>
      <c r="J74" s="6">
        <f t="shared" si="6"/>
        <v>9664.67</v>
      </c>
      <c r="K74" s="6">
        <f t="shared" si="7"/>
        <v>7443.0042813439686</v>
      </c>
      <c r="L74" s="4" t="s">
        <v>105</v>
      </c>
      <c r="M74" s="2" t="s">
        <v>221</v>
      </c>
      <c r="N74" s="4" t="s">
        <v>258</v>
      </c>
      <c r="O74" s="4" t="s">
        <v>23</v>
      </c>
      <c r="P74" s="4" t="s">
        <v>259</v>
      </c>
    </row>
    <row r="75" spans="1:16" x14ac:dyDescent="0.2">
      <c r="A75" s="274" t="s">
        <v>247</v>
      </c>
      <c r="B75" s="2" t="s">
        <v>1</v>
      </c>
      <c r="C75" s="164"/>
      <c r="D75" s="164"/>
      <c r="E75" s="166">
        <v>46356</v>
      </c>
      <c r="F75" s="164"/>
      <c r="G75" s="2" t="s">
        <v>77</v>
      </c>
      <c r="H75" s="271">
        <v>8866.67</v>
      </c>
      <c r="I75" s="271">
        <v>798</v>
      </c>
      <c r="J75" s="6">
        <f t="shared" si="6"/>
        <v>9664.67</v>
      </c>
      <c r="K75" s="6">
        <f t="shared" si="7"/>
        <v>7443.0042813439686</v>
      </c>
      <c r="L75" s="4" t="s">
        <v>105</v>
      </c>
      <c r="M75" s="2" t="s">
        <v>221</v>
      </c>
      <c r="N75" s="4" t="s">
        <v>260</v>
      </c>
      <c r="O75" s="4" t="s">
        <v>23</v>
      </c>
      <c r="P75" s="4" t="s">
        <v>261</v>
      </c>
    </row>
    <row r="76" spans="1:16" x14ac:dyDescent="0.2">
      <c r="A76" s="274" t="s">
        <v>247</v>
      </c>
      <c r="B76" s="2" t="s">
        <v>1</v>
      </c>
      <c r="C76" s="164"/>
      <c r="D76" s="164"/>
      <c r="E76" s="166">
        <v>46387</v>
      </c>
      <c r="F76" s="164"/>
      <c r="G76" s="2" t="s">
        <v>77</v>
      </c>
      <c r="H76" s="271">
        <v>8866.67</v>
      </c>
      <c r="I76" s="271">
        <v>798</v>
      </c>
      <c r="J76" s="6">
        <f t="shared" si="6"/>
        <v>9664.67</v>
      </c>
      <c r="K76" s="6">
        <f t="shared" si="7"/>
        <v>7443.0042813439686</v>
      </c>
      <c r="L76" s="4" t="s">
        <v>105</v>
      </c>
      <c r="M76" s="2" t="s">
        <v>221</v>
      </c>
      <c r="N76" s="4" t="s">
        <v>262</v>
      </c>
      <c r="O76" s="4" t="s">
        <v>23</v>
      </c>
      <c r="P76" s="4" t="s">
        <v>263</v>
      </c>
    </row>
    <row r="77" spans="1:16" x14ac:dyDescent="0.2">
      <c r="A77" s="274" t="s">
        <v>247</v>
      </c>
      <c r="B77" s="2" t="s">
        <v>1</v>
      </c>
      <c r="C77" s="166"/>
      <c r="D77" s="166"/>
      <c r="E77" s="166">
        <v>46418</v>
      </c>
      <c r="F77" s="166"/>
      <c r="G77" s="2" t="s">
        <v>77</v>
      </c>
      <c r="H77" s="271">
        <v>8866.67</v>
      </c>
      <c r="I77" s="271">
        <v>798</v>
      </c>
      <c r="J77" s="6">
        <f t="shared" si="6"/>
        <v>9664.67</v>
      </c>
      <c r="K77" s="6">
        <f t="shared" si="7"/>
        <v>7443.0042813439686</v>
      </c>
      <c r="L77" s="4" t="s">
        <v>105</v>
      </c>
      <c r="M77" s="2" t="s">
        <v>221</v>
      </c>
      <c r="N77" s="4" t="s">
        <v>264</v>
      </c>
      <c r="O77" s="4" t="s">
        <v>23</v>
      </c>
      <c r="P77" s="4" t="s">
        <v>265</v>
      </c>
    </row>
    <row r="78" spans="1:16" x14ac:dyDescent="0.2">
      <c r="A78" s="274" t="s">
        <v>247</v>
      </c>
      <c r="B78" s="2" t="s">
        <v>1</v>
      </c>
      <c r="C78" s="166"/>
      <c r="D78" s="166"/>
      <c r="E78" s="166">
        <v>46234</v>
      </c>
      <c r="F78" s="166"/>
      <c r="G78" s="2" t="s">
        <v>4</v>
      </c>
      <c r="H78" s="271">
        <v>1000</v>
      </c>
      <c r="I78" s="271">
        <v>90</v>
      </c>
      <c r="J78" s="6">
        <f t="shared" si="6"/>
        <v>1090</v>
      </c>
      <c r="K78" s="6">
        <f t="shared" si="7"/>
        <v>1090</v>
      </c>
      <c r="L78" s="4" t="s">
        <v>145</v>
      </c>
      <c r="M78" s="2" t="s">
        <v>221</v>
      </c>
      <c r="N78" s="4" t="s">
        <v>266</v>
      </c>
      <c r="O78" s="4" t="s">
        <v>18</v>
      </c>
      <c r="P78" s="4" t="s">
        <v>267</v>
      </c>
    </row>
    <row r="79" spans="1:16" x14ac:dyDescent="0.2">
      <c r="A79" s="274" t="s">
        <v>247</v>
      </c>
      <c r="B79" s="2" t="s">
        <v>1</v>
      </c>
      <c r="C79" s="166"/>
      <c r="D79" s="166"/>
      <c r="E79" s="166">
        <v>46265</v>
      </c>
      <c r="F79" s="166"/>
      <c r="G79" s="2" t="s">
        <v>4</v>
      </c>
      <c r="H79" s="271">
        <v>1000</v>
      </c>
      <c r="I79" s="271">
        <v>90</v>
      </c>
      <c r="J79" s="6">
        <f t="shared" si="6"/>
        <v>1090</v>
      </c>
      <c r="K79" s="6">
        <f t="shared" si="7"/>
        <v>1090</v>
      </c>
      <c r="L79" s="4" t="s">
        <v>145</v>
      </c>
      <c r="M79" s="2" t="s">
        <v>221</v>
      </c>
      <c r="N79" s="4" t="s">
        <v>268</v>
      </c>
      <c r="O79" s="4" t="s">
        <v>18</v>
      </c>
      <c r="P79" s="4" t="s">
        <v>269</v>
      </c>
    </row>
    <row r="80" spans="1:16" x14ac:dyDescent="0.2">
      <c r="A80" s="274" t="s">
        <v>247</v>
      </c>
      <c r="B80" s="2" t="s">
        <v>1</v>
      </c>
      <c r="C80" s="164"/>
      <c r="D80" s="164"/>
      <c r="E80" s="166">
        <v>46295</v>
      </c>
      <c r="F80" s="164"/>
      <c r="G80" s="2" t="s">
        <v>4</v>
      </c>
      <c r="H80" s="271">
        <v>1000</v>
      </c>
      <c r="I80" s="271">
        <v>90</v>
      </c>
      <c r="J80" s="6">
        <f t="shared" si="6"/>
        <v>1090</v>
      </c>
      <c r="K80" s="6">
        <f t="shared" si="7"/>
        <v>1090</v>
      </c>
      <c r="L80" s="4" t="s">
        <v>145</v>
      </c>
      <c r="M80" s="2" t="s">
        <v>221</v>
      </c>
      <c r="N80" s="4" t="s">
        <v>270</v>
      </c>
      <c r="O80" s="4" t="s">
        <v>18</v>
      </c>
      <c r="P80" s="4" t="s">
        <v>271</v>
      </c>
    </row>
    <row r="81" spans="1:18" x14ac:dyDescent="0.2">
      <c r="A81" s="274" t="s">
        <v>247</v>
      </c>
      <c r="B81" s="2" t="s">
        <v>1</v>
      </c>
      <c r="C81" s="164"/>
      <c r="D81" s="164"/>
      <c r="E81" s="166">
        <v>46326</v>
      </c>
      <c r="F81" s="164"/>
      <c r="G81" s="2" t="s">
        <v>4</v>
      </c>
      <c r="H81" s="271">
        <v>1000</v>
      </c>
      <c r="I81" s="271">
        <v>90</v>
      </c>
      <c r="J81" s="6">
        <f t="shared" si="6"/>
        <v>1090</v>
      </c>
      <c r="K81" s="6">
        <f t="shared" si="7"/>
        <v>1090</v>
      </c>
      <c r="L81" s="4" t="s">
        <v>145</v>
      </c>
      <c r="M81" s="2" t="s">
        <v>221</v>
      </c>
      <c r="N81" s="4" t="s">
        <v>272</v>
      </c>
      <c r="O81" s="4" t="s">
        <v>18</v>
      </c>
      <c r="P81" s="4" t="s">
        <v>273</v>
      </c>
    </row>
    <row r="82" spans="1:18" x14ac:dyDescent="0.2">
      <c r="A82" s="274" t="s">
        <v>247</v>
      </c>
      <c r="B82" s="2" t="s">
        <v>1</v>
      </c>
      <c r="C82" s="166"/>
      <c r="D82" s="166"/>
      <c r="E82" s="166">
        <v>46265</v>
      </c>
      <c r="F82" s="166"/>
      <c r="G82" s="2" t="s">
        <v>4</v>
      </c>
      <c r="H82" s="271">
        <v>8978</v>
      </c>
      <c r="I82" s="271">
        <v>808.02</v>
      </c>
      <c r="J82" s="6">
        <f t="shared" si="6"/>
        <v>9786.02</v>
      </c>
      <c r="K82" s="6">
        <f t="shared" si="7"/>
        <v>9786.02</v>
      </c>
      <c r="L82" s="4" t="s">
        <v>99</v>
      </c>
      <c r="M82" s="2" t="s">
        <v>221</v>
      </c>
      <c r="N82" s="4" t="s">
        <v>274</v>
      </c>
      <c r="O82" s="4" t="s">
        <v>39</v>
      </c>
      <c r="P82" s="4" t="s">
        <v>275</v>
      </c>
    </row>
    <row r="83" spans="1:18" x14ac:dyDescent="0.2">
      <c r="A83" s="274" t="s">
        <v>247</v>
      </c>
      <c r="B83" s="2" t="s">
        <v>1</v>
      </c>
      <c r="C83" s="164"/>
      <c r="D83" s="164"/>
      <c r="E83" s="166">
        <v>46295</v>
      </c>
      <c r="F83" s="164"/>
      <c r="G83" s="2" t="s">
        <v>4</v>
      </c>
      <c r="H83" s="271">
        <v>8978</v>
      </c>
      <c r="I83" s="271">
        <v>808.02</v>
      </c>
      <c r="J83" s="6">
        <f t="shared" si="6"/>
        <v>9786.02</v>
      </c>
      <c r="K83" s="6">
        <f t="shared" si="7"/>
        <v>9786.02</v>
      </c>
      <c r="L83" s="4" t="s">
        <v>99</v>
      </c>
      <c r="M83" s="2" t="s">
        <v>221</v>
      </c>
      <c r="N83" s="4" t="s">
        <v>276</v>
      </c>
      <c r="O83" s="4" t="s">
        <v>39</v>
      </c>
      <c r="P83" s="4" t="s">
        <v>277</v>
      </c>
    </row>
    <row r="84" spans="1:18" x14ac:dyDescent="0.2">
      <c r="A84" s="274" t="s">
        <v>247</v>
      </c>
      <c r="B84" s="2" t="s">
        <v>1</v>
      </c>
      <c r="C84" s="164"/>
      <c r="D84" s="164"/>
      <c r="E84" s="166">
        <v>46326</v>
      </c>
      <c r="F84" s="164"/>
      <c r="G84" s="2" t="s">
        <v>4</v>
      </c>
      <c r="H84" s="271">
        <v>8978</v>
      </c>
      <c r="I84" s="271">
        <v>808.02</v>
      </c>
      <c r="J84" s="6">
        <f t="shared" si="6"/>
        <v>9786.02</v>
      </c>
      <c r="K84" s="6">
        <f t="shared" si="7"/>
        <v>9786.02</v>
      </c>
      <c r="L84" s="4" t="s">
        <v>99</v>
      </c>
      <c r="M84" s="2" t="s">
        <v>221</v>
      </c>
      <c r="N84" s="4" t="s">
        <v>278</v>
      </c>
      <c r="O84" s="4" t="s">
        <v>39</v>
      </c>
      <c r="P84" s="4" t="s">
        <v>279</v>
      </c>
    </row>
    <row r="85" spans="1:18" x14ac:dyDescent="0.2">
      <c r="A85" s="274" t="s">
        <v>247</v>
      </c>
      <c r="B85" s="2" t="s">
        <v>1</v>
      </c>
      <c r="C85" s="164"/>
      <c r="D85" s="164"/>
      <c r="E85" s="166">
        <v>46356</v>
      </c>
      <c r="F85" s="164"/>
      <c r="G85" s="2" t="s">
        <v>4</v>
      </c>
      <c r="H85" s="271">
        <v>8978</v>
      </c>
      <c r="I85" s="271">
        <v>808.02</v>
      </c>
      <c r="J85" s="6">
        <f t="shared" si="6"/>
        <v>9786.02</v>
      </c>
      <c r="K85" s="6">
        <f t="shared" si="7"/>
        <v>9786.02</v>
      </c>
      <c r="L85" s="4" t="s">
        <v>99</v>
      </c>
      <c r="M85" s="2" t="s">
        <v>221</v>
      </c>
      <c r="N85" s="4" t="s">
        <v>280</v>
      </c>
      <c r="O85" s="4" t="s">
        <v>39</v>
      </c>
      <c r="P85" s="4" t="s">
        <v>281</v>
      </c>
    </row>
    <row r="86" spans="1:18" x14ac:dyDescent="0.2">
      <c r="A86" s="274" t="s">
        <v>247</v>
      </c>
      <c r="B86" s="2" t="s">
        <v>1</v>
      </c>
      <c r="C86" s="166"/>
      <c r="D86" s="166"/>
      <c r="E86" s="166">
        <v>46387</v>
      </c>
      <c r="F86" s="166"/>
      <c r="G86" s="2" t="s">
        <v>4</v>
      </c>
      <c r="H86" s="271">
        <v>8978</v>
      </c>
      <c r="I86" s="271">
        <v>808.02</v>
      </c>
      <c r="J86" s="6">
        <f t="shared" si="6"/>
        <v>9786.02</v>
      </c>
      <c r="K86" s="6">
        <f t="shared" si="7"/>
        <v>9786.02</v>
      </c>
      <c r="L86" s="4" t="s">
        <v>99</v>
      </c>
      <c r="M86" s="2" t="s">
        <v>221</v>
      </c>
      <c r="N86" s="4" t="s">
        <v>282</v>
      </c>
      <c r="O86" s="4" t="s">
        <v>39</v>
      </c>
      <c r="P86" s="4" t="s">
        <v>283</v>
      </c>
    </row>
    <row r="87" spans="1:18" x14ac:dyDescent="0.2">
      <c r="A87" s="274" t="s">
        <v>247</v>
      </c>
      <c r="B87" s="2" t="s">
        <v>1</v>
      </c>
      <c r="C87" s="166"/>
      <c r="D87" s="166"/>
      <c r="E87" s="166">
        <v>46418</v>
      </c>
      <c r="F87" s="166"/>
      <c r="G87" s="2" t="s">
        <v>4</v>
      </c>
      <c r="H87" s="271">
        <v>8978</v>
      </c>
      <c r="I87" s="271">
        <v>808.02</v>
      </c>
      <c r="J87" s="6">
        <f t="shared" si="6"/>
        <v>9786.02</v>
      </c>
      <c r="K87" s="6">
        <f t="shared" si="7"/>
        <v>9786.02</v>
      </c>
      <c r="L87" s="4" t="s">
        <v>99</v>
      </c>
      <c r="M87" s="2" t="s">
        <v>221</v>
      </c>
      <c r="N87" s="4" t="s">
        <v>284</v>
      </c>
      <c r="O87" s="4" t="s">
        <v>39</v>
      </c>
      <c r="P87" s="4" t="s">
        <v>285</v>
      </c>
    </row>
    <row r="88" spans="1:18" x14ac:dyDescent="0.2">
      <c r="A88" s="2"/>
      <c r="B88" s="2"/>
      <c r="C88" s="164"/>
      <c r="D88" s="164"/>
      <c r="E88" s="164"/>
      <c r="F88" s="164"/>
      <c r="J88" s="6">
        <f t="shared" si="6"/>
        <v>0</v>
      </c>
      <c r="K88" s="6">
        <f t="shared" si="7"/>
        <v>0</v>
      </c>
    </row>
    <row r="89" spans="1:18" x14ac:dyDescent="0.2">
      <c r="A89" s="2"/>
      <c r="B89" s="2"/>
      <c r="C89" s="164"/>
      <c r="D89" s="164"/>
      <c r="E89" s="164"/>
      <c r="F89" s="164"/>
      <c r="J89" s="6">
        <f t="shared" si="6"/>
        <v>0</v>
      </c>
      <c r="K89" s="6">
        <f t="shared" si="7"/>
        <v>0</v>
      </c>
      <c r="Q89" s="19"/>
      <c r="R89" s="19"/>
    </row>
    <row r="90" spans="1:18" x14ac:dyDescent="0.2">
      <c r="A90" s="2"/>
      <c r="B90" s="2"/>
      <c r="C90" s="164"/>
      <c r="D90" s="164"/>
      <c r="E90" s="164"/>
      <c r="F90" s="164"/>
      <c r="J90" s="6">
        <f t="shared" si="6"/>
        <v>0</v>
      </c>
      <c r="K90" s="6">
        <f t="shared" si="7"/>
        <v>0</v>
      </c>
    </row>
    <row r="91" spans="1:18" x14ac:dyDescent="0.2">
      <c r="A91" s="2"/>
      <c r="B91" s="2"/>
      <c r="C91" s="164"/>
      <c r="D91" s="164"/>
      <c r="E91" s="164"/>
      <c r="F91" s="164"/>
      <c r="J91" s="6">
        <f t="shared" si="6"/>
        <v>0</v>
      </c>
      <c r="K91" s="6">
        <f t="shared" si="7"/>
        <v>0</v>
      </c>
    </row>
    <row r="92" spans="1:18" x14ac:dyDescent="0.2">
      <c r="A92" s="2"/>
      <c r="B92" s="2"/>
      <c r="C92" s="164"/>
      <c r="D92" s="164"/>
      <c r="E92" s="164"/>
      <c r="F92" s="164"/>
      <c r="J92" s="6">
        <f t="shared" si="6"/>
        <v>0</v>
      </c>
      <c r="K92" s="6">
        <f t="shared" si="7"/>
        <v>0</v>
      </c>
    </row>
    <row r="93" spans="1:18" x14ac:dyDescent="0.2">
      <c r="A93" s="2"/>
      <c r="B93" s="2"/>
      <c r="C93" s="164"/>
      <c r="D93" s="164"/>
      <c r="E93" s="164"/>
      <c r="F93" s="164"/>
    </row>
    <row r="94" spans="1:18" x14ac:dyDescent="0.2">
      <c r="A94" s="2"/>
      <c r="B94" s="2"/>
      <c r="C94" s="164"/>
      <c r="D94" s="164"/>
      <c r="E94" s="164"/>
      <c r="F94" s="164"/>
      <c r="H94" s="170">
        <f>SUM(H3:H93)</f>
        <v>2582927.2399999993</v>
      </c>
      <c r="I94" s="170">
        <f>SUM(I3:I93)</f>
        <v>84866.471500000043</v>
      </c>
      <c r="J94" s="170">
        <f>SUM(J3:J93)</f>
        <v>2667793.7115000002</v>
      </c>
      <c r="K94" s="170">
        <f>SUM(K3:K93)</f>
        <v>1137651.6826321986</v>
      </c>
    </row>
    <row r="95" spans="1:18" x14ac:dyDescent="0.2">
      <c r="A95" s="2"/>
      <c r="B95" s="2"/>
      <c r="C95" s="164"/>
      <c r="D95" s="164"/>
      <c r="E95" s="164"/>
      <c r="F95" s="164"/>
    </row>
    <row r="96" spans="1:18" x14ac:dyDescent="0.2">
      <c r="A96" s="2"/>
      <c r="B96" s="2"/>
      <c r="C96" s="164"/>
      <c r="D96" s="164"/>
      <c r="E96" s="164"/>
      <c r="F96" s="164"/>
    </row>
    <row r="97" spans="1:21" x14ac:dyDescent="0.2">
      <c r="A97" s="110" t="s">
        <v>286</v>
      </c>
      <c r="J97" s="19" t="s">
        <v>82</v>
      </c>
      <c r="K97" s="171">
        <v>0.24197899207946699</v>
      </c>
    </row>
    <row r="98" spans="1:21" s="2" customFormat="1" x14ac:dyDescent="0.2">
      <c r="A98" s="7" t="s">
        <v>87</v>
      </c>
      <c r="B98" s="7" t="s">
        <v>43</v>
      </c>
      <c r="C98" s="162" t="s">
        <v>6</v>
      </c>
      <c r="D98" s="162" t="s">
        <v>88</v>
      </c>
      <c r="E98" s="162" t="s">
        <v>5</v>
      </c>
      <c r="F98" s="163" t="s">
        <v>89</v>
      </c>
      <c r="G98" s="7" t="s">
        <v>70</v>
      </c>
      <c r="H98" s="9" t="s">
        <v>90</v>
      </c>
      <c r="I98" s="9" t="s">
        <v>91</v>
      </c>
      <c r="J98" s="9" t="s">
        <v>92</v>
      </c>
      <c r="K98" s="9" t="s">
        <v>72</v>
      </c>
      <c r="L98" s="9" t="s">
        <v>93</v>
      </c>
      <c r="M98" s="9" t="s">
        <v>94</v>
      </c>
      <c r="N98" s="7" t="s">
        <v>95</v>
      </c>
      <c r="O98" s="7" t="s">
        <v>96</v>
      </c>
      <c r="P98" s="7"/>
      <c r="Q98" s="7" t="s">
        <v>53</v>
      </c>
      <c r="R98" s="7" t="s">
        <v>64</v>
      </c>
      <c r="S98" s="7" t="s">
        <v>67</v>
      </c>
      <c r="T98" s="7" t="s">
        <v>97</v>
      </c>
      <c r="U98" s="7" t="s">
        <v>98</v>
      </c>
    </row>
    <row r="99" spans="1:21" s="165" customFormat="1" x14ac:dyDescent="0.2">
      <c r="A99" s="270" t="s">
        <v>15</v>
      </c>
      <c r="B99" s="2" t="s">
        <v>2</v>
      </c>
      <c r="C99" s="164">
        <v>46000</v>
      </c>
      <c r="D99" s="164">
        <v>46090</v>
      </c>
      <c r="E99" s="166">
        <v>46142</v>
      </c>
      <c r="F99" s="164">
        <v>46135</v>
      </c>
      <c r="G99" s="2" t="s">
        <v>82</v>
      </c>
      <c r="H99" s="271">
        <v>197700</v>
      </c>
      <c r="I99" s="271">
        <v>15816</v>
      </c>
      <c r="J99" s="6">
        <f t="shared" ref="J99" si="8">H99+I99</f>
        <v>213516</v>
      </c>
      <c r="K99" s="6">
        <f>IF(G99="MYR", J99*$K$97, J99)</f>
        <v>51666.386472839476</v>
      </c>
      <c r="L99" s="4" t="s">
        <v>287</v>
      </c>
      <c r="M99" s="2" t="s">
        <v>288</v>
      </c>
      <c r="N99" s="4" t="s">
        <v>289</v>
      </c>
      <c r="O99" s="4" t="s">
        <v>290</v>
      </c>
      <c r="P99" s="4" t="s">
        <v>291</v>
      </c>
      <c r="Q99" s="2" t="s">
        <v>10</v>
      </c>
      <c r="R99" s="2" t="s">
        <v>10</v>
      </c>
      <c r="S99" s="135" t="s">
        <v>103</v>
      </c>
      <c r="T99" s="2" t="s">
        <v>104</v>
      </c>
      <c r="U99" s="2"/>
    </row>
    <row r="100" spans="1:21" x14ac:dyDescent="0.2">
      <c r="A100" s="270" t="s">
        <v>15</v>
      </c>
      <c r="B100" s="2" t="s">
        <v>2</v>
      </c>
      <c r="C100" s="164">
        <v>46008</v>
      </c>
      <c r="D100" s="164">
        <v>46038</v>
      </c>
      <c r="E100" s="166">
        <v>46081</v>
      </c>
      <c r="F100" s="164">
        <v>46066</v>
      </c>
      <c r="G100" s="2" t="s">
        <v>82</v>
      </c>
      <c r="H100" s="271">
        <v>1876020</v>
      </c>
      <c r="I100" s="271">
        <v>7200</v>
      </c>
      <c r="J100" s="6">
        <f>H100+I100</f>
        <v>1883220</v>
      </c>
      <c r="K100" s="6">
        <f t="shared" ref="K100:K105" si="9">IF(G100="MYR", J100*$K$97, J100)</f>
        <v>455699.67746389384</v>
      </c>
      <c r="L100" s="4" t="s">
        <v>292</v>
      </c>
      <c r="M100" s="2" t="s">
        <v>100</v>
      </c>
      <c r="N100" s="4" t="s">
        <v>293</v>
      </c>
      <c r="O100" s="4" t="s">
        <v>31</v>
      </c>
      <c r="P100" s="4" t="s">
        <v>294</v>
      </c>
      <c r="Q100" s="2" t="s">
        <v>10</v>
      </c>
      <c r="R100" s="2" t="s">
        <v>10</v>
      </c>
      <c r="S100" s="135" t="s">
        <v>103</v>
      </c>
      <c r="T100" s="2" t="s">
        <v>104</v>
      </c>
      <c r="U100" s="2"/>
    </row>
    <row r="101" spans="1:21" x14ac:dyDescent="0.2">
      <c r="A101" s="270" t="s">
        <v>15</v>
      </c>
      <c r="B101" s="2" t="s">
        <v>2</v>
      </c>
      <c r="C101" s="164">
        <v>46057</v>
      </c>
      <c r="D101" s="164">
        <v>46087</v>
      </c>
      <c r="E101" s="166">
        <v>46112</v>
      </c>
      <c r="F101" s="164">
        <v>46094</v>
      </c>
      <c r="G101" s="2" t="s">
        <v>82</v>
      </c>
      <c r="H101" s="271">
        <v>32000</v>
      </c>
      <c r="I101" s="271">
        <v>0</v>
      </c>
      <c r="J101" s="6">
        <f t="shared" ref="J101:J112" si="10">H101+I101</f>
        <v>32000</v>
      </c>
      <c r="K101" s="6">
        <f t="shared" si="9"/>
        <v>7743.3277465429437</v>
      </c>
      <c r="L101" s="4" t="s">
        <v>292</v>
      </c>
      <c r="M101" s="2" t="s">
        <v>295</v>
      </c>
      <c r="N101" s="4" t="s">
        <v>296</v>
      </c>
      <c r="O101" s="4" t="s">
        <v>297</v>
      </c>
      <c r="P101" s="4" t="s">
        <v>298</v>
      </c>
      <c r="Q101" s="2" t="s">
        <v>10</v>
      </c>
      <c r="R101" s="2" t="s">
        <v>10</v>
      </c>
      <c r="S101" s="135" t="s">
        <v>103</v>
      </c>
      <c r="T101" s="2" t="s">
        <v>113</v>
      </c>
      <c r="U101" s="2"/>
    </row>
    <row r="102" spans="1:21" x14ac:dyDescent="0.2">
      <c r="A102" s="2" t="s">
        <v>8</v>
      </c>
      <c r="B102" s="2" t="s">
        <v>2</v>
      </c>
      <c r="C102" s="166">
        <v>46147</v>
      </c>
      <c r="D102" s="166">
        <v>46238</v>
      </c>
      <c r="E102" s="166">
        <v>46265</v>
      </c>
      <c r="F102" s="166"/>
      <c r="G102" s="2" t="s">
        <v>82</v>
      </c>
      <c r="H102" s="271">
        <v>26000</v>
      </c>
      <c r="I102" s="271">
        <v>2080</v>
      </c>
      <c r="J102" s="6">
        <f t="shared" si="10"/>
        <v>28080</v>
      </c>
      <c r="K102" s="6">
        <f t="shared" si="9"/>
        <v>6794.7700975914331</v>
      </c>
      <c r="L102" s="4" t="s">
        <v>300</v>
      </c>
      <c r="M102" s="2" t="s">
        <v>188</v>
      </c>
      <c r="N102" s="4" t="s">
        <v>301</v>
      </c>
      <c r="O102" s="4" t="s">
        <v>32</v>
      </c>
      <c r="P102" s="4" t="s">
        <v>302</v>
      </c>
    </row>
    <row r="103" spans="1:21" x14ac:dyDescent="0.2">
      <c r="A103" s="2" t="s">
        <v>8</v>
      </c>
      <c r="B103" s="2" t="s">
        <v>2</v>
      </c>
      <c r="C103" s="164">
        <v>46147</v>
      </c>
      <c r="D103" s="164">
        <v>46238</v>
      </c>
      <c r="E103" s="166">
        <v>46265</v>
      </c>
      <c r="F103" s="164"/>
      <c r="G103" s="2" t="s">
        <v>82</v>
      </c>
      <c r="H103" s="271">
        <v>102990</v>
      </c>
      <c r="I103" s="271">
        <v>8239.2000000000007</v>
      </c>
      <c r="J103" s="6">
        <f t="shared" si="10"/>
        <v>111229.2</v>
      </c>
      <c r="K103" s="6">
        <f t="shared" si="9"/>
        <v>26915.129705805448</v>
      </c>
      <c r="L103" s="4" t="s">
        <v>300</v>
      </c>
      <c r="M103" s="2" t="s">
        <v>192</v>
      </c>
      <c r="N103" s="4" t="s">
        <v>303</v>
      </c>
      <c r="O103" s="4" t="s">
        <v>33</v>
      </c>
      <c r="P103" s="4" t="s">
        <v>304</v>
      </c>
    </row>
    <row r="104" spans="1:21" x14ac:dyDescent="0.2">
      <c r="A104" s="270" t="s">
        <v>15</v>
      </c>
      <c r="B104" s="2" t="s">
        <v>2</v>
      </c>
      <c r="C104" s="164">
        <v>46149</v>
      </c>
      <c r="D104" s="164">
        <v>46179</v>
      </c>
      <c r="E104" s="166">
        <v>46173</v>
      </c>
      <c r="F104" s="164">
        <v>46171</v>
      </c>
      <c r="G104" s="2" t="s">
        <v>82</v>
      </c>
      <c r="H104" s="271">
        <v>4000</v>
      </c>
      <c r="I104" s="271">
        <v>0</v>
      </c>
      <c r="J104" s="6">
        <f t="shared" si="10"/>
        <v>4000</v>
      </c>
      <c r="K104" s="6">
        <f t="shared" si="9"/>
        <v>967.91596831786796</v>
      </c>
      <c r="L104" s="4" t="s">
        <v>292</v>
      </c>
      <c r="M104" s="2" t="s">
        <v>195</v>
      </c>
      <c r="N104" s="4" t="s">
        <v>305</v>
      </c>
      <c r="O104" s="4" t="s">
        <v>306</v>
      </c>
      <c r="P104" s="4" t="s">
        <v>307</v>
      </c>
      <c r="S104" s="135"/>
      <c r="U104" s="2"/>
    </row>
    <row r="105" spans="1:21" x14ac:dyDescent="0.2">
      <c r="A105" s="2" t="s">
        <v>8</v>
      </c>
      <c r="B105" s="2" t="s">
        <v>2</v>
      </c>
      <c r="C105" s="164">
        <v>46164</v>
      </c>
      <c r="D105" s="164">
        <v>46254</v>
      </c>
      <c r="E105" s="166">
        <v>46264</v>
      </c>
      <c r="F105" s="164"/>
      <c r="G105" s="2" t="s">
        <v>82</v>
      </c>
      <c r="H105" s="271">
        <v>241470</v>
      </c>
      <c r="I105" s="271">
        <v>19317.599999999999</v>
      </c>
      <c r="J105" s="6">
        <f t="shared" si="10"/>
        <v>260787.6</v>
      </c>
      <c r="K105" s="6">
        <f t="shared" si="9"/>
        <v>63105.120594823209</v>
      </c>
      <c r="L105" s="4" t="s">
        <v>300</v>
      </c>
      <c r="M105" s="2" t="s">
        <v>198</v>
      </c>
      <c r="N105" s="4" t="s">
        <v>308</v>
      </c>
      <c r="O105" s="4" t="s">
        <v>34</v>
      </c>
      <c r="P105" s="4" t="s">
        <v>309</v>
      </c>
      <c r="Q105" s="2" t="s">
        <v>10</v>
      </c>
      <c r="R105" s="2" t="s">
        <v>10</v>
      </c>
      <c r="T105" s="2" t="s">
        <v>104</v>
      </c>
    </row>
    <row r="106" spans="1:21" x14ac:dyDescent="0.2">
      <c r="A106" s="2" t="s">
        <v>8</v>
      </c>
      <c r="B106" s="2" t="s">
        <v>2</v>
      </c>
      <c r="C106" s="166">
        <v>46171</v>
      </c>
      <c r="D106" s="166">
        <v>46201</v>
      </c>
      <c r="E106" s="166">
        <v>46203</v>
      </c>
      <c r="F106" s="166"/>
      <c r="G106" s="2" t="s">
        <v>82</v>
      </c>
      <c r="H106" s="271">
        <v>313870</v>
      </c>
      <c r="I106" s="271">
        <v>720</v>
      </c>
      <c r="J106" s="6">
        <f>H106+I106</f>
        <v>314590</v>
      </c>
      <c r="K106" s="6">
        <f>IF(G106="MYR", J106*$K$97, J106)</f>
        <v>76124.171118279526</v>
      </c>
      <c r="L106" s="4" t="s">
        <v>292</v>
      </c>
      <c r="M106" s="2" t="s">
        <v>201</v>
      </c>
      <c r="N106" s="4" t="s">
        <v>310</v>
      </c>
      <c r="O106" s="4" t="s">
        <v>31</v>
      </c>
      <c r="P106" s="4" t="s">
        <v>311</v>
      </c>
      <c r="Q106" s="2" t="s">
        <v>10</v>
      </c>
      <c r="R106" s="2" t="s">
        <v>10</v>
      </c>
      <c r="S106" s="4" t="s">
        <v>103</v>
      </c>
      <c r="T106" s="2" t="s">
        <v>104</v>
      </c>
    </row>
    <row r="107" spans="1:21" x14ac:dyDescent="0.2">
      <c r="A107" s="2"/>
      <c r="B107" s="2"/>
      <c r="C107" s="164"/>
      <c r="D107" s="164"/>
      <c r="E107" s="164"/>
      <c r="F107" s="164"/>
      <c r="H107" s="16"/>
      <c r="I107" s="16"/>
      <c r="J107" s="6">
        <f t="shared" si="10"/>
        <v>0</v>
      </c>
      <c r="K107" s="16">
        <f t="shared" ref="K107:K111" si="11">IF(G107="MYR", J107*$K$97, J107)</f>
        <v>0</v>
      </c>
      <c r="L107" s="18"/>
      <c r="M107" s="160"/>
      <c r="N107" s="160"/>
      <c r="O107" s="160"/>
      <c r="P107" s="18"/>
      <c r="Q107" s="18"/>
      <c r="R107" s="4"/>
      <c r="S107" s="2"/>
      <c r="T107" s="4"/>
    </row>
    <row r="108" spans="1:21" x14ac:dyDescent="0.2">
      <c r="A108" s="2"/>
      <c r="B108" s="2"/>
      <c r="C108" s="164"/>
      <c r="D108" s="164"/>
      <c r="E108" s="164"/>
      <c r="F108" s="164"/>
      <c r="H108" s="16"/>
      <c r="I108" s="16"/>
      <c r="J108" s="6">
        <f t="shared" si="10"/>
        <v>0</v>
      </c>
      <c r="K108" s="16">
        <f t="shared" si="11"/>
        <v>0</v>
      </c>
      <c r="L108" s="18"/>
      <c r="M108" s="160"/>
      <c r="N108" s="160"/>
      <c r="O108" s="160"/>
      <c r="P108" s="18"/>
      <c r="Q108" s="18"/>
      <c r="R108" s="4"/>
      <c r="S108" s="2"/>
      <c r="T108" s="4"/>
    </row>
    <row r="109" spans="1:21" x14ac:dyDescent="0.2">
      <c r="A109" s="2"/>
      <c r="B109" s="2"/>
      <c r="C109" s="164"/>
      <c r="D109" s="164"/>
      <c r="E109" s="164"/>
      <c r="F109" s="164"/>
      <c r="H109" s="16"/>
      <c r="I109" s="16"/>
      <c r="J109" s="6">
        <f t="shared" si="10"/>
        <v>0</v>
      </c>
      <c r="K109" s="16">
        <f t="shared" si="11"/>
        <v>0</v>
      </c>
      <c r="L109" s="18"/>
      <c r="M109" s="160"/>
      <c r="N109" s="160"/>
      <c r="O109" s="160"/>
      <c r="P109" s="18"/>
      <c r="Q109" s="18"/>
      <c r="R109" s="4"/>
      <c r="S109" s="2"/>
      <c r="T109" s="4"/>
    </row>
    <row r="110" spans="1:21" x14ac:dyDescent="0.2">
      <c r="A110" s="2"/>
      <c r="B110" s="2"/>
      <c r="C110" s="164"/>
      <c r="D110" s="164"/>
      <c r="E110" s="164"/>
      <c r="F110" s="164"/>
      <c r="H110" s="16"/>
      <c r="I110" s="16"/>
      <c r="J110" s="6">
        <f t="shared" si="10"/>
        <v>0</v>
      </c>
      <c r="K110" s="16">
        <f t="shared" si="11"/>
        <v>0</v>
      </c>
      <c r="L110" s="18"/>
      <c r="M110" s="160"/>
      <c r="N110" s="160"/>
      <c r="O110" s="160"/>
      <c r="P110" s="18"/>
      <c r="Q110" s="18"/>
      <c r="R110" s="4"/>
      <c r="S110" s="2"/>
      <c r="T110" s="4"/>
    </row>
    <row r="111" spans="1:21" x14ac:dyDescent="0.2">
      <c r="A111" s="2"/>
      <c r="B111" s="2"/>
      <c r="C111" s="164"/>
      <c r="D111" s="164"/>
      <c r="E111" s="164"/>
      <c r="F111" s="164"/>
      <c r="H111" s="16"/>
      <c r="I111" s="16"/>
      <c r="J111" s="6">
        <f t="shared" si="10"/>
        <v>0</v>
      </c>
      <c r="K111" s="16">
        <f t="shared" si="11"/>
        <v>0</v>
      </c>
      <c r="L111" s="18"/>
      <c r="M111" s="160"/>
      <c r="N111" s="160"/>
      <c r="O111" s="160"/>
      <c r="P111" s="18"/>
      <c r="Q111" s="18"/>
      <c r="R111" s="4"/>
      <c r="S111" s="2"/>
      <c r="T111" s="4"/>
    </row>
    <row r="112" spans="1:21" x14ac:dyDescent="0.2">
      <c r="A112" s="2"/>
      <c r="B112" s="2"/>
      <c r="C112" s="164"/>
      <c r="D112" s="164"/>
      <c r="E112" s="164"/>
      <c r="F112" s="164"/>
      <c r="H112" s="16"/>
      <c r="I112" s="16"/>
      <c r="J112" s="6">
        <f t="shared" si="10"/>
        <v>0</v>
      </c>
      <c r="K112" s="16">
        <f>IF(G112="MYR", J112*$K$97, J112)</f>
        <v>0</v>
      </c>
      <c r="L112" s="18"/>
      <c r="M112" s="160"/>
      <c r="N112" s="160"/>
      <c r="O112" s="160"/>
      <c r="P112" s="18"/>
      <c r="Q112" s="18"/>
      <c r="R112" s="4"/>
      <c r="S112" s="2"/>
      <c r="T112" s="4"/>
    </row>
    <row r="113" spans="1:21" x14ac:dyDescent="0.2">
      <c r="A113" s="2"/>
      <c r="B113" s="2"/>
      <c r="C113" s="164"/>
      <c r="D113" s="164"/>
      <c r="E113" s="164"/>
      <c r="F113" s="164"/>
      <c r="H113" s="16"/>
      <c r="I113" s="16"/>
      <c r="J113" s="16"/>
      <c r="K113" s="16"/>
      <c r="L113" s="18"/>
      <c r="M113" s="4"/>
      <c r="P113" s="2"/>
      <c r="R113" s="4"/>
      <c r="S113" s="2"/>
      <c r="T113" s="4"/>
    </row>
    <row r="114" spans="1:21" x14ac:dyDescent="0.2">
      <c r="A114" s="2"/>
      <c r="B114" s="2"/>
      <c r="C114" s="126"/>
      <c r="D114" s="126"/>
      <c r="E114" s="126"/>
      <c r="F114" s="126"/>
      <c r="I114" s="170">
        <f>SUM(I99:I113)</f>
        <v>53372.799999999996</v>
      </c>
      <c r="J114" s="170">
        <f>SUM(J99:J113)</f>
        <v>2847422.8000000003</v>
      </c>
      <c r="K114" s="170">
        <f>SUM(K99:K113)</f>
        <v>689016.49916809367</v>
      </c>
    </row>
    <row r="115" spans="1:21" x14ac:dyDescent="0.2">
      <c r="A115" s="2"/>
      <c r="B115" s="2"/>
      <c r="C115" s="126"/>
      <c r="D115" s="126"/>
      <c r="E115" s="126"/>
      <c r="F115" s="126"/>
    </row>
    <row r="116" spans="1:21" x14ac:dyDescent="0.2">
      <c r="A116" s="2"/>
      <c r="B116" s="2"/>
      <c r="C116" s="126"/>
      <c r="D116" s="126"/>
      <c r="E116" s="126"/>
      <c r="F116" s="126"/>
    </row>
    <row r="117" spans="1:21" s="173" customFormat="1" x14ac:dyDescent="0.2">
      <c r="A117" s="172" t="s">
        <v>312</v>
      </c>
      <c r="C117" s="174"/>
      <c r="D117" s="174"/>
      <c r="E117" s="174"/>
      <c r="F117" s="174"/>
      <c r="G117" s="175"/>
      <c r="H117" s="176"/>
      <c r="I117" s="176"/>
      <c r="J117" s="277" t="s">
        <v>79</v>
      </c>
      <c r="K117" s="171">
        <v>0.14086589211870901</v>
      </c>
      <c r="L117" s="176"/>
      <c r="M117" s="275"/>
      <c r="Q117" s="175"/>
      <c r="R117" s="175"/>
      <c r="T117" s="175"/>
    </row>
    <row r="118" spans="1:21" s="2" customFormat="1" x14ac:dyDescent="0.2">
      <c r="A118" s="7" t="s">
        <v>87</v>
      </c>
      <c r="B118" s="7" t="s">
        <v>43</v>
      </c>
      <c r="C118" s="162" t="s">
        <v>6</v>
      </c>
      <c r="D118" s="162" t="s">
        <v>88</v>
      </c>
      <c r="E118" s="162" t="s">
        <v>5</v>
      </c>
      <c r="F118" s="162" t="s">
        <v>89</v>
      </c>
      <c r="G118" s="7" t="s">
        <v>70</v>
      </c>
      <c r="H118" s="9" t="s">
        <v>90</v>
      </c>
      <c r="I118" s="9" t="s">
        <v>91</v>
      </c>
      <c r="J118" s="9" t="s">
        <v>92</v>
      </c>
      <c r="K118" s="9" t="s">
        <v>72</v>
      </c>
      <c r="L118" s="9" t="s">
        <v>93</v>
      </c>
      <c r="M118" s="9" t="s">
        <v>94</v>
      </c>
      <c r="N118" s="7" t="s">
        <v>95</v>
      </c>
      <c r="O118" s="7" t="s">
        <v>96</v>
      </c>
      <c r="P118" s="7"/>
      <c r="Q118" s="7" t="s">
        <v>53</v>
      </c>
      <c r="R118" s="7" t="s">
        <v>64</v>
      </c>
      <c r="S118" s="7" t="s">
        <v>67</v>
      </c>
      <c r="T118" s="7"/>
      <c r="U118" s="7" t="s">
        <v>98</v>
      </c>
    </row>
    <row r="119" spans="1:21" x14ac:dyDescent="0.2">
      <c r="A119" s="270" t="s">
        <v>15</v>
      </c>
      <c r="B119" s="2" t="s">
        <v>3</v>
      </c>
      <c r="C119" s="164">
        <v>45985</v>
      </c>
      <c r="D119" s="164">
        <v>45996</v>
      </c>
      <c r="E119" s="164">
        <v>46022</v>
      </c>
      <c r="F119" s="164">
        <v>46002</v>
      </c>
      <c r="G119" s="2" t="s">
        <v>79</v>
      </c>
      <c r="H119" s="6">
        <v>65526.89</v>
      </c>
      <c r="I119" s="6">
        <v>3931.61</v>
      </c>
      <c r="J119" s="6">
        <f t="shared" ref="J119:J123" si="12">H119+I119</f>
        <v>69458.5</v>
      </c>
      <c r="K119" s="6">
        <f>IF(G119="CNY", J119*$K$117, J119)</f>
        <v>9784.3335677273499</v>
      </c>
      <c r="L119" s="176" t="s">
        <v>313</v>
      </c>
      <c r="M119" s="276" t="s">
        <v>314</v>
      </c>
      <c r="N119" s="176" t="s">
        <v>315</v>
      </c>
      <c r="O119" s="4" t="s">
        <v>316</v>
      </c>
      <c r="Q119" s="2" t="s">
        <v>10</v>
      </c>
      <c r="R119" s="19" t="s">
        <v>10</v>
      </c>
      <c r="S119" s="4" t="s">
        <v>317</v>
      </c>
    </row>
    <row r="120" spans="1:21" x14ac:dyDescent="0.2">
      <c r="A120" s="270" t="s">
        <v>15</v>
      </c>
      <c r="B120" s="2" t="s">
        <v>3</v>
      </c>
      <c r="C120" s="164">
        <v>45985</v>
      </c>
      <c r="D120" s="164">
        <v>45996</v>
      </c>
      <c r="E120" s="164">
        <v>46022</v>
      </c>
      <c r="F120" s="164">
        <v>46002</v>
      </c>
      <c r="G120" s="2" t="s">
        <v>79</v>
      </c>
      <c r="H120" s="6">
        <v>235849.06</v>
      </c>
      <c r="I120" s="6">
        <v>14150.94</v>
      </c>
      <c r="J120" s="6">
        <f t="shared" si="12"/>
        <v>250000</v>
      </c>
      <c r="K120" s="6">
        <f t="shared" ref="K120:K128" si="13">IF(G120="CNY", J120*$K$117, J120)</f>
        <v>35216.473029677254</v>
      </c>
      <c r="L120" s="176" t="s">
        <v>313</v>
      </c>
      <c r="M120" s="276" t="s">
        <v>318</v>
      </c>
      <c r="N120" s="176" t="s">
        <v>315</v>
      </c>
      <c r="O120" s="4" t="s">
        <v>316</v>
      </c>
      <c r="Q120" s="2" t="s">
        <v>10</v>
      </c>
      <c r="R120" s="19" t="s">
        <v>10</v>
      </c>
      <c r="S120" s="4" t="s">
        <v>317</v>
      </c>
    </row>
    <row r="121" spans="1:21" x14ac:dyDescent="0.2">
      <c r="A121" s="270" t="s">
        <v>15</v>
      </c>
      <c r="B121" s="2" t="s">
        <v>3</v>
      </c>
      <c r="C121" s="164">
        <v>45985</v>
      </c>
      <c r="D121" s="164">
        <v>45996</v>
      </c>
      <c r="E121" s="164">
        <v>46022</v>
      </c>
      <c r="F121" s="164">
        <v>46002</v>
      </c>
      <c r="G121" s="2" t="s">
        <v>79</v>
      </c>
      <c r="H121" s="6">
        <v>235849.06</v>
      </c>
      <c r="I121" s="6">
        <v>14150.94</v>
      </c>
      <c r="J121" s="6">
        <f t="shared" si="12"/>
        <v>250000</v>
      </c>
      <c r="K121" s="6">
        <f t="shared" si="13"/>
        <v>35216.473029677254</v>
      </c>
      <c r="L121" s="176" t="s">
        <v>313</v>
      </c>
      <c r="M121" s="276" t="s">
        <v>319</v>
      </c>
      <c r="N121" s="176" t="s">
        <v>315</v>
      </c>
      <c r="O121" s="4" t="s">
        <v>316</v>
      </c>
      <c r="Q121" s="2" t="s">
        <v>10</v>
      </c>
      <c r="R121" s="19" t="s">
        <v>10</v>
      </c>
      <c r="S121" s="4" t="s">
        <v>317</v>
      </c>
    </row>
    <row r="122" spans="1:21" x14ac:dyDescent="0.2">
      <c r="A122" s="270" t="s">
        <v>15</v>
      </c>
      <c r="B122" s="2" t="s">
        <v>3</v>
      </c>
      <c r="C122" s="164">
        <v>46020</v>
      </c>
      <c r="D122" s="164">
        <v>46034</v>
      </c>
      <c r="E122" s="164">
        <v>46052</v>
      </c>
      <c r="F122" s="164">
        <v>46045</v>
      </c>
      <c r="G122" s="2" t="s">
        <v>79</v>
      </c>
      <c r="H122" s="6">
        <v>537225</v>
      </c>
      <c r="I122" s="6">
        <v>32233.5</v>
      </c>
      <c r="J122" s="6">
        <f t="shared" si="12"/>
        <v>569458.5</v>
      </c>
      <c r="K122" s="6">
        <f t="shared" si="13"/>
        <v>80217.279627081851</v>
      </c>
      <c r="L122" s="176" t="s">
        <v>313</v>
      </c>
      <c r="M122" s="276" t="s">
        <v>320</v>
      </c>
      <c r="N122" s="176" t="s">
        <v>315</v>
      </c>
      <c r="O122" s="4" t="s">
        <v>316</v>
      </c>
      <c r="Q122" s="19" t="s">
        <v>10</v>
      </c>
      <c r="R122" s="19" t="s">
        <v>10</v>
      </c>
      <c r="S122" s="4" t="s">
        <v>317</v>
      </c>
    </row>
    <row r="123" spans="1:21" x14ac:dyDescent="0.2">
      <c r="A123" s="270" t="s">
        <v>15</v>
      </c>
      <c r="B123" s="2" t="s">
        <v>3</v>
      </c>
      <c r="C123" s="164">
        <v>46127</v>
      </c>
      <c r="D123" s="164">
        <v>46142</v>
      </c>
      <c r="E123" s="164">
        <v>46142</v>
      </c>
      <c r="F123" s="164">
        <v>46169</v>
      </c>
      <c r="G123" s="2" t="s">
        <v>79</v>
      </c>
      <c r="H123" s="6">
        <v>9400</v>
      </c>
      <c r="I123" s="6">
        <v>564</v>
      </c>
      <c r="J123" s="6">
        <f t="shared" si="12"/>
        <v>9964</v>
      </c>
      <c r="K123" s="6">
        <f t="shared" si="13"/>
        <v>1403.5877490708165</v>
      </c>
      <c r="L123" s="176" t="s">
        <v>321</v>
      </c>
      <c r="M123" s="276" t="s">
        <v>322</v>
      </c>
      <c r="N123" s="176" t="s">
        <v>323</v>
      </c>
      <c r="O123" s="4" t="s">
        <v>324</v>
      </c>
      <c r="Q123" s="2" t="s">
        <v>10</v>
      </c>
      <c r="R123" s="19" t="s">
        <v>10</v>
      </c>
    </row>
    <row r="124" spans="1:21" x14ac:dyDescent="0.2">
      <c r="A124" s="270" t="s">
        <v>15</v>
      </c>
      <c r="B124" s="2" t="s">
        <v>3</v>
      </c>
      <c r="C124" s="164">
        <v>46167</v>
      </c>
      <c r="D124" s="164">
        <v>46173</v>
      </c>
      <c r="E124" s="164">
        <v>46173</v>
      </c>
      <c r="F124" s="164">
        <v>46169</v>
      </c>
      <c r="G124" s="2" t="s">
        <v>79</v>
      </c>
      <c r="H124" s="271">
        <v>402500</v>
      </c>
      <c r="I124" s="271">
        <v>24150</v>
      </c>
      <c r="J124" s="6">
        <f>H124+I124</f>
        <v>426650</v>
      </c>
      <c r="K124" s="6">
        <f>IF(G124="CNY", J124*$K$117, J124)</f>
        <v>60100.4328724472</v>
      </c>
      <c r="L124" s="176" t="s">
        <v>313</v>
      </c>
      <c r="M124" s="4"/>
      <c r="N124" s="2"/>
      <c r="O124" s="4" t="s">
        <v>315</v>
      </c>
      <c r="Q124" s="2" t="s">
        <v>10</v>
      </c>
      <c r="R124" s="19" t="s">
        <v>10</v>
      </c>
      <c r="S124" s="2"/>
      <c r="T124" s="4"/>
      <c r="U124" s="2"/>
    </row>
    <row r="125" spans="1:21" x14ac:dyDescent="0.2">
      <c r="A125" s="2"/>
      <c r="B125" s="2"/>
      <c r="C125" s="164"/>
      <c r="D125" s="164"/>
      <c r="E125" s="164"/>
      <c r="F125" s="164"/>
      <c r="J125" s="6">
        <f t="shared" ref="J125:J128" si="14">H125+I125</f>
        <v>0</v>
      </c>
      <c r="K125" s="6">
        <f t="shared" si="13"/>
        <v>0</v>
      </c>
    </row>
    <row r="126" spans="1:21" x14ac:dyDescent="0.2">
      <c r="A126" s="2"/>
      <c r="B126" s="2"/>
      <c r="C126" s="164"/>
      <c r="D126" s="164"/>
      <c r="E126" s="164"/>
      <c r="F126" s="164"/>
      <c r="J126" s="6">
        <f t="shared" si="14"/>
        <v>0</v>
      </c>
      <c r="K126" s="6">
        <f t="shared" si="13"/>
        <v>0</v>
      </c>
    </row>
    <row r="127" spans="1:21" x14ac:dyDescent="0.2">
      <c r="A127" s="2"/>
      <c r="B127" s="2"/>
      <c r="C127" s="164"/>
      <c r="D127" s="164"/>
      <c r="E127" s="164"/>
      <c r="F127" s="164"/>
      <c r="J127" s="6">
        <f t="shared" si="14"/>
        <v>0</v>
      </c>
      <c r="K127" s="6">
        <f t="shared" si="13"/>
        <v>0</v>
      </c>
      <c r="L127" s="271"/>
    </row>
    <row r="128" spans="1:21" x14ac:dyDescent="0.2">
      <c r="A128" s="2"/>
      <c r="B128" s="2"/>
      <c r="C128" s="164"/>
      <c r="D128" s="164"/>
      <c r="E128" s="164"/>
      <c r="F128" s="164"/>
      <c r="J128" s="6">
        <f t="shared" si="14"/>
        <v>0</v>
      </c>
      <c r="K128" s="6">
        <f t="shared" si="13"/>
        <v>0</v>
      </c>
    </row>
    <row r="129" spans="1:11" x14ac:dyDescent="0.2">
      <c r="A129" s="2"/>
      <c r="B129" s="2"/>
      <c r="C129" s="164"/>
      <c r="D129" s="164"/>
      <c r="E129" s="164"/>
      <c r="F129" s="164"/>
    </row>
    <row r="130" spans="1:11" x14ac:dyDescent="0.2">
      <c r="C130" s="164"/>
      <c r="D130" s="164"/>
      <c r="E130" s="164"/>
      <c r="F130" s="164"/>
      <c r="H130" s="170">
        <f>SUM(H119:H129)</f>
        <v>1486350.01</v>
      </c>
      <c r="I130" s="170">
        <f t="shared" ref="I130:K130" si="15">SUM(I119:I129)</f>
        <v>89180.989999999991</v>
      </c>
      <c r="J130" s="170">
        <f t="shared" si="15"/>
        <v>1575531</v>
      </c>
      <c r="K130" s="170">
        <f t="shared" si="15"/>
        <v>221938.57987568172</v>
      </c>
    </row>
  </sheetData>
  <autoFilter ref="A2:V92" xr:uid="{57972B28-1F16-4C4E-81B2-DCBD715A5B26}">
    <sortState xmlns:xlrd2="http://schemas.microsoft.com/office/spreadsheetml/2017/richdata2" ref="A3:V92">
      <sortCondition ref="C2:C92"/>
    </sortState>
  </autoFilter>
  <phoneticPr fontId="5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6B90AA-9AEA-449C-9BC3-E0005A619398}">
          <x14:formula1>
            <xm:f>Setting!$D$19:$D$24</xm:f>
          </x14:formula1>
          <xm:sqref>A3:A87 A89:A1048576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87AD-EC1F-4474-B063-1F570A810594}">
  <sheetPr>
    <tabColor rgb="FFE36D6D"/>
  </sheetPr>
  <dimension ref="A3:A25"/>
  <sheetViews>
    <sheetView workbookViewId="0">
      <selection activeCell="O39" sqref="O39"/>
    </sheetView>
  </sheetViews>
  <sheetFormatPr defaultRowHeight="12.75" x14ac:dyDescent="0.2"/>
  <cols>
    <col min="1" max="1" width="12" bestFit="1" customWidth="1"/>
  </cols>
  <sheetData>
    <row r="3" spans="1:1" x14ac:dyDescent="0.2">
      <c r="A3" s="64" t="s">
        <v>65</v>
      </c>
    </row>
    <row r="4" spans="1:1" x14ac:dyDescent="0.2">
      <c r="A4" s="65" t="s">
        <v>7</v>
      </c>
    </row>
    <row r="5" spans="1:1" x14ac:dyDescent="0.2">
      <c r="A5" s="66" t="s">
        <v>24</v>
      </c>
    </row>
    <row r="6" spans="1:1" x14ac:dyDescent="0.2">
      <c r="A6" s="87" t="s">
        <v>26</v>
      </c>
    </row>
    <row r="7" spans="1:1" x14ac:dyDescent="0.2">
      <c r="A7" s="86" t="s">
        <v>3</v>
      </c>
    </row>
    <row r="8" spans="1:1" x14ac:dyDescent="0.2">
      <c r="A8" s="86" t="s">
        <v>1</v>
      </c>
    </row>
    <row r="9" spans="1:1" x14ac:dyDescent="0.2">
      <c r="A9" s="87" t="s">
        <v>27</v>
      </c>
    </row>
    <row r="10" spans="1:1" x14ac:dyDescent="0.2">
      <c r="A10" s="86" t="s">
        <v>3</v>
      </c>
    </row>
    <row r="11" spans="1:1" x14ac:dyDescent="0.2">
      <c r="A11" s="86" t="s">
        <v>2</v>
      </c>
    </row>
    <row r="12" spans="1:1" x14ac:dyDescent="0.2">
      <c r="A12" s="86" t="s">
        <v>1</v>
      </c>
    </row>
    <row r="13" spans="1:1" x14ac:dyDescent="0.2">
      <c r="A13" s="66" t="s">
        <v>29</v>
      </c>
    </row>
    <row r="14" spans="1:1" x14ac:dyDescent="0.2">
      <c r="A14" s="87" t="s">
        <v>36</v>
      </c>
    </row>
    <row r="15" spans="1:1" x14ac:dyDescent="0.2">
      <c r="A15" s="86" t="s">
        <v>3</v>
      </c>
    </row>
    <row r="16" spans="1:1" x14ac:dyDescent="0.2">
      <c r="A16" s="86" t="s">
        <v>2</v>
      </c>
    </row>
    <row r="17" spans="1:1" x14ac:dyDescent="0.2">
      <c r="A17" s="86" t="s">
        <v>1</v>
      </c>
    </row>
    <row r="18" spans="1:1" x14ac:dyDescent="0.2">
      <c r="A18" s="87" t="s">
        <v>12</v>
      </c>
    </row>
    <row r="19" spans="1:1" x14ac:dyDescent="0.2">
      <c r="A19" s="86" t="s">
        <v>3</v>
      </c>
    </row>
    <row r="20" spans="1:1" x14ac:dyDescent="0.2">
      <c r="A20" s="86" t="s">
        <v>1</v>
      </c>
    </row>
    <row r="21" spans="1:1" x14ac:dyDescent="0.2">
      <c r="A21" s="87" t="s">
        <v>13</v>
      </c>
    </row>
    <row r="22" spans="1:1" x14ac:dyDescent="0.2">
      <c r="A22" s="86" t="s">
        <v>3</v>
      </c>
    </row>
    <row r="23" spans="1:1" x14ac:dyDescent="0.2">
      <c r="A23" s="86" t="s">
        <v>2</v>
      </c>
    </row>
    <row r="24" spans="1:1" x14ac:dyDescent="0.2">
      <c r="A24" s="86" t="s">
        <v>1</v>
      </c>
    </row>
    <row r="25" spans="1:1" x14ac:dyDescent="0.2">
      <c r="A25" s="65" t="s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78F8-4F35-4F22-A544-4A31660ACD48}">
  <sheetPr>
    <tabColor rgb="FFFFFF00"/>
  </sheetPr>
  <dimension ref="A1:F20"/>
  <sheetViews>
    <sheetView workbookViewId="0">
      <selection activeCell="L19" sqref="L19"/>
    </sheetView>
  </sheetViews>
  <sheetFormatPr defaultRowHeight="12.75" x14ac:dyDescent="0.2"/>
  <cols>
    <col min="1" max="1" width="10.85546875" bestFit="1" customWidth="1"/>
    <col min="2" max="2" width="10.85546875" customWidth="1"/>
    <col min="3" max="3" width="49.28515625" bestFit="1" customWidth="1"/>
    <col min="4" max="4" width="10.42578125" style="159" bestFit="1" customWidth="1"/>
    <col min="5" max="5" width="10.7109375" style="159" bestFit="1" customWidth="1"/>
    <col min="6" max="6" width="11" bestFit="1" customWidth="1"/>
  </cols>
  <sheetData>
    <row r="1" spans="1:6" x14ac:dyDescent="0.2">
      <c r="A1" s="83" t="s">
        <v>1061</v>
      </c>
      <c r="B1" s="83" t="s">
        <v>43</v>
      </c>
      <c r="C1" s="83" t="s">
        <v>1062</v>
      </c>
      <c r="D1" s="157" t="s">
        <v>1063</v>
      </c>
      <c r="E1" s="157" t="s">
        <v>1064</v>
      </c>
      <c r="F1" s="83" t="s">
        <v>1065</v>
      </c>
    </row>
    <row r="2" spans="1:6" x14ac:dyDescent="0.2">
      <c r="A2" t="s">
        <v>1066</v>
      </c>
      <c r="B2" t="s">
        <v>3</v>
      </c>
      <c r="C2" t="s">
        <v>1067</v>
      </c>
      <c r="D2" s="159">
        <v>46077</v>
      </c>
      <c r="E2" s="159">
        <v>46077</v>
      </c>
      <c r="F2" s="328">
        <v>12443</v>
      </c>
    </row>
    <row r="3" spans="1:6" x14ac:dyDescent="0.2">
      <c r="A3" t="s">
        <v>1066</v>
      </c>
      <c r="B3" t="s">
        <v>3</v>
      </c>
      <c r="C3" t="s">
        <v>1068</v>
      </c>
      <c r="D3" s="159">
        <v>46094</v>
      </c>
      <c r="E3" s="159">
        <v>46094</v>
      </c>
      <c r="F3" s="328">
        <v>1360</v>
      </c>
    </row>
    <row r="4" spans="1:6" x14ac:dyDescent="0.2">
      <c r="A4" t="s">
        <v>1066</v>
      </c>
      <c r="B4" t="s">
        <v>3</v>
      </c>
      <c r="C4" t="s">
        <v>38</v>
      </c>
      <c r="D4" s="159">
        <v>46142</v>
      </c>
      <c r="E4" s="159">
        <v>46142</v>
      </c>
      <c r="F4" s="328">
        <v>59000</v>
      </c>
    </row>
    <row r="5" spans="1:6" x14ac:dyDescent="0.2">
      <c r="A5" t="s">
        <v>1066</v>
      </c>
      <c r="B5" t="s">
        <v>3</v>
      </c>
      <c r="C5" t="s">
        <v>1069</v>
      </c>
      <c r="D5" s="159">
        <v>46142</v>
      </c>
      <c r="E5" s="159">
        <v>46142</v>
      </c>
      <c r="F5" s="37">
        <v>231185</v>
      </c>
    </row>
    <row r="6" spans="1:6" x14ac:dyDescent="0.2">
      <c r="A6" t="s">
        <v>1070</v>
      </c>
      <c r="B6" t="s">
        <v>2</v>
      </c>
      <c r="C6" t="s">
        <v>1071</v>
      </c>
      <c r="D6" s="159">
        <v>46090</v>
      </c>
      <c r="E6" s="159">
        <v>46090</v>
      </c>
      <c r="F6" s="328">
        <v>6624</v>
      </c>
    </row>
    <row r="7" spans="1:6" x14ac:dyDescent="0.2">
      <c r="A7" t="s">
        <v>718</v>
      </c>
      <c r="B7" t="s">
        <v>2</v>
      </c>
      <c r="C7" t="s">
        <v>1072</v>
      </c>
      <c r="D7" s="159">
        <v>46119</v>
      </c>
      <c r="E7" s="159">
        <v>46119</v>
      </c>
      <c r="F7" s="328">
        <v>1022</v>
      </c>
    </row>
    <row r="8" spans="1:6" x14ac:dyDescent="0.2">
      <c r="A8" t="s">
        <v>484</v>
      </c>
      <c r="B8" t="s">
        <v>1</v>
      </c>
      <c r="C8" t="s">
        <v>1073</v>
      </c>
      <c r="D8" s="159">
        <v>46108</v>
      </c>
      <c r="E8" s="159">
        <v>46108</v>
      </c>
      <c r="F8" s="328">
        <v>30464</v>
      </c>
    </row>
    <row r="9" spans="1:6" x14ac:dyDescent="0.2">
      <c r="A9" t="s">
        <v>1074</v>
      </c>
      <c r="B9" t="s">
        <v>1</v>
      </c>
      <c r="C9" t="s">
        <v>1075</v>
      </c>
      <c r="D9" s="159">
        <v>46062</v>
      </c>
      <c r="E9" s="159">
        <v>46062</v>
      </c>
      <c r="F9" s="328">
        <v>6000</v>
      </c>
    </row>
    <row r="10" spans="1:6" x14ac:dyDescent="0.2">
      <c r="A10" t="s">
        <v>1076</v>
      </c>
      <c r="B10" t="s">
        <v>1</v>
      </c>
      <c r="C10" t="s">
        <v>1077</v>
      </c>
      <c r="D10" s="159">
        <v>46084</v>
      </c>
      <c r="E10" s="159">
        <v>46084</v>
      </c>
      <c r="F10" s="328">
        <v>4355</v>
      </c>
    </row>
    <row r="11" spans="1:6" x14ac:dyDescent="0.2">
      <c r="A11" t="s">
        <v>484</v>
      </c>
      <c r="B11" t="s">
        <v>1</v>
      </c>
      <c r="C11" t="s">
        <v>1078</v>
      </c>
      <c r="D11" s="159">
        <v>46108</v>
      </c>
      <c r="E11" s="159">
        <v>46108</v>
      </c>
      <c r="F11" s="328">
        <v>21020</v>
      </c>
    </row>
    <row r="12" spans="1:6" x14ac:dyDescent="0.2">
      <c r="A12" t="s">
        <v>1079</v>
      </c>
      <c r="B12" t="s">
        <v>1</v>
      </c>
      <c r="C12" t="s">
        <v>1080</v>
      </c>
      <c r="D12" s="159">
        <v>46150</v>
      </c>
      <c r="E12" s="159">
        <v>46150</v>
      </c>
      <c r="F12" s="328">
        <v>53868</v>
      </c>
    </row>
    <row r="13" spans="1:6" x14ac:dyDescent="0.2">
      <c r="A13" t="s">
        <v>1074</v>
      </c>
      <c r="B13" t="s">
        <v>1</v>
      </c>
      <c r="C13" t="s">
        <v>1081</v>
      </c>
      <c r="D13" s="159">
        <v>46136</v>
      </c>
      <c r="E13" s="159">
        <v>46136</v>
      </c>
      <c r="F13" s="328">
        <v>20399</v>
      </c>
    </row>
    <row r="14" spans="1:6" x14ac:dyDescent="0.2">
      <c r="A14" t="s">
        <v>1066</v>
      </c>
      <c r="B14" t="s">
        <v>3</v>
      </c>
      <c r="C14" t="s">
        <v>315</v>
      </c>
      <c r="D14" s="159">
        <v>46169</v>
      </c>
      <c r="E14" s="159">
        <v>46169</v>
      </c>
      <c r="F14" s="328">
        <v>59396.74</v>
      </c>
    </row>
    <row r="15" spans="1:6" x14ac:dyDescent="0.2">
      <c r="A15" t="s">
        <v>1066</v>
      </c>
      <c r="B15" t="s">
        <v>3</v>
      </c>
      <c r="C15" t="s">
        <v>1871</v>
      </c>
      <c r="D15" s="159">
        <v>46189</v>
      </c>
      <c r="E15" s="159">
        <v>46189</v>
      </c>
      <c r="F15" s="37">
        <v>29741.31</v>
      </c>
    </row>
    <row r="16" spans="1:6" x14ac:dyDescent="0.2">
      <c r="A16" t="s">
        <v>1066</v>
      </c>
      <c r="B16" t="s">
        <v>3</v>
      </c>
      <c r="C16" t="s">
        <v>1872</v>
      </c>
      <c r="D16" s="159">
        <v>46170</v>
      </c>
      <c r="E16" s="159">
        <v>46170</v>
      </c>
      <c r="F16" s="37">
        <v>100000</v>
      </c>
    </row>
    <row r="17" spans="1:6" x14ac:dyDescent="0.2">
      <c r="A17" t="s">
        <v>718</v>
      </c>
      <c r="B17" t="s">
        <v>2</v>
      </c>
      <c r="C17" t="s">
        <v>1873</v>
      </c>
      <c r="D17" s="159">
        <v>46202</v>
      </c>
      <c r="E17" s="159">
        <v>46202</v>
      </c>
      <c r="F17" s="37">
        <v>8821</v>
      </c>
    </row>
    <row r="18" spans="1:6" x14ac:dyDescent="0.2">
      <c r="A18" t="s">
        <v>1079</v>
      </c>
      <c r="B18" t="s">
        <v>1</v>
      </c>
      <c r="C18" t="s">
        <v>1874</v>
      </c>
      <c r="D18" s="159">
        <v>46201</v>
      </c>
      <c r="E18" s="159">
        <v>46201</v>
      </c>
      <c r="F18" s="37">
        <v>118386</v>
      </c>
    </row>
    <row r="19" spans="1:6" x14ac:dyDescent="0.2">
      <c r="A19" t="s">
        <v>1079</v>
      </c>
      <c r="B19" t="s">
        <v>1</v>
      </c>
      <c r="C19" t="s">
        <v>1875</v>
      </c>
      <c r="D19" s="159">
        <v>46201</v>
      </c>
      <c r="E19" s="159">
        <v>46201</v>
      </c>
      <c r="F19" s="37">
        <v>100320</v>
      </c>
    </row>
    <row r="20" spans="1:6" x14ac:dyDescent="0.2">
      <c r="A20" t="s">
        <v>484</v>
      </c>
      <c r="B20" t="s">
        <v>1</v>
      </c>
      <c r="C20" t="s">
        <v>1876</v>
      </c>
      <c r="D20" s="159">
        <v>46185</v>
      </c>
      <c r="E20" s="159">
        <v>46185</v>
      </c>
      <c r="F20" s="37">
        <v>11650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64BC-98FD-4789-9647-BF695B6CB0DD}">
  <sheetPr codeName="Sheet1"/>
  <dimension ref="A1:I93"/>
  <sheetViews>
    <sheetView workbookViewId="0">
      <selection activeCell="D12" sqref="D12"/>
    </sheetView>
  </sheetViews>
  <sheetFormatPr defaultRowHeight="12.75" x14ac:dyDescent="0.2"/>
  <cols>
    <col min="1" max="1" width="28.28515625" bestFit="1" customWidth="1"/>
    <col min="2" max="2" width="38.85546875" bestFit="1" customWidth="1"/>
    <col min="4" max="4" width="17.28515625" bestFit="1" customWidth="1"/>
    <col min="5" max="5" width="22.42578125" bestFit="1" customWidth="1"/>
    <col min="8" max="8" width="25.140625" customWidth="1"/>
    <col min="9" max="9" width="16.5703125" bestFit="1" customWidth="1"/>
  </cols>
  <sheetData>
    <row r="1" spans="1:9" x14ac:dyDescent="0.2">
      <c r="A1" s="69" t="s">
        <v>1121</v>
      </c>
      <c r="B1" s="69" t="s">
        <v>1122</v>
      </c>
      <c r="D1" t="s">
        <v>1123</v>
      </c>
      <c r="E1" t="s">
        <v>44</v>
      </c>
      <c r="H1" t="s">
        <v>1124</v>
      </c>
      <c r="I1" t="s">
        <v>1123</v>
      </c>
    </row>
    <row r="2" spans="1:9" x14ac:dyDescent="0.2">
      <c r="A2" t="s">
        <v>10</v>
      </c>
      <c r="B2" t="s">
        <v>773</v>
      </c>
      <c r="D2" t="s">
        <v>523</v>
      </c>
      <c r="E2" t="s">
        <v>62</v>
      </c>
      <c r="H2" t="s">
        <v>1125</v>
      </c>
      <c r="I2" t="s">
        <v>438</v>
      </c>
    </row>
    <row r="3" spans="1:9" x14ac:dyDescent="0.2">
      <c r="A3" t="s">
        <v>10</v>
      </c>
      <c r="B3" t="s">
        <v>1126</v>
      </c>
      <c r="D3" t="s">
        <v>438</v>
      </c>
      <c r="E3" t="s">
        <v>61</v>
      </c>
      <c r="H3" t="s">
        <v>1127</v>
      </c>
      <c r="I3" t="s">
        <v>45</v>
      </c>
    </row>
    <row r="4" spans="1:9" x14ac:dyDescent="0.2">
      <c r="A4" t="s">
        <v>10</v>
      </c>
      <c r="B4" t="s">
        <v>382</v>
      </c>
      <c r="D4" t="s">
        <v>45</v>
      </c>
      <c r="E4" t="s">
        <v>45</v>
      </c>
      <c r="H4" t="s">
        <v>1128</v>
      </c>
      <c r="I4" t="s">
        <v>438</v>
      </c>
    </row>
    <row r="5" spans="1:9" x14ac:dyDescent="0.2">
      <c r="A5" t="s">
        <v>385</v>
      </c>
      <c r="B5" t="s">
        <v>384</v>
      </c>
      <c r="D5" t="s">
        <v>658</v>
      </c>
      <c r="E5" t="s">
        <v>61</v>
      </c>
      <c r="H5" t="s">
        <v>1129</v>
      </c>
      <c r="I5" t="s">
        <v>438</v>
      </c>
    </row>
    <row r="6" spans="1:9" x14ac:dyDescent="0.2">
      <c r="A6" t="s">
        <v>385</v>
      </c>
      <c r="B6" t="s">
        <v>1130</v>
      </c>
      <c r="D6" t="s">
        <v>354</v>
      </c>
      <c r="E6" t="s">
        <v>61</v>
      </c>
      <c r="H6" t="s">
        <v>1131</v>
      </c>
      <c r="I6" t="s">
        <v>350</v>
      </c>
    </row>
    <row r="7" spans="1:9" ht="14.25" customHeight="1" x14ac:dyDescent="0.2">
      <c r="A7" t="s">
        <v>385</v>
      </c>
      <c r="B7" t="s">
        <v>1132</v>
      </c>
      <c r="D7" t="s">
        <v>350</v>
      </c>
      <c r="E7" t="s">
        <v>62</v>
      </c>
      <c r="H7" t="s">
        <v>1133</v>
      </c>
      <c r="I7" t="s">
        <v>333</v>
      </c>
    </row>
    <row r="8" spans="1:9" x14ac:dyDescent="0.2">
      <c r="A8" t="s">
        <v>385</v>
      </c>
      <c r="B8" t="s">
        <v>795</v>
      </c>
      <c r="D8" t="s">
        <v>333</v>
      </c>
      <c r="E8" t="s">
        <v>62</v>
      </c>
      <c r="H8" t="s">
        <v>1134</v>
      </c>
      <c r="I8" t="s">
        <v>45</v>
      </c>
    </row>
    <row r="9" spans="1:9" x14ac:dyDescent="0.2">
      <c r="A9" t="s">
        <v>49</v>
      </c>
      <c r="B9" t="s">
        <v>1135</v>
      </c>
      <c r="D9" t="s">
        <v>59</v>
      </c>
      <c r="E9" t="s">
        <v>55</v>
      </c>
      <c r="H9" t="s">
        <v>1136</v>
      </c>
      <c r="I9" t="s">
        <v>45</v>
      </c>
    </row>
    <row r="10" spans="1:9" x14ac:dyDescent="0.2">
      <c r="A10" t="s">
        <v>49</v>
      </c>
      <c r="B10" t="s">
        <v>560</v>
      </c>
      <c r="D10" t="s">
        <v>56</v>
      </c>
      <c r="E10" t="s">
        <v>55</v>
      </c>
      <c r="H10" t="s">
        <v>1137</v>
      </c>
      <c r="I10" t="s">
        <v>45</v>
      </c>
    </row>
    <row r="11" spans="1:9" x14ac:dyDescent="0.2">
      <c r="A11" t="s">
        <v>49</v>
      </c>
      <c r="B11" t="s">
        <v>1138</v>
      </c>
      <c r="D11" t="s">
        <v>347</v>
      </c>
      <c r="E11" t="s">
        <v>55</v>
      </c>
      <c r="H11" t="s">
        <v>1139</v>
      </c>
      <c r="I11" t="s">
        <v>354</v>
      </c>
    </row>
    <row r="12" spans="1:9" x14ac:dyDescent="0.2">
      <c r="A12" t="s">
        <v>49</v>
      </c>
      <c r="B12" t="s">
        <v>1140</v>
      </c>
      <c r="D12" t="s">
        <v>63</v>
      </c>
      <c r="E12" t="s">
        <v>55</v>
      </c>
      <c r="H12" t="s">
        <v>1141</v>
      </c>
      <c r="I12" t="s">
        <v>45</v>
      </c>
    </row>
    <row r="13" spans="1:9" x14ac:dyDescent="0.2">
      <c r="A13" t="s">
        <v>49</v>
      </c>
      <c r="B13" t="s">
        <v>1142</v>
      </c>
      <c r="D13" t="s">
        <v>57</v>
      </c>
      <c r="E13" t="s">
        <v>55</v>
      </c>
      <c r="H13" t="s">
        <v>1143</v>
      </c>
      <c r="I13" t="s">
        <v>45</v>
      </c>
    </row>
    <row r="14" spans="1:9" x14ac:dyDescent="0.2">
      <c r="A14" t="s">
        <v>49</v>
      </c>
      <c r="B14" t="s">
        <v>1144</v>
      </c>
      <c r="D14" t="s">
        <v>340</v>
      </c>
      <c r="E14" t="s">
        <v>62</v>
      </c>
      <c r="H14" t="s">
        <v>1145</v>
      </c>
      <c r="I14" t="s">
        <v>45</v>
      </c>
    </row>
    <row r="15" spans="1:9" x14ac:dyDescent="0.2">
      <c r="A15" t="s">
        <v>49</v>
      </c>
      <c r="B15" t="s">
        <v>1146</v>
      </c>
      <c r="D15" t="s">
        <v>376</v>
      </c>
      <c r="E15" t="s">
        <v>62</v>
      </c>
      <c r="H15" t="s">
        <v>1147</v>
      </c>
      <c r="I15" t="s">
        <v>333</v>
      </c>
    </row>
    <row r="16" spans="1:9" x14ac:dyDescent="0.2">
      <c r="A16" t="s">
        <v>1148</v>
      </c>
      <c r="B16" t="s">
        <v>1041</v>
      </c>
      <c r="D16" t="s">
        <v>66</v>
      </c>
      <c r="E16" t="s">
        <v>66</v>
      </c>
    </row>
    <row r="17" spans="1:5" x14ac:dyDescent="0.2">
      <c r="A17" t="s">
        <v>1148</v>
      </c>
      <c r="B17" t="s">
        <v>930</v>
      </c>
    </row>
    <row r="18" spans="1:5" x14ac:dyDescent="0.2">
      <c r="A18" t="s">
        <v>1148</v>
      </c>
      <c r="B18" t="s">
        <v>1149</v>
      </c>
    </row>
    <row r="19" spans="1:5" x14ac:dyDescent="0.2">
      <c r="A19" t="s">
        <v>1148</v>
      </c>
      <c r="B19" t="s">
        <v>0</v>
      </c>
      <c r="D19" t="s">
        <v>8</v>
      </c>
      <c r="E19" t="s">
        <v>1</v>
      </c>
    </row>
    <row r="20" spans="1:5" x14ac:dyDescent="0.2">
      <c r="A20" t="s">
        <v>1148</v>
      </c>
      <c r="B20" t="s">
        <v>1150</v>
      </c>
      <c r="D20" t="s">
        <v>15</v>
      </c>
      <c r="E20" t="s">
        <v>2</v>
      </c>
    </row>
    <row r="21" spans="1:5" s="70" customFormat="1" x14ac:dyDescent="0.2">
      <c r="A21" s="70" t="s">
        <v>1148</v>
      </c>
      <c r="B21" s="70" t="s">
        <v>1049</v>
      </c>
      <c r="D21" s="70" t="s">
        <v>299</v>
      </c>
      <c r="E21" s="70" t="s">
        <v>3</v>
      </c>
    </row>
    <row r="22" spans="1:5" x14ac:dyDescent="0.2">
      <c r="A22" t="s">
        <v>332</v>
      </c>
      <c r="B22" t="s">
        <v>332</v>
      </c>
      <c r="D22" s="70" t="s">
        <v>28</v>
      </c>
      <c r="E22" t="s">
        <v>1151</v>
      </c>
    </row>
    <row r="23" spans="1:5" x14ac:dyDescent="0.2">
      <c r="A23" t="s">
        <v>473</v>
      </c>
      <c r="B23" t="s">
        <v>1152</v>
      </c>
      <c r="D23" t="s">
        <v>1153</v>
      </c>
      <c r="E23" t="s">
        <v>1154</v>
      </c>
    </row>
    <row r="24" spans="1:5" x14ac:dyDescent="0.2">
      <c r="A24" t="s">
        <v>473</v>
      </c>
      <c r="B24" t="s">
        <v>472</v>
      </c>
      <c r="D24" t="s">
        <v>14</v>
      </c>
      <c r="E24" t="s">
        <v>1155</v>
      </c>
    </row>
    <row r="25" spans="1:5" x14ac:dyDescent="0.2">
      <c r="A25" t="s">
        <v>510</v>
      </c>
      <c r="B25" t="s">
        <v>509</v>
      </c>
    </row>
    <row r="26" spans="1:5" x14ac:dyDescent="0.2">
      <c r="A26" t="s">
        <v>344</v>
      </c>
      <c r="B26" t="s">
        <v>344</v>
      </c>
    </row>
    <row r="27" spans="1:5" x14ac:dyDescent="0.2">
      <c r="A27" t="s">
        <v>1103</v>
      </c>
      <c r="B27" t="s">
        <v>1103</v>
      </c>
    </row>
    <row r="28" spans="1:5" x14ac:dyDescent="0.2">
      <c r="A28" t="s">
        <v>1156</v>
      </c>
      <c r="B28" t="s">
        <v>1156</v>
      </c>
    </row>
    <row r="29" spans="1:5" x14ac:dyDescent="0.2">
      <c r="A29" t="s">
        <v>46</v>
      </c>
      <c r="B29" t="s">
        <v>349</v>
      </c>
    </row>
    <row r="30" spans="1:5" x14ac:dyDescent="0.2">
      <c r="A30" t="s">
        <v>46</v>
      </c>
      <c r="B30" t="s">
        <v>393</v>
      </c>
    </row>
    <row r="31" spans="1:5" x14ac:dyDescent="0.2">
      <c r="A31" t="s">
        <v>46</v>
      </c>
      <c r="B31" t="s">
        <v>390</v>
      </c>
    </row>
    <row r="32" spans="1:5" x14ac:dyDescent="0.2">
      <c r="A32" t="s">
        <v>46</v>
      </c>
      <c r="B32" t="s">
        <v>540</v>
      </c>
    </row>
    <row r="33" spans="1:2" x14ac:dyDescent="0.2">
      <c r="A33" t="s">
        <v>46</v>
      </c>
      <c r="B33" t="s">
        <v>654</v>
      </c>
    </row>
    <row r="34" spans="1:2" x14ac:dyDescent="0.2">
      <c r="A34" t="s">
        <v>46</v>
      </c>
      <c r="B34" t="s">
        <v>751</v>
      </c>
    </row>
    <row r="35" spans="1:2" x14ac:dyDescent="0.2">
      <c r="A35" t="s">
        <v>1157</v>
      </c>
      <c r="B35" t="s">
        <v>1158</v>
      </c>
    </row>
    <row r="36" spans="1:2" x14ac:dyDescent="0.2">
      <c r="A36" t="s">
        <v>1159</v>
      </c>
      <c r="B36" t="s">
        <v>1159</v>
      </c>
    </row>
    <row r="37" spans="1:2" x14ac:dyDescent="0.2">
      <c r="A37" t="s">
        <v>346</v>
      </c>
      <c r="B37" t="s">
        <v>346</v>
      </c>
    </row>
    <row r="38" spans="1:2" x14ac:dyDescent="0.2">
      <c r="A38" t="s">
        <v>47</v>
      </c>
      <c r="B38" t="s">
        <v>387</v>
      </c>
    </row>
    <row r="39" spans="1:2" x14ac:dyDescent="0.2">
      <c r="A39" t="s">
        <v>47</v>
      </c>
      <c r="B39" t="s">
        <v>875</v>
      </c>
    </row>
    <row r="40" spans="1:2" x14ac:dyDescent="0.2">
      <c r="A40" t="s">
        <v>47</v>
      </c>
      <c r="B40" t="s">
        <v>1160</v>
      </c>
    </row>
    <row r="41" spans="1:2" x14ac:dyDescent="0.2">
      <c r="A41" t="s">
        <v>547</v>
      </c>
      <c r="B41" t="s">
        <v>547</v>
      </c>
    </row>
    <row r="42" spans="1:2" x14ac:dyDescent="0.2">
      <c r="A42" t="s">
        <v>464</v>
      </c>
      <c r="B42" t="s">
        <v>464</v>
      </c>
    </row>
    <row r="43" spans="1:2" x14ac:dyDescent="0.2">
      <c r="A43" t="s">
        <v>447</v>
      </c>
      <c r="B43" t="s">
        <v>447</v>
      </c>
    </row>
    <row r="44" spans="1:2" x14ac:dyDescent="0.2">
      <c r="A44" t="s">
        <v>398</v>
      </c>
      <c r="B44" t="s">
        <v>657</v>
      </c>
    </row>
    <row r="45" spans="1:2" x14ac:dyDescent="0.2">
      <c r="A45" t="s">
        <v>398</v>
      </c>
      <c r="B45" t="s">
        <v>397</v>
      </c>
    </row>
    <row r="46" spans="1:2" x14ac:dyDescent="0.2">
      <c r="A46" t="s">
        <v>398</v>
      </c>
      <c r="B46" t="s">
        <v>1034</v>
      </c>
    </row>
    <row r="47" spans="1:2" x14ac:dyDescent="0.2">
      <c r="A47" t="s">
        <v>398</v>
      </c>
      <c r="B47" t="s">
        <v>663</v>
      </c>
    </row>
    <row r="48" spans="1:2" x14ac:dyDescent="0.2">
      <c r="A48" t="s">
        <v>398</v>
      </c>
      <c r="B48" t="s">
        <v>1024</v>
      </c>
    </row>
    <row r="49" spans="1:2" x14ac:dyDescent="0.2">
      <c r="A49" t="s">
        <v>398</v>
      </c>
      <c r="B49" t="s">
        <v>747</v>
      </c>
    </row>
    <row r="50" spans="1:2" x14ac:dyDescent="0.2">
      <c r="A50" t="s">
        <v>398</v>
      </c>
      <c r="B50" t="s">
        <v>1027</v>
      </c>
    </row>
    <row r="51" spans="1:2" x14ac:dyDescent="0.2">
      <c r="A51" t="s">
        <v>418</v>
      </c>
      <c r="B51" t="s">
        <v>418</v>
      </c>
    </row>
    <row r="52" spans="1:2" x14ac:dyDescent="0.2">
      <c r="A52" t="s">
        <v>924</v>
      </c>
      <c r="B52" t="s">
        <v>924</v>
      </c>
    </row>
    <row r="53" spans="1:2" x14ac:dyDescent="0.2">
      <c r="A53" t="s">
        <v>375</v>
      </c>
      <c r="B53" t="s">
        <v>374</v>
      </c>
    </row>
    <row r="54" spans="1:2" x14ac:dyDescent="0.2">
      <c r="A54" t="s">
        <v>68</v>
      </c>
      <c r="B54" t="s">
        <v>68</v>
      </c>
    </row>
    <row r="55" spans="1:2" x14ac:dyDescent="0.2">
      <c r="A55" t="s">
        <v>68</v>
      </c>
      <c r="B55" t="s">
        <v>1161</v>
      </c>
    </row>
    <row r="56" spans="1:2" x14ac:dyDescent="0.2">
      <c r="A56" t="s">
        <v>58</v>
      </c>
      <c r="B56" t="s">
        <v>58</v>
      </c>
    </row>
    <row r="57" spans="1:2" x14ac:dyDescent="0.2">
      <c r="A57" t="s">
        <v>50</v>
      </c>
      <c r="B57" t="s">
        <v>686</v>
      </c>
    </row>
    <row r="58" spans="1:2" x14ac:dyDescent="0.2">
      <c r="A58" t="s">
        <v>50</v>
      </c>
      <c r="B58" t="s">
        <v>50</v>
      </c>
    </row>
    <row r="59" spans="1:2" x14ac:dyDescent="0.2">
      <c r="A59" t="s">
        <v>50</v>
      </c>
      <c r="B59" t="s">
        <v>470</v>
      </c>
    </row>
    <row r="60" spans="1:2" x14ac:dyDescent="0.2">
      <c r="A60" t="s">
        <v>367</v>
      </c>
      <c r="B60" t="s">
        <v>1162</v>
      </c>
    </row>
    <row r="61" spans="1:2" x14ac:dyDescent="0.2">
      <c r="A61" t="s">
        <v>367</v>
      </c>
      <c r="B61" t="s">
        <v>367</v>
      </c>
    </row>
    <row r="62" spans="1:2" x14ac:dyDescent="0.2">
      <c r="A62" t="s">
        <v>380</v>
      </c>
      <c r="B62" t="s">
        <v>380</v>
      </c>
    </row>
    <row r="63" spans="1:2" x14ac:dyDescent="0.2">
      <c r="A63" t="s">
        <v>1163</v>
      </c>
      <c r="B63" t="s">
        <v>1163</v>
      </c>
    </row>
    <row r="64" spans="1:2" x14ac:dyDescent="0.2">
      <c r="A64" t="s">
        <v>1164</v>
      </c>
      <c r="B64" t="s">
        <v>1164</v>
      </c>
    </row>
    <row r="65" spans="1:2" x14ac:dyDescent="0.2">
      <c r="A65" t="s">
        <v>801</v>
      </c>
      <c r="B65" t="s">
        <v>801</v>
      </c>
    </row>
    <row r="66" spans="1:2" x14ac:dyDescent="0.2">
      <c r="A66" t="s">
        <v>1165</v>
      </c>
      <c r="B66" t="s">
        <v>1165</v>
      </c>
    </row>
    <row r="67" spans="1:2" x14ac:dyDescent="0.2">
      <c r="A67" t="s">
        <v>410</v>
      </c>
      <c r="B67" t="s">
        <v>409</v>
      </c>
    </row>
    <row r="68" spans="1:2" x14ac:dyDescent="0.2">
      <c r="A68" t="s">
        <v>749</v>
      </c>
      <c r="B68" t="s">
        <v>749</v>
      </c>
    </row>
    <row r="69" spans="1:2" x14ac:dyDescent="0.2">
      <c r="A69" t="s">
        <v>1166</v>
      </c>
      <c r="B69" t="s">
        <v>1047</v>
      </c>
    </row>
    <row r="70" spans="1:2" x14ac:dyDescent="0.2">
      <c r="A70" t="s">
        <v>51</v>
      </c>
      <c r="B70" t="s">
        <v>799</v>
      </c>
    </row>
    <row r="71" spans="1:2" x14ac:dyDescent="0.2">
      <c r="A71" t="s">
        <v>51</v>
      </c>
      <c r="B71" t="s">
        <v>684</v>
      </c>
    </row>
    <row r="72" spans="1:2" x14ac:dyDescent="0.2">
      <c r="A72" t="s">
        <v>51</v>
      </c>
      <c r="B72" t="s">
        <v>527</v>
      </c>
    </row>
    <row r="73" spans="1:2" x14ac:dyDescent="0.2">
      <c r="A73" t="s">
        <v>51</v>
      </c>
      <c r="B73" t="s">
        <v>688</v>
      </c>
    </row>
    <row r="74" spans="1:2" x14ac:dyDescent="0.2">
      <c r="A74" t="s">
        <v>572</v>
      </c>
      <c r="B74" t="s">
        <v>571</v>
      </c>
    </row>
    <row r="75" spans="1:2" x14ac:dyDescent="0.2">
      <c r="A75" t="s">
        <v>691</v>
      </c>
      <c r="B75" t="s">
        <v>691</v>
      </c>
    </row>
    <row r="76" spans="1:2" x14ac:dyDescent="0.2">
      <c r="A76" t="s">
        <v>47</v>
      </c>
      <c r="B76" t="s">
        <v>364</v>
      </c>
    </row>
    <row r="77" spans="1:2" x14ac:dyDescent="0.2">
      <c r="A77" t="s">
        <v>60</v>
      </c>
      <c r="B77" t="s">
        <v>60</v>
      </c>
    </row>
    <row r="78" spans="1:2" x14ac:dyDescent="0.2">
      <c r="A78" t="s">
        <v>499</v>
      </c>
      <c r="B78" t="s">
        <v>499</v>
      </c>
    </row>
    <row r="79" spans="1:2" x14ac:dyDescent="0.2">
      <c r="A79" t="s">
        <v>52</v>
      </c>
      <c r="B79" t="s">
        <v>52</v>
      </c>
    </row>
    <row r="80" spans="1:2" x14ac:dyDescent="0.2">
      <c r="A80" t="s">
        <v>849</v>
      </c>
      <c r="B80" t="s">
        <v>849</v>
      </c>
    </row>
    <row r="81" spans="1:2" x14ac:dyDescent="0.2">
      <c r="A81" t="s">
        <v>48</v>
      </c>
      <c r="B81" t="s">
        <v>475</v>
      </c>
    </row>
    <row r="82" spans="1:2" x14ac:dyDescent="0.2">
      <c r="A82" t="s">
        <v>48</v>
      </c>
      <c r="B82" t="s">
        <v>339</v>
      </c>
    </row>
    <row r="83" spans="1:2" x14ac:dyDescent="0.2">
      <c r="A83" t="s">
        <v>48</v>
      </c>
      <c r="B83" t="s">
        <v>391</v>
      </c>
    </row>
    <row r="84" spans="1:2" x14ac:dyDescent="0.2">
      <c r="A84" t="s">
        <v>48</v>
      </c>
      <c r="B84" t="s">
        <v>402</v>
      </c>
    </row>
    <row r="85" spans="1:2" x14ac:dyDescent="0.2">
      <c r="A85" t="s">
        <v>48</v>
      </c>
      <c r="B85" t="s">
        <v>353</v>
      </c>
    </row>
    <row r="86" spans="1:2" x14ac:dyDescent="0.2">
      <c r="A86" t="s">
        <v>48</v>
      </c>
      <c r="B86" t="s">
        <v>356</v>
      </c>
    </row>
    <row r="87" spans="1:2" x14ac:dyDescent="0.2">
      <c r="A87" t="s">
        <v>1167</v>
      </c>
      <c r="B87" t="s">
        <v>1167</v>
      </c>
    </row>
    <row r="88" spans="1:2" x14ac:dyDescent="0.2">
      <c r="A88" t="s">
        <v>618</v>
      </c>
      <c r="B88" t="s">
        <v>621</v>
      </c>
    </row>
    <row r="89" spans="1:2" x14ac:dyDescent="0.2">
      <c r="A89" t="s">
        <v>618</v>
      </c>
      <c r="B89" t="s">
        <v>617</v>
      </c>
    </row>
    <row r="90" spans="1:2" x14ac:dyDescent="0.2">
      <c r="A90" t="s">
        <v>371</v>
      </c>
      <c r="B90" t="s">
        <v>370</v>
      </c>
    </row>
    <row r="91" spans="1:2" x14ac:dyDescent="0.2">
      <c r="A91" t="s">
        <v>572</v>
      </c>
      <c r="B91" t="s">
        <v>786</v>
      </c>
    </row>
    <row r="92" spans="1:2" x14ac:dyDescent="0.2">
      <c r="A92" t="s">
        <v>1168</v>
      </c>
      <c r="B92" t="s">
        <v>700</v>
      </c>
    </row>
    <row r="93" spans="1:2" x14ac:dyDescent="0.2">
      <c r="A93" t="s">
        <v>371</v>
      </c>
      <c r="B93" t="s">
        <v>1169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4D4F-FE45-4CEA-B0A9-A259E0CDC974}">
  <sheetPr codeName="Sheet2"/>
  <dimension ref="A1:K62"/>
  <sheetViews>
    <sheetView workbookViewId="0">
      <selection activeCell="P26" sqref="P26"/>
    </sheetView>
  </sheetViews>
  <sheetFormatPr defaultRowHeight="12.75" x14ac:dyDescent="0.2"/>
  <cols>
    <col min="1" max="1" width="11.140625" customWidth="1"/>
    <col min="5" max="5" width="10.42578125" bestFit="1" customWidth="1"/>
    <col min="9" max="9" width="10.42578125" bestFit="1" customWidth="1"/>
  </cols>
  <sheetData>
    <row r="1" spans="1:11" x14ac:dyDescent="0.2">
      <c r="A1" s="88" t="s">
        <v>1170</v>
      </c>
      <c r="B1" s="88" t="s">
        <v>70</v>
      </c>
      <c r="C1" s="88" t="s">
        <v>1171</v>
      </c>
      <c r="D1" s="36"/>
      <c r="E1" s="88" t="s">
        <v>1170</v>
      </c>
      <c r="F1" s="88" t="s">
        <v>70</v>
      </c>
      <c r="G1" s="88" t="s">
        <v>1171</v>
      </c>
      <c r="I1" s="88" t="s">
        <v>1170</v>
      </c>
      <c r="J1" s="88" t="s">
        <v>70</v>
      </c>
      <c r="K1" s="88" t="s">
        <v>1171</v>
      </c>
    </row>
    <row r="2" spans="1:11" x14ac:dyDescent="0.2">
      <c r="A2" s="38">
        <v>46053</v>
      </c>
      <c r="B2" s="36" t="s">
        <v>77</v>
      </c>
      <c r="C2" s="113">
        <v>0.78732100000000005</v>
      </c>
      <c r="E2" s="38">
        <v>46053</v>
      </c>
      <c r="F2" s="36" t="s">
        <v>82</v>
      </c>
      <c r="G2" s="113">
        <v>0.25376799999999999</v>
      </c>
      <c r="I2" s="38">
        <v>46053</v>
      </c>
      <c r="J2" s="36" t="s">
        <v>79</v>
      </c>
      <c r="K2" s="113">
        <v>0.14385500000000001</v>
      </c>
    </row>
    <row r="3" spans="1:11" x14ac:dyDescent="0.2">
      <c r="A3" s="38">
        <v>46081</v>
      </c>
      <c r="B3" s="36" t="s">
        <v>77</v>
      </c>
      <c r="C3" s="113">
        <v>0.79061400000000004</v>
      </c>
      <c r="E3" s="38">
        <v>46081</v>
      </c>
      <c r="F3" s="36" t="s">
        <v>82</v>
      </c>
      <c r="G3" s="113">
        <v>0.25691199999999997</v>
      </c>
      <c r="I3" s="38">
        <v>46081</v>
      </c>
      <c r="J3" s="36" t="s">
        <v>79</v>
      </c>
      <c r="K3" s="113">
        <v>0.14579700000000001</v>
      </c>
    </row>
    <row r="4" spans="1:11" x14ac:dyDescent="0.2">
      <c r="A4" s="38">
        <v>46112</v>
      </c>
      <c r="B4" s="36" t="s">
        <v>77</v>
      </c>
      <c r="C4" s="113">
        <v>0.775146</v>
      </c>
      <c r="E4" s="38">
        <v>46112</v>
      </c>
      <c r="F4" s="36" t="s">
        <v>82</v>
      </c>
      <c r="G4" s="113">
        <v>0.247005</v>
      </c>
      <c r="I4" s="38">
        <v>46112</v>
      </c>
      <c r="J4" s="36" t="s">
        <v>79</v>
      </c>
      <c r="K4" s="113">
        <v>0.144959</v>
      </c>
    </row>
    <row r="5" spans="1:11" x14ac:dyDescent="0.2">
      <c r="A5" s="38">
        <v>46142</v>
      </c>
      <c r="B5" s="36" t="s">
        <v>77</v>
      </c>
      <c r="C5" s="113">
        <v>0.78487573888297002</v>
      </c>
      <c r="E5" s="38">
        <v>46142</v>
      </c>
      <c r="F5" s="36" t="s">
        <v>82</v>
      </c>
      <c r="G5" s="113">
        <v>0.25188296866867399</v>
      </c>
      <c r="I5" s="38">
        <v>46142</v>
      </c>
      <c r="J5" s="36" t="s">
        <v>79</v>
      </c>
      <c r="K5" s="113">
        <v>0.146433322983721</v>
      </c>
    </row>
    <row r="6" spans="1:11" x14ac:dyDescent="0.2">
      <c r="A6" s="38">
        <v>46173</v>
      </c>
      <c r="B6" s="36" t="s">
        <v>77</v>
      </c>
      <c r="C6" s="113">
        <v>0.78320000000000001</v>
      </c>
      <c r="E6" s="38">
        <v>46173</v>
      </c>
      <c r="F6" s="36" t="s">
        <v>82</v>
      </c>
      <c r="G6" s="113">
        <v>0.25201499999999999</v>
      </c>
      <c r="I6" s="38">
        <v>46173</v>
      </c>
      <c r="J6" s="36" t="s">
        <v>79</v>
      </c>
      <c r="K6" s="113">
        <v>0.147753</v>
      </c>
    </row>
    <row r="7" spans="1:11" x14ac:dyDescent="0.2">
      <c r="A7" s="102">
        <v>46203</v>
      </c>
      <c r="B7" s="103" t="s">
        <v>77</v>
      </c>
      <c r="C7" s="114">
        <f t="shared" ref="C7:C13" si="0">C6</f>
        <v>0.78320000000000001</v>
      </c>
      <c r="D7" s="178"/>
      <c r="E7" s="102">
        <v>46203</v>
      </c>
      <c r="F7" s="103" t="s">
        <v>82</v>
      </c>
      <c r="G7" s="114">
        <f t="shared" ref="G7:G13" si="1">G6</f>
        <v>0.25201499999999999</v>
      </c>
      <c r="H7" s="178"/>
      <c r="I7" s="102">
        <v>46203</v>
      </c>
      <c r="J7" s="103" t="s">
        <v>79</v>
      </c>
      <c r="K7" s="114">
        <f t="shared" ref="K7:K13" si="2">K6</f>
        <v>0.147753</v>
      </c>
    </row>
    <row r="8" spans="1:11" x14ac:dyDescent="0.2">
      <c r="A8" s="90">
        <v>46234</v>
      </c>
      <c r="B8" s="36" t="s">
        <v>77</v>
      </c>
      <c r="C8" s="115">
        <f t="shared" si="0"/>
        <v>0.78320000000000001</v>
      </c>
      <c r="E8" s="90">
        <v>46234</v>
      </c>
      <c r="F8" s="91" t="s">
        <v>82</v>
      </c>
      <c r="G8" s="115">
        <f t="shared" si="1"/>
        <v>0.25201499999999999</v>
      </c>
      <c r="I8" s="90">
        <v>46234</v>
      </c>
      <c r="J8" s="91" t="s">
        <v>79</v>
      </c>
      <c r="K8" s="115">
        <f t="shared" si="2"/>
        <v>0.147753</v>
      </c>
    </row>
    <row r="9" spans="1:11" x14ac:dyDescent="0.2">
      <c r="A9" s="90">
        <v>46265</v>
      </c>
      <c r="B9" s="36" t="s">
        <v>77</v>
      </c>
      <c r="C9" s="115">
        <f t="shared" si="0"/>
        <v>0.78320000000000001</v>
      </c>
      <c r="E9" s="90">
        <v>46265</v>
      </c>
      <c r="F9" s="91" t="s">
        <v>82</v>
      </c>
      <c r="G9" s="115">
        <f t="shared" si="1"/>
        <v>0.25201499999999999</v>
      </c>
      <c r="I9" s="90">
        <v>46265</v>
      </c>
      <c r="J9" s="91" t="s">
        <v>79</v>
      </c>
      <c r="K9" s="115">
        <f t="shared" si="2"/>
        <v>0.147753</v>
      </c>
    </row>
    <row r="10" spans="1:11" x14ac:dyDescent="0.2">
      <c r="A10" s="90">
        <v>46295</v>
      </c>
      <c r="B10" s="36" t="s">
        <v>77</v>
      </c>
      <c r="C10" s="115">
        <f t="shared" si="0"/>
        <v>0.78320000000000001</v>
      </c>
      <c r="E10" s="90">
        <v>46295</v>
      </c>
      <c r="F10" s="91" t="s">
        <v>82</v>
      </c>
      <c r="G10" s="115">
        <f t="shared" si="1"/>
        <v>0.25201499999999999</v>
      </c>
      <c r="I10" s="90">
        <v>46295</v>
      </c>
      <c r="J10" s="91" t="s">
        <v>79</v>
      </c>
      <c r="K10" s="115">
        <f t="shared" si="2"/>
        <v>0.147753</v>
      </c>
    </row>
    <row r="11" spans="1:11" x14ac:dyDescent="0.2">
      <c r="A11" s="90">
        <v>46326</v>
      </c>
      <c r="B11" s="36" t="s">
        <v>77</v>
      </c>
      <c r="C11" s="115">
        <f t="shared" si="0"/>
        <v>0.78320000000000001</v>
      </c>
      <c r="E11" s="90">
        <v>46326</v>
      </c>
      <c r="F11" s="91" t="s">
        <v>82</v>
      </c>
      <c r="G11" s="115">
        <f t="shared" si="1"/>
        <v>0.25201499999999999</v>
      </c>
      <c r="I11" s="90">
        <v>46326</v>
      </c>
      <c r="J11" s="91" t="s">
        <v>79</v>
      </c>
      <c r="K11" s="115">
        <f t="shared" si="2"/>
        <v>0.147753</v>
      </c>
    </row>
    <row r="12" spans="1:11" x14ac:dyDescent="0.2">
      <c r="A12" s="90">
        <v>46356</v>
      </c>
      <c r="B12" s="36" t="s">
        <v>77</v>
      </c>
      <c r="C12" s="115">
        <f t="shared" si="0"/>
        <v>0.78320000000000001</v>
      </c>
      <c r="E12" s="90">
        <v>46356</v>
      </c>
      <c r="F12" s="91" t="s">
        <v>82</v>
      </c>
      <c r="G12" s="115">
        <f t="shared" si="1"/>
        <v>0.25201499999999999</v>
      </c>
      <c r="I12" s="90">
        <v>46356</v>
      </c>
      <c r="J12" s="91" t="s">
        <v>79</v>
      </c>
      <c r="K12" s="115">
        <f t="shared" si="2"/>
        <v>0.147753</v>
      </c>
    </row>
    <row r="13" spans="1:11" x14ac:dyDescent="0.2">
      <c r="A13" s="90">
        <v>46387</v>
      </c>
      <c r="B13" s="36" t="s">
        <v>77</v>
      </c>
      <c r="C13" s="115">
        <f t="shared" si="0"/>
        <v>0.78320000000000001</v>
      </c>
      <c r="E13" s="90">
        <v>46387</v>
      </c>
      <c r="F13" s="91" t="s">
        <v>82</v>
      </c>
      <c r="G13" s="115">
        <f t="shared" si="1"/>
        <v>0.25201499999999999</v>
      </c>
      <c r="I13" s="90">
        <v>46387</v>
      </c>
      <c r="J13" s="91" t="s">
        <v>79</v>
      </c>
      <c r="K13" s="115">
        <f t="shared" si="2"/>
        <v>0.147753</v>
      </c>
    </row>
    <row r="14" spans="1:11" x14ac:dyDescent="0.2">
      <c r="C14" s="113"/>
      <c r="K14" s="113"/>
    </row>
    <row r="15" spans="1:11" x14ac:dyDescent="0.2">
      <c r="K15" s="113"/>
    </row>
    <row r="62" spans="10:10" x14ac:dyDescent="0.2">
      <c r="J62" s="10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2EDF-49AC-4697-BEEA-EA45083EE858}">
  <sheetPr codeName="Sheet3"/>
  <dimension ref="A1:V205"/>
  <sheetViews>
    <sheetView zoomScale="90" zoomScaleNormal="90" workbookViewId="0">
      <pane ySplit="4" topLeftCell="A53" activePane="bottomLeft" state="frozen"/>
      <selection activeCell="E94" sqref="E94"/>
      <selection pane="bottomLeft" activeCell="K75" sqref="K75"/>
    </sheetView>
  </sheetViews>
  <sheetFormatPr defaultColWidth="9.140625" defaultRowHeight="12.75" customHeight="1" x14ac:dyDescent="0.2"/>
  <cols>
    <col min="1" max="2" width="5.7109375" style="2" customWidth="1"/>
    <col min="3" max="5" width="10.7109375" style="3" customWidth="1"/>
    <col min="6" max="6" width="7.7109375" style="2" customWidth="1"/>
    <col min="7" max="8" width="12.7109375" style="199" customWidth="1"/>
    <col min="9" max="9" width="12.7109375" style="199" hidden="1" customWidth="1"/>
    <col min="10" max="10" width="12.7109375" style="212" customWidth="1"/>
    <col min="11" max="11" width="30.7109375" style="106" customWidth="1"/>
    <col min="12" max="12" width="20.7109375" style="4" customWidth="1"/>
    <col min="13" max="13" width="50.7109375" style="4" customWidth="1"/>
    <col min="14" max="17" width="20.7109375" style="4" customWidth="1"/>
    <col min="18" max="20" width="10.7109375" style="2" hidden="1" customWidth="1"/>
    <col min="21" max="21" width="11.7109375" style="4" customWidth="1"/>
    <col min="22" max="22" width="11.7109375" style="2" customWidth="1"/>
    <col min="23" max="16384" width="9.140625" style="4"/>
  </cols>
  <sheetData>
    <row r="1" spans="1:22" ht="12.75" customHeight="1" x14ac:dyDescent="0.2">
      <c r="G1" s="197"/>
      <c r="H1" s="197"/>
      <c r="I1" s="197"/>
      <c r="J1" s="198"/>
      <c r="K1" s="4"/>
    </row>
    <row r="2" spans="1:22" ht="12.75" customHeight="1" x14ac:dyDescent="0.2">
      <c r="A2" s="186" t="s">
        <v>86</v>
      </c>
      <c r="G2" s="197"/>
      <c r="H2" s="197"/>
      <c r="I2" s="197"/>
      <c r="J2" s="198"/>
      <c r="K2" s="4"/>
    </row>
    <row r="3" spans="1:22" ht="12.75" customHeight="1" x14ac:dyDescent="0.2">
      <c r="A3" s="186"/>
      <c r="J3" s="200" t="s">
        <v>4</v>
      </c>
      <c r="L3" s="106"/>
    </row>
    <row r="4" spans="1:22" s="2" customFormat="1" ht="12.75" customHeight="1" x14ac:dyDescent="0.2">
      <c r="A4" s="7" t="s">
        <v>87</v>
      </c>
      <c r="B4" s="7" t="s">
        <v>43</v>
      </c>
      <c r="C4" s="8" t="s">
        <v>54</v>
      </c>
      <c r="D4" s="8" t="s">
        <v>88</v>
      </c>
      <c r="E4" s="185" t="s">
        <v>1083</v>
      </c>
      <c r="F4" s="7" t="s">
        <v>70</v>
      </c>
      <c r="G4" s="201" t="s">
        <v>90</v>
      </c>
      <c r="H4" s="201" t="s">
        <v>91</v>
      </c>
      <c r="I4" s="201"/>
      <c r="J4" s="201" t="s">
        <v>92</v>
      </c>
      <c r="K4" s="132" t="s">
        <v>325</v>
      </c>
      <c r="L4" s="132" t="s">
        <v>94</v>
      </c>
      <c r="M4" s="7" t="s">
        <v>95</v>
      </c>
      <c r="N4" s="7" t="s">
        <v>53</v>
      </c>
      <c r="O4" s="7" t="s">
        <v>64</v>
      </c>
      <c r="P4" s="7" t="s">
        <v>67</v>
      </c>
      <c r="Q4" s="7" t="s">
        <v>44</v>
      </c>
      <c r="R4" s="7" t="s">
        <v>326</v>
      </c>
      <c r="S4" s="7" t="s">
        <v>327</v>
      </c>
      <c r="T4" s="7" t="s">
        <v>328</v>
      </c>
      <c r="U4" s="7" t="s">
        <v>98</v>
      </c>
      <c r="V4" s="7" t="s">
        <v>329</v>
      </c>
    </row>
    <row r="5" spans="1:22" s="33" customFormat="1" ht="12.75" customHeight="1" x14ac:dyDescent="0.2">
      <c r="A5" s="329" t="s">
        <v>1172</v>
      </c>
      <c r="B5" s="329"/>
      <c r="C5" s="329"/>
      <c r="D5" s="329"/>
      <c r="E5" s="14">
        <v>46023</v>
      </c>
      <c r="F5" s="13" t="s">
        <v>4</v>
      </c>
      <c r="G5" s="202"/>
      <c r="H5" s="202"/>
      <c r="I5" s="202"/>
      <c r="J5" s="203">
        <v>57825.83</v>
      </c>
      <c r="K5" s="133"/>
      <c r="L5" s="13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ht="12.75" customHeight="1" x14ac:dyDescent="0.2">
      <c r="A6" s="2" t="s">
        <v>15</v>
      </c>
      <c r="B6" s="2" t="s">
        <v>1</v>
      </c>
      <c r="C6" s="3">
        <v>46037</v>
      </c>
      <c r="D6" s="3">
        <v>46037</v>
      </c>
      <c r="E6" s="3">
        <v>46037</v>
      </c>
      <c r="F6" s="2" t="s">
        <v>4</v>
      </c>
      <c r="G6" s="204">
        <v>-2000</v>
      </c>
      <c r="H6" s="204">
        <v>0</v>
      </c>
      <c r="I6" s="204"/>
      <c r="J6" s="205">
        <f t="shared" ref="J6:J16" si="0">SUM(G6:H6)</f>
        <v>-2000</v>
      </c>
      <c r="K6" s="109" t="s">
        <v>1001</v>
      </c>
      <c r="L6" s="4" t="s">
        <v>456</v>
      </c>
      <c r="M6" s="4" t="s">
        <v>693</v>
      </c>
      <c r="N6" s="4" t="s">
        <v>418</v>
      </c>
      <c r="O6" s="134" t="str">
        <f>_xlfn.XLOOKUP(N6,costcategory[Account Code],costcategory[Cost Category],"ERROR")</f>
        <v>Internal Fund Transfer</v>
      </c>
      <c r="P6" s="135" t="s">
        <v>66</v>
      </c>
      <c r="Q6" s="89" t="str">
        <f>_xlfn.XLOOKUP(P6,Table2[Department],Table2[Group],"ERROR")</f>
        <v>Others</v>
      </c>
      <c r="R6" s="136" t="s">
        <v>458</v>
      </c>
      <c r="S6" s="136" t="s">
        <v>459</v>
      </c>
      <c r="T6" s="136" t="s">
        <v>458</v>
      </c>
      <c r="V6" s="136" t="s">
        <v>113</v>
      </c>
    </row>
    <row r="7" spans="1:22" ht="12.75" customHeight="1" x14ac:dyDescent="0.2">
      <c r="A7" s="2" t="s">
        <v>15</v>
      </c>
      <c r="B7" s="2" t="s">
        <v>1</v>
      </c>
      <c r="C7" s="3">
        <v>46037</v>
      </c>
      <c r="D7" s="3">
        <v>46037</v>
      </c>
      <c r="E7" s="3">
        <v>46037</v>
      </c>
      <c r="F7" s="2" t="s">
        <v>4</v>
      </c>
      <c r="G7" s="204">
        <v>58000</v>
      </c>
      <c r="H7" s="204">
        <v>0</v>
      </c>
      <c r="I7" s="204"/>
      <c r="J7" s="205">
        <f t="shared" si="0"/>
        <v>58000</v>
      </c>
      <c r="K7" s="109" t="s">
        <v>1002</v>
      </c>
      <c r="L7" s="4" t="s">
        <v>1003</v>
      </c>
      <c r="M7" s="4" t="s">
        <v>1004</v>
      </c>
      <c r="N7" s="4" t="s">
        <v>657</v>
      </c>
      <c r="O7" s="134" t="str">
        <f>_xlfn.XLOOKUP(N7,costcategory[Account Code],costcategory[Cost Category],"ERROR")</f>
        <v>Intercompany</v>
      </c>
      <c r="P7" s="135" t="s">
        <v>333</v>
      </c>
      <c r="Q7" s="89" t="str">
        <f>_xlfn.XLOOKUP(P7,Table2[Department],Table2[Group],"ERROR")</f>
        <v>General &amp; Administrative</v>
      </c>
      <c r="R7" s="136" t="s">
        <v>458</v>
      </c>
      <c r="S7" s="136" t="s">
        <v>459</v>
      </c>
      <c r="T7" s="136" t="s">
        <v>458</v>
      </c>
      <c r="V7" s="136" t="s">
        <v>113</v>
      </c>
    </row>
    <row r="8" spans="1:22" ht="12.75" customHeight="1" x14ac:dyDescent="0.2">
      <c r="A8" s="2" t="s">
        <v>15</v>
      </c>
      <c r="B8" s="2" t="s">
        <v>1</v>
      </c>
      <c r="C8" s="3">
        <v>46037</v>
      </c>
      <c r="D8" s="3">
        <v>46037</v>
      </c>
      <c r="E8" s="3">
        <v>46037</v>
      </c>
      <c r="F8" s="2" t="s">
        <v>4</v>
      </c>
      <c r="G8" s="204">
        <v>23.49</v>
      </c>
      <c r="H8" s="204">
        <v>0</v>
      </c>
      <c r="I8" s="204"/>
      <c r="J8" s="205">
        <f t="shared" si="0"/>
        <v>23.49</v>
      </c>
      <c r="K8" s="109" t="s">
        <v>455</v>
      </c>
      <c r="L8" s="4" t="s">
        <v>1005</v>
      </c>
      <c r="M8" s="4" t="s">
        <v>1006</v>
      </c>
      <c r="N8" s="4" t="s">
        <v>332</v>
      </c>
      <c r="O8" s="134" t="str">
        <f>_xlfn.XLOOKUP(N8,costcategory[Account Code],costcategory[Cost Category],"ERROR")</f>
        <v>Bank Charges</v>
      </c>
      <c r="P8" s="135" t="s">
        <v>333</v>
      </c>
      <c r="Q8" s="89" t="str">
        <f>_xlfn.XLOOKUP(P8,Table2[Department],Table2[Group],"ERROR")</f>
        <v>General &amp; Administrative</v>
      </c>
      <c r="R8" s="136" t="s">
        <v>451</v>
      </c>
      <c r="S8" s="136" t="s">
        <v>452</v>
      </c>
      <c r="T8" s="136" t="s">
        <v>452</v>
      </c>
      <c r="V8" s="136" t="s">
        <v>113</v>
      </c>
    </row>
    <row r="9" spans="1:22" ht="12.75" customHeight="1" x14ac:dyDescent="0.2">
      <c r="A9" s="2" t="s">
        <v>15</v>
      </c>
      <c r="B9" s="2" t="s">
        <v>1</v>
      </c>
      <c r="C9" s="3">
        <v>46038</v>
      </c>
      <c r="D9" s="3">
        <v>46038</v>
      </c>
      <c r="E9" s="3">
        <v>46038</v>
      </c>
      <c r="F9" s="2" t="s">
        <v>4</v>
      </c>
      <c r="G9" s="204">
        <v>-300000</v>
      </c>
      <c r="H9" s="204">
        <v>0</v>
      </c>
      <c r="I9" s="204"/>
      <c r="J9" s="205">
        <f t="shared" si="0"/>
        <v>-300000</v>
      </c>
      <c r="K9" s="109" t="s">
        <v>1007</v>
      </c>
      <c r="L9" s="4" t="s">
        <v>481</v>
      </c>
      <c r="M9" s="4" t="s">
        <v>1008</v>
      </c>
      <c r="N9" s="4" t="s">
        <v>418</v>
      </c>
      <c r="O9" s="134" t="str">
        <f>_xlfn.XLOOKUP(N9,costcategory[Account Code],costcategory[Cost Category],"ERROR")</f>
        <v>Internal Fund Transfer</v>
      </c>
      <c r="P9" s="135" t="s">
        <v>66</v>
      </c>
      <c r="Q9" s="89" t="str">
        <f>_xlfn.XLOOKUP(P9,Table2[Department],Table2[Group],"ERROR")</f>
        <v>Others</v>
      </c>
      <c r="R9" s="136" t="s">
        <v>458</v>
      </c>
      <c r="S9" s="136" t="s">
        <v>459</v>
      </c>
      <c r="T9" s="136" t="s">
        <v>458</v>
      </c>
      <c r="V9" s="136" t="s">
        <v>113</v>
      </c>
    </row>
    <row r="10" spans="1:22" ht="12.75" customHeight="1" x14ac:dyDescent="0.2">
      <c r="A10" s="2" t="s">
        <v>15</v>
      </c>
      <c r="B10" s="2" t="s">
        <v>1</v>
      </c>
      <c r="C10" s="3">
        <v>46038</v>
      </c>
      <c r="D10" s="3">
        <v>46038</v>
      </c>
      <c r="E10" s="3">
        <v>46038</v>
      </c>
      <c r="F10" s="2" t="s">
        <v>4</v>
      </c>
      <c r="G10" s="204">
        <v>30</v>
      </c>
      <c r="H10" s="204">
        <v>0</v>
      </c>
      <c r="I10" s="204"/>
      <c r="J10" s="205">
        <f t="shared" si="0"/>
        <v>30</v>
      </c>
      <c r="K10" s="109" t="s">
        <v>455</v>
      </c>
      <c r="L10" s="4" t="s">
        <v>1009</v>
      </c>
      <c r="M10" s="4" t="s">
        <v>1010</v>
      </c>
      <c r="N10" s="4" t="s">
        <v>332</v>
      </c>
      <c r="O10" s="134" t="str">
        <f>_xlfn.XLOOKUP(N10,costcategory[Account Code],costcategory[Cost Category],"ERROR")</f>
        <v>Bank Charges</v>
      </c>
      <c r="P10" s="135" t="s">
        <v>333</v>
      </c>
      <c r="Q10" s="89" t="str">
        <f>_xlfn.XLOOKUP(P10,Table2[Department],Table2[Group],"ERROR")</f>
        <v>General &amp; Administrative</v>
      </c>
      <c r="R10" s="136" t="s">
        <v>451</v>
      </c>
      <c r="S10" s="136" t="s">
        <v>452</v>
      </c>
      <c r="T10" s="136" t="s">
        <v>452</v>
      </c>
      <c r="V10" s="136" t="s">
        <v>113</v>
      </c>
    </row>
    <row r="11" spans="1:22" ht="12.75" customHeight="1" x14ac:dyDescent="0.2">
      <c r="A11" s="2" t="s">
        <v>15</v>
      </c>
      <c r="B11" s="2" t="s">
        <v>1</v>
      </c>
      <c r="C11" s="3">
        <v>46038</v>
      </c>
      <c r="D11" s="3">
        <v>46038</v>
      </c>
      <c r="E11" s="3">
        <v>46038</v>
      </c>
      <c r="F11" s="2" t="s">
        <v>4</v>
      </c>
      <c r="G11" s="204">
        <v>7.7</v>
      </c>
      <c r="H11" s="204">
        <v>0</v>
      </c>
      <c r="I11" s="204"/>
      <c r="J11" s="205">
        <f t="shared" si="0"/>
        <v>7.7</v>
      </c>
      <c r="K11" s="109" t="s">
        <v>455</v>
      </c>
      <c r="L11" s="4" t="s">
        <v>1009</v>
      </c>
      <c r="M11" s="4" t="s">
        <v>1010</v>
      </c>
      <c r="N11" s="4" t="s">
        <v>332</v>
      </c>
      <c r="O11" s="134" t="str">
        <f>_xlfn.XLOOKUP(N11,costcategory[Account Code],costcategory[Cost Category],"ERROR")</f>
        <v>Bank Charges</v>
      </c>
      <c r="P11" s="135" t="s">
        <v>333</v>
      </c>
      <c r="Q11" s="89" t="str">
        <f>_xlfn.XLOOKUP(P11,Table2[Department],Table2[Group],"ERROR")</f>
        <v>General &amp; Administrative</v>
      </c>
      <c r="R11" s="136" t="s">
        <v>451</v>
      </c>
      <c r="S11" s="136" t="s">
        <v>452</v>
      </c>
      <c r="T11" s="136" t="s">
        <v>452</v>
      </c>
      <c r="V11" s="136" t="s">
        <v>113</v>
      </c>
    </row>
    <row r="12" spans="1:22" ht="12.75" customHeight="1" x14ac:dyDescent="0.2">
      <c r="A12" s="2" t="s">
        <v>15</v>
      </c>
      <c r="B12" s="2" t="s">
        <v>1</v>
      </c>
      <c r="C12" s="3">
        <v>46045</v>
      </c>
      <c r="D12" s="3">
        <v>46045</v>
      </c>
      <c r="E12" s="3">
        <v>46045</v>
      </c>
      <c r="F12" s="2" t="s">
        <v>4</v>
      </c>
      <c r="G12" s="204">
        <v>235849.06</v>
      </c>
      <c r="H12" s="204">
        <v>0</v>
      </c>
      <c r="I12" s="204"/>
      <c r="J12" s="205">
        <f t="shared" si="0"/>
        <v>235849.06</v>
      </c>
      <c r="K12" s="109" t="s">
        <v>670</v>
      </c>
      <c r="L12" s="4" t="s">
        <v>460</v>
      </c>
      <c r="M12" s="4" t="s">
        <v>696</v>
      </c>
      <c r="N12" s="4" t="s">
        <v>418</v>
      </c>
      <c r="O12" s="134" t="str">
        <f>_xlfn.XLOOKUP(N12,costcategory[Account Code],costcategory[Cost Category],"ERROR")</f>
        <v>Internal Fund Transfer</v>
      </c>
      <c r="P12" s="135" t="s">
        <v>66</v>
      </c>
      <c r="Q12" s="89" t="str">
        <f>_xlfn.XLOOKUP(P12,Table2[Department],Table2[Group],"ERROR")</f>
        <v>Others</v>
      </c>
      <c r="R12" s="136" t="s">
        <v>466</v>
      </c>
      <c r="S12" s="136" t="s">
        <v>459</v>
      </c>
      <c r="T12" s="136" t="s">
        <v>458</v>
      </c>
      <c r="V12" s="136" t="s">
        <v>113</v>
      </c>
    </row>
    <row r="13" spans="1:22" ht="12.75" customHeight="1" x14ac:dyDescent="0.2">
      <c r="A13" s="2" t="s">
        <v>15</v>
      </c>
      <c r="B13" s="2" t="s">
        <v>1</v>
      </c>
      <c r="C13" s="3">
        <v>46048</v>
      </c>
      <c r="D13" s="3">
        <v>46048</v>
      </c>
      <c r="E13" s="3">
        <v>46048</v>
      </c>
      <c r="F13" s="2" t="s">
        <v>4</v>
      </c>
      <c r="G13" s="204">
        <v>63000</v>
      </c>
      <c r="H13" s="204">
        <v>0</v>
      </c>
      <c r="I13" s="204"/>
      <c r="J13" s="205">
        <f t="shared" si="0"/>
        <v>63000</v>
      </c>
      <c r="K13" s="109" t="s">
        <v>1002</v>
      </c>
      <c r="L13" s="4" t="s">
        <v>1003</v>
      </c>
      <c r="M13" s="4" t="s">
        <v>1004</v>
      </c>
      <c r="N13" s="4" t="s">
        <v>657</v>
      </c>
      <c r="O13" s="134" t="str">
        <f>_xlfn.XLOOKUP(N13,costcategory[Account Code],costcategory[Cost Category],"ERROR")</f>
        <v>Intercompany</v>
      </c>
      <c r="P13" s="135" t="s">
        <v>333</v>
      </c>
      <c r="Q13" s="89" t="str">
        <f>_xlfn.XLOOKUP(P13,Table2[Department],Table2[Group],"ERROR")</f>
        <v>General &amp; Administrative</v>
      </c>
      <c r="R13" s="136" t="s">
        <v>458</v>
      </c>
      <c r="S13" s="136" t="s">
        <v>459</v>
      </c>
      <c r="T13" s="136" t="s">
        <v>458</v>
      </c>
      <c r="V13" s="136" t="s">
        <v>113</v>
      </c>
    </row>
    <row r="14" spans="1:22" ht="12.75" customHeight="1" x14ac:dyDescent="0.2">
      <c r="A14" s="2" t="s">
        <v>15</v>
      </c>
      <c r="B14" s="2" t="s">
        <v>1</v>
      </c>
      <c r="C14" s="3">
        <v>46048</v>
      </c>
      <c r="D14" s="3">
        <v>46048</v>
      </c>
      <c r="E14" s="3">
        <v>46048</v>
      </c>
      <c r="F14" s="2" t="s">
        <v>4</v>
      </c>
      <c r="G14" s="204">
        <v>23.84</v>
      </c>
      <c r="H14" s="204">
        <v>0</v>
      </c>
      <c r="I14" s="204"/>
      <c r="J14" s="205">
        <f t="shared" si="0"/>
        <v>23.84</v>
      </c>
      <c r="K14" s="109" t="s">
        <v>455</v>
      </c>
      <c r="L14" s="4" t="s">
        <v>1012</v>
      </c>
      <c r="M14" s="4" t="s">
        <v>1006</v>
      </c>
      <c r="N14" s="4" t="s">
        <v>332</v>
      </c>
      <c r="O14" s="134" t="str">
        <f>_xlfn.XLOOKUP(N14,costcategory[Account Code],costcategory[Cost Category],"ERROR")</f>
        <v>Bank Charges</v>
      </c>
      <c r="P14" s="135" t="s">
        <v>333</v>
      </c>
      <c r="Q14" s="89" t="str">
        <f>_xlfn.XLOOKUP(P14,Table2[Department],Table2[Group],"ERROR")</f>
        <v>General &amp; Administrative</v>
      </c>
      <c r="R14" s="136" t="s">
        <v>451</v>
      </c>
      <c r="S14" s="136" t="s">
        <v>452</v>
      </c>
      <c r="T14" s="136" t="s">
        <v>452</v>
      </c>
      <c r="V14" s="136" t="s">
        <v>113</v>
      </c>
    </row>
    <row r="15" spans="1:22" ht="12.75" customHeight="1" x14ac:dyDescent="0.2">
      <c r="A15" s="2" t="s">
        <v>15</v>
      </c>
      <c r="B15" s="2" t="s">
        <v>1</v>
      </c>
      <c r="C15" s="3">
        <v>46021</v>
      </c>
      <c r="D15" s="3">
        <v>46051</v>
      </c>
      <c r="E15" s="3">
        <v>46049</v>
      </c>
      <c r="F15" s="2" t="s">
        <v>4</v>
      </c>
      <c r="G15" s="204">
        <v>-8978</v>
      </c>
      <c r="H15" s="204">
        <v>-808.02</v>
      </c>
      <c r="I15" s="204"/>
      <c r="J15" s="205">
        <f t="shared" si="0"/>
        <v>-9786.02</v>
      </c>
      <c r="K15" s="109" t="s">
        <v>99</v>
      </c>
      <c r="L15" s="4" t="s">
        <v>100</v>
      </c>
      <c r="M15" s="4" t="s">
        <v>101</v>
      </c>
      <c r="N15" t="s">
        <v>382</v>
      </c>
      <c r="O15" s="134" t="str">
        <f>_xlfn.XLOOKUP(N15,costcategory[Account Code],costcategory[Cost Category],"ERROR")</f>
        <v>Revenue</v>
      </c>
      <c r="P15" s="135" t="s">
        <v>438</v>
      </c>
      <c r="Q15" s="89" t="str">
        <f>_xlfn.XLOOKUP(P15,Table2[Department],Table2[Group],"ERROR")</f>
        <v>Sales &amp; Marketing</v>
      </c>
      <c r="R15" s="136" t="s">
        <v>452</v>
      </c>
      <c r="S15" s="136" t="s">
        <v>452</v>
      </c>
      <c r="T15" s="136" t="s">
        <v>452</v>
      </c>
      <c r="V15" s="136" t="s">
        <v>104</v>
      </c>
    </row>
    <row r="16" spans="1:22" ht="12.75" customHeight="1" x14ac:dyDescent="0.2">
      <c r="A16" s="2" t="s">
        <v>15</v>
      </c>
      <c r="B16" s="2" t="s">
        <v>1</v>
      </c>
      <c r="C16" s="3">
        <v>46049</v>
      </c>
      <c r="D16" s="3">
        <v>46049</v>
      </c>
      <c r="E16" s="3">
        <v>46049</v>
      </c>
      <c r="F16" s="2" t="s">
        <v>4</v>
      </c>
      <c r="G16" s="204">
        <v>7.81</v>
      </c>
      <c r="H16" s="204">
        <v>0</v>
      </c>
      <c r="I16" s="204"/>
      <c r="J16" s="205">
        <f t="shared" si="0"/>
        <v>7.81</v>
      </c>
      <c r="K16" s="109" t="s">
        <v>455</v>
      </c>
      <c r="L16" s="4" t="s">
        <v>1013</v>
      </c>
      <c r="M16" s="4" t="s">
        <v>1014</v>
      </c>
      <c r="N16" s="4" t="s">
        <v>332</v>
      </c>
      <c r="O16" s="134" t="str">
        <f>_xlfn.XLOOKUP(N16,costcategory[Account Code],costcategory[Cost Category],"ERROR")</f>
        <v>Bank Charges</v>
      </c>
      <c r="P16" s="135" t="s">
        <v>333</v>
      </c>
      <c r="Q16" s="89" t="str">
        <f>_xlfn.XLOOKUP(P16,Table2[Department],Table2[Group],"ERROR")</f>
        <v>General &amp; Administrative</v>
      </c>
      <c r="R16" s="136" t="s">
        <v>451</v>
      </c>
      <c r="S16" s="136" t="s">
        <v>452</v>
      </c>
      <c r="T16" s="136" t="s">
        <v>452</v>
      </c>
      <c r="V16" s="136" t="s">
        <v>113</v>
      </c>
    </row>
    <row r="17" spans="1:22" ht="12.75" customHeight="1" x14ac:dyDescent="0.2">
      <c r="F17" s="2" t="s">
        <v>4</v>
      </c>
      <c r="G17" s="204"/>
      <c r="H17" s="204"/>
      <c r="I17" s="204"/>
      <c r="J17" s="205">
        <f>SUM(J6:J16)</f>
        <v>45155.87999999999</v>
      </c>
      <c r="K17" s="109"/>
      <c r="Q17"/>
    </row>
    <row r="18" spans="1:22" ht="12.75" customHeight="1" x14ac:dyDescent="0.2">
      <c r="A18" s="329" t="s">
        <v>1173</v>
      </c>
      <c r="B18" s="329"/>
      <c r="C18" s="329"/>
      <c r="D18" s="329"/>
      <c r="E18" s="14">
        <v>46053</v>
      </c>
      <c r="F18" s="13" t="s">
        <v>4</v>
      </c>
      <c r="G18" s="206"/>
      <c r="H18" s="207"/>
      <c r="I18" s="207"/>
      <c r="J18" s="208">
        <f>J5-J17</f>
        <v>12669.950000000012</v>
      </c>
      <c r="K18" s="17"/>
      <c r="L18" s="17"/>
      <c r="M18" s="17"/>
      <c r="N18" s="17"/>
      <c r="O18" s="17"/>
      <c r="P18" s="17"/>
      <c r="Q18" s="17"/>
      <c r="R18" s="20"/>
      <c r="S18" s="20"/>
      <c r="T18" s="20"/>
      <c r="U18" s="17"/>
      <c r="V18" s="20"/>
    </row>
    <row r="19" spans="1:22" ht="12.75" customHeight="1" x14ac:dyDescent="0.2">
      <c r="A19" s="33"/>
      <c r="B19" s="33"/>
      <c r="C19" s="33"/>
      <c r="D19" s="33"/>
      <c r="E19" s="71"/>
      <c r="F19" s="33"/>
      <c r="G19" s="209"/>
      <c r="H19" s="197"/>
      <c r="I19" s="197"/>
      <c r="J19" s="210"/>
      <c r="K19" s="4"/>
    </row>
    <row r="20" spans="1:22" ht="12.75" customHeight="1" x14ac:dyDescent="0.2">
      <c r="A20" s="7" t="s">
        <v>87</v>
      </c>
      <c r="B20" s="7" t="s">
        <v>43</v>
      </c>
      <c r="C20" s="8" t="s">
        <v>54</v>
      </c>
      <c r="D20" s="8" t="s">
        <v>88</v>
      </c>
      <c r="E20" s="185" t="s">
        <v>1083</v>
      </c>
      <c r="F20" s="7" t="s">
        <v>70</v>
      </c>
      <c r="G20" s="201" t="s">
        <v>90</v>
      </c>
      <c r="H20" s="201" t="s">
        <v>91</v>
      </c>
      <c r="I20" s="201"/>
      <c r="J20" s="201" t="s">
        <v>92</v>
      </c>
      <c r="K20" s="132" t="s">
        <v>325</v>
      </c>
      <c r="L20" s="132" t="s">
        <v>94</v>
      </c>
      <c r="M20" s="7" t="s">
        <v>95</v>
      </c>
      <c r="N20" s="7" t="s">
        <v>53</v>
      </c>
      <c r="O20" s="7" t="s">
        <v>64</v>
      </c>
      <c r="P20" s="7" t="s">
        <v>67</v>
      </c>
      <c r="Q20" s="7" t="s">
        <v>44</v>
      </c>
      <c r="R20" s="7" t="s">
        <v>326</v>
      </c>
      <c r="S20" s="7" t="s">
        <v>327</v>
      </c>
      <c r="T20" s="7" t="s">
        <v>328</v>
      </c>
      <c r="U20" s="7" t="s">
        <v>98</v>
      </c>
      <c r="V20" s="7" t="s">
        <v>329</v>
      </c>
    </row>
    <row r="21" spans="1:22" ht="12.75" customHeight="1" x14ac:dyDescent="0.2">
      <c r="A21" s="329" t="s">
        <v>1172</v>
      </c>
      <c r="B21" s="329"/>
      <c r="C21" s="329"/>
      <c r="D21" s="329"/>
      <c r="E21" s="14">
        <v>46082</v>
      </c>
      <c r="F21" s="13" t="s">
        <v>4</v>
      </c>
      <c r="G21" s="206"/>
      <c r="H21" s="206"/>
      <c r="I21" s="206"/>
      <c r="J21" s="211">
        <f>J18</f>
        <v>12669.950000000012</v>
      </c>
      <c r="K21" s="137"/>
      <c r="L21" s="137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ht="12.75" customHeight="1" x14ac:dyDescent="0.2">
      <c r="A22" s="2" t="s">
        <v>15</v>
      </c>
      <c r="B22" s="2" t="s">
        <v>1</v>
      </c>
      <c r="C22" s="3">
        <v>46083</v>
      </c>
      <c r="D22" s="3">
        <v>46083</v>
      </c>
      <c r="E22" s="3">
        <v>46083</v>
      </c>
      <c r="F22" s="2" t="s">
        <v>4</v>
      </c>
      <c r="G22" s="204">
        <v>12000</v>
      </c>
      <c r="H22" s="204">
        <v>0</v>
      </c>
      <c r="I22" s="204"/>
      <c r="J22" s="205">
        <f>SUM(G22:H22)</f>
        <v>12000</v>
      </c>
      <c r="K22" s="109" t="s">
        <v>1001</v>
      </c>
      <c r="L22" s="4" t="s">
        <v>881</v>
      </c>
      <c r="M22" s="4" t="s">
        <v>696</v>
      </c>
      <c r="N22" s="4" t="s">
        <v>418</v>
      </c>
      <c r="O22" s="134" t="str">
        <f>_xlfn.XLOOKUP(N22,costcategory[Account Code],costcategory[Cost Category],"ERROR")</f>
        <v>Internal Fund Transfer</v>
      </c>
      <c r="P22" s="135" t="s">
        <v>66</v>
      </c>
      <c r="Q22" s="89" t="str">
        <f>_xlfn.XLOOKUP(P22,Table2[Department],Table2[Group],"ERROR")</f>
        <v>Others</v>
      </c>
      <c r="R22" s="136"/>
      <c r="S22" s="136"/>
      <c r="T22" s="136"/>
      <c r="V22" s="136" t="s">
        <v>113</v>
      </c>
    </row>
    <row r="23" spans="1:22" ht="12.75" customHeight="1" x14ac:dyDescent="0.2">
      <c r="A23" s="2" t="s">
        <v>15</v>
      </c>
      <c r="B23" s="2" t="s">
        <v>1</v>
      </c>
      <c r="C23" s="3">
        <v>46083</v>
      </c>
      <c r="D23" s="3">
        <v>46083</v>
      </c>
      <c r="E23" s="3">
        <v>46083</v>
      </c>
      <c r="F23" s="2" t="s">
        <v>4</v>
      </c>
      <c r="G23" s="204">
        <v>-349970</v>
      </c>
      <c r="H23" s="204">
        <v>0</v>
      </c>
      <c r="I23" s="204"/>
      <c r="J23" s="205">
        <f t="shared" ref="J23:J32" si="1">SUM(G23:H23)</f>
        <v>-349970</v>
      </c>
      <c r="K23" s="109" t="s">
        <v>1007</v>
      </c>
      <c r="L23" s="4" t="s">
        <v>881</v>
      </c>
      <c r="M23" s="4" t="s">
        <v>1008</v>
      </c>
      <c r="N23" s="4" t="s">
        <v>418</v>
      </c>
      <c r="O23" s="134" t="str">
        <f>_xlfn.XLOOKUP(N23,costcategory[Account Code],costcategory[Cost Category],"ERROR")</f>
        <v>Internal Fund Transfer</v>
      </c>
      <c r="P23" s="135" t="s">
        <v>66</v>
      </c>
      <c r="Q23" s="89" t="str">
        <f>_xlfn.XLOOKUP(P23,Table2[Department],Table2[Group],"ERROR")</f>
        <v>Others</v>
      </c>
      <c r="R23" s="136"/>
      <c r="S23" s="136"/>
      <c r="T23" s="136"/>
      <c r="V23" s="136" t="s">
        <v>113</v>
      </c>
    </row>
    <row r="24" spans="1:22" ht="12.75" customHeight="1" x14ac:dyDescent="0.2">
      <c r="A24" s="2" t="s">
        <v>15</v>
      </c>
      <c r="B24" s="2" t="s">
        <v>1</v>
      </c>
      <c r="C24" s="3">
        <v>46083</v>
      </c>
      <c r="D24" s="3">
        <v>46083</v>
      </c>
      <c r="E24" s="3">
        <v>46083</v>
      </c>
      <c r="F24" s="2" t="s">
        <v>4</v>
      </c>
      <c r="G24" s="204">
        <v>7.83</v>
      </c>
      <c r="H24" s="204">
        <v>0</v>
      </c>
      <c r="I24" s="204"/>
      <c r="J24" s="205">
        <f t="shared" si="1"/>
        <v>7.83</v>
      </c>
      <c r="K24" s="109" t="s">
        <v>455</v>
      </c>
      <c r="L24" s="4" t="s">
        <v>609</v>
      </c>
      <c r="M24" s="4" t="s">
        <v>1020</v>
      </c>
      <c r="N24" s="4" t="s">
        <v>332</v>
      </c>
      <c r="O24" s="134" t="str">
        <f>_xlfn.XLOOKUP(N24,costcategory[Account Code],costcategory[Cost Category],"ERROR")</f>
        <v>Bank Charges</v>
      </c>
      <c r="P24" s="135" t="s">
        <v>333</v>
      </c>
      <c r="Q24" s="89" t="str">
        <f>_xlfn.XLOOKUP(P24,Table2[Department],Table2[Group],"ERROR")</f>
        <v>General &amp; Administrative</v>
      </c>
      <c r="R24" s="136"/>
      <c r="S24" s="136"/>
      <c r="T24" s="136"/>
      <c r="V24" s="136" t="s">
        <v>113</v>
      </c>
    </row>
    <row r="25" spans="1:22" ht="12.75" customHeight="1" x14ac:dyDescent="0.2">
      <c r="A25" s="2" t="s">
        <v>15</v>
      </c>
      <c r="B25" s="2" t="s">
        <v>1</v>
      </c>
      <c r="C25" s="3">
        <v>46083</v>
      </c>
      <c r="D25" s="3">
        <v>46083</v>
      </c>
      <c r="E25" s="3">
        <v>46083</v>
      </c>
      <c r="F25" s="2" t="s">
        <v>4</v>
      </c>
      <c r="G25" s="204">
        <v>200000</v>
      </c>
      <c r="H25" s="204">
        <v>0</v>
      </c>
      <c r="I25" s="204"/>
      <c r="J25" s="205">
        <f t="shared" si="1"/>
        <v>200000</v>
      </c>
      <c r="K25" s="109" t="s">
        <v>1001</v>
      </c>
      <c r="L25" s="4" t="s">
        <v>881</v>
      </c>
      <c r="M25" s="4" t="s">
        <v>696</v>
      </c>
      <c r="N25" s="4" t="s">
        <v>418</v>
      </c>
      <c r="O25" s="134" t="str">
        <f>_xlfn.XLOOKUP(N25,costcategory[Account Code],costcategory[Cost Category],"ERROR")</f>
        <v>Internal Fund Transfer</v>
      </c>
      <c r="P25" s="135" t="s">
        <v>66</v>
      </c>
      <c r="Q25" s="89" t="str">
        <f>_xlfn.XLOOKUP(P25,Table2[Department],Table2[Group],"ERROR")</f>
        <v>Others</v>
      </c>
      <c r="R25" s="136"/>
      <c r="S25" s="136"/>
      <c r="T25" s="136"/>
      <c r="V25" s="136" t="s">
        <v>113</v>
      </c>
    </row>
    <row r="26" spans="1:22" ht="12.75" customHeight="1" x14ac:dyDescent="0.2">
      <c r="A26" s="2" t="s">
        <v>15</v>
      </c>
      <c r="B26" s="2" t="s">
        <v>1</v>
      </c>
      <c r="C26" s="3">
        <v>46091</v>
      </c>
      <c r="D26" s="3">
        <v>46091</v>
      </c>
      <c r="E26" s="3">
        <v>46091</v>
      </c>
      <c r="F26" s="2" t="s">
        <v>4</v>
      </c>
      <c r="G26" s="204">
        <v>-9786.02</v>
      </c>
      <c r="H26" s="204">
        <v>0</v>
      </c>
      <c r="I26" s="204"/>
      <c r="J26" s="205">
        <f t="shared" si="1"/>
        <v>-9786.02</v>
      </c>
      <c r="K26" s="109" t="s">
        <v>99</v>
      </c>
      <c r="L26" s="4" t="s">
        <v>120</v>
      </c>
      <c r="M26" s="4" t="s">
        <v>1021</v>
      </c>
      <c r="N26" s="4" t="s">
        <v>382</v>
      </c>
      <c r="O26" s="134" t="str">
        <f>_xlfn.XLOOKUP(N26,costcategory[Account Code],costcategory[Cost Category],"ERROR")</f>
        <v>Revenue</v>
      </c>
      <c r="P26" s="135" t="s">
        <v>438</v>
      </c>
      <c r="Q26" s="89" t="str">
        <f>_xlfn.XLOOKUP(P26,Table2[Department],Table2[Group],"ERROR")</f>
        <v>Sales &amp; Marketing</v>
      </c>
      <c r="R26" s="136"/>
      <c r="S26" s="136"/>
      <c r="T26" s="136"/>
      <c r="V26" s="136" t="s">
        <v>104</v>
      </c>
    </row>
    <row r="27" spans="1:22" ht="12.75" customHeight="1" x14ac:dyDescent="0.2">
      <c r="A27" s="2" t="s">
        <v>15</v>
      </c>
      <c r="B27" s="2" t="s">
        <v>1</v>
      </c>
      <c r="C27" s="3">
        <v>46091</v>
      </c>
      <c r="D27" s="3">
        <v>46091</v>
      </c>
      <c r="E27" s="3">
        <v>46091</v>
      </c>
      <c r="F27" s="2" t="s">
        <v>4</v>
      </c>
      <c r="G27" s="204">
        <v>7.8</v>
      </c>
      <c r="H27" s="204">
        <v>0</v>
      </c>
      <c r="I27" s="204"/>
      <c r="J27" s="205">
        <f t="shared" si="1"/>
        <v>7.8</v>
      </c>
      <c r="K27" s="109" t="s">
        <v>455</v>
      </c>
      <c r="L27" s="4" t="s">
        <v>609</v>
      </c>
      <c r="M27" s="4" t="s">
        <v>1020</v>
      </c>
      <c r="N27" s="4" t="s">
        <v>332</v>
      </c>
      <c r="O27" s="134" t="str">
        <f>_xlfn.XLOOKUP(N27,costcategory[Account Code],costcategory[Cost Category],"ERROR")</f>
        <v>Bank Charges</v>
      </c>
      <c r="P27" s="135" t="s">
        <v>333</v>
      </c>
      <c r="Q27" s="89" t="str">
        <f>_xlfn.XLOOKUP(P27,Table2[Department],Table2[Group],"ERROR")</f>
        <v>General &amp; Administrative</v>
      </c>
      <c r="R27" s="136"/>
      <c r="S27" s="136"/>
      <c r="T27" s="136"/>
      <c r="V27" s="136" t="s">
        <v>113</v>
      </c>
    </row>
    <row r="28" spans="1:22" ht="12.75" customHeight="1" x14ac:dyDescent="0.2">
      <c r="A28" s="2" t="s">
        <v>15</v>
      </c>
      <c r="B28" s="2" t="s">
        <v>1</v>
      </c>
      <c r="C28" s="3">
        <v>46097</v>
      </c>
      <c r="D28" s="3">
        <v>46097</v>
      </c>
      <c r="E28" s="3">
        <v>46097</v>
      </c>
      <c r="F28" s="2" t="s">
        <v>4</v>
      </c>
      <c r="G28" s="204">
        <v>4855.2299999999996</v>
      </c>
      <c r="H28" s="204">
        <v>0</v>
      </c>
      <c r="I28" s="204"/>
      <c r="J28" s="205">
        <f t="shared" si="1"/>
        <v>4855.2299999999996</v>
      </c>
      <c r="K28" s="109" t="s">
        <v>1022</v>
      </c>
      <c r="M28" s="4" t="s">
        <v>1023</v>
      </c>
      <c r="N28" s="4" t="s">
        <v>1024</v>
      </c>
      <c r="O28" s="134" t="str">
        <f>_xlfn.XLOOKUP(N28,costcategory[Account Code],costcategory[Cost Category],"ERROR")</f>
        <v>Intercompany</v>
      </c>
      <c r="P28" s="135" t="s">
        <v>66</v>
      </c>
      <c r="Q28" s="89" t="str">
        <f>_xlfn.XLOOKUP(P28,Table2[Department],Table2[Group],"ERROR")</f>
        <v>Others</v>
      </c>
      <c r="R28" s="136"/>
      <c r="S28" s="136"/>
      <c r="T28" s="136"/>
      <c r="V28" s="136" t="s">
        <v>113</v>
      </c>
    </row>
    <row r="29" spans="1:22" ht="12.75" customHeight="1" x14ac:dyDescent="0.2">
      <c r="A29" s="2" t="s">
        <v>15</v>
      </c>
      <c r="B29" s="2" t="s">
        <v>1</v>
      </c>
      <c r="C29" s="3">
        <v>46097</v>
      </c>
      <c r="D29" s="3">
        <v>46097</v>
      </c>
      <c r="E29" s="3">
        <v>46097</v>
      </c>
      <c r="F29" s="2" t="s">
        <v>4</v>
      </c>
      <c r="G29" s="204">
        <v>23.42</v>
      </c>
      <c r="H29" s="204">
        <v>0</v>
      </c>
      <c r="I29" s="204"/>
      <c r="J29" s="205">
        <f t="shared" si="1"/>
        <v>23.42</v>
      </c>
      <c r="K29" s="109" t="s">
        <v>455</v>
      </c>
      <c r="L29" s="4" t="s">
        <v>609</v>
      </c>
      <c r="M29" s="4" t="s">
        <v>609</v>
      </c>
      <c r="N29" s="4" t="s">
        <v>332</v>
      </c>
      <c r="O29" s="134" t="str">
        <f>_xlfn.XLOOKUP(N29,costcategory[Account Code],costcategory[Cost Category],"ERROR")</f>
        <v>Bank Charges</v>
      </c>
      <c r="P29" s="135" t="s">
        <v>333</v>
      </c>
      <c r="Q29" s="89" t="str">
        <f>_xlfn.XLOOKUP(P29,Table2[Department],Table2[Group],"ERROR")</f>
        <v>General &amp; Administrative</v>
      </c>
      <c r="R29" s="136"/>
      <c r="S29" s="136"/>
      <c r="T29" s="136"/>
      <c r="V29" s="136" t="s">
        <v>113</v>
      </c>
    </row>
    <row r="30" spans="1:22" ht="12.75" customHeight="1" x14ac:dyDescent="0.2">
      <c r="A30" s="2" t="s">
        <v>15</v>
      </c>
      <c r="B30" s="2" t="s">
        <v>1</v>
      </c>
      <c r="C30" s="3">
        <v>46105</v>
      </c>
      <c r="D30" s="3">
        <v>46105</v>
      </c>
      <c r="E30" s="3">
        <v>46105</v>
      </c>
      <c r="F30" s="2" t="s">
        <v>4</v>
      </c>
      <c r="G30" s="204">
        <v>100000</v>
      </c>
      <c r="H30" s="204">
        <v>0</v>
      </c>
      <c r="I30" s="204"/>
      <c r="J30" s="205">
        <f t="shared" si="1"/>
        <v>100000</v>
      </c>
      <c r="K30" s="109" t="s">
        <v>1001</v>
      </c>
      <c r="L30" s="4" t="s">
        <v>881</v>
      </c>
      <c r="M30" s="4" t="s">
        <v>696</v>
      </c>
      <c r="N30" s="4" t="s">
        <v>418</v>
      </c>
      <c r="O30" s="134" t="str">
        <f>_xlfn.XLOOKUP(N30,costcategory[Account Code],costcategory[Cost Category],"ERROR")</f>
        <v>Internal Fund Transfer</v>
      </c>
      <c r="P30" s="135" t="s">
        <v>66</v>
      </c>
      <c r="Q30" s="89" t="str">
        <f>_xlfn.XLOOKUP(P30,Table2[Department],Table2[Group],"ERROR")</f>
        <v>Others</v>
      </c>
      <c r="R30" s="136"/>
      <c r="S30" s="136"/>
      <c r="T30" s="136"/>
      <c r="V30" s="136" t="s">
        <v>113</v>
      </c>
    </row>
    <row r="31" spans="1:22" ht="12.75" customHeight="1" x14ac:dyDescent="0.2">
      <c r="A31" s="2" t="s">
        <v>15</v>
      </c>
      <c r="B31" s="2" t="s">
        <v>1</v>
      </c>
      <c r="C31" s="3">
        <v>46105</v>
      </c>
      <c r="D31" s="3">
        <v>46105</v>
      </c>
      <c r="E31" s="3">
        <v>46105</v>
      </c>
      <c r="F31" s="2" t="s">
        <v>4</v>
      </c>
      <c r="G31" s="204">
        <v>-1090</v>
      </c>
      <c r="H31" s="204">
        <v>0</v>
      </c>
      <c r="I31" s="204"/>
      <c r="J31" s="205">
        <f t="shared" si="1"/>
        <v>-1090</v>
      </c>
      <c r="K31" s="109" t="s">
        <v>1025</v>
      </c>
      <c r="L31" s="4" t="s">
        <v>146</v>
      </c>
      <c r="M31" s="4" t="s">
        <v>1026</v>
      </c>
      <c r="N31" s="4" t="s">
        <v>382</v>
      </c>
      <c r="O31" s="134" t="str">
        <f>_xlfn.XLOOKUP(N31,costcategory[Account Code],costcategory[Cost Category],"ERROR")</f>
        <v>Revenue</v>
      </c>
      <c r="P31" s="135" t="s">
        <v>658</v>
      </c>
      <c r="Q31" s="89" t="str">
        <f>_xlfn.XLOOKUP(P31,Table2[Department],Table2[Group],"ERROR")</f>
        <v>Sales &amp; Marketing</v>
      </c>
      <c r="R31" s="136"/>
      <c r="S31" s="136"/>
      <c r="T31" s="136"/>
      <c r="V31" s="136" t="s">
        <v>104</v>
      </c>
    </row>
    <row r="32" spans="1:22" ht="12.75" customHeight="1" x14ac:dyDescent="0.2">
      <c r="A32" s="2" t="s">
        <v>15</v>
      </c>
      <c r="B32" s="2" t="s">
        <v>1</v>
      </c>
      <c r="C32" s="3">
        <v>46107</v>
      </c>
      <c r="D32" s="3">
        <v>46107</v>
      </c>
      <c r="E32" s="3">
        <v>46107</v>
      </c>
      <c r="F32" s="2" t="s">
        <v>4</v>
      </c>
      <c r="G32" s="204">
        <v>-9786.02</v>
      </c>
      <c r="H32" s="204">
        <v>0</v>
      </c>
      <c r="I32" s="204"/>
      <c r="J32" s="205">
        <f t="shared" si="1"/>
        <v>-9786.02</v>
      </c>
      <c r="K32" s="109" t="s">
        <v>99</v>
      </c>
      <c r="L32" s="4" t="s">
        <v>135</v>
      </c>
      <c r="M32" s="4" t="s">
        <v>1028</v>
      </c>
      <c r="N32" s="4" t="s">
        <v>382</v>
      </c>
      <c r="O32" s="134" t="str">
        <f>_xlfn.XLOOKUP(N32,costcategory[Account Code],costcategory[Cost Category],"ERROR")</f>
        <v>Revenue</v>
      </c>
      <c r="P32" s="135" t="s">
        <v>438</v>
      </c>
      <c r="Q32" s="89" t="str">
        <f>_xlfn.XLOOKUP(P32,Table2[Department],Table2[Group],"ERROR")</f>
        <v>Sales &amp; Marketing</v>
      </c>
      <c r="R32" s="136"/>
      <c r="S32" s="136"/>
      <c r="T32" s="136"/>
      <c r="V32" s="136" t="s">
        <v>104</v>
      </c>
    </row>
    <row r="33" spans="1:22" ht="12.75" customHeight="1" x14ac:dyDescent="0.2">
      <c r="A33" s="2" t="s">
        <v>15</v>
      </c>
      <c r="B33" s="2" t="s">
        <v>1</v>
      </c>
      <c r="C33" s="3">
        <v>46107</v>
      </c>
      <c r="D33" s="3">
        <v>46107</v>
      </c>
      <c r="E33" s="3">
        <v>46107</v>
      </c>
      <c r="F33" s="2" t="s">
        <v>4</v>
      </c>
      <c r="G33" s="204">
        <v>7.74</v>
      </c>
      <c r="H33" s="204">
        <v>0</v>
      </c>
      <c r="I33" s="204"/>
      <c r="J33" s="205">
        <f>SUM(G33:H33)</f>
        <v>7.74</v>
      </c>
      <c r="K33" s="109" t="s">
        <v>455</v>
      </c>
      <c r="L33" s="4" t="s">
        <v>609</v>
      </c>
      <c r="M33" s="4" t="s">
        <v>609</v>
      </c>
      <c r="N33" s="4" t="s">
        <v>332</v>
      </c>
      <c r="O33" s="134" t="str">
        <f>_xlfn.XLOOKUP(N33,costcategory[Account Code],costcategory[Cost Category],"ERROR")</f>
        <v>Bank Charges</v>
      </c>
      <c r="P33" s="135" t="s">
        <v>333</v>
      </c>
      <c r="Q33" s="89" t="str">
        <f>_xlfn.XLOOKUP(P33,Table2[Department],Table2[Group],"ERROR")</f>
        <v>General &amp; Administrative</v>
      </c>
      <c r="R33" s="136"/>
      <c r="S33" s="136"/>
      <c r="T33" s="136"/>
      <c r="V33" s="136" t="s">
        <v>113</v>
      </c>
    </row>
    <row r="34" spans="1:22" ht="12.75" customHeight="1" x14ac:dyDescent="0.2">
      <c r="F34" s="2" t="s">
        <v>4</v>
      </c>
      <c r="G34" s="204"/>
      <c r="H34" s="204"/>
      <c r="I34" s="204"/>
      <c r="J34" s="205">
        <f>SUM(J22:J33)</f>
        <v>-53730.019999999968</v>
      </c>
      <c r="K34" s="109"/>
    </row>
    <row r="35" spans="1:22" ht="12.75" customHeight="1" x14ac:dyDescent="0.2">
      <c r="A35" s="329" t="s">
        <v>1173</v>
      </c>
      <c r="B35" s="329"/>
      <c r="C35" s="329"/>
      <c r="D35" s="329"/>
      <c r="E35" s="14">
        <v>46112</v>
      </c>
      <c r="F35" s="13" t="s">
        <v>4</v>
      </c>
      <c r="G35" s="206"/>
      <c r="H35" s="207"/>
      <c r="I35" s="207"/>
      <c r="J35" s="208">
        <f>J21-J34</f>
        <v>66399.969999999972</v>
      </c>
      <c r="K35" s="17"/>
      <c r="L35" s="17"/>
      <c r="M35" s="17"/>
      <c r="N35" s="17"/>
      <c r="O35" s="17"/>
      <c r="P35" s="17"/>
      <c r="Q35" s="17"/>
      <c r="R35" s="20"/>
      <c r="S35" s="20"/>
      <c r="T35" s="20"/>
      <c r="U35" s="17"/>
      <c r="V35" s="20"/>
    </row>
    <row r="36" spans="1:22" ht="12.75" customHeight="1" x14ac:dyDescent="0.2">
      <c r="G36" s="204"/>
      <c r="H36" s="204"/>
      <c r="I36" s="204"/>
      <c r="J36" s="205"/>
      <c r="K36" s="109"/>
    </row>
    <row r="37" spans="1:22" ht="12.75" customHeight="1" x14ac:dyDescent="0.2">
      <c r="A37" s="7" t="s">
        <v>87</v>
      </c>
      <c r="B37" s="7" t="s">
        <v>43</v>
      </c>
      <c r="C37" s="8" t="s">
        <v>54</v>
      </c>
      <c r="D37" s="8" t="s">
        <v>88</v>
      </c>
      <c r="E37" s="185" t="s">
        <v>1083</v>
      </c>
      <c r="F37" s="7" t="s">
        <v>70</v>
      </c>
      <c r="G37" s="201" t="s">
        <v>90</v>
      </c>
      <c r="H37" s="201" t="s">
        <v>91</v>
      </c>
      <c r="I37" s="201"/>
      <c r="J37" s="201" t="s">
        <v>92</v>
      </c>
      <c r="K37" s="132" t="s">
        <v>325</v>
      </c>
      <c r="L37" s="132" t="s">
        <v>94</v>
      </c>
      <c r="M37" s="7" t="s">
        <v>95</v>
      </c>
      <c r="N37" s="7" t="s">
        <v>53</v>
      </c>
      <c r="O37" s="7" t="s">
        <v>64</v>
      </c>
      <c r="P37" s="7" t="s">
        <v>67</v>
      </c>
      <c r="Q37" s="7" t="s">
        <v>44</v>
      </c>
      <c r="R37" s="7" t="s">
        <v>326</v>
      </c>
      <c r="S37" s="7" t="s">
        <v>327</v>
      </c>
      <c r="T37" s="7" t="s">
        <v>328</v>
      </c>
      <c r="U37" s="7" t="s">
        <v>98</v>
      </c>
      <c r="V37" s="7" t="s">
        <v>329</v>
      </c>
    </row>
    <row r="38" spans="1:22" ht="12.75" customHeight="1" x14ac:dyDescent="0.2">
      <c r="A38" s="329" t="s">
        <v>1172</v>
      </c>
      <c r="B38" s="329"/>
      <c r="C38" s="329"/>
      <c r="D38" s="329"/>
      <c r="E38" s="14">
        <v>46113</v>
      </c>
      <c r="F38" s="13" t="s">
        <v>4</v>
      </c>
      <c r="G38" s="206"/>
      <c r="H38" s="206"/>
      <c r="I38" s="206"/>
      <c r="J38" s="211">
        <v>66399.969999999972</v>
      </c>
      <c r="K38" s="137"/>
      <c r="L38" s="137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ht="12.75" customHeight="1" x14ac:dyDescent="0.2">
      <c r="A39" s="2" t="s">
        <v>15</v>
      </c>
      <c r="B39" s="2" t="s">
        <v>1</v>
      </c>
      <c r="C39" s="3">
        <v>46113</v>
      </c>
      <c r="D39" s="3">
        <v>46113</v>
      </c>
      <c r="E39" s="3">
        <v>46113</v>
      </c>
      <c r="F39" s="2" t="s">
        <v>4</v>
      </c>
      <c r="G39" s="204">
        <v>4637</v>
      </c>
      <c r="H39" s="204">
        <v>0</v>
      </c>
      <c r="I39" s="204"/>
      <c r="J39" s="205">
        <f t="shared" ref="J39:J43" si="2">SUM(G39:H39)</f>
        <v>4637</v>
      </c>
      <c r="K39" s="109" t="s">
        <v>1031</v>
      </c>
      <c r="L39" s="4" t="s">
        <v>1032</v>
      </c>
      <c r="M39" s="4" t="s">
        <v>1033</v>
      </c>
      <c r="N39" s="4" t="s">
        <v>1034</v>
      </c>
      <c r="O39" s="134" t="str">
        <f>_xlfn.XLOOKUP(N39,costcategory[Account Code],costcategory[Cost Category],"ERROR")</f>
        <v>Intercompany</v>
      </c>
      <c r="P39" s="135" t="s">
        <v>333</v>
      </c>
      <c r="Q39" s="89" t="str">
        <f>_xlfn.XLOOKUP(P39,Table2[Department],Table2[Group],"ERROR")</f>
        <v>General &amp; Administrative</v>
      </c>
      <c r="R39" s="136"/>
      <c r="S39" s="136"/>
      <c r="T39" s="136"/>
      <c r="V39" s="136" t="s">
        <v>113</v>
      </c>
    </row>
    <row r="40" spans="1:22" ht="12.75" customHeight="1" x14ac:dyDescent="0.2">
      <c r="A40" s="2" t="s">
        <v>15</v>
      </c>
      <c r="B40" s="2" t="s">
        <v>1</v>
      </c>
      <c r="C40" s="3">
        <v>46113</v>
      </c>
      <c r="D40" s="3">
        <v>46113</v>
      </c>
      <c r="E40" s="3">
        <v>46113</v>
      </c>
      <c r="F40" s="2" t="s">
        <v>4</v>
      </c>
      <c r="G40" s="204">
        <v>23.56</v>
      </c>
      <c r="H40" s="204">
        <v>0</v>
      </c>
      <c r="I40" s="204"/>
      <c r="J40" s="205">
        <f t="shared" si="2"/>
        <v>23.56</v>
      </c>
      <c r="K40" s="109" t="s">
        <v>455</v>
      </c>
      <c r="L40" s="4" t="s">
        <v>609</v>
      </c>
      <c r="M40" s="4" t="s">
        <v>609</v>
      </c>
      <c r="N40" s="4" t="s">
        <v>332</v>
      </c>
      <c r="O40" s="134" t="str">
        <f>_xlfn.XLOOKUP(N40,costcategory[Account Code],costcategory[Cost Category],"ERROR")</f>
        <v>Bank Charges</v>
      </c>
      <c r="P40" s="135" t="s">
        <v>333</v>
      </c>
      <c r="Q40" s="89" t="str">
        <f>_xlfn.XLOOKUP(P40,Table2[Department],Table2[Group],"ERROR")</f>
        <v>General &amp; Administrative</v>
      </c>
      <c r="R40" s="136"/>
      <c r="S40" s="136"/>
      <c r="T40" s="136"/>
      <c r="V40" s="136" t="s">
        <v>113</v>
      </c>
    </row>
    <row r="41" spans="1:22" ht="12.75" customHeight="1" x14ac:dyDescent="0.2">
      <c r="A41" s="2" t="s">
        <v>15</v>
      </c>
      <c r="B41" s="2" t="s">
        <v>1</v>
      </c>
      <c r="C41" s="3">
        <v>46125</v>
      </c>
      <c r="D41" s="3">
        <v>46125</v>
      </c>
      <c r="E41" s="3">
        <v>46125</v>
      </c>
      <c r="F41" s="2" t="s">
        <v>4</v>
      </c>
      <c r="G41" s="204">
        <v>-47.33</v>
      </c>
      <c r="H41" s="204">
        <v>0</v>
      </c>
      <c r="I41" s="204"/>
      <c r="J41" s="205">
        <f t="shared" si="2"/>
        <v>-47.33</v>
      </c>
      <c r="K41" s="109" t="s">
        <v>455</v>
      </c>
      <c r="L41" s="4" t="s">
        <v>609</v>
      </c>
      <c r="M41" s="4" t="s">
        <v>609</v>
      </c>
      <c r="N41" s="4" t="s">
        <v>332</v>
      </c>
      <c r="O41" s="134" t="str">
        <f>_xlfn.XLOOKUP(N41,costcategory[Account Code],costcategory[Cost Category],"ERROR")</f>
        <v>Bank Charges</v>
      </c>
      <c r="P41" s="135" t="s">
        <v>333</v>
      </c>
      <c r="Q41" s="89" t="str">
        <f>_xlfn.XLOOKUP(P41,Table2[Department],Table2[Group],"ERROR")</f>
        <v>General &amp; Administrative</v>
      </c>
      <c r="R41" s="136"/>
      <c r="S41" s="136"/>
      <c r="T41" s="136"/>
      <c r="V41" s="136" t="s">
        <v>113</v>
      </c>
    </row>
    <row r="42" spans="1:22" ht="12.75" customHeight="1" x14ac:dyDescent="0.2">
      <c r="A42" s="2" t="s">
        <v>15</v>
      </c>
      <c r="B42" s="2" t="s">
        <v>1</v>
      </c>
      <c r="C42" s="3">
        <v>46128</v>
      </c>
      <c r="D42" s="3">
        <v>46128</v>
      </c>
      <c r="E42" s="3">
        <v>46128</v>
      </c>
      <c r="F42" s="2" t="s">
        <v>4</v>
      </c>
      <c r="G42" s="204">
        <v>-249970</v>
      </c>
      <c r="H42" s="204">
        <v>0</v>
      </c>
      <c r="I42" s="204"/>
      <c r="J42" s="205">
        <f t="shared" si="2"/>
        <v>-249970</v>
      </c>
      <c r="K42" s="109" t="s">
        <v>1007</v>
      </c>
      <c r="L42" s="4" t="s">
        <v>881</v>
      </c>
      <c r="M42" s="4" t="s">
        <v>1008</v>
      </c>
      <c r="N42" s="4" t="s">
        <v>418</v>
      </c>
      <c r="O42" s="134" t="str">
        <f>_xlfn.XLOOKUP(N42,costcategory[Account Code],costcategory[Cost Category],"ERROR")</f>
        <v>Internal Fund Transfer</v>
      </c>
      <c r="P42" s="135" t="s">
        <v>66</v>
      </c>
      <c r="Q42" s="89" t="str">
        <f>_xlfn.XLOOKUP(P42,Table2[Department],Table2[Group],"ERROR")</f>
        <v>Others</v>
      </c>
      <c r="R42" s="136"/>
      <c r="S42" s="136"/>
      <c r="T42" s="136"/>
      <c r="V42" s="136"/>
    </row>
    <row r="43" spans="1:22" ht="12.75" customHeight="1" x14ac:dyDescent="0.2">
      <c r="A43" s="2" t="s">
        <v>15</v>
      </c>
      <c r="B43" s="2" t="s">
        <v>1</v>
      </c>
      <c r="C43" s="3">
        <v>46128</v>
      </c>
      <c r="D43" s="3">
        <v>46128</v>
      </c>
      <c r="E43" s="3">
        <v>46128</v>
      </c>
      <c r="F43" s="2" t="s">
        <v>4</v>
      </c>
      <c r="G43" s="204">
        <v>7.81</v>
      </c>
      <c r="H43" s="204">
        <v>0</v>
      </c>
      <c r="I43" s="204"/>
      <c r="J43" s="205">
        <f t="shared" si="2"/>
        <v>7.81</v>
      </c>
      <c r="K43" s="109" t="s">
        <v>455</v>
      </c>
      <c r="L43" s="4" t="s">
        <v>609</v>
      </c>
      <c r="M43" s="4" t="s">
        <v>609</v>
      </c>
      <c r="N43" s="4" t="s">
        <v>332</v>
      </c>
      <c r="O43" s="134" t="str">
        <f>_xlfn.XLOOKUP(N43,costcategory[Account Code],costcategory[Cost Category],"ERROR")</f>
        <v>Bank Charges</v>
      </c>
      <c r="P43" s="135" t="s">
        <v>333</v>
      </c>
      <c r="Q43" s="89" t="str">
        <f>_xlfn.XLOOKUP(P43,Table2[Department],Table2[Group],"ERROR")</f>
        <v>General &amp; Administrative</v>
      </c>
      <c r="R43" s="136"/>
      <c r="S43" s="136"/>
      <c r="T43" s="136"/>
      <c r="V43" s="136" t="s">
        <v>113</v>
      </c>
    </row>
    <row r="44" spans="1:22" ht="12.75" customHeight="1" x14ac:dyDescent="0.2">
      <c r="A44" s="2" t="s">
        <v>15</v>
      </c>
      <c r="B44" s="2" t="s">
        <v>1</v>
      </c>
      <c r="C44" s="3">
        <v>46135</v>
      </c>
      <c r="D44" s="3">
        <v>46135</v>
      </c>
      <c r="E44" s="3">
        <v>46135</v>
      </c>
      <c r="F44" s="2" t="s">
        <v>4</v>
      </c>
      <c r="G44" s="204">
        <v>197160.88</v>
      </c>
      <c r="H44" s="204">
        <v>0</v>
      </c>
      <c r="I44" s="204"/>
      <c r="J44" s="205">
        <v>197160.88</v>
      </c>
      <c r="K44" s="106" t="s">
        <v>1001</v>
      </c>
      <c r="L44" s="4" t="s">
        <v>881</v>
      </c>
      <c r="M44" s="4" t="s">
        <v>696</v>
      </c>
      <c r="N44" s="4" t="s">
        <v>418</v>
      </c>
      <c r="O44" s="134" t="str">
        <f>_xlfn.XLOOKUP(N44,costcategory[Account Code],costcategory[Cost Category],"ERROR")</f>
        <v>Internal Fund Transfer</v>
      </c>
      <c r="P44" s="135" t="s">
        <v>66</v>
      </c>
      <c r="Q44" s="89" t="str">
        <f>_xlfn.XLOOKUP(P44,Table2[Department],Table2[Group],"ERROR")</f>
        <v>Others</v>
      </c>
      <c r="R44" s="138"/>
      <c r="S44" s="138"/>
      <c r="T44" s="138"/>
      <c r="V44" s="138"/>
    </row>
    <row r="45" spans="1:22" ht="12.75" customHeight="1" x14ac:dyDescent="0.2">
      <c r="A45" s="2" t="s">
        <v>15</v>
      </c>
      <c r="B45" s="2" t="s">
        <v>1</v>
      </c>
      <c r="C45" s="3">
        <v>46139</v>
      </c>
      <c r="D45" s="3">
        <v>46139</v>
      </c>
      <c r="E45" s="3">
        <v>46139</v>
      </c>
      <c r="F45" s="2" t="s">
        <v>4</v>
      </c>
      <c r="G45" s="199">
        <v>-9786.02</v>
      </c>
      <c r="H45" s="199">
        <v>0</v>
      </c>
      <c r="J45" s="212">
        <f t="shared" ref="J45:J46" si="3">SUM(G45:H45)</f>
        <v>-9786.02</v>
      </c>
      <c r="K45" s="106" t="s">
        <v>99</v>
      </c>
      <c r="L45" s="4" t="s">
        <v>149</v>
      </c>
      <c r="M45" s="4" t="s">
        <v>1036</v>
      </c>
      <c r="N45" s="4" t="s">
        <v>382</v>
      </c>
      <c r="O45" s="134" t="str">
        <f>_xlfn.XLOOKUP(N45,costcategory[Account Code],costcategory[Cost Category],"ERROR")</f>
        <v>Revenue</v>
      </c>
      <c r="P45" s="4" t="s">
        <v>438</v>
      </c>
      <c r="Q45" s="89" t="str">
        <f>_xlfn.XLOOKUP(P45,Table2[Department],Table2[Group],"ERROR")</f>
        <v>Sales &amp; Marketing</v>
      </c>
      <c r="R45" s="139"/>
      <c r="S45" s="138"/>
      <c r="T45" s="138"/>
      <c r="U45" s="2" t="s">
        <v>1174</v>
      </c>
      <c r="V45" s="139" t="s">
        <v>104</v>
      </c>
    </row>
    <row r="46" spans="1:22" ht="12.75" customHeight="1" x14ac:dyDescent="0.2">
      <c r="A46" s="2" t="s">
        <v>15</v>
      </c>
      <c r="B46" s="2" t="s">
        <v>1</v>
      </c>
      <c r="C46" s="3">
        <v>46139</v>
      </c>
      <c r="D46" s="3">
        <v>46139</v>
      </c>
      <c r="E46" s="3">
        <v>46139</v>
      </c>
      <c r="F46" s="2" t="s">
        <v>4</v>
      </c>
      <c r="G46" s="213">
        <v>7.77</v>
      </c>
      <c r="H46" s="199">
        <v>0</v>
      </c>
      <c r="J46" s="212">
        <f t="shared" si="3"/>
        <v>7.77</v>
      </c>
      <c r="K46" s="106" t="s">
        <v>455</v>
      </c>
      <c r="L46" s="4" t="s">
        <v>609</v>
      </c>
      <c r="M46" s="4" t="s">
        <v>609</v>
      </c>
      <c r="N46" s="4" t="s">
        <v>332</v>
      </c>
      <c r="O46" s="134" t="str">
        <f>_xlfn.XLOOKUP(N46,costcategory[Account Code],costcategory[Cost Category],"ERROR")</f>
        <v>Bank Charges</v>
      </c>
      <c r="P46" s="135" t="s">
        <v>333</v>
      </c>
      <c r="Q46" s="89" t="str">
        <f>_xlfn.XLOOKUP(P46,Table2[Department],Table2[Group],"ERROR")</f>
        <v>General &amp; Administrative</v>
      </c>
      <c r="R46" s="139"/>
      <c r="S46" s="138"/>
      <c r="T46" s="138"/>
      <c r="U46" s="2" t="s">
        <v>1175</v>
      </c>
      <c r="V46" s="139" t="s">
        <v>113</v>
      </c>
    </row>
    <row r="47" spans="1:22" ht="12.75" customHeight="1" x14ac:dyDescent="0.2">
      <c r="G47" s="204"/>
      <c r="H47" s="204"/>
      <c r="I47" s="204"/>
      <c r="J47" s="205">
        <f>SUM(J39:J46)</f>
        <v>-57966.329999999994</v>
      </c>
    </row>
    <row r="48" spans="1:22" s="110" customFormat="1" ht="12.75" customHeight="1" x14ac:dyDescent="0.2">
      <c r="A48" s="329" t="s">
        <v>1173</v>
      </c>
      <c r="B48" s="329"/>
      <c r="C48" s="329"/>
      <c r="D48" s="329"/>
      <c r="E48" s="14">
        <v>46142</v>
      </c>
      <c r="F48" s="13" t="s">
        <v>4</v>
      </c>
      <c r="G48" s="214"/>
      <c r="H48" s="214"/>
      <c r="I48" s="214"/>
      <c r="J48" s="215">
        <f>J38-J47</f>
        <v>124366.29999999996</v>
      </c>
      <c r="K48" s="140"/>
      <c r="L48" s="140"/>
      <c r="M48" s="140"/>
      <c r="N48" s="140"/>
      <c r="O48" s="140"/>
      <c r="P48" s="140"/>
      <c r="Q48" s="140"/>
      <c r="R48" s="141"/>
      <c r="S48" s="141"/>
      <c r="T48" s="141"/>
      <c r="U48" s="140"/>
      <c r="V48" s="141"/>
    </row>
    <row r="49" spans="1:22" s="110" customFormat="1" ht="12.75" customHeight="1" x14ac:dyDescent="0.2">
      <c r="A49" s="33"/>
      <c r="B49" s="33"/>
      <c r="C49" s="33"/>
      <c r="D49" s="33"/>
      <c r="E49" s="71"/>
      <c r="F49" s="33"/>
      <c r="G49" s="216"/>
      <c r="H49" s="216"/>
      <c r="I49" s="216"/>
      <c r="J49" s="217"/>
      <c r="R49" s="131"/>
      <c r="S49" s="131"/>
      <c r="T49" s="131"/>
      <c r="V49" s="131"/>
    </row>
    <row r="50" spans="1:22" ht="12.75" customHeight="1" x14ac:dyDescent="0.2">
      <c r="A50" s="7" t="s">
        <v>87</v>
      </c>
      <c r="B50" s="7" t="s">
        <v>43</v>
      </c>
      <c r="C50" s="8" t="s">
        <v>54</v>
      </c>
      <c r="D50" s="8" t="s">
        <v>88</v>
      </c>
      <c r="E50" s="185" t="s">
        <v>1083</v>
      </c>
      <c r="F50" s="7" t="s">
        <v>70</v>
      </c>
      <c r="G50" s="201" t="s">
        <v>90</v>
      </c>
      <c r="H50" s="201" t="s">
        <v>91</v>
      </c>
      <c r="I50" s="201"/>
      <c r="J50" s="201" t="s">
        <v>92</v>
      </c>
      <c r="K50" s="132" t="s">
        <v>325</v>
      </c>
      <c r="L50" s="132" t="s">
        <v>94</v>
      </c>
      <c r="M50" s="7" t="s">
        <v>95</v>
      </c>
      <c r="N50" s="7" t="s">
        <v>53</v>
      </c>
      <c r="O50" s="7" t="s">
        <v>64</v>
      </c>
      <c r="P50" s="7" t="s">
        <v>67</v>
      </c>
      <c r="Q50" s="7" t="s">
        <v>44</v>
      </c>
      <c r="R50" s="7" t="s">
        <v>326</v>
      </c>
      <c r="S50" s="7" t="s">
        <v>327</v>
      </c>
      <c r="T50" s="7" t="s">
        <v>328</v>
      </c>
      <c r="U50" s="7" t="s">
        <v>98</v>
      </c>
      <c r="V50" s="7" t="s">
        <v>329</v>
      </c>
    </row>
    <row r="51" spans="1:22" ht="12.75" customHeight="1" x14ac:dyDescent="0.2">
      <c r="A51" s="329" t="s">
        <v>1172</v>
      </c>
      <c r="B51" s="329"/>
      <c r="C51" s="329"/>
      <c r="D51" s="329"/>
      <c r="E51" s="14">
        <v>46143</v>
      </c>
      <c r="F51" s="13" t="s">
        <v>4</v>
      </c>
      <c r="G51" s="206"/>
      <c r="H51" s="206"/>
      <c r="I51" s="206"/>
      <c r="J51" s="211">
        <f>J48</f>
        <v>124366.29999999996</v>
      </c>
      <c r="K51" s="137"/>
      <c r="L51" s="137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spans="1:22" ht="12.75" customHeight="1" x14ac:dyDescent="0.2">
      <c r="A52" s="2" t="s">
        <v>15</v>
      </c>
      <c r="B52" s="2" t="s">
        <v>1</v>
      </c>
      <c r="C52" s="3">
        <v>46150</v>
      </c>
      <c r="D52" s="3">
        <v>46150</v>
      </c>
      <c r="E52" s="3">
        <v>46150</v>
      </c>
      <c r="F52" s="2" t="s">
        <v>4</v>
      </c>
      <c r="G52" s="204">
        <v>-59000</v>
      </c>
      <c r="H52" s="204">
        <v>0</v>
      </c>
      <c r="I52" s="204"/>
      <c r="J52" s="205">
        <v>-59000</v>
      </c>
      <c r="K52" s="109" t="s">
        <v>185</v>
      </c>
      <c r="L52" s="4" t="s">
        <v>186</v>
      </c>
      <c r="M52" s="4" t="s">
        <v>187</v>
      </c>
      <c r="N52" s="4" t="s">
        <v>382</v>
      </c>
      <c r="O52" s="134" t="str">
        <f>_xlfn.XLOOKUP(N52,costcategory[Account Code],costcategory[Cost Category],"ERROR")</f>
        <v>Revenue</v>
      </c>
      <c r="P52" s="135" t="s">
        <v>438</v>
      </c>
      <c r="Q52" s="89" t="str">
        <f>_xlfn.XLOOKUP(P52,Table2[Department],Table2[Group],"ERROR")</f>
        <v>Sales &amp; Marketing</v>
      </c>
      <c r="R52" s="136"/>
      <c r="S52" s="136"/>
      <c r="T52" s="136"/>
      <c r="U52" s="2" t="s">
        <v>1176</v>
      </c>
      <c r="V52" s="136" t="s">
        <v>113</v>
      </c>
    </row>
    <row r="53" spans="1:22" ht="12.75" customHeight="1" x14ac:dyDescent="0.2">
      <c r="A53" s="2" t="s">
        <v>15</v>
      </c>
      <c r="B53" s="2" t="s">
        <v>1</v>
      </c>
      <c r="C53" s="3">
        <v>46150</v>
      </c>
      <c r="D53" s="3">
        <v>46150</v>
      </c>
      <c r="E53" s="3">
        <v>46150</v>
      </c>
      <c r="F53" s="2" t="s">
        <v>4</v>
      </c>
      <c r="G53" s="204">
        <v>25</v>
      </c>
      <c r="H53" s="204">
        <v>0</v>
      </c>
      <c r="I53" s="204"/>
      <c r="J53" s="205">
        <v>25</v>
      </c>
      <c r="K53" s="109" t="s">
        <v>455</v>
      </c>
      <c r="L53" s="4" t="s">
        <v>609</v>
      </c>
      <c r="M53" s="4" t="s">
        <v>1040</v>
      </c>
      <c r="N53" s="4" t="s">
        <v>332</v>
      </c>
      <c r="O53" s="134" t="str">
        <f>_xlfn.XLOOKUP(N53,costcategory[Account Code],costcategory[Cost Category],"ERROR")</f>
        <v>Bank Charges</v>
      </c>
      <c r="P53" s="135" t="s">
        <v>333</v>
      </c>
      <c r="Q53" s="89" t="str">
        <f>_xlfn.XLOOKUP(P53,Table2[Department],Table2[Group],"ERROR")</f>
        <v>General &amp; Administrative</v>
      </c>
      <c r="R53" s="136"/>
      <c r="S53" s="136"/>
      <c r="T53" s="136"/>
      <c r="U53" s="2" t="s">
        <v>1176</v>
      </c>
      <c r="V53" s="136" t="s">
        <v>113</v>
      </c>
    </row>
    <row r="54" spans="1:22" ht="12.75" customHeight="1" x14ac:dyDescent="0.2">
      <c r="A54" s="2" t="s">
        <v>15</v>
      </c>
      <c r="B54" s="2" t="s">
        <v>1</v>
      </c>
      <c r="C54" s="3">
        <v>46150</v>
      </c>
      <c r="D54" s="3">
        <v>46150</v>
      </c>
      <c r="E54" s="3">
        <v>46150</v>
      </c>
      <c r="F54" s="2" t="s">
        <v>4</v>
      </c>
      <c r="G54" s="204">
        <v>7.82</v>
      </c>
      <c r="H54" s="204">
        <v>0</v>
      </c>
      <c r="I54" s="204"/>
      <c r="J54" s="205">
        <v>7.82</v>
      </c>
      <c r="K54" s="109" t="s">
        <v>455</v>
      </c>
      <c r="L54" s="4" t="s">
        <v>609</v>
      </c>
      <c r="M54" s="4" t="s">
        <v>609</v>
      </c>
      <c r="N54" s="4" t="s">
        <v>332</v>
      </c>
      <c r="O54" s="134" t="str">
        <f>_xlfn.XLOOKUP(N54,costcategory[Account Code],costcategory[Cost Category],"ERROR")</f>
        <v>Bank Charges</v>
      </c>
      <c r="P54" s="135" t="s">
        <v>333</v>
      </c>
      <c r="Q54" s="89" t="str">
        <f>_xlfn.XLOOKUP(P54,Table2[Department],Table2[Group],"ERROR")</f>
        <v>General &amp; Administrative</v>
      </c>
      <c r="R54" s="136"/>
      <c r="S54" s="136"/>
      <c r="T54" s="136"/>
      <c r="U54" s="2" t="s">
        <v>1177</v>
      </c>
      <c r="V54" s="136" t="s">
        <v>113</v>
      </c>
    </row>
    <row r="55" spans="1:22" ht="12.75" customHeight="1" x14ac:dyDescent="0.2">
      <c r="A55" s="2" t="s">
        <v>15</v>
      </c>
      <c r="B55" s="2" t="s">
        <v>1</v>
      </c>
      <c r="C55" s="3">
        <v>46160</v>
      </c>
      <c r="D55" s="3">
        <v>46160</v>
      </c>
      <c r="E55" s="3">
        <v>46160</v>
      </c>
      <c r="F55" s="2" t="s">
        <v>4</v>
      </c>
      <c r="G55" s="204">
        <v>180760.77</v>
      </c>
      <c r="H55" s="204">
        <v>0</v>
      </c>
      <c r="I55" s="204"/>
      <c r="J55" s="205">
        <f>G55+H55</f>
        <v>180760.77</v>
      </c>
      <c r="K55" s="109" t="s">
        <v>1001</v>
      </c>
      <c r="L55" s="4" t="s">
        <v>881</v>
      </c>
      <c r="M55" s="4" t="s">
        <v>696</v>
      </c>
      <c r="N55" s="4" t="s">
        <v>1041</v>
      </c>
      <c r="O55" s="134" t="str">
        <f>_xlfn.XLOOKUP(N55,costcategory[Account Code],costcategory[Cost Category],"ERROR")</f>
        <v>Bank</v>
      </c>
      <c r="P55" s="135" t="s">
        <v>333</v>
      </c>
      <c r="Q55" s="89" t="str">
        <f>_xlfn.XLOOKUP(P55,Table2[Department],Table2[Group],"ERROR")</f>
        <v>General &amp; Administrative</v>
      </c>
      <c r="R55" s="136"/>
      <c r="S55" s="136"/>
      <c r="T55" s="136"/>
      <c r="U55" s="2"/>
      <c r="V55" s="136"/>
    </row>
    <row r="56" spans="1:22" ht="12.75" customHeight="1" x14ac:dyDescent="0.2">
      <c r="A56" s="2" t="s">
        <v>15</v>
      </c>
      <c r="B56" s="2" t="s">
        <v>1</v>
      </c>
      <c r="C56" s="3">
        <v>46147</v>
      </c>
      <c r="D56" s="3">
        <v>46177</v>
      </c>
      <c r="E56" s="3">
        <v>46168</v>
      </c>
      <c r="F56" s="2" t="s">
        <v>4</v>
      </c>
      <c r="G56" s="204">
        <v>-9786.02</v>
      </c>
      <c r="H56" s="204">
        <v>0</v>
      </c>
      <c r="I56" s="204">
        <v>-9786.02</v>
      </c>
      <c r="J56" s="205">
        <v>-9786.02</v>
      </c>
      <c r="K56" s="109" t="s">
        <v>99</v>
      </c>
      <c r="L56" s="4" t="s">
        <v>188</v>
      </c>
      <c r="M56" s="4" t="s">
        <v>1042</v>
      </c>
      <c r="N56" s="4" t="s">
        <v>382</v>
      </c>
      <c r="O56" s="134" t="str">
        <f>_xlfn.XLOOKUP(N56,costcategory[Account Code],costcategory[Cost Category],"ERROR")</f>
        <v>Revenue</v>
      </c>
      <c r="P56" s="4" t="s">
        <v>438</v>
      </c>
      <c r="Q56" s="89" t="str">
        <f>_xlfn.XLOOKUP(P56,Table2[Department],Table2[Group],"ERROR")</f>
        <v>Sales &amp; Marketing</v>
      </c>
      <c r="R56" s="136"/>
      <c r="S56" s="136"/>
      <c r="T56" s="136"/>
      <c r="U56" s="2" t="s">
        <v>1178</v>
      </c>
      <c r="V56" s="136" t="s">
        <v>113</v>
      </c>
    </row>
    <row r="57" spans="1:22" ht="12.75" customHeight="1" x14ac:dyDescent="0.2">
      <c r="A57" s="2" t="s">
        <v>15</v>
      </c>
      <c r="B57" s="2" t="s">
        <v>1</v>
      </c>
      <c r="C57" s="3">
        <v>46168</v>
      </c>
      <c r="D57" s="3">
        <v>46168</v>
      </c>
      <c r="E57" s="3">
        <v>46168</v>
      </c>
      <c r="F57" s="2" t="s">
        <v>4</v>
      </c>
      <c r="G57" s="204">
        <v>7.77</v>
      </c>
      <c r="H57" s="204">
        <v>0</v>
      </c>
      <c r="I57" s="204">
        <v>7.77</v>
      </c>
      <c r="J57" s="205">
        <v>7.77</v>
      </c>
      <c r="K57" s="109" t="s">
        <v>455</v>
      </c>
      <c r="L57" s="4" t="s">
        <v>609</v>
      </c>
      <c r="M57" s="4" t="s">
        <v>609</v>
      </c>
      <c r="N57" s="4" t="s">
        <v>332</v>
      </c>
      <c r="O57" s="134" t="str">
        <f>_xlfn.XLOOKUP(N57,costcategory[Account Code],costcategory[Cost Category],"ERROR")</f>
        <v>Bank Charges</v>
      </c>
      <c r="P57" s="135" t="s">
        <v>333</v>
      </c>
      <c r="Q57" s="89" t="str">
        <f>_xlfn.XLOOKUP(P57,Table2[Department],Table2[Group],"ERROR")</f>
        <v>General &amp; Administrative</v>
      </c>
      <c r="R57" s="136"/>
      <c r="S57" s="136"/>
      <c r="T57" s="136"/>
      <c r="U57" s="2" t="s">
        <v>1179</v>
      </c>
      <c r="V57" s="136" t="s">
        <v>113</v>
      </c>
    </row>
    <row r="58" spans="1:22" ht="12.75" customHeight="1" x14ac:dyDescent="0.2">
      <c r="F58" s="2" t="s">
        <v>4</v>
      </c>
      <c r="J58" s="212">
        <f>SUM(J52:J57)</f>
        <v>112015.34</v>
      </c>
    </row>
    <row r="59" spans="1:22" ht="12.75" customHeight="1" x14ac:dyDescent="0.2">
      <c r="A59" s="329" t="s">
        <v>1173</v>
      </c>
      <c r="B59" s="329"/>
      <c r="C59" s="329"/>
      <c r="D59" s="329"/>
      <c r="E59" s="14">
        <v>46173</v>
      </c>
      <c r="F59" s="13" t="s">
        <v>4</v>
      </c>
      <c r="G59" s="206"/>
      <c r="H59" s="207"/>
      <c r="I59" s="207"/>
      <c r="J59" s="208">
        <f>J51-J58</f>
        <v>12350.959999999963</v>
      </c>
      <c r="K59" s="184" t="s">
        <v>1180</v>
      </c>
      <c r="L59" s="17"/>
      <c r="M59" s="17"/>
      <c r="N59" s="17"/>
      <c r="O59" s="17"/>
      <c r="P59" s="17"/>
      <c r="Q59" s="17"/>
      <c r="R59" s="20"/>
      <c r="S59" s="20"/>
      <c r="T59" s="20"/>
      <c r="U59" s="17"/>
      <c r="V59" s="20"/>
    </row>
    <row r="61" spans="1:22" ht="12.75" customHeight="1" x14ac:dyDescent="0.2">
      <c r="A61" s="7" t="s">
        <v>87</v>
      </c>
      <c r="B61" s="7" t="s">
        <v>43</v>
      </c>
      <c r="C61" s="8" t="s">
        <v>54</v>
      </c>
      <c r="D61" s="8" t="s">
        <v>88</v>
      </c>
      <c r="E61" s="185" t="s">
        <v>1083</v>
      </c>
      <c r="F61" s="7" t="s">
        <v>70</v>
      </c>
      <c r="G61" s="201" t="s">
        <v>90</v>
      </c>
      <c r="H61" s="201" t="s">
        <v>91</v>
      </c>
      <c r="I61" s="201"/>
      <c r="J61" s="201" t="s">
        <v>92</v>
      </c>
      <c r="K61" s="132" t="s">
        <v>325</v>
      </c>
      <c r="L61" s="132" t="s">
        <v>94</v>
      </c>
      <c r="M61" s="7" t="s">
        <v>95</v>
      </c>
      <c r="N61" s="7" t="s">
        <v>53</v>
      </c>
      <c r="O61" s="7" t="s">
        <v>64</v>
      </c>
      <c r="P61" s="7" t="s">
        <v>67</v>
      </c>
      <c r="Q61" s="7" t="s">
        <v>44</v>
      </c>
      <c r="R61" s="7" t="s">
        <v>326</v>
      </c>
      <c r="S61" s="7" t="s">
        <v>327</v>
      </c>
      <c r="T61" s="7" t="s">
        <v>328</v>
      </c>
      <c r="U61" s="7" t="s">
        <v>98</v>
      </c>
      <c r="V61" s="7" t="s">
        <v>329</v>
      </c>
    </row>
    <row r="62" spans="1:22" ht="12.75" customHeight="1" x14ac:dyDescent="0.2">
      <c r="A62" s="329" t="s">
        <v>1172</v>
      </c>
      <c r="B62" s="329"/>
      <c r="C62" s="329"/>
      <c r="D62" s="329"/>
      <c r="E62" s="14">
        <v>46174</v>
      </c>
      <c r="F62" s="13" t="s">
        <v>4</v>
      </c>
      <c r="G62" s="206"/>
      <c r="H62" s="206"/>
      <c r="I62" s="206"/>
      <c r="J62" s="211">
        <f>J59</f>
        <v>12350.959999999963</v>
      </c>
      <c r="K62" s="137"/>
      <c r="L62" s="137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spans="1:22" ht="12.75" customHeight="1" x14ac:dyDescent="0.2">
      <c r="A63" s="2" t="s">
        <v>15</v>
      </c>
      <c r="B63" s="2" t="s">
        <v>1</v>
      </c>
      <c r="C63" s="3">
        <v>46195</v>
      </c>
      <c r="D63" s="3">
        <v>46195</v>
      </c>
      <c r="E63" s="3">
        <v>46195</v>
      </c>
      <c r="F63" s="2" t="s">
        <v>4</v>
      </c>
      <c r="G63" s="212">
        <v>-50000</v>
      </c>
      <c r="H63" s="204">
        <v>0</v>
      </c>
      <c r="I63" s="212">
        <v>-50650</v>
      </c>
      <c r="J63" s="230">
        <v>-50000</v>
      </c>
      <c r="K63" s="109" t="s">
        <v>1045</v>
      </c>
      <c r="M63" s="116" t="s">
        <v>1046</v>
      </c>
      <c r="N63" s="4" t="s">
        <v>1047</v>
      </c>
      <c r="O63" s="134" t="str">
        <f>_xlfn.XLOOKUP(N63,costcategory[Account Code],costcategory[Cost Category],"ERROR")</f>
        <v>Current Liabilities</v>
      </c>
      <c r="P63" s="135" t="s">
        <v>333</v>
      </c>
      <c r="Q63" s="89" t="str">
        <f>_xlfn.XLOOKUP(P63,Table2[Department],Table2[Group],"ERROR")</f>
        <v>General &amp; Administrative</v>
      </c>
      <c r="R63" s="136"/>
      <c r="S63" s="136"/>
      <c r="T63" s="136"/>
      <c r="U63" s="2" t="s">
        <v>1181</v>
      </c>
      <c r="V63" s="136" t="s">
        <v>113</v>
      </c>
    </row>
    <row r="64" spans="1:22" ht="12.75" customHeight="1" x14ac:dyDescent="0.2">
      <c r="A64" s="2" t="s">
        <v>15</v>
      </c>
      <c r="B64" s="2" t="s">
        <v>1</v>
      </c>
      <c r="C64" s="3">
        <v>46195</v>
      </c>
      <c r="D64" s="3">
        <v>46195</v>
      </c>
      <c r="E64" s="3">
        <v>46195</v>
      </c>
      <c r="F64" s="2" t="s">
        <v>4</v>
      </c>
      <c r="G64" s="212">
        <v>-650</v>
      </c>
      <c r="H64" s="204">
        <v>0</v>
      </c>
      <c r="I64" s="212"/>
      <c r="J64" s="225">
        <v>-650</v>
      </c>
      <c r="K64" s="109" t="s">
        <v>1045</v>
      </c>
      <c r="M64" s="4" t="s">
        <v>384</v>
      </c>
      <c r="N64" s="4" t="s">
        <v>384</v>
      </c>
      <c r="O64" s="134" t="str">
        <f>_xlfn.XLOOKUP(N64,costcategory[Account Code],costcategory[Cost Category],"ERROR")</f>
        <v>Other Income</v>
      </c>
      <c r="P64" s="135" t="s">
        <v>333</v>
      </c>
      <c r="Q64" s="89" t="str">
        <f>_xlfn.XLOOKUP(P64,Table2[Department],Table2[Group],"ERROR")</f>
        <v>General &amp; Administrative</v>
      </c>
      <c r="R64" s="136"/>
      <c r="S64" s="136"/>
      <c r="T64" s="136"/>
      <c r="U64" s="2" t="s">
        <v>1181</v>
      </c>
      <c r="V64" s="136" t="s">
        <v>113</v>
      </c>
    </row>
    <row r="65" spans="1:22" ht="12.75" customHeight="1" x14ac:dyDescent="0.2">
      <c r="A65" s="2" t="s">
        <v>15</v>
      </c>
      <c r="B65" s="2" t="s">
        <v>1</v>
      </c>
      <c r="C65" s="3">
        <v>46195</v>
      </c>
      <c r="D65" s="3">
        <v>46195</v>
      </c>
      <c r="E65" s="3">
        <v>46195</v>
      </c>
      <c r="F65" s="2" t="s">
        <v>4</v>
      </c>
      <c r="G65" s="212">
        <v>7.67</v>
      </c>
      <c r="H65" s="204">
        <v>0</v>
      </c>
      <c r="I65" s="212">
        <v>-50650</v>
      </c>
      <c r="J65" s="212">
        <v>7.67</v>
      </c>
      <c r="K65" s="109" t="s">
        <v>455</v>
      </c>
      <c r="L65" s="4" t="s">
        <v>609</v>
      </c>
      <c r="M65" s="4" t="s">
        <v>609</v>
      </c>
      <c r="N65" s="4" t="s">
        <v>332</v>
      </c>
      <c r="O65" s="134" t="str">
        <f>_xlfn.XLOOKUP(N65,costcategory[Account Code],costcategory[Cost Category],"ERROR")</f>
        <v>Bank Charges</v>
      </c>
      <c r="P65" s="135" t="s">
        <v>333</v>
      </c>
      <c r="Q65" s="89" t="str">
        <f>_xlfn.XLOOKUP(P65,Table2[Department],Table2[Group],"ERROR")</f>
        <v>General &amp; Administrative</v>
      </c>
      <c r="R65" s="136"/>
      <c r="S65" s="136"/>
      <c r="T65" s="136"/>
      <c r="U65" s="2" t="s">
        <v>1182</v>
      </c>
      <c r="V65" s="136" t="s">
        <v>113</v>
      </c>
    </row>
    <row r="66" spans="1:22" ht="12.75" customHeight="1" x14ac:dyDescent="0.2">
      <c r="A66" s="2" t="s">
        <v>15</v>
      </c>
      <c r="B66" s="2" t="s">
        <v>1</v>
      </c>
      <c r="C66" s="3">
        <v>46197</v>
      </c>
      <c r="D66" s="3">
        <v>46197</v>
      </c>
      <c r="E66" s="3">
        <v>46197</v>
      </c>
      <c r="F66" s="2" t="s">
        <v>4</v>
      </c>
      <c r="G66" s="204">
        <v>62000</v>
      </c>
      <c r="H66" s="204">
        <v>0</v>
      </c>
      <c r="I66" s="212">
        <v>-50650</v>
      </c>
      <c r="J66" s="212">
        <f>G66+H66</f>
        <v>62000</v>
      </c>
      <c r="K66" s="109" t="s">
        <v>1001</v>
      </c>
      <c r="L66" s="4" t="s">
        <v>881</v>
      </c>
      <c r="M66" s="4" t="s">
        <v>696</v>
      </c>
      <c r="N66" s="4" t="s">
        <v>1041</v>
      </c>
      <c r="O66" s="134" t="str">
        <f>_xlfn.XLOOKUP(N66,costcategory[Account Code],costcategory[Cost Category],"ERROR")</f>
        <v>Bank</v>
      </c>
      <c r="P66" s="135" t="s">
        <v>333</v>
      </c>
      <c r="Q66" s="89" t="str">
        <f>_xlfn.XLOOKUP(P66,Table2[Department],Table2[Group],"ERROR")</f>
        <v>General &amp; Administrative</v>
      </c>
      <c r="R66" s="136"/>
      <c r="S66" s="136"/>
      <c r="T66" s="136"/>
      <c r="U66" s="2" t="s">
        <v>1183</v>
      </c>
      <c r="V66" s="136" t="s">
        <v>113</v>
      </c>
    </row>
    <row r="67" spans="1:22" ht="12.75" customHeight="1" x14ac:dyDescent="0.2">
      <c r="A67" s="2" t="s">
        <v>15</v>
      </c>
      <c r="B67" s="2" t="s">
        <v>1</v>
      </c>
      <c r="C67" s="3">
        <v>46197</v>
      </c>
      <c r="D67" s="3">
        <v>46197</v>
      </c>
      <c r="E67" s="3">
        <v>46197</v>
      </c>
      <c r="F67" s="2" t="s">
        <v>4</v>
      </c>
      <c r="G67" s="204">
        <v>-199970</v>
      </c>
      <c r="H67" s="204">
        <v>0</v>
      </c>
      <c r="I67" s="212">
        <v>-50650</v>
      </c>
      <c r="J67" s="212">
        <f t="shared" ref="J67:J68" si="4">G67+H67</f>
        <v>-199970</v>
      </c>
      <c r="K67" s="109" t="s">
        <v>1007</v>
      </c>
      <c r="L67" s="4" t="s">
        <v>881</v>
      </c>
      <c r="M67" s="4" t="s">
        <v>1008</v>
      </c>
      <c r="N67" s="4" t="s">
        <v>418</v>
      </c>
      <c r="O67" s="134" t="str">
        <f>_xlfn.XLOOKUP(N67,costcategory[Account Code],costcategory[Cost Category],"ERROR")</f>
        <v>Internal Fund Transfer</v>
      </c>
      <c r="P67" s="135" t="s">
        <v>66</v>
      </c>
      <c r="Q67" s="89" t="str">
        <f>_xlfn.XLOOKUP(P67,Table2[Department],Table2[Group],"ERROR")</f>
        <v>Others</v>
      </c>
      <c r="R67" s="136"/>
      <c r="S67" s="136"/>
      <c r="T67" s="136"/>
      <c r="U67" s="2" t="s">
        <v>1184</v>
      </c>
      <c r="V67" s="136" t="s">
        <v>113</v>
      </c>
    </row>
    <row r="68" spans="1:22" ht="12.75" customHeight="1" x14ac:dyDescent="0.2">
      <c r="A68" s="2" t="s">
        <v>15</v>
      </c>
      <c r="B68" s="2" t="s">
        <v>1</v>
      </c>
      <c r="C68" s="3">
        <v>46197</v>
      </c>
      <c r="D68" s="3">
        <v>46197</v>
      </c>
      <c r="E68" s="3">
        <v>46197</v>
      </c>
      <c r="F68" s="2" t="s">
        <v>4</v>
      </c>
      <c r="G68" s="199">
        <v>7.65</v>
      </c>
      <c r="H68" s="204">
        <v>0</v>
      </c>
      <c r="I68" s="212">
        <v>-50650</v>
      </c>
      <c r="J68" s="212">
        <f t="shared" si="4"/>
        <v>7.65</v>
      </c>
      <c r="K68" s="109" t="s">
        <v>455</v>
      </c>
      <c r="L68" s="4" t="s">
        <v>609</v>
      </c>
      <c r="M68" s="4" t="s">
        <v>609</v>
      </c>
      <c r="N68" s="4" t="s">
        <v>332</v>
      </c>
      <c r="O68" s="134" t="str">
        <f>_xlfn.XLOOKUP(N68,costcategory[Account Code],costcategory[Cost Category],"ERROR")</f>
        <v>Bank Charges</v>
      </c>
      <c r="P68" s="135" t="s">
        <v>333</v>
      </c>
      <c r="Q68" s="89" t="str">
        <f>_xlfn.XLOOKUP(P68,Table2[Department],Table2[Group],"ERROR")</f>
        <v>General &amp; Administrative</v>
      </c>
      <c r="R68" s="138"/>
      <c r="S68" s="138"/>
      <c r="T68" s="138"/>
      <c r="U68" s="2" t="s">
        <v>1183</v>
      </c>
      <c r="V68" s="136" t="s">
        <v>113</v>
      </c>
    </row>
    <row r="69" spans="1:22" ht="12.75" customHeight="1" x14ac:dyDescent="0.2">
      <c r="A69" s="2" t="s">
        <v>15</v>
      </c>
      <c r="B69" s="2" t="s">
        <v>1</v>
      </c>
      <c r="C69" s="164">
        <v>46170</v>
      </c>
      <c r="D69" s="164">
        <v>46200</v>
      </c>
      <c r="E69" s="3">
        <v>46199</v>
      </c>
      <c r="F69" s="2" t="s">
        <v>4</v>
      </c>
      <c r="G69" s="204">
        <v>-8978</v>
      </c>
      <c r="H69" s="204">
        <v>-808.02</v>
      </c>
      <c r="I69" s="212">
        <v>9786.02</v>
      </c>
      <c r="J69" s="212">
        <f t="shared" ref="J69:J70" si="5">G69+H69</f>
        <v>-9786.02</v>
      </c>
      <c r="K69" s="4" t="s">
        <v>99</v>
      </c>
      <c r="L69" s="135" t="s">
        <v>212</v>
      </c>
      <c r="M69" s="4" t="s">
        <v>213</v>
      </c>
      <c r="N69" s="4" t="s">
        <v>382</v>
      </c>
      <c r="O69" s="134" t="str">
        <f>_xlfn.XLOOKUP(N69,costcategory[Account Code],costcategory[Cost Category],"ERROR")</f>
        <v>Revenue</v>
      </c>
      <c r="P69" s="135" t="s">
        <v>438</v>
      </c>
      <c r="Q69" s="89" t="str">
        <f>_xlfn.XLOOKUP(P69,Table2[Department],Table2[Group],"ERROR")</f>
        <v>Sales &amp; Marketing</v>
      </c>
      <c r="R69" s="136"/>
      <c r="S69" s="136"/>
      <c r="T69" s="136"/>
      <c r="U69" s="2" t="s">
        <v>1185</v>
      </c>
      <c r="V69" s="136" t="s">
        <v>104</v>
      </c>
    </row>
    <row r="70" spans="1:22" ht="12.75" customHeight="1" x14ac:dyDescent="0.2">
      <c r="A70" s="2" t="s">
        <v>15</v>
      </c>
      <c r="B70" s="2" t="s">
        <v>1</v>
      </c>
      <c r="C70" s="3">
        <v>46199</v>
      </c>
      <c r="D70" s="3">
        <v>46199</v>
      </c>
      <c r="E70" s="3">
        <v>46199</v>
      </c>
      <c r="F70" s="2" t="s">
        <v>4</v>
      </c>
      <c r="G70" s="204">
        <v>7.65</v>
      </c>
      <c r="H70" s="204">
        <v>0</v>
      </c>
      <c r="I70" s="212">
        <v>-50650</v>
      </c>
      <c r="J70" s="212">
        <f t="shared" si="5"/>
        <v>7.65</v>
      </c>
      <c r="K70" s="109" t="s">
        <v>455</v>
      </c>
      <c r="L70" s="4" t="s">
        <v>609</v>
      </c>
      <c r="M70" s="4" t="s">
        <v>609</v>
      </c>
      <c r="N70" s="4" t="s">
        <v>332</v>
      </c>
      <c r="O70" s="134" t="str">
        <f>_xlfn.XLOOKUP(N70,costcategory[Account Code],costcategory[Cost Category],"ERROR")</f>
        <v>Bank Charges</v>
      </c>
      <c r="P70" s="135" t="s">
        <v>333</v>
      </c>
      <c r="Q70" s="89" t="str">
        <f>_xlfn.XLOOKUP(P70,Table2[Department],Table2[Group],"ERROR")</f>
        <v>General &amp; Administrative</v>
      </c>
      <c r="R70" s="136"/>
      <c r="S70" s="136"/>
      <c r="T70" s="136"/>
      <c r="U70" s="2" t="s">
        <v>1186</v>
      </c>
      <c r="V70" s="136" t="s">
        <v>113</v>
      </c>
    </row>
    <row r="71" spans="1:22" ht="12.75" customHeight="1" x14ac:dyDescent="0.2">
      <c r="A71" s="2" t="s">
        <v>15</v>
      </c>
      <c r="B71" s="2" t="s">
        <v>1</v>
      </c>
      <c r="F71" s="2" t="s">
        <v>4</v>
      </c>
      <c r="G71" s="204"/>
      <c r="H71" s="204"/>
      <c r="I71" s="204"/>
      <c r="J71" s="205"/>
      <c r="K71" s="109"/>
      <c r="O71" s="134" t="str">
        <f>_xlfn.XLOOKUP(N71,costcategory[Account Code],costcategory[Cost Category],"ERROR")</f>
        <v>ERROR</v>
      </c>
      <c r="P71" s="135"/>
      <c r="Q71" s="89" t="str">
        <f>_xlfn.XLOOKUP(P71,Table2[Department],Table2[Group],"ERROR")</f>
        <v>ERROR</v>
      </c>
      <c r="R71" s="136"/>
      <c r="S71" s="136"/>
      <c r="T71" s="136"/>
      <c r="V71" s="136"/>
    </row>
    <row r="72" spans="1:22" ht="12.75" customHeight="1" x14ac:dyDescent="0.2">
      <c r="A72" s="2" t="s">
        <v>15</v>
      </c>
      <c r="B72" s="2" t="s">
        <v>1</v>
      </c>
      <c r="F72" s="2" t="s">
        <v>4</v>
      </c>
      <c r="G72" s="204"/>
      <c r="H72" s="204"/>
      <c r="I72" s="204"/>
      <c r="J72" s="205"/>
      <c r="K72" s="109"/>
      <c r="O72" s="134" t="str">
        <f>_xlfn.XLOOKUP(N72,costcategory[Account Code],costcategory[Cost Category],"ERROR")</f>
        <v>ERROR</v>
      </c>
      <c r="P72" s="135"/>
      <c r="Q72" s="89" t="str">
        <f>_xlfn.XLOOKUP(P72,Table2[Department],Table2[Group],"ERROR")</f>
        <v>ERROR</v>
      </c>
      <c r="R72" s="136"/>
      <c r="S72" s="136"/>
      <c r="T72" s="136"/>
      <c r="V72" s="136"/>
    </row>
    <row r="73" spans="1:22" ht="12.75" customHeight="1" x14ac:dyDescent="0.2">
      <c r="A73" s="2" t="s">
        <v>15</v>
      </c>
      <c r="B73" s="2" t="s">
        <v>1</v>
      </c>
      <c r="F73" s="2" t="s">
        <v>4</v>
      </c>
      <c r="H73" s="204"/>
      <c r="O73" s="134" t="str">
        <f>_xlfn.XLOOKUP(N73,costcategory[Account Code],costcategory[Cost Category],"ERROR")</f>
        <v>ERROR</v>
      </c>
      <c r="P73" s="135"/>
      <c r="Q73" s="89" t="str">
        <f>_xlfn.XLOOKUP(P73,Table2[Department],Table2[Group],"ERROR")</f>
        <v>ERROR</v>
      </c>
      <c r="R73" s="138"/>
      <c r="S73" s="138"/>
      <c r="T73" s="138"/>
      <c r="V73" s="138"/>
    </row>
    <row r="74" spans="1:22" ht="12.75" customHeight="1" x14ac:dyDescent="0.2">
      <c r="F74" s="2" t="s">
        <v>4</v>
      </c>
      <c r="J74" s="212">
        <f>SUM(J63:J73)</f>
        <v>-198383.05000000002</v>
      </c>
    </row>
    <row r="75" spans="1:22" ht="12.75" customHeight="1" x14ac:dyDescent="0.2">
      <c r="A75" s="329" t="s">
        <v>1173</v>
      </c>
      <c r="B75" s="329"/>
      <c r="C75" s="329"/>
      <c r="D75" s="329"/>
      <c r="E75" s="14">
        <v>46203</v>
      </c>
      <c r="F75" s="13" t="s">
        <v>4</v>
      </c>
      <c r="G75" s="206"/>
      <c r="H75" s="207"/>
      <c r="I75" s="207"/>
      <c r="J75" s="208">
        <f>J62-J74</f>
        <v>210734.00999999998</v>
      </c>
      <c r="K75" s="17"/>
      <c r="L75" s="17"/>
      <c r="M75" s="17"/>
      <c r="N75" s="17"/>
      <c r="O75" s="17"/>
      <c r="P75" s="17"/>
      <c r="Q75" s="17"/>
      <c r="R75" s="20"/>
      <c r="S75" s="20"/>
      <c r="T75" s="20"/>
      <c r="U75" s="17"/>
      <c r="V75" s="20"/>
    </row>
    <row r="77" spans="1:22" ht="12.75" customHeight="1" x14ac:dyDescent="0.2">
      <c r="A77" s="7" t="s">
        <v>87</v>
      </c>
      <c r="B77" s="7" t="s">
        <v>43</v>
      </c>
      <c r="C77" s="8" t="s">
        <v>54</v>
      </c>
      <c r="D77" s="8" t="s">
        <v>88</v>
      </c>
      <c r="E77" s="185" t="s">
        <v>1083</v>
      </c>
      <c r="F77" s="7" t="s">
        <v>70</v>
      </c>
      <c r="G77" s="201" t="s">
        <v>90</v>
      </c>
      <c r="H77" s="201" t="s">
        <v>91</v>
      </c>
      <c r="I77" s="201"/>
      <c r="J77" s="201" t="s">
        <v>92</v>
      </c>
      <c r="K77" s="132" t="s">
        <v>325</v>
      </c>
      <c r="L77" s="132" t="s">
        <v>94</v>
      </c>
      <c r="M77" s="7" t="s">
        <v>95</v>
      </c>
      <c r="N77" s="7" t="s">
        <v>53</v>
      </c>
      <c r="O77" s="7" t="s">
        <v>64</v>
      </c>
      <c r="P77" s="7" t="s">
        <v>67</v>
      </c>
      <c r="Q77" s="7" t="s">
        <v>44</v>
      </c>
      <c r="R77" s="7" t="s">
        <v>326</v>
      </c>
      <c r="S77" s="7" t="s">
        <v>327</v>
      </c>
      <c r="T77" s="7" t="s">
        <v>328</v>
      </c>
      <c r="U77" s="7" t="s">
        <v>98</v>
      </c>
      <c r="V77" s="7" t="s">
        <v>329</v>
      </c>
    </row>
    <row r="78" spans="1:22" ht="12.75" customHeight="1" x14ac:dyDescent="0.2">
      <c r="A78" s="329" t="s">
        <v>1172</v>
      </c>
      <c r="B78" s="329"/>
      <c r="C78" s="329"/>
      <c r="D78" s="329"/>
      <c r="E78" s="14">
        <v>46204</v>
      </c>
      <c r="F78" s="13" t="s">
        <v>4</v>
      </c>
      <c r="G78" s="206"/>
      <c r="H78" s="206"/>
      <c r="I78" s="206"/>
      <c r="J78" s="211">
        <f>J75</f>
        <v>210734.00999999998</v>
      </c>
      <c r="K78" s="137"/>
      <c r="L78" s="137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1:22" ht="12.75" customHeight="1" x14ac:dyDescent="0.2">
      <c r="G79" s="204"/>
      <c r="H79" s="204"/>
      <c r="I79" s="204"/>
      <c r="J79" s="205"/>
      <c r="K79" s="109"/>
      <c r="O79" s="134" t="str">
        <f>_xlfn.XLOOKUP(N79,costcategory[Account Code],costcategory[Cost Category],"ERROR")</f>
        <v>ERROR</v>
      </c>
      <c r="P79" s="135"/>
      <c r="Q79" s="89" t="str">
        <f>_xlfn.XLOOKUP(P79,Table2[Department],Table2[Group],"ERROR")</f>
        <v>ERROR</v>
      </c>
      <c r="R79" s="136"/>
      <c r="S79" s="136"/>
      <c r="T79" s="136"/>
      <c r="V79" s="136"/>
    </row>
    <row r="80" spans="1:22" ht="12.75" customHeight="1" x14ac:dyDescent="0.2">
      <c r="O80" s="134" t="str">
        <f>_xlfn.XLOOKUP(N80,costcategory[Account Code],costcategory[Cost Category],"ERROR")</f>
        <v>ERROR</v>
      </c>
      <c r="P80" s="135"/>
      <c r="Q80" s="89" t="str">
        <f>_xlfn.XLOOKUP(P80,Table2[Department],Table2[Group],"ERROR")</f>
        <v>ERROR</v>
      </c>
      <c r="R80" s="138"/>
      <c r="S80" s="138"/>
      <c r="T80" s="138"/>
      <c r="V80" s="138"/>
    </row>
    <row r="81" spans="1:22" ht="12.75" customHeight="1" x14ac:dyDescent="0.2">
      <c r="J81" s="212">
        <f>SUM(J79:J80)</f>
        <v>0</v>
      </c>
    </row>
    <row r="82" spans="1:22" ht="12.75" customHeight="1" x14ac:dyDescent="0.2">
      <c r="A82" s="329" t="s">
        <v>1173</v>
      </c>
      <c r="B82" s="329"/>
      <c r="C82" s="329"/>
      <c r="D82" s="329"/>
      <c r="E82" s="14">
        <v>46234</v>
      </c>
      <c r="F82" s="13" t="s">
        <v>4</v>
      </c>
      <c r="G82" s="206"/>
      <c r="H82" s="207"/>
      <c r="I82" s="207"/>
      <c r="J82" s="208">
        <f>J78-J81</f>
        <v>210734.00999999998</v>
      </c>
      <c r="K82" s="17"/>
      <c r="L82" s="17"/>
      <c r="M82" s="17"/>
      <c r="N82" s="17"/>
      <c r="O82" s="17"/>
      <c r="P82" s="17"/>
      <c r="Q82" s="17"/>
      <c r="R82" s="20"/>
      <c r="S82" s="20"/>
      <c r="T82" s="20"/>
      <c r="U82" s="17"/>
      <c r="V82" s="20"/>
    </row>
    <row r="84" spans="1:22" ht="12.75" customHeight="1" x14ac:dyDescent="0.2">
      <c r="A84" s="7" t="s">
        <v>87</v>
      </c>
      <c r="B84" s="7" t="s">
        <v>43</v>
      </c>
      <c r="C84" s="8" t="s">
        <v>54</v>
      </c>
      <c r="D84" s="8" t="s">
        <v>88</v>
      </c>
      <c r="E84" s="185" t="s">
        <v>1083</v>
      </c>
      <c r="F84" s="7" t="s">
        <v>70</v>
      </c>
      <c r="G84" s="201" t="s">
        <v>90</v>
      </c>
      <c r="H84" s="201" t="s">
        <v>91</v>
      </c>
      <c r="I84" s="201"/>
      <c r="J84" s="201" t="s">
        <v>92</v>
      </c>
      <c r="K84" s="132" t="s">
        <v>325</v>
      </c>
      <c r="L84" s="132" t="s">
        <v>94</v>
      </c>
      <c r="M84" s="7" t="s">
        <v>95</v>
      </c>
      <c r="N84" s="7" t="s">
        <v>53</v>
      </c>
      <c r="O84" s="7" t="s">
        <v>64</v>
      </c>
      <c r="P84" s="7" t="s">
        <v>67</v>
      </c>
      <c r="Q84" s="7" t="s">
        <v>44</v>
      </c>
      <c r="R84" s="7" t="s">
        <v>326</v>
      </c>
      <c r="S84" s="7" t="s">
        <v>327</v>
      </c>
      <c r="T84" s="7" t="s">
        <v>328</v>
      </c>
      <c r="U84" s="7" t="s">
        <v>98</v>
      </c>
      <c r="V84" s="7" t="s">
        <v>329</v>
      </c>
    </row>
    <row r="85" spans="1:22" ht="12.75" customHeight="1" x14ac:dyDescent="0.2">
      <c r="A85" s="329" t="s">
        <v>1172</v>
      </c>
      <c r="B85" s="329"/>
      <c r="C85" s="329"/>
      <c r="D85" s="329"/>
      <c r="E85" s="14">
        <v>46235</v>
      </c>
      <c r="F85" s="13" t="s">
        <v>4</v>
      </c>
      <c r="G85" s="206"/>
      <c r="H85" s="206"/>
      <c r="I85" s="206"/>
      <c r="J85" s="211">
        <f>J82</f>
        <v>210734.00999999998</v>
      </c>
      <c r="K85" s="137"/>
      <c r="L85" s="137"/>
      <c r="M85" s="13"/>
      <c r="N85" s="13"/>
      <c r="O85" s="13"/>
      <c r="P85" s="13"/>
      <c r="Q85" s="13"/>
      <c r="R85" s="13"/>
      <c r="S85" s="13"/>
      <c r="T85" s="13"/>
      <c r="U85" s="13"/>
      <c r="V85" s="13"/>
    </row>
    <row r="86" spans="1:22" ht="12.75" customHeight="1" x14ac:dyDescent="0.2">
      <c r="G86" s="204"/>
      <c r="H86" s="204"/>
      <c r="I86" s="204"/>
      <c r="J86" s="205"/>
      <c r="K86" s="109"/>
      <c r="O86" s="134" t="str">
        <f>_xlfn.XLOOKUP(N86,costcategory[Account Code],costcategory[Cost Category],"ERROR")</f>
        <v>ERROR</v>
      </c>
      <c r="P86" s="135"/>
      <c r="Q86" s="89" t="str">
        <f>_xlfn.XLOOKUP(P86,Table2[Department],Table2[Group],"ERROR")</f>
        <v>ERROR</v>
      </c>
      <c r="R86" s="136"/>
      <c r="S86" s="136"/>
      <c r="T86" s="136"/>
      <c r="V86" s="136"/>
    </row>
    <row r="87" spans="1:22" ht="12.75" customHeight="1" x14ac:dyDescent="0.2">
      <c r="O87" s="134" t="str">
        <f>_xlfn.XLOOKUP(N87,costcategory[Account Code],costcategory[Cost Category],"ERROR")</f>
        <v>ERROR</v>
      </c>
      <c r="P87" s="135"/>
      <c r="Q87" s="89" t="str">
        <f>_xlfn.XLOOKUP(P87,Table2[Department],Table2[Group],"ERROR")</f>
        <v>ERROR</v>
      </c>
      <c r="R87" s="138"/>
      <c r="S87" s="138"/>
      <c r="T87" s="138"/>
      <c r="V87" s="138"/>
    </row>
    <row r="88" spans="1:22" ht="12.75" customHeight="1" x14ac:dyDescent="0.2">
      <c r="J88" s="212">
        <f>SUM(J86:J87)</f>
        <v>0</v>
      </c>
    </row>
    <row r="89" spans="1:22" ht="12.75" customHeight="1" x14ac:dyDescent="0.2">
      <c r="A89" s="329" t="s">
        <v>1173</v>
      </c>
      <c r="B89" s="329"/>
      <c r="C89" s="329"/>
      <c r="D89" s="329"/>
      <c r="E89" s="14">
        <v>46265</v>
      </c>
      <c r="F89" s="13" t="s">
        <v>4</v>
      </c>
      <c r="G89" s="206"/>
      <c r="H89" s="207"/>
      <c r="I89" s="207"/>
      <c r="J89" s="208">
        <f>J85-J88</f>
        <v>210734.00999999998</v>
      </c>
      <c r="K89" s="17"/>
      <c r="L89" s="17"/>
      <c r="M89" s="17"/>
      <c r="N89" s="17"/>
      <c r="O89" s="17"/>
      <c r="P89" s="17"/>
      <c r="Q89" s="17"/>
      <c r="R89" s="20"/>
      <c r="S89" s="20"/>
      <c r="T89" s="20"/>
      <c r="U89" s="17"/>
      <c r="V89" s="20"/>
    </row>
    <row r="93" spans="1:22" ht="12.75" customHeight="1" x14ac:dyDescent="0.2">
      <c r="A93" s="7" t="s">
        <v>87</v>
      </c>
      <c r="B93" s="7" t="s">
        <v>43</v>
      </c>
      <c r="C93" s="8" t="s">
        <v>54</v>
      </c>
      <c r="D93" s="8" t="s">
        <v>88</v>
      </c>
      <c r="E93" s="185" t="s">
        <v>1083</v>
      </c>
      <c r="F93" s="7" t="s">
        <v>70</v>
      </c>
      <c r="G93" s="201" t="s">
        <v>90</v>
      </c>
      <c r="H93" s="201" t="s">
        <v>91</v>
      </c>
      <c r="I93" s="201"/>
      <c r="J93" s="201" t="s">
        <v>92</v>
      </c>
      <c r="K93" s="132" t="s">
        <v>325</v>
      </c>
      <c r="L93" s="132" t="s">
        <v>94</v>
      </c>
      <c r="M93" s="7" t="s">
        <v>95</v>
      </c>
      <c r="N93" s="7" t="s">
        <v>53</v>
      </c>
      <c r="O93" s="7" t="s">
        <v>64</v>
      </c>
      <c r="P93" s="7" t="s">
        <v>67</v>
      </c>
      <c r="Q93" s="7" t="s">
        <v>44</v>
      </c>
      <c r="R93" s="7" t="s">
        <v>326</v>
      </c>
      <c r="S93" s="7" t="s">
        <v>327</v>
      </c>
      <c r="T93" s="7" t="s">
        <v>328</v>
      </c>
      <c r="U93" s="7" t="s">
        <v>98</v>
      </c>
      <c r="V93" s="7" t="s">
        <v>329</v>
      </c>
    </row>
    <row r="94" spans="1:22" ht="12.75" customHeight="1" x14ac:dyDescent="0.2">
      <c r="A94" s="329" t="s">
        <v>1172</v>
      </c>
      <c r="B94" s="329"/>
      <c r="C94" s="329"/>
      <c r="D94" s="329"/>
      <c r="E94" s="14">
        <v>46266</v>
      </c>
      <c r="F94" s="13" t="s">
        <v>4</v>
      </c>
      <c r="G94" s="206"/>
      <c r="H94" s="206"/>
      <c r="I94" s="206"/>
      <c r="J94" s="211">
        <f>J89</f>
        <v>210734.00999999998</v>
      </c>
      <c r="K94" s="137"/>
      <c r="L94" s="137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1:22" ht="12.75" customHeight="1" x14ac:dyDescent="0.2">
      <c r="G95" s="204"/>
      <c r="H95" s="204"/>
      <c r="I95" s="204"/>
      <c r="J95" s="205"/>
      <c r="K95" s="109"/>
      <c r="O95" s="134" t="str">
        <f>_xlfn.XLOOKUP(N95,costcategory[Account Code],costcategory[Cost Category],"ERROR")</f>
        <v>ERROR</v>
      </c>
      <c r="P95" s="135"/>
      <c r="Q95" s="89" t="str">
        <f>_xlfn.XLOOKUP(P95,Table2[Department],Table2[Group],"ERROR")</f>
        <v>ERROR</v>
      </c>
      <c r="R95" s="136"/>
      <c r="S95" s="136"/>
      <c r="T95" s="136"/>
      <c r="V95" s="136"/>
    </row>
    <row r="96" spans="1:22" ht="12.75" customHeight="1" x14ac:dyDescent="0.2">
      <c r="O96" s="134" t="str">
        <f>_xlfn.XLOOKUP(N96,costcategory[Account Code],costcategory[Cost Category],"ERROR")</f>
        <v>ERROR</v>
      </c>
      <c r="P96" s="135"/>
      <c r="Q96" s="89" t="str">
        <f>_xlfn.XLOOKUP(P96,Table2[Department],Table2[Group],"ERROR")</f>
        <v>ERROR</v>
      </c>
      <c r="R96" s="138"/>
      <c r="S96" s="138"/>
      <c r="T96" s="138"/>
      <c r="V96" s="138"/>
    </row>
    <row r="97" spans="1:22" ht="12.75" customHeight="1" x14ac:dyDescent="0.2">
      <c r="J97" s="212">
        <f>SUM(J95:J96)</f>
        <v>0</v>
      </c>
    </row>
    <row r="98" spans="1:22" ht="12.75" customHeight="1" x14ac:dyDescent="0.2">
      <c r="A98" s="329" t="s">
        <v>1173</v>
      </c>
      <c r="B98" s="329"/>
      <c r="C98" s="329"/>
      <c r="D98" s="329"/>
      <c r="E98" s="14">
        <v>46295</v>
      </c>
      <c r="F98" s="13" t="s">
        <v>4</v>
      </c>
      <c r="G98" s="206"/>
      <c r="H98" s="207"/>
      <c r="I98" s="207"/>
      <c r="J98" s="208">
        <f>J94-J97</f>
        <v>210734.00999999998</v>
      </c>
      <c r="K98" s="17"/>
      <c r="L98" s="17"/>
      <c r="M98" s="17"/>
      <c r="N98" s="17"/>
      <c r="O98" s="17"/>
      <c r="P98" s="17"/>
      <c r="Q98" s="17"/>
      <c r="R98" s="20"/>
      <c r="S98" s="20"/>
      <c r="T98" s="20"/>
      <c r="U98" s="17"/>
      <c r="V98" s="20"/>
    </row>
    <row r="100" spans="1:22" ht="12.75" customHeight="1" x14ac:dyDescent="0.2">
      <c r="A100" s="7" t="s">
        <v>87</v>
      </c>
      <c r="B100" s="7" t="s">
        <v>43</v>
      </c>
      <c r="C100" s="8" t="s">
        <v>54</v>
      </c>
      <c r="D100" s="8" t="s">
        <v>88</v>
      </c>
      <c r="E100" s="185" t="s">
        <v>1083</v>
      </c>
      <c r="F100" s="7" t="s">
        <v>70</v>
      </c>
      <c r="G100" s="201" t="s">
        <v>90</v>
      </c>
      <c r="H100" s="201" t="s">
        <v>91</v>
      </c>
      <c r="I100" s="201"/>
      <c r="J100" s="201" t="s">
        <v>92</v>
      </c>
      <c r="K100" s="132" t="s">
        <v>325</v>
      </c>
      <c r="L100" s="132" t="s">
        <v>94</v>
      </c>
      <c r="M100" s="7" t="s">
        <v>95</v>
      </c>
      <c r="N100" s="7" t="s">
        <v>53</v>
      </c>
      <c r="O100" s="7" t="s">
        <v>64</v>
      </c>
      <c r="P100" s="7" t="s">
        <v>67</v>
      </c>
      <c r="Q100" s="7" t="s">
        <v>44</v>
      </c>
      <c r="R100" s="7" t="s">
        <v>326</v>
      </c>
      <c r="S100" s="7" t="s">
        <v>327</v>
      </c>
      <c r="T100" s="7" t="s">
        <v>328</v>
      </c>
      <c r="U100" s="7" t="s">
        <v>98</v>
      </c>
      <c r="V100" s="7" t="s">
        <v>329</v>
      </c>
    </row>
    <row r="101" spans="1:22" ht="12.75" customHeight="1" x14ac:dyDescent="0.2">
      <c r="A101" s="329" t="s">
        <v>1172</v>
      </c>
      <c r="B101" s="329"/>
      <c r="C101" s="329"/>
      <c r="D101" s="329"/>
      <c r="E101" s="14">
        <v>46296</v>
      </c>
      <c r="F101" s="13" t="s">
        <v>4</v>
      </c>
      <c r="G101" s="206"/>
      <c r="H101" s="206"/>
      <c r="I101" s="206"/>
      <c r="J101" s="211">
        <f>J98</f>
        <v>210734.00999999998</v>
      </c>
      <c r="K101" s="137"/>
      <c r="L101" s="137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 spans="1:22" ht="12.75" customHeight="1" x14ac:dyDescent="0.2">
      <c r="G102" s="204"/>
      <c r="H102" s="204"/>
      <c r="I102" s="204"/>
      <c r="J102" s="205"/>
      <c r="K102" s="109"/>
      <c r="O102" s="134" t="str">
        <f>_xlfn.XLOOKUP(N102,costcategory[Account Code],costcategory[Cost Category],"ERROR")</f>
        <v>ERROR</v>
      </c>
      <c r="P102" s="135"/>
      <c r="Q102" s="89" t="str">
        <f>_xlfn.XLOOKUP(P102,Table2[Department],Table2[Group],"ERROR")</f>
        <v>ERROR</v>
      </c>
      <c r="R102" s="136"/>
      <c r="S102" s="136"/>
      <c r="T102" s="136"/>
      <c r="V102" s="136"/>
    </row>
    <row r="103" spans="1:22" ht="12.75" customHeight="1" x14ac:dyDescent="0.2">
      <c r="O103" s="134" t="str">
        <f>_xlfn.XLOOKUP(N103,costcategory[Account Code],costcategory[Cost Category],"ERROR")</f>
        <v>ERROR</v>
      </c>
      <c r="P103" s="135"/>
      <c r="Q103" s="89" t="str">
        <f>_xlfn.XLOOKUP(P103,Table2[Department],Table2[Group],"ERROR")</f>
        <v>ERROR</v>
      </c>
      <c r="R103" s="138"/>
      <c r="S103" s="138"/>
      <c r="T103" s="138"/>
      <c r="V103" s="138"/>
    </row>
    <row r="104" spans="1:22" ht="12.75" customHeight="1" x14ac:dyDescent="0.2">
      <c r="J104" s="212">
        <f>SUM(J102:J103)</f>
        <v>0</v>
      </c>
    </row>
    <row r="105" spans="1:22" ht="12.75" customHeight="1" x14ac:dyDescent="0.2">
      <c r="A105" s="329" t="s">
        <v>1173</v>
      </c>
      <c r="B105" s="329"/>
      <c r="C105" s="329"/>
      <c r="D105" s="329"/>
      <c r="E105" s="14">
        <v>46326</v>
      </c>
      <c r="F105" s="13" t="s">
        <v>4</v>
      </c>
      <c r="G105" s="206"/>
      <c r="H105" s="207"/>
      <c r="I105" s="207"/>
      <c r="J105" s="208">
        <f>J101-J104</f>
        <v>210734.00999999998</v>
      </c>
      <c r="K105" s="17"/>
      <c r="L105" s="17"/>
      <c r="M105" s="17"/>
      <c r="N105" s="17"/>
      <c r="O105" s="17"/>
      <c r="P105" s="17"/>
      <c r="Q105" s="17"/>
      <c r="R105" s="20"/>
      <c r="S105" s="20"/>
      <c r="T105" s="20"/>
      <c r="U105" s="17"/>
      <c r="V105" s="20"/>
    </row>
    <row r="107" spans="1:22" ht="12.75" customHeight="1" x14ac:dyDescent="0.2">
      <c r="A107" s="7" t="s">
        <v>87</v>
      </c>
      <c r="B107" s="7" t="s">
        <v>43</v>
      </c>
      <c r="C107" s="8" t="s">
        <v>54</v>
      </c>
      <c r="D107" s="8" t="s">
        <v>88</v>
      </c>
      <c r="E107" s="185" t="s">
        <v>1083</v>
      </c>
      <c r="F107" s="7" t="s">
        <v>70</v>
      </c>
      <c r="G107" s="201" t="s">
        <v>90</v>
      </c>
      <c r="H107" s="201" t="s">
        <v>91</v>
      </c>
      <c r="I107" s="201"/>
      <c r="J107" s="201" t="s">
        <v>92</v>
      </c>
      <c r="K107" s="132" t="s">
        <v>325</v>
      </c>
      <c r="L107" s="132" t="s">
        <v>94</v>
      </c>
      <c r="M107" s="7" t="s">
        <v>95</v>
      </c>
      <c r="N107" s="7" t="s">
        <v>53</v>
      </c>
      <c r="O107" s="7" t="s">
        <v>64</v>
      </c>
      <c r="P107" s="7" t="s">
        <v>67</v>
      </c>
      <c r="Q107" s="7" t="s">
        <v>44</v>
      </c>
      <c r="R107" s="7" t="s">
        <v>326</v>
      </c>
      <c r="S107" s="7" t="s">
        <v>327</v>
      </c>
      <c r="T107" s="7" t="s">
        <v>328</v>
      </c>
      <c r="U107" s="7" t="s">
        <v>98</v>
      </c>
      <c r="V107" s="7" t="s">
        <v>329</v>
      </c>
    </row>
    <row r="108" spans="1:22" ht="12.75" customHeight="1" x14ac:dyDescent="0.2">
      <c r="A108" s="329" t="s">
        <v>1172</v>
      </c>
      <c r="B108" s="329"/>
      <c r="C108" s="329"/>
      <c r="D108" s="329"/>
      <c r="E108" s="14">
        <v>46327</v>
      </c>
      <c r="F108" s="13" t="s">
        <v>4</v>
      </c>
      <c r="G108" s="206"/>
      <c r="H108" s="206"/>
      <c r="I108" s="206"/>
      <c r="J108" s="211">
        <f>J105</f>
        <v>210734.00999999998</v>
      </c>
      <c r="K108" s="137"/>
      <c r="L108" s="137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 spans="1:22" ht="12.75" customHeight="1" x14ac:dyDescent="0.2">
      <c r="G109" s="204"/>
      <c r="H109" s="204"/>
      <c r="I109" s="204"/>
      <c r="J109" s="205"/>
      <c r="K109" s="109"/>
      <c r="O109" s="134" t="str">
        <f>_xlfn.XLOOKUP(N109,costcategory[Account Code],costcategory[Cost Category],"ERROR")</f>
        <v>ERROR</v>
      </c>
      <c r="P109" s="135"/>
      <c r="Q109" s="89" t="str">
        <f>_xlfn.XLOOKUP(P109,Table2[Department],Table2[Group],"ERROR")</f>
        <v>ERROR</v>
      </c>
      <c r="R109" s="136"/>
      <c r="S109" s="136"/>
      <c r="T109" s="136"/>
      <c r="V109" s="136"/>
    </row>
    <row r="110" spans="1:22" ht="12.75" customHeight="1" x14ac:dyDescent="0.2">
      <c r="O110" s="134" t="str">
        <f>_xlfn.XLOOKUP(N110,costcategory[Account Code],costcategory[Cost Category],"ERROR")</f>
        <v>ERROR</v>
      </c>
      <c r="P110" s="135"/>
      <c r="Q110" s="89" t="str">
        <f>_xlfn.XLOOKUP(P110,Table2[Department],Table2[Group],"ERROR")</f>
        <v>ERROR</v>
      </c>
      <c r="R110" s="138"/>
      <c r="S110" s="138"/>
      <c r="T110" s="138"/>
      <c r="V110" s="138"/>
    </row>
    <row r="111" spans="1:22" ht="12.75" customHeight="1" x14ac:dyDescent="0.2">
      <c r="J111" s="212">
        <f>SUM(J109:J110)</f>
        <v>0</v>
      </c>
    </row>
    <row r="112" spans="1:22" ht="12.75" customHeight="1" x14ac:dyDescent="0.2">
      <c r="A112" s="329" t="s">
        <v>1173</v>
      </c>
      <c r="B112" s="329"/>
      <c r="C112" s="329"/>
      <c r="D112" s="329"/>
      <c r="E112" s="14">
        <v>46356</v>
      </c>
      <c r="F112" s="13" t="s">
        <v>4</v>
      </c>
      <c r="G112" s="206"/>
      <c r="H112" s="207"/>
      <c r="I112" s="207"/>
      <c r="J112" s="208">
        <f>J108-J111</f>
        <v>210734.00999999998</v>
      </c>
      <c r="K112" s="17"/>
      <c r="L112" s="17"/>
      <c r="M112" s="17"/>
      <c r="N112" s="17"/>
      <c r="O112" s="17"/>
      <c r="P112" s="17"/>
      <c r="Q112" s="17"/>
      <c r="R112" s="20"/>
      <c r="S112" s="20"/>
      <c r="T112" s="20"/>
      <c r="U112" s="17"/>
      <c r="V112" s="20"/>
    </row>
    <row r="114" spans="1:22" ht="12.75" customHeight="1" x14ac:dyDescent="0.2">
      <c r="A114" s="7" t="s">
        <v>87</v>
      </c>
      <c r="B114" s="7" t="s">
        <v>43</v>
      </c>
      <c r="C114" s="8" t="s">
        <v>54</v>
      </c>
      <c r="D114" s="8" t="s">
        <v>88</v>
      </c>
      <c r="E114" s="185" t="s">
        <v>1083</v>
      </c>
      <c r="F114" s="7" t="s">
        <v>70</v>
      </c>
      <c r="G114" s="201" t="s">
        <v>90</v>
      </c>
      <c r="H114" s="201" t="s">
        <v>91</v>
      </c>
      <c r="I114" s="201"/>
      <c r="J114" s="201" t="s">
        <v>92</v>
      </c>
      <c r="K114" s="132" t="s">
        <v>325</v>
      </c>
      <c r="L114" s="132" t="s">
        <v>94</v>
      </c>
      <c r="M114" s="7" t="s">
        <v>95</v>
      </c>
      <c r="N114" s="7" t="s">
        <v>53</v>
      </c>
      <c r="O114" s="7" t="s">
        <v>64</v>
      </c>
      <c r="P114" s="7" t="s">
        <v>67</v>
      </c>
      <c r="Q114" s="7" t="s">
        <v>44</v>
      </c>
      <c r="R114" s="7" t="s">
        <v>326</v>
      </c>
      <c r="S114" s="7" t="s">
        <v>327</v>
      </c>
      <c r="T114" s="7" t="s">
        <v>328</v>
      </c>
      <c r="U114" s="7" t="s">
        <v>98</v>
      </c>
      <c r="V114" s="7" t="s">
        <v>329</v>
      </c>
    </row>
    <row r="115" spans="1:22" ht="12.75" customHeight="1" x14ac:dyDescent="0.2">
      <c r="A115" s="329" t="s">
        <v>1172</v>
      </c>
      <c r="B115" s="329"/>
      <c r="C115" s="329"/>
      <c r="D115" s="329"/>
      <c r="E115" s="14">
        <v>46357</v>
      </c>
      <c r="F115" s="13" t="s">
        <v>4</v>
      </c>
      <c r="G115" s="206"/>
      <c r="H115" s="206"/>
      <c r="I115" s="206"/>
      <c r="J115" s="211">
        <f>J112</f>
        <v>210734.00999999998</v>
      </c>
      <c r="K115" s="137"/>
      <c r="L115" s="137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 spans="1:22" ht="12.75" customHeight="1" x14ac:dyDescent="0.2">
      <c r="G116" s="204"/>
      <c r="H116" s="204"/>
      <c r="I116" s="204"/>
      <c r="J116" s="205"/>
      <c r="K116" s="109"/>
      <c r="O116" s="134" t="str">
        <f>_xlfn.XLOOKUP(N116,costcategory[Account Code],costcategory[Cost Category],"ERROR")</f>
        <v>ERROR</v>
      </c>
      <c r="P116" s="135"/>
      <c r="Q116" s="89" t="str">
        <f>_xlfn.XLOOKUP(P116,Table2[Department],Table2[Group],"ERROR")</f>
        <v>ERROR</v>
      </c>
      <c r="R116" s="136"/>
      <c r="S116" s="136"/>
      <c r="T116" s="136"/>
      <c r="V116" s="136"/>
    </row>
    <row r="117" spans="1:22" ht="12.75" customHeight="1" x14ac:dyDescent="0.2">
      <c r="O117" s="134" t="str">
        <f>_xlfn.XLOOKUP(N117,costcategory[Account Code],costcategory[Cost Category],"ERROR")</f>
        <v>ERROR</v>
      </c>
      <c r="P117" s="135"/>
      <c r="Q117" s="89" t="str">
        <f>_xlfn.XLOOKUP(P117,Table2[Department],Table2[Group],"ERROR")</f>
        <v>ERROR</v>
      </c>
      <c r="R117" s="138"/>
      <c r="S117" s="138"/>
      <c r="T117" s="138"/>
      <c r="V117" s="138"/>
    </row>
    <row r="118" spans="1:22" ht="12.75" customHeight="1" x14ac:dyDescent="0.2">
      <c r="J118" s="212">
        <f>SUM(J116:J117)</f>
        <v>0</v>
      </c>
    </row>
    <row r="119" spans="1:22" ht="12.75" customHeight="1" x14ac:dyDescent="0.2">
      <c r="A119" s="329" t="s">
        <v>1173</v>
      </c>
      <c r="B119" s="329"/>
      <c r="C119" s="329"/>
      <c r="D119" s="329"/>
      <c r="E119" s="14">
        <v>46387</v>
      </c>
      <c r="F119" s="13" t="s">
        <v>4</v>
      </c>
      <c r="G119" s="206"/>
      <c r="H119" s="207"/>
      <c r="I119" s="207"/>
      <c r="J119" s="208">
        <f>J115-J118</f>
        <v>210734.00999999998</v>
      </c>
      <c r="K119" s="17"/>
      <c r="L119" s="17"/>
      <c r="M119" s="17"/>
      <c r="N119" s="17"/>
      <c r="O119" s="17"/>
      <c r="P119" s="17"/>
      <c r="Q119" s="17"/>
      <c r="R119" s="20"/>
      <c r="S119" s="20"/>
      <c r="T119" s="20"/>
      <c r="U119" s="17"/>
      <c r="V119" s="20"/>
    </row>
    <row r="122" spans="1:22" x14ac:dyDescent="0.2"/>
    <row r="123" spans="1:22" x14ac:dyDescent="0.2"/>
    <row r="124" spans="1:22" x14ac:dyDescent="0.2"/>
    <row r="125" spans="1:22" x14ac:dyDescent="0.2"/>
    <row r="126" spans="1:22" x14ac:dyDescent="0.2"/>
    <row r="127" spans="1:22" x14ac:dyDescent="0.2"/>
    <row r="128" spans="1:22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</sheetData>
  <dataConsolidate/>
  <mergeCells count="22">
    <mergeCell ref="A108:D108"/>
    <mergeCell ref="A112:D112"/>
    <mergeCell ref="A115:D115"/>
    <mergeCell ref="A119:D119"/>
    <mergeCell ref="A89:D89"/>
    <mergeCell ref="A94:D94"/>
    <mergeCell ref="A98:D98"/>
    <mergeCell ref="A101:D101"/>
    <mergeCell ref="A105:D105"/>
    <mergeCell ref="A62:D62"/>
    <mergeCell ref="A75:D75"/>
    <mergeCell ref="A78:D78"/>
    <mergeCell ref="A82:D82"/>
    <mergeCell ref="A85:D85"/>
    <mergeCell ref="A51:D51"/>
    <mergeCell ref="A59:D59"/>
    <mergeCell ref="A48:D48"/>
    <mergeCell ref="A5:D5"/>
    <mergeCell ref="A18:D18"/>
    <mergeCell ref="A21:D21"/>
    <mergeCell ref="A35:D35"/>
    <mergeCell ref="A38:D38"/>
  </mergeCells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85F118A-A852-48D6-A801-5A42B38BCC37}">
          <x14:formula1>
            <xm:f>Setting!$D$2:$D$15</xm:f>
          </x14:formula1>
          <xm:sqref>P17 Q34 P47:Q47 P58:Q58 P74:Q74 P81:Q81 P88:Q88 P97:Q97 P104:Q104 P111:Q111 P118:Q118</xm:sqref>
        </x14:dataValidation>
        <x14:dataValidation type="list" allowBlank="1" showInputMessage="1" showErrorMessage="1" xr:uid="{EAB6AE3E-3EC4-4DA4-8DE7-2CCDAF332366}">
          <x14:formula1>
            <xm:f>Setting!$D$2:$D$16</xm:f>
          </x14:formula1>
          <xm:sqref>P6:P16 P22:P34 P39:P44 P52:P55 P57 P116:P117 P86:P87 P79:P80 P109:P110 P102:P103 P95:P96 P63:P73</xm:sqref>
        </x14:dataValidation>
        <x14:dataValidation type="list" allowBlank="1" showInputMessage="1" showErrorMessage="1" xr:uid="{DB4168D8-CCEA-4E6A-BF49-00292D1C1239}">
          <x14:formula1>
            <xm:f>Setting!$B$2:$B$93</xm:f>
          </x14:formula1>
          <xm:sqref>N17 N47 N39:N44 N15 N22:N34 N79:N81 N52:N58 N86:N88 N116:N118 N109:N111 N102:N104 N95:N97 N63:N74</xm:sqref>
        </x14:dataValidation>
        <x14:dataValidation type="list" allowBlank="1" showInputMessage="1" showErrorMessage="1" xr:uid="{EBA8DA1D-87F4-46E0-9D52-195D5A138A38}">
          <x14:formula1>
            <xm:f>Setting!$A$2:$A$93</xm:f>
          </x14:formula1>
          <xm:sqref>N6:N14 N16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6469-56E5-471C-9C9A-4EB153818715}">
  <sheetPr codeName="Sheet4"/>
  <dimension ref="A1:W712"/>
  <sheetViews>
    <sheetView zoomScaleNormal="100" workbookViewId="0">
      <pane ySplit="4" topLeftCell="A368" activePane="bottomLeft" state="frozen"/>
      <selection activeCell="E94" sqref="E94"/>
      <selection pane="bottomLeft" activeCell="L383" sqref="L383"/>
    </sheetView>
  </sheetViews>
  <sheetFormatPr defaultColWidth="9.140625" defaultRowHeight="12.75" x14ac:dyDescent="0.2"/>
  <cols>
    <col min="1" max="2" width="5.7109375" style="2" customWidth="1"/>
    <col min="3" max="5" width="10.7109375" style="3" customWidth="1"/>
    <col min="6" max="6" width="7.7109375" style="2" customWidth="1"/>
    <col min="7" max="10" width="12.7109375" style="198" customWidth="1"/>
    <col min="11" max="11" width="30.7109375" style="4" customWidth="1"/>
    <col min="12" max="12" width="20.7109375" style="4" customWidth="1"/>
    <col min="13" max="13" width="50.7109375" style="4" customWidth="1"/>
    <col min="14" max="17" width="20.7109375" style="4" customWidth="1"/>
    <col min="18" max="20" width="10.7109375" style="2" hidden="1" customWidth="1"/>
    <col min="21" max="22" width="11.7109375" style="2" customWidth="1"/>
    <col min="23" max="16384" width="9.140625" style="4"/>
  </cols>
  <sheetData>
    <row r="1" spans="1:22" ht="12.95" customHeight="1" x14ac:dyDescent="0.2"/>
    <row r="2" spans="1:22" ht="12.95" customHeight="1" x14ac:dyDescent="0.2">
      <c r="A2" s="186" t="s">
        <v>86</v>
      </c>
      <c r="J2" s="218"/>
    </row>
    <row r="3" spans="1:22" ht="12.95" customHeight="1" x14ac:dyDescent="0.2">
      <c r="A3" s="131"/>
      <c r="G3" s="212"/>
      <c r="H3" s="212"/>
      <c r="I3" s="219" t="s">
        <v>77</v>
      </c>
      <c r="J3" s="264">
        <f>FOREX!C2</f>
        <v>0.78732100000000005</v>
      </c>
      <c r="K3" s="106"/>
      <c r="L3" s="106"/>
    </row>
    <row r="4" spans="1:22" s="2" customFormat="1" ht="12.95" customHeight="1" x14ac:dyDescent="0.2">
      <c r="A4" s="7" t="s">
        <v>87</v>
      </c>
      <c r="B4" s="7" t="s">
        <v>43</v>
      </c>
      <c r="C4" s="8" t="s">
        <v>54</v>
      </c>
      <c r="D4" s="8" t="s">
        <v>88</v>
      </c>
      <c r="E4" s="185" t="s">
        <v>1083</v>
      </c>
      <c r="F4" s="7" t="s">
        <v>70</v>
      </c>
      <c r="G4" s="201" t="s">
        <v>90</v>
      </c>
      <c r="H4" s="201" t="s">
        <v>91</v>
      </c>
      <c r="I4" s="201" t="s">
        <v>92</v>
      </c>
      <c r="J4" s="201" t="s">
        <v>72</v>
      </c>
      <c r="K4" s="132" t="s">
        <v>325</v>
      </c>
      <c r="L4" s="132" t="s">
        <v>94</v>
      </c>
      <c r="M4" s="7" t="s">
        <v>95</v>
      </c>
      <c r="N4" s="7" t="s">
        <v>53</v>
      </c>
      <c r="O4" s="7" t="s">
        <v>64</v>
      </c>
      <c r="P4" s="7" t="s">
        <v>67</v>
      </c>
      <c r="Q4" s="7" t="s">
        <v>44</v>
      </c>
      <c r="R4" s="7" t="s">
        <v>326</v>
      </c>
      <c r="S4" s="7" t="s">
        <v>327</v>
      </c>
      <c r="T4" s="7" t="s">
        <v>328</v>
      </c>
      <c r="U4" s="7" t="s">
        <v>98</v>
      </c>
      <c r="V4" s="7" t="s">
        <v>329</v>
      </c>
    </row>
    <row r="5" spans="1:22" s="180" customFormat="1" ht="12.95" customHeight="1" x14ac:dyDescent="0.2">
      <c r="A5" s="329" t="s">
        <v>1172</v>
      </c>
      <c r="B5" s="329"/>
      <c r="C5" s="329"/>
      <c r="D5" s="329"/>
      <c r="E5" s="14">
        <v>46023</v>
      </c>
      <c r="F5" s="13" t="s">
        <v>77</v>
      </c>
      <c r="G5" s="211"/>
      <c r="H5" s="211"/>
      <c r="I5" s="211">
        <v>173074.36</v>
      </c>
      <c r="J5" s="211"/>
      <c r="K5" s="179"/>
      <c r="L5" s="179"/>
      <c r="M5" s="96"/>
      <c r="N5" s="96"/>
      <c r="O5" s="96"/>
      <c r="P5" s="96"/>
      <c r="Q5" s="96"/>
      <c r="R5" s="13"/>
      <c r="S5" s="13"/>
      <c r="T5" s="13"/>
      <c r="U5" s="13"/>
      <c r="V5" s="13"/>
    </row>
    <row r="6" spans="1:22" ht="12.95" customHeight="1" x14ac:dyDescent="0.2">
      <c r="A6" s="2" t="s">
        <v>15</v>
      </c>
      <c r="B6" s="2" t="s">
        <v>1</v>
      </c>
      <c r="C6" s="3">
        <v>46025</v>
      </c>
      <c r="D6" s="3">
        <v>46025</v>
      </c>
      <c r="E6" s="3">
        <v>46025</v>
      </c>
      <c r="F6" s="2" t="s">
        <v>77</v>
      </c>
      <c r="G6" s="220">
        <v>294.35000000000002</v>
      </c>
      <c r="H6" s="220">
        <v>0</v>
      </c>
      <c r="I6" s="220">
        <f t="shared" ref="I6:I20" si="0">SUM(G6:H6)</f>
        <v>294.35000000000002</v>
      </c>
      <c r="J6" s="220">
        <f>I6*$J$3</f>
        <v>231.74793635000003</v>
      </c>
      <c r="K6" s="105" t="s">
        <v>668</v>
      </c>
      <c r="L6" s="105" t="s">
        <v>669</v>
      </c>
      <c r="M6" s="4" t="s">
        <v>668</v>
      </c>
      <c r="N6" s="105" t="s">
        <v>390</v>
      </c>
      <c r="O6" s="146" t="str">
        <f>_xlfn.XLOOKUP(N6,costcategory[Account Code],costcategory[Cost Category],"ERROR")</f>
        <v>Employee Benefits</v>
      </c>
      <c r="P6" s="4" t="s">
        <v>523</v>
      </c>
      <c r="Q6" s="147" t="str">
        <f>_xlfn.XLOOKUP(P6,Table2[Department],Table2[Group],"ERROR")</f>
        <v>General &amp; Administrative</v>
      </c>
      <c r="R6" s="138" t="s">
        <v>459</v>
      </c>
      <c r="S6" s="138" t="s">
        <v>452</v>
      </c>
      <c r="T6" s="138" t="s">
        <v>452</v>
      </c>
      <c r="V6" s="138" t="s">
        <v>113</v>
      </c>
    </row>
    <row r="7" spans="1:22" ht="12.95" customHeight="1" x14ac:dyDescent="0.2">
      <c r="A7" s="2" t="s">
        <v>15</v>
      </c>
      <c r="B7" s="2" t="s">
        <v>1</v>
      </c>
      <c r="C7" s="3">
        <v>46027</v>
      </c>
      <c r="D7" s="3">
        <v>46027</v>
      </c>
      <c r="E7" s="3">
        <v>46027</v>
      </c>
      <c r="F7" s="2" t="s">
        <v>77</v>
      </c>
      <c r="G7" s="220">
        <v>10</v>
      </c>
      <c r="H7" s="220">
        <v>0</v>
      </c>
      <c r="I7" s="220">
        <f t="shared" si="0"/>
        <v>10</v>
      </c>
      <c r="J7" s="220">
        <f t="shared" ref="J7:J37" si="1">I7*$J$3</f>
        <v>7.8732100000000003</v>
      </c>
      <c r="K7" s="105" t="s">
        <v>670</v>
      </c>
      <c r="L7" s="105" t="s">
        <v>671</v>
      </c>
      <c r="M7" s="4" t="s">
        <v>332</v>
      </c>
      <c r="N7" s="105" t="s">
        <v>332</v>
      </c>
      <c r="O7" s="146" t="str">
        <f>_xlfn.XLOOKUP(N7,costcategory[Account Code],costcategory[Cost Category],"ERROR")</f>
        <v>Bank Charges</v>
      </c>
      <c r="P7" s="4" t="s">
        <v>333</v>
      </c>
      <c r="Q7" s="147" t="str">
        <f>_xlfn.XLOOKUP(P7,Table2[Department],Table2[Group],"ERROR")</f>
        <v>General &amp; Administrative</v>
      </c>
      <c r="R7" s="138" t="s">
        <v>451</v>
      </c>
      <c r="S7" s="138" t="s">
        <v>452</v>
      </c>
      <c r="T7" s="138" t="s">
        <v>452</v>
      </c>
      <c r="U7" s="2" t="s">
        <v>1187</v>
      </c>
      <c r="V7" s="138" t="s">
        <v>113</v>
      </c>
    </row>
    <row r="8" spans="1:22" ht="12.95" customHeight="1" x14ac:dyDescent="0.2">
      <c r="A8" s="2" t="s">
        <v>15</v>
      </c>
      <c r="B8" s="2" t="s">
        <v>1</v>
      </c>
      <c r="C8" s="3">
        <v>46034</v>
      </c>
      <c r="D8" s="3">
        <v>46034</v>
      </c>
      <c r="E8" s="3">
        <v>46034</v>
      </c>
      <c r="F8" s="2" t="s">
        <v>77</v>
      </c>
      <c r="G8" s="220">
        <v>51030</v>
      </c>
      <c r="H8" s="220">
        <v>0</v>
      </c>
      <c r="I8" s="220">
        <f t="shared" si="0"/>
        <v>51030</v>
      </c>
      <c r="J8" s="220">
        <f t="shared" si="1"/>
        <v>40176.99063</v>
      </c>
      <c r="K8" s="105" t="s">
        <v>672</v>
      </c>
      <c r="L8" s="105" t="s">
        <v>673</v>
      </c>
      <c r="M8" s="4" t="s">
        <v>674</v>
      </c>
      <c r="N8" s="105" t="s">
        <v>464</v>
      </c>
      <c r="O8" s="146" t="str">
        <f>_xlfn.XLOOKUP(N8,costcategory[Account Code],costcategory[Cost Category],"ERROR")</f>
        <v>Accrual - Expenses of 2025</v>
      </c>
      <c r="P8" s="4" t="s">
        <v>350</v>
      </c>
      <c r="Q8" s="147" t="str">
        <f>_xlfn.XLOOKUP(P8,Table2[Department],Table2[Group],"ERROR")</f>
        <v>General &amp; Administrative</v>
      </c>
      <c r="R8" s="138" t="s">
        <v>675</v>
      </c>
      <c r="S8" s="138" t="s">
        <v>676</v>
      </c>
      <c r="T8" s="138" t="s">
        <v>465</v>
      </c>
      <c r="U8" s="2" t="s">
        <v>1084</v>
      </c>
      <c r="V8" s="138" t="s">
        <v>113</v>
      </c>
    </row>
    <row r="9" spans="1:22" ht="12.95" customHeight="1" x14ac:dyDescent="0.2">
      <c r="A9" s="2" t="s">
        <v>15</v>
      </c>
      <c r="B9" s="2" t="s">
        <v>1</v>
      </c>
      <c r="C9" s="3">
        <v>46009</v>
      </c>
      <c r="D9" s="3">
        <v>46037</v>
      </c>
      <c r="E9" s="3">
        <v>46036</v>
      </c>
      <c r="F9" s="2" t="s">
        <v>77</v>
      </c>
      <c r="G9" s="220">
        <v>47.5</v>
      </c>
      <c r="H9" s="220">
        <v>4.28</v>
      </c>
      <c r="I9" s="220">
        <f t="shared" si="0"/>
        <v>51.78</v>
      </c>
      <c r="J9" s="220">
        <f t="shared" si="1"/>
        <v>40.767481380000007</v>
      </c>
      <c r="K9" s="105" t="s">
        <v>665</v>
      </c>
      <c r="L9" s="105" t="s">
        <v>681</v>
      </c>
      <c r="M9" s="4" t="s">
        <v>682</v>
      </c>
      <c r="N9" s="105" t="s">
        <v>390</v>
      </c>
      <c r="O9" s="146" t="str">
        <f>_xlfn.XLOOKUP(N9,costcategory[Account Code],costcategory[Cost Category],"ERROR")</f>
        <v>Employee Benefits</v>
      </c>
      <c r="P9" s="4" t="s">
        <v>340</v>
      </c>
      <c r="Q9" s="147" t="str">
        <f>_xlfn.XLOOKUP(P9,Table2[Department],Table2[Group],"ERROR")</f>
        <v>General &amp; Administrative</v>
      </c>
      <c r="R9" s="138" t="s">
        <v>680</v>
      </c>
      <c r="S9" s="138" t="s">
        <v>458</v>
      </c>
      <c r="T9" s="138" t="s">
        <v>465</v>
      </c>
      <c r="V9" s="138" t="s">
        <v>104</v>
      </c>
    </row>
    <row r="10" spans="1:22" ht="12.95" customHeight="1" x14ac:dyDescent="0.2">
      <c r="A10" s="2" t="s">
        <v>15</v>
      </c>
      <c r="B10" s="2" t="s">
        <v>1</v>
      </c>
      <c r="C10" s="3">
        <v>46023</v>
      </c>
      <c r="D10" s="3">
        <v>46023</v>
      </c>
      <c r="E10" s="3">
        <v>46036</v>
      </c>
      <c r="F10" s="2" t="s">
        <v>77</v>
      </c>
      <c r="G10" s="220">
        <v>500</v>
      </c>
      <c r="H10" s="220">
        <v>0</v>
      </c>
      <c r="I10" s="220">
        <f t="shared" si="0"/>
        <v>500</v>
      </c>
      <c r="J10" s="220">
        <f t="shared" si="1"/>
        <v>393.66050000000001</v>
      </c>
      <c r="K10" s="105" t="s">
        <v>677</v>
      </c>
      <c r="L10" s="105" t="s">
        <v>678</v>
      </c>
      <c r="M10" s="4" t="s">
        <v>679</v>
      </c>
      <c r="N10" s="105" t="s">
        <v>464</v>
      </c>
      <c r="O10" s="146" t="str">
        <f>_xlfn.XLOOKUP(N10,costcategory[Account Code],costcategory[Cost Category],"ERROR")</f>
        <v>Accrual - Expenses of 2025</v>
      </c>
      <c r="P10" s="4" t="s">
        <v>340</v>
      </c>
      <c r="Q10" s="147" t="str">
        <f>_xlfn.XLOOKUP(P10,Table2[Department],Table2[Group],"ERROR")</f>
        <v>General &amp; Administrative</v>
      </c>
      <c r="R10" s="138" t="s">
        <v>680</v>
      </c>
      <c r="S10" s="138" t="s">
        <v>458</v>
      </c>
      <c r="T10" s="138" t="s">
        <v>465</v>
      </c>
      <c r="V10" s="138" t="s">
        <v>113</v>
      </c>
    </row>
    <row r="11" spans="1:22" ht="12.95" customHeight="1" x14ac:dyDescent="0.2">
      <c r="A11" s="2" t="s">
        <v>15</v>
      </c>
      <c r="B11" s="2" t="s">
        <v>1</v>
      </c>
      <c r="C11" s="3">
        <v>46036</v>
      </c>
      <c r="D11" s="3">
        <v>46052</v>
      </c>
      <c r="E11" s="3">
        <v>46052</v>
      </c>
      <c r="F11" s="2" t="s">
        <v>77</v>
      </c>
      <c r="G11" s="220">
        <v>47.5</v>
      </c>
      <c r="H11" s="220">
        <v>4.28</v>
      </c>
      <c r="I11" s="220">
        <f t="shared" si="0"/>
        <v>51.78</v>
      </c>
      <c r="J11" s="220">
        <f t="shared" si="1"/>
        <v>40.767481380000007</v>
      </c>
      <c r="K11" s="105" t="s">
        <v>665</v>
      </c>
      <c r="L11" s="105" t="s">
        <v>733</v>
      </c>
      <c r="M11" s="4" t="s">
        <v>682</v>
      </c>
      <c r="N11" s="105" t="s">
        <v>390</v>
      </c>
      <c r="O11" s="146" t="str">
        <f>_xlfn.XLOOKUP(N11,costcategory[Account Code],costcategory[Cost Category],"ERROR")</f>
        <v>Employee Benefits</v>
      </c>
      <c r="P11" s="4" t="s">
        <v>340</v>
      </c>
      <c r="Q11" s="147" t="str">
        <f>_xlfn.XLOOKUP(P11,Table2[Department],Table2[Group],"ERROR")</f>
        <v>General &amp; Administrative</v>
      </c>
      <c r="R11" s="138" t="s">
        <v>680</v>
      </c>
      <c r="S11" s="138" t="s">
        <v>458</v>
      </c>
      <c r="T11" s="138" t="s">
        <v>465</v>
      </c>
      <c r="U11" s="2" t="s">
        <v>1188</v>
      </c>
      <c r="V11" s="138" t="s">
        <v>104</v>
      </c>
    </row>
    <row r="12" spans="1:22" ht="12.95" customHeight="1" x14ac:dyDescent="0.2">
      <c r="A12" s="2" t="s">
        <v>15</v>
      </c>
      <c r="B12" s="2" t="s">
        <v>1</v>
      </c>
      <c r="C12" s="3">
        <v>46037</v>
      </c>
      <c r="D12" s="3">
        <v>46037</v>
      </c>
      <c r="E12" s="3">
        <v>46037</v>
      </c>
      <c r="F12" s="2" t="s">
        <v>77</v>
      </c>
      <c r="G12" s="220">
        <f>2693.19-G13</f>
        <v>1626.0900000000001</v>
      </c>
      <c r="H12" s="220">
        <v>0</v>
      </c>
      <c r="I12" s="220">
        <f t="shared" si="0"/>
        <v>1626.0900000000001</v>
      </c>
      <c r="J12" s="220">
        <f t="shared" si="1"/>
        <v>1280.2548048900003</v>
      </c>
      <c r="K12" s="105" t="s">
        <v>683</v>
      </c>
      <c r="L12" s="105" t="s">
        <v>468</v>
      </c>
      <c r="M12" s="4" t="s">
        <v>474</v>
      </c>
      <c r="N12" s="105" t="s">
        <v>475</v>
      </c>
      <c r="O12" s="146" t="str">
        <f>_xlfn.XLOOKUP(N12,costcategory[Account Code],costcategory[Cost Category],"ERROR")</f>
        <v>Travelling Expenses</v>
      </c>
      <c r="P12" s="4" t="s">
        <v>523</v>
      </c>
      <c r="Q12" s="147" t="str">
        <f>_xlfn.XLOOKUP(P12,Table2[Department],Table2[Group],"ERROR")</f>
        <v>General &amp; Administrative</v>
      </c>
      <c r="R12" s="138"/>
      <c r="S12" s="138"/>
      <c r="T12" s="138"/>
      <c r="V12" s="138" t="s">
        <v>113</v>
      </c>
    </row>
    <row r="13" spans="1:22" ht="12.95" customHeight="1" x14ac:dyDescent="0.2">
      <c r="A13" s="2" t="s">
        <v>15</v>
      </c>
      <c r="B13" s="2" t="s">
        <v>1</v>
      </c>
      <c r="C13" s="3">
        <v>46037</v>
      </c>
      <c r="D13" s="3">
        <v>46037</v>
      </c>
      <c r="E13" s="3">
        <v>46037</v>
      </c>
      <c r="F13" s="2" t="s">
        <v>77</v>
      </c>
      <c r="G13" s="220">
        <v>1067.0999999999999</v>
      </c>
      <c r="H13" s="220">
        <v>0</v>
      </c>
      <c r="I13" s="220">
        <f t="shared" si="0"/>
        <v>1067.0999999999999</v>
      </c>
      <c r="J13" s="220">
        <f t="shared" si="1"/>
        <v>840.15023910000002</v>
      </c>
      <c r="K13" s="105" t="s">
        <v>683</v>
      </c>
      <c r="L13" s="105" t="s">
        <v>468</v>
      </c>
      <c r="M13" s="4" t="s">
        <v>474</v>
      </c>
      <c r="N13" s="105" t="s">
        <v>475</v>
      </c>
      <c r="O13" s="146" t="str">
        <f>_xlfn.XLOOKUP(N13,costcategory[Account Code],costcategory[Cost Category],"ERROR")</f>
        <v>Travelling Expenses</v>
      </c>
      <c r="P13" s="4" t="s">
        <v>350</v>
      </c>
      <c r="Q13" s="147" t="str">
        <f>_xlfn.XLOOKUP(P13,Table2[Department],Table2[Group],"ERROR")</f>
        <v>General &amp; Administrative</v>
      </c>
      <c r="R13" s="138"/>
      <c r="S13" s="138"/>
      <c r="T13" s="138"/>
      <c r="V13" s="138" t="s">
        <v>113</v>
      </c>
    </row>
    <row r="14" spans="1:22" ht="12.95" customHeight="1" x14ac:dyDescent="0.2">
      <c r="A14" s="2" t="s">
        <v>15</v>
      </c>
      <c r="B14" s="2" t="s">
        <v>1</v>
      </c>
      <c r="C14" s="3">
        <v>46037</v>
      </c>
      <c r="D14" s="3">
        <v>46037</v>
      </c>
      <c r="E14" s="3">
        <v>46037</v>
      </c>
      <c r="F14" s="2" t="s">
        <v>77</v>
      </c>
      <c r="G14" s="220">
        <f>997.67-G15</f>
        <v>686.64</v>
      </c>
      <c r="H14" s="220">
        <v>0</v>
      </c>
      <c r="I14" s="220">
        <f t="shared" si="0"/>
        <v>686.64</v>
      </c>
      <c r="J14" s="220">
        <f t="shared" si="1"/>
        <v>540.60609144</v>
      </c>
      <c r="K14" s="105" t="s">
        <v>683</v>
      </c>
      <c r="L14" s="105" t="s">
        <v>468</v>
      </c>
      <c r="M14" s="4" t="s">
        <v>389</v>
      </c>
      <c r="N14" s="105" t="s">
        <v>684</v>
      </c>
      <c r="O14" s="146" t="str">
        <f>_xlfn.XLOOKUP(N14,costcategory[Account Code],costcategory[Cost Category],"ERROR")</f>
        <v>Sales Expenses</v>
      </c>
      <c r="P14" s="4" t="s">
        <v>523</v>
      </c>
      <c r="Q14" s="147" t="str">
        <f>_xlfn.XLOOKUP(P14,Table2[Department],Table2[Group],"ERROR")</f>
        <v>General &amp; Administrative</v>
      </c>
      <c r="R14" s="138"/>
      <c r="S14" s="138"/>
      <c r="T14" s="138"/>
      <c r="V14" s="138" t="s">
        <v>113</v>
      </c>
    </row>
    <row r="15" spans="1:22" ht="12.95" customHeight="1" x14ac:dyDescent="0.2">
      <c r="A15" s="2" t="s">
        <v>15</v>
      </c>
      <c r="B15" s="2" t="s">
        <v>1</v>
      </c>
      <c r="C15" s="3">
        <v>46037</v>
      </c>
      <c r="D15" s="3">
        <v>46037</v>
      </c>
      <c r="E15" s="3">
        <v>46037</v>
      </c>
      <c r="F15" s="2" t="s">
        <v>77</v>
      </c>
      <c r="G15" s="220">
        <v>311.02999999999997</v>
      </c>
      <c r="H15" s="220">
        <v>0</v>
      </c>
      <c r="I15" s="220">
        <f t="shared" si="0"/>
        <v>311.02999999999997</v>
      </c>
      <c r="J15" s="220">
        <f t="shared" si="1"/>
        <v>244.88045062999998</v>
      </c>
      <c r="K15" s="105" t="s">
        <v>683</v>
      </c>
      <c r="L15" s="105" t="s">
        <v>468</v>
      </c>
      <c r="M15" s="4" t="s">
        <v>389</v>
      </c>
      <c r="N15" s="105" t="s">
        <v>684</v>
      </c>
      <c r="O15" s="146" t="str">
        <f>_xlfn.XLOOKUP(N15,costcategory[Account Code],costcategory[Cost Category],"ERROR")</f>
        <v>Sales Expenses</v>
      </c>
      <c r="P15" s="4" t="s">
        <v>350</v>
      </c>
      <c r="Q15" s="147" t="str">
        <f>_xlfn.XLOOKUP(P15,Table2[Department],Table2[Group],"ERROR")</f>
        <v>General &amp; Administrative</v>
      </c>
      <c r="R15" s="138"/>
      <c r="S15" s="138"/>
      <c r="T15" s="138"/>
      <c r="V15" s="138" t="s">
        <v>113</v>
      </c>
    </row>
    <row r="16" spans="1:22" ht="12.95" customHeight="1" x14ac:dyDescent="0.2">
      <c r="A16" s="2" t="s">
        <v>15</v>
      </c>
      <c r="B16" s="2" t="s">
        <v>1</v>
      </c>
      <c r="C16" s="3">
        <v>46037</v>
      </c>
      <c r="D16" s="3">
        <v>46037</v>
      </c>
      <c r="E16" s="3">
        <v>46037</v>
      </c>
      <c r="F16" s="2" t="s">
        <v>77</v>
      </c>
      <c r="G16" s="220">
        <v>29.95</v>
      </c>
      <c r="H16" s="220">
        <v>2.69</v>
      </c>
      <c r="I16" s="220">
        <f t="shared" si="0"/>
        <v>32.64</v>
      </c>
      <c r="J16" s="220">
        <f t="shared" si="1"/>
        <v>25.698157440000003</v>
      </c>
      <c r="K16" s="105" t="s">
        <v>683</v>
      </c>
      <c r="L16" s="105" t="s">
        <v>468</v>
      </c>
      <c r="M16" s="4" t="s">
        <v>526</v>
      </c>
      <c r="N16" s="105" t="s">
        <v>527</v>
      </c>
      <c r="O16" s="146" t="str">
        <f>_xlfn.XLOOKUP(N16,costcategory[Account Code],costcategory[Cost Category],"ERROR")</f>
        <v>Sales Expenses</v>
      </c>
      <c r="P16" s="4" t="s">
        <v>350</v>
      </c>
      <c r="Q16" s="147" t="str">
        <f>_xlfn.XLOOKUP(P16,Table2[Department],Table2[Group],"ERROR")</f>
        <v>General &amp; Administrative</v>
      </c>
      <c r="R16" s="138"/>
      <c r="S16" s="138"/>
      <c r="T16" s="138"/>
      <c r="V16" s="138" t="s">
        <v>104</v>
      </c>
    </row>
    <row r="17" spans="1:22" ht="12.95" customHeight="1" x14ac:dyDescent="0.2">
      <c r="A17" s="2" t="s">
        <v>15</v>
      </c>
      <c r="B17" s="2" t="s">
        <v>1</v>
      </c>
      <c r="C17" s="3">
        <v>46037</v>
      </c>
      <c r="D17" s="3">
        <v>46037</v>
      </c>
      <c r="E17" s="3">
        <v>46037</v>
      </c>
      <c r="F17" s="2" t="s">
        <v>77</v>
      </c>
      <c r="G17" s="220">
        <v>935.55</v>
      </c>
      <c r="H17" s="220">
        <v>84.2</v>
      </c>
      <c r="I17" s="220">
        <f t="shared" si="0"/>
        <v>1019.75</v>
      </c>
      <c r="J17" s="220">
        <f t="shared" si="1"/>
        <v>802.87058975000002</v>
      </c>
      <c r="K17" s="105" t="s">
        <v>683</v>
      </c>
      <c r="L17" s="105" t="s">
        <v>468</v>
      </c>
      <c r="M17" s="4" t="s">
        <v>526</v>
      </c>
      <c r="N17" s="105" t="s">
        <v>527</v>
      </c>
      <c r="O17" s="146" t="str">
        <f>_xlfn.XLOOKUP(N17,costcategory[Account Code],costcategory[Cost Category],"ERROR")</f>
        <v>Sales Expenses</v>
      </c>
      <c r="P17" s="4" t="s">
        <v>354</v>
      </c>
      <c r="Q17" s="147" t="str">
        <f>_xlfn.XLOOKUP(P17,Table2[Department],Table2[Group],"ERROR")</f>
        <v>Sales &amp; Marketing</v>
      </c>
      <c r="R17" s="138"/>
      <c r="S17" s="138"/>
      <c r="T17" s="138"/>
      <c r="V17" s="138" t="s">
        <v>104</v>
      </c>
    </row>
    <row r="18" spans="1:22" ht="12.95" customHeight="1" x14ac:dyDescent="0.2">
      <c r="A18" s="2" t="s">
        <v>15</v>
      </c>
      <c r="B18" s="2" t="s">
        <v>1</v>
      </c>
      <c r="C18" s="3">
        <v>46037</v>
      </c>
      <c r="D18" s="3">
        <v>46037</v>
      </c>
      <c r="E18" s="3">
        <v>46037</v>
      </c>
      <c r="F18" s="2" t="s">
        <v>77</v>
      </c>
      <c r="G18" s="220">
        <v>1509.43</v>
      </c>
      <c r="H18" s="220">
        <v>116.27</v>
      </c>
      <c r="I18" s="220">
        <f t="shared" si="0"/>
        <v>1625.7</v>
      </c>
      <c r="J18" s="220">
        <f t="shared" si="1"/>
        <v>1279.9477497</v>
      </c>
      <c r="K18" s="105" t="s">
        <v>683</v>
      </c>
      <c r="L18" s="105" t="s">
        <v>468</v>
      </c>
      <c r="M18" s="4" t="s">
        <v>526</v>
      </c>
      <c r="N18" s="105" t="s">
        <v>527</v>
      </c>
      <c r="O18" s="146" t="str">
        <f>_xlfn.XLOOKUP(N18,costcategory[Account Code],costcategory[Cost Category],"ERROR")</f>
        <v>Sales Expenses</v>
      </c>
      <c r="P18" s="4" t="s">
        <v>523</v>
      </c>
      <c r="Q18" s="147" t="str">
        <f>_xlfn.XLOOKUP(P18,Table2[Department],Table2[Group],"ERROR")</f>
        <v>General &amp; Administrative</v>
      </c>
      <c r="R18" s="138"/>
      <c r="S18" s="138"/>
      <c r="T18" s="138"/>
      <c r="V18" s="138" t="s">
        <v>104</v>
      </c>
    </row>
    <row r="19" spans="1:22" ht="12.95" customHeight="1" x14ac:dyDescent="0.2">
      <c r="A19" s="2" t="s">
        <v>15</v>
      </c>
      <c r="B19" s="2" t="s">
        <v>1</v>
      </c>
      <c r="C19" s="3">
        <v>46037</v>
      </c>
      <c r="D19" s="3">
        <v>46037</v>
      </c>
      <c r="E19" s="3">
        <v>46037</v>
      </c>
      <c r="F19" s="2" t="s">
        <v>77</v>
      </c>
      <c r="G19" s="220">
        <f>127.57-G20</f>
        <v>75.569999999999993</v>
      </c>
      <c r="H19" s="220">
        <v>4.03</v>
      </c>
      <c r="I19" s="220">
        <f t="shared" si="0"/>
        <v>79.599999999999994</v>
      </c>
      <c r="J19" s="220">
        <f t="shared" si="1"/>
        <v>62.670751600000003</v>
      </c>
      <c r="K19" s="105" t="s">
        <v>683</v>
      </c>
      <c r="L19" s="105" t="s">
        <v>468</v>
      </c>
      <c r="M19" s="4" t="s">
        <v>685</v>
      </c>
      <c r="N19" s="105" t="s">
        <v>686</v>
      </c>
      <c r="O19" s="146" t="str">
        <f>_xlfn.XLOOKUP(N19,costcategory[Account Code],costcategory[Cost Category],"ERROR")</f>
        <v>Office Supplies</v>
      </c>
      <c r="P19" s="4" t="s">
        <v>340</v>
      </c>
      <c r="Q19" s="147" t="str">
        <f>_xlfn.XLOOKUP(P19,Table2[Department],Table2[Group],"ERROR")</f>
        <v>General &amp; Administrative</v>
      </c>
      <c r="R19" s="138"/>
      <c r="S19" s="138"/>
      <c r="T19" s="138"/>
      <c r="V19" s="138" t="s">
        <v>104</v>
      </c>
    </row>
    <row r="20" spans="1:22" ht="12.95" customHeight="1" x14ac:dyDescent="0.2">
      <c r="A20" s="2" t="s">
        <v>15</v>
      </c>
      <c r="B20" s="2" t="s">
        <v>1</v>
      </c>
      <c r="C20" s="3">
        <v>46037</v>
      </c>
      <c r="D20" s="3">
        <v>46037</v>
      </c>
      <c r="E20" s="3">
        <v>46037</v>
      </c>
      <c r="F20" s="2" t="s">
        <v>77</v>
      </c>
      <c r="G20" s="220">
        <v>52</v>
      </c>
      <c r="H20" s="220">
        <v>0</v>
      </c>
      <c r="I20" s="220">
        <f t="shared" si="0"/>
        <v>52</v>
      </c>
      <c r="J20" s="220">
        <f t="shared" si="1"/>
        <v>40.940692000000006</v>
      </c>
      <c r="K20" s="105" t="s">
        <v>683</v>
      </c>
      <c r="L20" s="105" t="s">
        <v>468</v>
      </c>
      <c r="M20" s="4" t="s">
        <v>685</v>
      </c>
      <c r="N20" s="105" t="s">
        <v>686</v>
      </c>
      <c r="O20" s="146" t="str">
        <f>_xlfn.XLOOKUP(N20,costcategory[Account Code],costcategory[Cost Category],"ERROR")</f>
        <v>Office Supplies</v>
      </c>
      <c r="P20" s="4" t="s">
        <v>59</v>
      </c>
      <c r="Q20" s="147" t="str">
        <f>_xlfn.XLOOKUP(P20,Table2[Department],Table2[Group],"ERROR")</f>
        <v>Research &amp; Development</v>
      </c>
      <c r="R20" s="138"/>
      <c r="S20" s="138"/>
      <c r="T20" s="138"/>
      <c r="V20" s="138" t="s">
        <v>113</v>
      </c>
    </row>
    <row r="21" spans="1:22" ht="12.95" customHeight="1" x14ac:dyDescent="0.2">
      <c r="A21" s="2" t="s">
        <v>15</v>
      </c>
      <c r="B21" s="2" t="s">
        <v>1</v>
      </c>
      <c r="C21" s="3">
        <v>46037</v>
      </c>
      <c r="D21" s="3">
        <v>46037</v>
      </c>
      <c r="E21" s="3">
        <v>46037</v>
      </c>
      <c r="F21" s="2" t="s">
        <v>77</v>
      </c>
      <c r="G21" s="220">
        <v>3.92</v>
      </c>
      <c r="H21" s="220">
        <v>0</v>
      </c>
      <c r="I21" s="220">
        <v>3.92</v>
      </c>
      <c r="J21" s="220">
        <f t="shared" si="1"/>
        <v>3.08629832</v>
      </c>
      <c r="K21" s="105" t="s">
        <v>683</v>
      </c>
      <c r="L21" s="105" t="s">
        <v>468</v>
      </c>
      <c r="M21" s="4" t="s">
        <v>343</v>
      </c>
      <c r="N21" s="105" t="s">
        <v>344</v>
      </c>
      <c r="O21" s="146" t="str">
        <f>_xlfn.XLOOKUP(N21,costcategory[Account Code],costcategory[Cost Category],"ERROR")</f>
        <v>Courier Charges</v>
      </c>
      <c r="P21" s="4" t="s">
        <v>350</v>
      </c>
      <c r="Q21" s="147" t="str">
        <f>_xlfn.XLOOKUP(P21,Table2[Department],Table2[Group],"ERROR")</f>
        <v>General &amp; Administrative</v>
      </c>
      <c r="R21" s="136"/>
      <c r="S21" s="136"/>
      <c r="T21" s="136"/>
      <c r="V21" s="136" t="s">
        <v>113</v>
      </c>
    </row>
    <row r="22" spans="1:22" ht="12.95" customHeight="1" x14ac:dyDescent="0.2">
      <c r="A22" s="2" t="s">
        <v>15</v>
      </c>
      <c r="B22" s="2" t="s">
        <v>1</v>
      </c>
      <c r="C22" s="3">
        <v>46037</v>
      </c>
      <c r="D22" s="3">
        <v>46037</v>
      </c>
      <c r="E22" s="3">
        <v>46037</v>
      </c>
      <c r="F22" s="2" t="s">
        <v>77</v>
      </c>
      <c r="G22" s="220">
        <v>33</v>
      </c>
      <c r="H22" s="220">
        <v>0</v>
      </c>
      <c r="I22" s="220">
        <f t="shared" ref="I22:I54" si="2">SUM(G22:H22)</f>
        <v>33</v>
      </c>
      <c r="J22" s="220">
        <f t="shared" si="1"/>
        <v>25.981593</v>
      </c>
      <c r="K22" s="105" t="s">
        <v>683</v>
      </c>
      <c r="L22" s="105" t="s">
        <v>468</v>
      </c>
      <c r="M22" s="4" t="s">
        <v>343</v>
      </c>
      <c r="N22" s="105" t="s">
        <v>344</v>
      </c>
      <c r="O22" s="146" t="str">
        <f>_xlfn.XLOOKUP(N22,costcategory[Account Code],costcategory[Cost Category],"ERROR")</f>
        <v>Courier Charges</v>
      </c>
      <c r="P22" s="4" t="s">
        <v>340</v>
      </c>
      <c r="Q22" s="147" t="str">
        <f>_xlfn.XLOOKUP(P22,Table2[Department],Table2[Group],"ERROR")</f>
        <v>General &amp; Administrative</v>
      </c>
      <c r="R22" s="138"/>
      <c r="S22" s="138"/>
      <c r="T22" s="138"/>
      <c r="V22" s="138" t="s">
        <v>113</v>
      </c>
    </row>
    <row r="23" spans="1:22" ht="12.95" customHeight="1" x14ac:dyDescent="0.2">
      <c r="A23" s="2" t="s">
        <v>15</v>
      </c>
      <c r="B23" s="2" t="s">
        <v>1</v>
      </c>
      <c r="C23" s="3">
        <v>46037</v>
      </c>
      <c r="D23" s="3">
        <v>46037</v>
      </c>
      <c r="E23" s="3">
        <v>46037</v>
      </c>
      <c r="F23" s="2" t="s">
        <v>77</v>
      </c>
      <c r="G23" s="220">
        <f>251.9-G24</f>
        <v>189.44</v>
      </c>
      <c r="H23" s="220">
        <v>0</v>
      </c>
      <c r="I23" s="220">
        <f t="shared" si="2"/>
        <v>189.44</v>
      </c>
      <c r="J23" s="220">
        <f t="shared" si="1"/>
        <v>149.15009024</v>
      </c>
      <c r="K23" s="105" t="s">
        <v>683</v>
      </c>
      <c r="L23" s="105" t="s">
        <v>468</v>
      </c>
      <c r="M23" s="4" t="s">
        <v>687</v>
      </c>
      <c r="N23" s="105" t="s">
        <v>688</v>
      </c>
      <c r="O23" s="146" t="str">
        <f>_xlfn.XLOOKUP(N23,costcategory[Account Code],costcategory[Cost Category],"ERROR")</f>
        <v>Sales Expenses</v>
      </c>
      <c r="P23" s="4" t="s">
        <v>523</v>
      </c>
      <c r="Q23" s="147" t="str">
        <f>_xlfn.XLOOKUP(P23,Table2[Department],Table2[Group],"ERROR")</f>
        <v>General &amp; Administrative</v>
      </c>
      <c r="R23" s="138"/>
      <c r="S23" s="138"/>
      <c r="T23" s="138"/>
      <c r="V23" s="138" t="s">
        <v>113</v>
      </c>
    </row>
    <row r="24" spans="1:22" ht="12.95" customHeight="1" x14ac:dyDescent="0.2">
      <c r="A24" s="2" t="s">
        <v>15</v>
      </c>
      <c r="B24" s="2" t="s">
        <v>1</v>
      </c>
      <c r="C24" s="3">
        <v>46037</v>
      </c>
      <c r="D24" s="3">
        <v>46037</v>
      </c>
      <c r="E24" s="3">
        <v>46037</v>
      </c>
      <c r="F24" s="2" t="s">
        <v>77</v>
      </c>
      <c r="G24" s="220">
        <v>62.46</v>
      </c>
      <c r="H24" s="220">
        <v>0</v>
      </c>
      <c r="I24" s="220">
        <f t="shared" si="2"/>
        <v>62.46</v>
      </c>
      <c r="J24" s="220">
        <f t="shared" si="1"/>
        <v>49.176069660000003</v>
      </c>
      <c r="K24" s="105" t="s">
        <v>683</v>
      </c>
      <c r="L24" s="105" t="s">
        <v>468</v>
      </c>
      <c r="M24" s="4" t="s">
        <v>687</v>
      </c>
      <c r="N24" s="105" t="s">
        <v>688</v>
      </c>
      <c r="O24" s="146" t="str">
        <f>_xlfn.XLOOKUP(N24,costcategory[Account Code],costcategory[Cost Category],"ERROR")</f>
        <v>Sales Expenses</v>
      </c>
      <c r="P24" s="4" t="s">
        <v>354</v>
      </c>
      <c r="Q24" s="147" t="str">
        <f>_xlfn.XLOOKUP(P24,Table2[Department],Table2[Group],"ERROR")</f>
        <v>Sales &amp; Marketing</v>
      </c>
      <c r="R24" s="138"/>
      <c r="S24" s="138"/>
      <c r="T24" s="138"/>
      <c r="V24" s="138" t="s">
        <v>113</v>
      </c>
    </row>
    <row r="25" spans="1:22" ht="12.95" customHeight="1" x14ac:dyDescent="0.2">
      <c r="A25" s="2" t="s">
        <v>15</v>
      </c>
      <c r="B25" s="2" t="s">
        <v>1</v>
      </c>
      <c r="C25" s="3">
        <v>46037</v>
      </c>
      <c r="D25" s="3">
        <v>46037</v>
      </c>
      <c r="E25" s="3">
        <v>46037</v>
      </c>
      <c r="F25" s="2" t="s">
        <v>77</v>
      </c>
      <c r="G25" s="220">
        <v>18.32</v>
      </c>
      <c r="H25" s="220">
        <v>0</v>
      </c>
      <c r="I25" s="220">
        <f t="shared" si="2"/>
        <v>18.32</v>
      </c>
      <c r="J25" s="220">
        <f t="shared" si="1"/>
        <v>14.42372072</v>
      </c>
      <c r="K25" s="105" t="s">
        <v>683</v>
      </c>
      <c r="L25" s="105" t="s">
        <v>468</v>
      </c>
      <c r="M25" s="4" t="s">
        <v>689</v>
      </c>
      <c r="N25" s="105" t="s">
        <v>663</v>
      </c>
      <c r="O25" s="146" t="str">
        <f>_xlfn.XLOOKUP(N25,costcategory[Account Code],costcategory[Cost Category],"ERROR")</f>
        <v>Intercompany</v>
      </c>
      <c r="P25" s="4" t="s">
        <v>59</v>
      </c>
      <c r="Q25" s="147" t="str">
        <f>_xlfn.XLOOKUP(P25,Table2[Department],Table2[Group],"ERROR")</f>
        <v>Research &amp; Development</v>
      </c>
      <c r="R25" s="138"/>
      <c r="S25" s="138"/>
      <c r="T25" s="138"/>
      <c r="V25" s="138" t="s">
        <v>113</v>
      </c>
    </row>
    <row r="26" spans="1:22" ht="12.95" customHeight="1" x14ac:dyDescent="0.2">
      <c r="A26" s="2" t="s">
        <v>15</v>
      </c>
      <c r="B26" s="2" t="s">
        <v>1</v>
      </c>
      <c r="C26" s="3">
        <v>46037</v>
      </c>
      <c r="D26" s="3">
        <v>46037</v>
      </c>
      <c r="E26" s="3">
        <v>46037</v>
      </c>
      <c r="F26" s="2" t="s">
        <v>77</v>
      </c>
      <c r="G26" s="220">
        <v>334.06</v>
      </c>
      <c r="H26" s="220">
        <v>9.19</v>
      </c>
      <c r="I26" s="220">
        <f t="shared" si="2"/>
        <v>343.25</v>
      </c>
      <c r="J26" s="220">
        <f t="shared" si="1"/>
        <v>270.24793325000002</v>
      </c>
      <c r="K26" s="105" t="s">
        <v>683</v>
      </c>
      <c r="L26" s="105" t="s">
        <v>468</v>
      </c>
      <c r="M26" s="4" t="s">
        <v>351</v>
      </c>
      <c r="N26" s="105" t="s">
        <v>50</v>
      </c>
      <c r="O26" s="146" t="str">
        <f>_xlfn.XLOOKUP(N26,costcategory[Account Code],costcategory[Cost Category],"ERROR")</f>
        <v>Office Supplies</v>
      </c>
      <c r="P26" s="4" t="s">
        <v>340</v>
      </c>
      <c r="Q26" s="147" t="str">
        <f>_xlfn.XLOOKUP(P26,Table2[Department],Table2[Group],"ERROR")</f>
        <v>General &amp; Administrative</v>
      </c>
      <c r="R26" s="138"/>
      <c r="S26" s="138"/>
      <c r="T26" s="138"/>
      <c r="V26" s="138" t="s">
        <v>104</v>
      </c>
    </row>
    <row r="27" spans="1:22" ht="12.95" customHeight="1" x14ac:dyDescent="0.2">
      <c r="A27" s="2" t="s">
        <v>15</v>
      </c>
      <c r="B27" s="2" t="s">
        <v>1</v>
      </c>
      <c r="C27" s="3">
        <v>46037</v>
      </c>
      <c r="D27" s="3">
        <v>46037</v>
      </c>
      <c r="E27" s="3">
        <v>46037</v>
      </c>
      <c r="F27" s="2" t="s">
        <v>77</v>
      </c>
      <c r="G27" s="220">
        <v>57.16</v>
      </c>
      <c r="H27" s="220">
        <v>0</v>
      </c>
      <c r="I27" s="220">
        <f t="shared" si="2"/>
        <v>57.16</v>
      </c>
      <c r="J27" s="220">
        <f t="shared" si="1"/>
        <v>45.00326836</v>
      </c>
      <c r="K27" s="105" t="s">
        <v>683</v>
      </c>
      <c r="L27" s="105" t="s">
        <v>468</v>
      </c>
      <c r="M27" s="4" t="s">
        <v>352</v>
      </c>
      <c r="N27" s="105" t="s">
        <v>391</v>
      </c>
      <c r="O27" s="146" t="str">
        <f>_xlfn.XLOOKUP(N27,costcategory[Account Code],costcategory[Cost Category],"ERROR")</f>
        <v>Travelling Expenses</v>
      </c>
      <c r="P27" s="4" t="s">
        <v>523</v>
      </c>
      <c r="Q27" s="147" t="str">
        <f>_xlfn.XLOOKUP(P27,Table2[Department],Table2[Group],"ERROR")</f>
        <v>General &amp; Administrative</v>
      </c>
      <c r="R27" s="138"/>
      <c r="S27" s="138"/>
      <c r="T27" s="138"/>
      <c r="V27" s="138" t="s">
        <v>113</v>
      </c>
    </row>
    <row r="28" spans="1:22" ht="12.95" customHeight="1" x14ac:dyDescent="0.2">
      <c r="A28" s="2" t="s">
        <v>15</v>
      </c>
      <c r="B28" s="2" t="s">
        <v>1</v>
      </c>
      <c r="C28" s="3">
        <v>46037</v>
      </c>
      <c r="D28" s="3">
        <v>46037</v>
      </c>
      <c r="E28" s="3">
        <v>46037</v>
      </c>
      <c r="F28" s="2" t="s">
        <v>77</v>
      </c>
      <c r="G28" s="220">
        <f>97.65-G27</f>
        <v>40.490000000000009</v>
      </c>
      <c r="H28" s="220">
        <v>0</v>
      </c>
      <c r="I28" s="220">
        <f t="shared" si="2"/>
        <v>40.490000000000009</v>
      </c>
      <c r="J28" s="220">
        <f t="shared" si="1"/>
        <v>31.878627290000008</v>
      </c>
      <c r="K28" s="105" t="s">
        <v>683</v>
      </c>
      <c r="L28" s="105" t="s">
        <v>468</v>
      </c>
      <c r="M28" s="4" t="s">
        <v>352</v>
      </c>
      <c r="N28" s="105" t="s">
        <v>391</v>
      </c>
      <c r="O28" s="146" t="str">
        <f>_xlfn.XLOOKUP(N28,costcategory[Account Code],costcategory[Cost Category],"ERROR")</f>
        <v>Travelling Expenses</v>
      </c>
      <c r="P28" s="4" t="s">
        <v>350</v>
      </c>
      <c r="Q28" s="147" t="str">
        <f>_xlfn.XLOOKUP(P28,Table2[Department],Table2[Group],"ERROR")</f>
        <v>General &amp; Administrative</v>
      </c>
      <c r="R28" s="136"/>
      <c r="S28" s="136"/>
      <c r="T28" s="136"/>
      <c r="V28" s="136" t="s">
        <v>113</v>
      </c>
    </row>
    <row r="29" spans="1:22" ht="12.95" customHeight="1" x14ac:dyDescent="0.2">
      <c r="A29" s="2" t="s">
        <v>15</v>
      </c>
      <c r="B29" s="2" t="s">
        <v>1</v>
      </c>
      <c r="C29" s="3">
        <v>46037</v>
      </c>
      <c r="D29" s="3">
        <v>46037</v>
      </c>
      <c r="E29" s="3">
        <v>46037</v>
      </c>
      <c r="F29" s="2" t="s">
        <v>77</v>
      </c>
      <c r="G29" s="220">
        <v>9.17</v>
      </c>
      <c r="H29" s="220">
        <v>0.83</v>
      </c>
      <c r="I29" s="220">
        <f t="shared" si="2"/>
        <v>10</v>
      </c>
      <c r="J29" s="220">
        <f t="shared" si="1"/>
        <v>7.8732100000000003</v>
      </c>
      <c r="K29" s="105" t="s">
        <v>683</v>
      </c>
      <c r="L29" s="105" t="s">
        <v>468</v>
      </c>
      <c r="M29" s="4" t="s">
        <v>355</v>
      </c>
      <c r="N29" s="105" t="s">
        <v>402</v>
      </c>
      <c r="O29" s="146" t="str">
        <f>_xlfn.XLOOKUP(N29,costcategory[Account Code],costcategory[Cost Category],"ERROR")</f>
        <v>Travelling Expenses</v>
      </c>
      <c r="P29" s="4" t="s">
        <v>350</v>
      </c>
      <c r="Q29" s="147" t="str">
        <f>_xlfn.XLOOKUP(P29,Table2[Department],Table2[Group],"ERROR")</f>
        <v>General &amp; Administrative</v>
      </c>
      <c r="R29" s="138"/>
      <c r="S29" s="138"/>
      <c r="T29" s="138"/>
      <c r="V29" s="138" t="s">
        <v>104</v>
      </c>
    </row>
    <row r="30" spans="1:22" ht="12.95" customHeight="1" x14ac:dyDescent="0.2">
      <c r="A30" s="2" t="s">
        <v>15</v>
      </c>
      <c r="B30" s="2" t="s">
        <v>1</v>
      </c>
      <c r="C30" s="3">
        <v>46037</v>
      </c>
      <c r="D30" s="3">
        <v>46037</v>
      </c>
      <c r="E30" s="3">
        <v>46037</v>
      </c>
      <c r="F30" s="2" t="s">
        <v>77</v>
      </c>
      <c r="G30" s="220">
        <v>212.55</v>
      </c>
      <c r="H30" s="220">
        <v>0</v>
      </c>
      <c r="I30" s="220">
        <f t="shared" si="2"/>
        <v>212.55</v>
      </c>
      <c r="J30" s="220">
        <f t="shared" si="1"/>
        <v>167.34507855000001</v>
      </c>
      <c r="K30" s="105" t="s">
        <v>683</v>
      </c>
      <c r="L30" s="105" t="s">
        <v>468</v>
      </c>
      <c r="M30" s="4" t="s">
        <v>403</v>
      </c>
      <c r="N30" s="105" t="s">
        <v>367</v>
      </c>
      <c r="O30" s="146" t="str">
        <f>_xlfn.XLOOKUP(N30,costcategory[Account Code],costcategory[Cost Category],"ERROR")</f>
        <v>Professional &amp; Consultancy Fees</v>
      </c>
      <c r="P30" s="4" t="s">
        <v>340</v>
      </c>
      <c r="Q30" s="147" t="str">
        <f>_xlfn.XLOOKUP(P30,Table2[Department],Table2[Group],"ERROR")</f>
        <v>General &amp; Administrative</v>
      </c>
      <c r="R30" s="138"/>
      <c r="S30" s="138"/>
      <c r="T30" s="138"/>
      <c r="V30" s="138" t="s">
        <v>113</v>
      </c>
    </row>
    <row r="31" spans="1:22" ht="12.95" customHeight="1" x14ac:dyDescent="0.2">
      <c r="A31" s="2" t="s">
        <v>15</v>
      </c>
      <c r="B31" s="2" t="s">
        <v>1</v>
      </c>
      <c r="C31" s="3">
        <v>46037</v>
      </c>
      <c r="D31" s="3">
        <v>46037</v>
      </c>
      <c r="E31" s="3">
        <v>46037</v>
      </c>
      <c r="F31" s="2" t="s">
        <v>77</v>
      </c>
      <c r="G31" s="220">
        <f>2787.28-G32</f>
        <v>1557.0000000000002</v>
      </c>
      <c r="H31" s="220">
        <v>0</v>
      </c>
      <c r="I31" s="220">
        <f t="shared" si="2"/>
        <v>1557.0000000000002</v>
      </c>
      <c r="J31" s="220">
        <f t="shared" si="1"/>
        <v>1225.8587970000003</v>
      </c>
      <c r="K31" s="105" t="s">
        <v>683</v>
      </c>
      <c r="L31" s="105" t="s">
        <v>468</v>
      </c>
      <c r="M31" s="4" t="s">
        <v>690</v>
      </c>
      <c r="N31" s="105" t="s">
        <v>691</v>
      </c>
      <c r="O31" s="146" t="str">
        <f>_xlfn.XLOOKUP(N31,costcategory[Account Code],costcategory[Cost Category],"ERROR")</f>
        <v>Small Value Assets</v>
      </c>
      <c r="P31" s="4" t="s">
        <v>340</v>
      </c>
      <c r="Q31" s="147" t="str">
        <f>_xlfn.XLOOKUP(P31,Table2[Department],Table2[Group],"ERROR")</f>
        <v>General &amp; Administrative</v>
      </c>
      <c r="R31" s="138"/>
      <c r="S31" s="138"/>
      <c r="T31" s="138"/>
      <c r="V31" s="138" t="s">
        <v>113</v>
      </c>
    </row>
    <row r="32" spans="1:22" ht="12.95" customHeight="1" x14ac:dyDescent="0.2">
      <c r="A32" s="2" t="s">
        <v>15</v>
      </c>
      <c r="B32" s="2" t="s">
        <v>1</v>
      </c>
      <c r="C32" s="3">
        <v>46037</v>
      </c>
      <c r="D32" s="3">
        <v>46037</v>
      </c>
      <c r="E32" s="3">
        <v>46037</v>
      </c>
      <c r="F32" s="2" t="s">
        <v>77</v>
      </c>
      <c r="G32" s="220">
        <v>1230.28</v>
      </c>
      <c r="H32" s="220">
        <v>110.72</v>
      </c>
      <c r="I32" s="220">
        <f t="shared" si="2"/>
        <v>1341</v>
      </c>
      <c r="J32" s="220">
        <f t="shared" si="1"/>
        <v>1055.7974610000001</v>
      </c>
      <c r="K32" s="105" t="s">
        <v>683</v>
      </c>
      <c r="L32" s="105" t="s">
        <v>468</v>
      </c>
      <c r="M32" s="4" t="s">
        <v>690</v>
      </c>
      <c r="N32" s="105" t="s">
        <v>691</v>
      </c>
      <c r="O32" s="146" t="str">
        <f>_xlfn.XLOOKUP(N32,costcategory[Account Code],costcategory[Cost Category],"ERROR")</f>
        <v>Small Value Assets</v>
      </c>
      <c r="P32" s="4" t="s">
        <v>376</v>
      </c>
      <c r="Q32" s="147" t="str">
        <f>_xlfn.XLOOKUP(P32,Table2[Department],Table2[Group],"ERROR")</f>
        <v>General &amp; Administrative</v>
      </c>
      <c r="R32" s="138"/>
      <c r="S32" s="138"/>
      <c r="T32" s="138"/>
      <c r="V32" s="138" t="s">
        <v>104</v>
      </c>
    </row>
    <row r="33" spans="1:22" ht="12.95" customHeight="1" x14ac:dyDescent="0.2">
      <c r="A33" s="2" t="s">
        <v>15</v>
      </c>
      <c r="B33" s="2" t="s">
        <v>1</v>
      </c>
      <c r="C33" s="3">
        <v>46037</v>
      </c>
      <c r="D33" s="3">
        <v>46037</v>
      </c>
      <c r="E33" s="3">
        <v>46037</v>
      </c>
      <c r="F33" s="2" t="s">
        <v>77</v>
      </c>
      <c r="G33" s="220">
        <v>909.63</v>
      </c>
      <c r="H33" s="220">
        <v>78.259999999999991</v>
      </c>
      <c r="I33" s="220">
        <f t="shared" si="2"/>
        <v>987.89</v>
      </c>
      <c r="J33" s="220">
        <f t="shared" si="1"/>
        <v>777.78654269000003</v>
      </c>
      <c r="K33" s="105" t="s">
        <v>683</v>
      </c>
      <c r="L33" s="105" t="s">
        <v>468</v>
      </c>
      <c r="M33" s="4" t="s">
        <v>416</v>
      </c>
      <c r="N33" s="105" t="s">
        <v>390</v>
      </c>
      <c r="O33" s="146" t="str">
        <f>_xlfn.XLOOKUP(N33,costcategory[Account Code],costcategory[Cost Category],"ERROR")</f>
        <v>Employee Benefits</v>
      </c>
      <c r="P33" s="4" t="s">
        <v>523</v>
      </c>
      <c r="Q33" s="147" t="str">
        <f>_xlfn.XLOOKUP(P33,Table2[Department],Table2[Group],"ERROR")</f>
        <v>General &amp; Administrative</v>
      </c>
      <c r="R33" s="138"/>
      <c r="S33" s="138"/>
      <c r="T33" s="138"/>
      <c r="V33" s="138" t="s">
        <v>104</v>
      </c>
    </row>
    <row r="34" spans="1:22" ht="12.95" customHeight="1" x14ac:dyDescent="0.2">
      <c r="A34" s="2" t="s">
        <v>15</v>
      </c>
      <c r="B34" s="2" t="s">
        <v>1</v>
      </c>
      <c r="C34" s="3">
        <v>46037</v>
      </c>
      <c r="D34" s="3">
        <v>46037</v>
      </c>
      <c r="E34" s="3">
        <v>46037</v>
      </c>
      <c r="F34" s="2" t="s">
        <v>77</v>
      </c>
      <c r="G34" s="220">
        <v>56.53</v>
      </c>
      <c r="H34" s="220">
        <v>0</v>
      </c>
      <c r="I34" s="220">
        <f t="shared" si="2"/>
        <v>56.53</v>
      </c>
      <c r="J34" s="220">
        <f t="shared" si="1"/>
        <v>44.507256130000002</v>
      </c>
      <c r="K34" s="105" t="s">
        <v>683</v>
      </c>
      <c r="L34" s="105" t="s">
        <v>468</v>
      </c>
      <c r="M34" s="4" t="s">
        <v>358</v>
      </c>
      <c r="N34" s="105" t="s">
        <v>60</v>
      </c>
      <c r="O34" s="146" t="str">
        <f>_xlfn.XLOOKUP(N34,costcategory[Account Code],costcategory[Cost Category],"ERROR")</f>
        <v>Subscription Fee</v>
      </c>
      <c r="P34" s="4" t="s">
        <v>59</v>
      </c>
      <c r="Q34" s="147" t="str">
        <f>_xlfn.XLOOKUP(P34,Table2[Department],Table2[Group],"ERROR")</f>
        <v>Research &amp; Development</v>
      </c>
      <c r="R34" s="138"/>
      <c r="S34" s="138"/>
      <c r="T34" s="138"/>
      <c r="V34" s="138" t="s">
        <v>113</v>
      </c>
    </row>
    <row r="35" spans="1:22" ht="12.95" customHeight="1" x14ac:dyDescent="0.2">
      <c r="A35" s="2" t="s">
        <v>15</v>
      </c>
      <c r="B35" s="2" t="s">
        <v>1</v>
      </c>
      <c r="C35" s="3">
        <v>46037</v>
      </c>
      <c r="D35" s="3">
        <v>46037</v>
      </c>
      <c r="E35" s="3">
        <v>46037</v>
      </c>
      <c r="F35" s="2" t="s">
        <v>77</v>
      </c>
      <c r="G35" s="220">
        <v>1271.74</v>
      </c>
      <c r="H35" s="220">
        <v>0</v>
      </c>
      <c r="I35" s="220">
        <f t="shared" si="2"/>
        <v>1271.74</v>
      </c>
      <c r="J35" s="220">
        <f t="shared" si="1"/>
        <v>1001.2676085400001</v>
      </c>
      <c r="K35" s="105" t="s">
        <v>683</v>
      </c>
      <c r="L35" s="105" t="s">
        <v>468</v>
      </c>
      <c r="M35" s="4" t="s">
        <v>360</v>
      </c>
      <c r="N35" s="105" t="s">
        <v>353</v>
      </c>
      <c r="O35" s="146" t="str">
        <f>_xlfn.XLOOKUP(N35,costcategory[Account Code],costcategory[Cost Category],"ERROR")</f>
        <v>Travelling Expenses</v>
      </c>
      <c r="P35" s="4" t="s">
        <v>350</v>
      </c>
      <c r="Q35" s="147" t="str">
        <f>_xlfn.XLOOKUP(P35,Table2[Department],Table2[Group],"ERROR")</f>
        <v>General &amp; Administrative</v>
      </c>
      <c r="R35" s="138"/>
      <c r="S35" s="138"/>
      <c r="T35" s="138"/>
      <c r="V35" s="138" t="s">
        <v>113</v>
      </c>
    </row>
    <row r="36" spans="1:22" ht="12.95" customHeight="1" x14ac:dyDescent="0.2">
      <c r="A36" s="2" t="s">
        <v>15</v>
      </c>
      <c r="B36" s="2" t="s">
        <v>1</v>
      </c>
      <c r="C36" s="3">
        <v>46037</v>
      </c>
      <c r="D36" s="3">
        <v>46037</v>
      </c>
      <c r="E36" s="3">
        <v>46037</v>
      </c>
      <c r="F36" s="2" t="s">
        <v>77</v>
      </c>
      <c r="G36" s="220">
        <v>7533.22</v>
      </c>
      <c r="H36" s="220">
        <v>0</v>
      </c>
      <c r="I36" s="220">
        <f t="shared" si="2"/>
        <v>7533.22</v>
      </c>
      <c r="J36" s="220">
        <f t="shared" si="1"/>
        <v>5931.0623036200004</v>
      </c>
      <c r="K36" s="105" t="s">
        <v>683</v>
      </c>
      <c r="L36" s="105" t="s">
        <v>468</v>
      </c>
      <c r="M36" s="4" t="s">
        <v>360</v>
      </c>
      <c r="N36" s="105" t="s">
        <v>353</v>
      </c>
      <c r="O36" s="146" t="str">
        <f>_xlfn.XLOOKUP(N36,costcategory[Account Code],costcategory[Cost Category],"ERROR")</f>
        <v>Travelling Expenses</v>
      </c>
      <c r="P36" s="4" t="s">
        <v>523</v>
      </c>
      <c r="Q36" s="147" t="str">
        <f>_xlfn.XLOOKUP(P36,Table2[Department],Table2[Group],"ERROR")</f>
        <v>General &amp; Administrative</v>
      </c>
      <c r="R36" s="138"/>
      <c r="S36" s="138"/>
      <c r="T36" s="138"/>
      <c r="V36" s="138" t="s">
        <v>113</v>
      </c>
    </row>
    <row r="37" spans="1:22" ht="12.95" customHeight="1" x14ac:dyDescent="0.2">
      <c r="A37" s="2" t="s">
        <v>15</v>
      </c>
      <c r="B37" s="2" t="s">
        <v>1</v>
      </c>
      <c r="C37" s="3">
        <v>46037</v>
      </c>
      <c r="D37" s="3">
        <v>46037</v>
      </c>
      <c r="E37" s="3">
        <v>46037</v>
      </c>
      <c r="F37" s="2" t="s">
        <v>77</v>
      </c>
      <c r="G37" s="220">
        <v>467.93</v>
      </c>
      <c r="H37" s="220">
        <v>0</v>
      </c>
      <c r="I37" s="220">
        <f t="shared" si="2"/>
        <v>467.93</v>
      </c>
      <c r="J37" s="220">
        <f t="shared" si="1"/>
        <v>368.41111553000002</v>
      </c>
      <c r="K37" s="105" t="s">
        <v>683</v>
      </c>
      <c r="L37" s="105" t="s">
        <v>468</v>
      </c>
      <c r="M37" s="4" t="s">
        <v>360</v>
      </c>
      <c r="N37" s="105" t="s">
        <v>353</v>
      </c>
      <c r="O37" s="146" t="str">
        <f>_xlfn.XLOOKUP(N37,costcategory[Account Code],costcategory[Cost Category],"ERROR")</f>
        <v>Travelling Expenses</v>
      </c>
      <c r="P37" s="4" t="s">
        <v>59</v>
      </c>
      <c r="Q37" s="147" t="str">
        <f>_xlfn.XLOOKUP(P37,Table2[Department],Table2[Group],"ERROR")</f>
        <v>Research &amp; Development</v>
      </c>
      <c r="R37" s="138"/>
      <c r="S37" s="138"/>
      <c r="T37" s="138"/>
      <c r="V37" s="138" t="s">
        <v>113</v>
      </c>
    </row>
    <row r="38" spans="1:22" ht="12.95" customHeight="1" x14ac:dyDescent="0.2">
      <c r="A38" s="2" t="s">
        <v>15</v>
      </c>
      <c r="B38" s="2" t="s">
        <v>1</v>
      </c>
      <c r="C38" s="3">
        <v>46037</v>
      </c>
      <c r="D38" s="3">
        <v>46037</v>
      </c>
      <c r="E38" s="3">
        <v>46037</v>
      </c>
      <c r="F38" s="2" t="s">
        <v>77</v>
      </c>
      <c r="G38" s="220">
        <v>69.7</v>
      </c>
      <c r="H38" s="220">
        <v>0</v>
      </c>
      <c r="I38" s="220">
        <f t="shared" si="2"/>
        <v>69.7</v>
      </c>
      <c r="J38" s="220">
        <f t="shared" ref="J38:J64" si="3">I38*$J$3</f>
        <v>54.876273700000006</v>
      </c>
      <c r="K38" s="105" t="s">
        <v>683</v>
      </c>
      <c r="L38" s="105" t="s">
        <v>468</v>
      </c>
      <c r="M38" s="4" t="s">
        <v>361</v>
      </c>
      <c r="N38" s="105" t="s">
        <v>356</v>
      </c>
      <c r="O38" s="146" t="str">
        <f>_xlfn.XLOOKUP(N38,costcategory[Account Code],costcategory[Cost Category],"ERROR")</f>
        <v>Travelling Expenses</v>
      </c>
      <c r="P38" s="4" t="s">
        <v>350</v>
      </c>
      <c r="Q38" s="147" t="str">
        <f>_xlfn.XLOOKUP(P38,Table2[Department],Table2[Group],"ERROR")</f>
        <v>General &amp; Administrative</v>
      </c>
      <c r="R38" s="138"/>
      <c r="S38" s="138"/>
      <c r="T38" s="138"/>
      <c r="V38" s="138" t="s">
        <v>113</v>
      </c>
    </row>
    <row r="39" spans="1:22" ht="12.95" customHeight="1" x14ac:dyDescent="0.2">
      <c r="A39" s="2" t="s">
        <v>15</v>
      </c>
      <c r="B39" s="2" t="s">
        <v>1</v>
      </c>
      <c r="C39" s="3">
        <v>46037</v>
      </c>
      <c r="D39" s="3">
        <v>46037</v>
      </c>
      <c r="E39" s="3">
        <v>46037</v>
      </c>
      <c r="F39" s="2" t="s">
        <v>77</v>
      </c>
      <c r="G39" s="220">
        <v>52.5</v>
      </c>
      <c r="H39" s="220">
        <v>0</v>
      </c>
      <c r="I39" s="220">
        <f t="shared" si="2"/>
        <v>52.5</v>
      </c>
      <c r="J39" s="220">
        <f t="shared" si="3"/>
        <v>41.334352500000001</v>
      </c>
      <c r="K39" s="105" t="s">
        <v>683</v>
      </c>
      <c r="L39" s="105" t="s">
        <v>468</v>
      </c>
      <c r="M39" s="4" t="s">
        <v>361</v>
      </c>
      <c r="N39" s="105" t="s">
        <v>356</v>
      </c>
      <c r="O39" s="146" t="str">
        <f>_xlfn.XLOOKUP(N39,costcategory[Account Code],costcategory[Cost Category],"ERROR")</f>
        <v>Travelling Expenses</v>
      </c>
      <c r="P39" s="4" t="s">
        <v>59</v>
      </c>
      <c r="Q39" s="147" t="str">
        <f>_xlfn.XLOOKUP(P39,Table2[Department],Table2[Group],"ERROR")</f>
        <v>Research &amp; Development</v>
      </c>
      <c r="R39" s="138"/>
      <c r="S39" s="138"/>
      <c r="T39" s="138"/>
      <c r="V39" s="138" t="s">
        <v>113</v>
      </c>
    </row>
    <row r="40" spans="1:22" ht="12.95" customHeight="1" x14ac:dyDescent="0.2">
      <c r="A40" s="2" t="s">
        <v>15</v>
      </c>
      <c r="B40" s="2" t="s">
        <v>1</v>
      </c>
      <c r="C40" s="3">
        <v>46037</v>
      </c>
      <c r="D40" s="3">
        <v>46037</v>
      </c>
      <c r="E40" s="3">
        <v>46037</v>
      </c>
      <c r="F40" s="2" t="s">
        <v>77</v>
      </c>
      <c r="G40" s="220">
        <v>480</v>
      </c>
      <c r="H40" s="220">
        <v>0</v>
      </c>
      <c r="I40" s="220">
        <f t="shared" si="2"/>
        <v>480</v>
      </c>
      <c r="J40" s="220">
        <f t="shared" si="3"/>
        <v>377.91408000000001</v>
      </c>
      <c r="K40" s="105" t="s">
        <v>683</v>
      </c>
      <c r="L40" s="105" t="s">
        <v>468</v>
      </c>
      <c r="M40" s="4" t="s">
        <v>692</v>
      </c>
      <c r="N40" s="105" t="s">
        <v>617</v>
      </c>
      <c r="O40" s="146" t="str">
        <f>_xlfn.XLOOKUP(N40,costcategory[Account Code],costcategory[Cost Category],"ERROR")</f>
        <v>Upkeep of Office</v>
      </c>
      <c r="P40" s="4" t="s">
        <v>340</v>
      </c>
      <c r="Q40" s="147" t="str">
        <f>_xlfn.XLOOKUP(P40,Table2[Department],Table2[Group],"ERROR")</f>
        <v>General &amp; Administrative</v>
      </c>
      <c r="R40" s="138"/>
      <c r="S40" s="138"/>
      <c r="T40" s="138"/>
      <c r="V40" s="138"/>
    </row>
    <row r="41" spans="1:22" ht="12.95" customHeight="1" x14ac:dyDescent="0.2">
      <c r="A41" s="2" t="s">
        <v>15</v>
      </c>
      <c r="B41" s="2" t="s">
        <v>1</v>
      </c>
      <c r="C41" s="3">
        <v>46037</v>
      </c>
      <c r="D41" s="3">
        <v>46037</v>
      </c>
      <c r="E41" s="3">
        <v>46037</v>
      </c>
      <c r="F41" s="2" t="s">
        <v>77</v>
      </c>
      <c r="G41" s="220">
        <v>2593</v>
      </c>
      <c r="H41" s="220">
        <v>0</v>
      </c>
      <c r="I41" s="220">
        <f t="shared" si="2"/>
        <v>2593</v>
      </c>
      <c r="J41" s="220">
        <f t="shared" si="3"/>
        <v>2041.523353</v>
      </c>
      <c r="K41" s="105" t="s">
        <v>455</v>
      </c>
      <c r="L41" s="105" t="s">
        <v>456</v>
      </c>
      <c r="M41" s="4" t="s">
        <v>693</v>
      </c>
      <c r="N41" s="105" t="s">
        <v>418</v>
      </c>
      <c r="O41" s="146" t="str">
        <f>_xlfn.XLOOKUP(N41,costcategory[Account Code],costcategory[Cost Category],"ERROR")</f>
        <v>Internal Fund Transfer</v>
      </c>
      <c r="P41" s="4" t="s">
        <v>66</v>
      </c>
      <c r="Q41" s="147" t="str">
        <f>_xlfn.XLOOKUP(P41,Table2[Department],Table2[Group],"ERROR")</f>
        <v>Others</v>
      </c>
      <c r="R41" s="138" t="s">
        <v>466</v>
      </c>
      <c r="S41" s="138" t="s">
        <v>459</v>
      </c>
      <c r="T41" s="138" t="s">
        <v>458</v>
      </c>
      <c r="V41" s="138" t="s">
        <v>113</v>
      </c>
    </row>
    <row r="42" spans="1:22" ht="12.95" customHeight="1" x14ac:dyDescent="0.2">
      <c r="A42" s="2" t="s">
        <v>15</v>
      </c>
      <c r="B42" s="2" t="s">
        <v>1</v>
      </c>
      <c r="C42" s="3">
        <v>46039</v>
      </c>
      <c r="D42" s="3">
        <v>46039</v>
      </c>
      <c r="E42" s="3">
        <v>46039</v>
      </c>
      <c r="F42" s="2" t="s">
        <v>77</v>
      </c>
      <c r="G42" s="220">
        <v>473.7</v>
      </c>
      <c r="H42" s="220">
        <v>0</v>
      </c>
      <c r="I42" s="220">
        <f t="shared" si="2"/>
        <v>473.7</v>
      </c>
      <c r="J42" s="220">
        <f t="shared" si="3"/>
        <v>372.95395769999999</v>
      </c>
      <c r="K42" s="105" t="s">
        <v>694</v>
      </c>
      <c r="L42" s="105" t="s">
        <v>695</v>
      </c>
      <c r="M42" s="4" t="s">
        <v>694</v>
      </c>
      <c r="N42" s="105" t="s">
        <v>390</v>
      </c>
      <c r="O42" s="146" t="str">
        <f>_xlfn.XLOOKUP(N42,costcategory[Account Code],costcategory[Cost Category],"ERROR")</f>
        <v>Employee Benefits</v>
      </c>
      <c r="P42" s="4" t="s">
        <v>523</v>
      </c>
      <c r="Q42" s="147" t="str">
        <f>_xlfn.XLOOKUP(P42,Table2[Department],Table2[Group],"ERROR")</f>
        <v>General &amp; Administrative</v>
      </c>
      <c r="R42" s="138" t="s">
        <v>459</v>
      </c>
      <c r="S42" s="138" t="s">
        <v>452</v>
      </c>
      <c r="T42" s="138" t="s">
        <v>452</v>
      </c>
      <c r="V42" s="138" t="s">
        <v>113</v>
      </c>
    </row>
    <row r="43" spans="1:22" ht="12.95" customHeight="1" x14ac:dyDescent="0.2">
      <c r="A43" s="2" t="s">
        <v>15</v>
      </c>
      <c r="B43" s="2" t="s">
        <v>1</v>
      </c>
      <c r="C43" s="3">
        <v>46045</v>
      </c>
      <c r="D43" s="3">
        <v>46045</v>
      </c>
      <c r="E43" s="3">
        <v>46045</v>
      </c>
      <c r="F43" s="2" t="s">
        <v>77</v>
      </c>
      <c r="G43" s="220">
        <v>-300000</v>
      </c>
      <c r="H43" s="220">
        <v>0</v>
      </c>
      <c r="I43" s="220">
        <f t="shared" si="2"/>
        <v>-300000</v>
      </c>
      <c r="J43" s="220">
        <f t="shared" si="3"/>
        <v>-236196.30000000002</v>
      </c>
      <c r="K43" s="105" t="s">
        <v>670</v>
      </c>
      <c r="L43" s="105" t="s">
        <v>460</v>
      </c>
      <c r="M43" s="4" t="s">
        <v>696</v>
      </c>
      <c r="N43" s="105" t="s">
        <v>418</v>
      </c>
      <c r="O43" s="146" t="str">
        <f>_xlfn.XLOOKUP(N43,costcategory[Account Code],costcategory[Cost Category],"ERROR")</f>
        <v>Internal Fund Transfer</v>
      </c>
      <c r="P43" s="4" t="s">
        <v>333</v>
      </c>
      <c r="Q43" s="147" t="str">
        <f>_xlfn.XLOOKUP(P43,Table2[Department],Table2[Group],"ERROR")</f>
        <v>General &amp; Administrative</v>
      </c>
      <c r="R43" s="138" t="s">
        <v>466</v>
      </c>
      <c r="S43" s="138" t="s">
        <v>459</v>
      </c>
      <c r="T43" s="138" t="s">
        <v>458</v>
      </c>
      <c r="U43" s="2" t="s">
        <v>1189</v>
      </c>
      <c r="V43" s="138" t="s">
        <v>113</v>
      </c>
    </row>
    <row r="44" spans="1:22" ht="12.95" customHeight="1" x14ac:dyDescent="0.2">
      <c r="A44" s="2" t="s">
        <v>15</v>
      </c>
      <c r="B44" s="2" t="s">
        <v>1</v>
      </c>
      <c r="C44" s="3">
        <v>46015</v>
      </c>
      <c r="D44" s="3">
        <v>46045</v>
      </c>
      <c r="E44" s="3">
        <v>46048</v>
      </c>
      <c r="F44" s="2" t="s">
        <v>77</v>
      </c>
      <c r="G44" s="220">
        <v>1404.83</v>
      </c>
      <c r="H44" s="220">
        <v>0</v>
      </c>
      <c r="I44" s="220">
        <f t="shared" si="2"/>
        <v>1404.83</v>
      </c>
      <c r="J44" s="220">
        <f t="shared" si="3"/>
        <v>1106.05216043</v>
      </c>
      <c r="K44" s="105" t="s">
        <v>704</v>
      </c>
      <c r="L44" s="105" t="s">
        <v>705</v>
      </c>
      <c r="M44" s="4" t="s">
        <v>706</v>
      </c>
      <c r="N44" s="105" t="s">
        <v>349</v>
      </c>
      <c r="O44" s="146" t="str">
        <f>_xlfn.XLOOKUP(N44,costcategory[Account Code],costcategory[Cost Category],"ERROR")</f>
        <v>Employee Benefits</v>
      </c>
      <c r="P44" s="4" t="s">
        <v>350</v>
      </c>
      <c r="Q44" s="147" t="str">
        <f>_xlfn.XLOOKUP(P44,Table2[Department],Table2[Group],"ERROR")</f>
        <v>General &amp; Administrative</v>
      </c>
      <c r="R44" s="138" t="s">
        <v>707</v>
      </c>
      <c r="S44" s="138" t="s">
        <v>676</v>
      </c>
      <c r="T44" s="138" t="s">
        <v>465</v>
      </c>
      <c r="U44" s="2" t="s">
        <v>1190</v>
      </c>
      <c r="V44" s="138" t="s">
        <v>113</v>
      </c>
    </row>
    <row r="45" spans="1:22" ht="12.95" customHeight="1" x14ac:dyDescent="0.2">
      <c r="A45" s="2" t="s">
        <v>15</v>
      </c>
      <c r="B45" s="2" t="s">
        <v>1</v>
      </c>
      <c r="C45" s="3">
        <v>46022</v>
      </c>
      <c r="D45" s="3">
        <v>46052</v>
      </c>
      <c r="E45" s="3">
        <v>46048</v>
      </c>
      <c r="F45" s="2" t="s">
        <v>77</v>
      </c>
      <c r="G45" s="220">
        <v>3470.09</v>
      </c>
      <c r="H45" s="220">
        <v>0</v>
      </c>
      <c r="I45" s="220">
        <f t="shared" si="2"/>
        <v>3470.09</v>
      </c>
      <c r="J45" s="220">
        <f t="shared" si="3"/>
        <v>2732.0747288900002</v>
      </c>
      <c r="K45" s="105" t="s">
        <v>701</v>
      </c>
      <c r="L45" s="105" t="s">
        <v>708</v>
      </c>
      <c r="M45" s="4" t="s">
        <v>709</v>
      </c>
      <c r="N45" s="105" t="s">
        <v>540</v>
      </c>
      <c r="O45" s="146" t="str">
        <f>_xlfn.XLOOKUP(N45,costcategory[Account Code],costcategory[Cost Category],"ERROR")</f>
        <v>Employee Benefits</v>
      </c>
      <c r="P45" s="4" t="s">
        <v>350</v>
      </c>
      <c r="Q45" s="147" t="str">
        <f>_xlfn.XLOOKUP(P45,Table2[Department],Table2[Group],"ERROR")</f>
        <v>General &amp; Administrative</v>
      </c>
      <c r="R45" s="138" t="s">
        <v>451</v>
      </c>
      <c r="S45" s="138" t="s">
        <v>458</v>
      </c>
      <c r="T45" s="138" t="s">
        <v>465</v>
      </c>
      <c r="V45" s="138" t="s">
        <v>113</v>
      </c>
    </row>
    <row r="46" spans="1:22" ht="12.95" customHeight="1" x14ac:dyDescent="0.2">
      <c r="A46" s="2" t="s">
        <v>15</v>
      </c>
      <c r="B46" s="2" t="s">
        <v>1</v>
      </c>
      <c r="C46" s="3">
        <v>45991</v>
      </c>
      <c r="D46" s="3">
        <v>46022</v>
      </c>
      <c r="E46" s="3">
        <v>46048</v>
      </c>
      <c r="F46" s="2" t="s">
        <v>77</v>
      </c>
      <c r="G46" s="220">
        <v>1801.74</v>
      </c>
      <c r="H46" s="220">
        <v>0</v>
      </c>
      <c r="I46" s="220">
        <f t="shared" si="2"/>
        <v>1801.74</v>
      </c>
      <c r="J46" s="220">
        <f t="shared" si="3"/>
        <v>1418.5477385400002</v>
      </c>
      <c r="K46" s="105" t="s">
        <v>701</v>
      </c>
      <c r="L46" s="105" t="s">
        <v>702</v>
      </c>
      <c r="M46" s="4" t="s">
        <v>703</v>
      </c>
      <c r="N46" s="105" t="s">
        <v>540</v>
      </c>
      <c r="O46" s="146" t="str">
        <f>_xlfn.XLOOKUP(N46,costcategory[Account Code],costcategory[Cost Category],"ERROR")</f>
        <v>Employee Benefits</v>
      </c>
      <c r="P46" s="4" t="s">
        <v>350</v>
      </c>
      <c r="Q46" s="147" t="str">
        <f>_xlfn.XLOOKUP(P46,Table2[Department],Table2[Group],"ERROR")</f>
        <v>General &amp; Administrative</v>
      </c>
      <c r="R46" s="138" t="s">
        <v>451</v>
      </c>
      <c r="S46" s="138" t="s">
        <v>458</v>
      </c>
      <c r="T46" s="138" t="s">
        <v>465</v>
      </c>
      <c r="V46" s="138" t="s">
        <v>113</v>
      </c>
    </row>
    <row r="47" spans="1:22" ht="12.95" customHeight="1" x14ac:dyDescent="0.2">
      <c r="A47" s="2" t="s">
        <v>15</v>
      </c>
      <c r="B47" s="2" t="s">
        <v>1</v>
      </c>
      <c r="C47" s="3">
        <v>46009</v>
      </c>
      <c r="D47" s="3">
        <v>46016</v>
      </c>
      <c r="E47" s="3">
        <v>46048</v>
      </c>
      <c r="F47" s="2" t="s">
        <v>77</v>
      </c>
      <c r="G47" s="220">
        <v>7525</v>
      </c>
      <c r="H47" s="220">
        <v>0</v>
      </c>
      <c r="I47" s="220">
        <f t="shared" si="2"/>
        <v>7525</v>
      </c>
      <c r="J47" s="220">
        <f t="shared" si="3"/>
        <v>5924.5905250000005</v>
      </c>
      <c r="K47" s="105" t="s">
        <v>697</v>
      </c>
      <c r="L47" s="105" t="s">
        <v>698</v>
      </c>
      <c r="M47" s="4" t="s">
        <v>699</v>
      </c>
      <c r="N47" s="105" t="s">
        <v>700</v>
      </c>
      <c r="O47" s="146" t="str">
        <f>_xlfn.XLOOKUP(N47,costcategory[Account Code],costcategory[Cost Category],"ERROR")</f>
        <v>Non-Current Asset</v>
      </c>
      <c r="P47" s="4" t="s">
        <v>66</v>
      </c>
      <c r="Q47" s="147" t="str">
        <f>_xlfn.XLOOKUP(P47,Table2[Department],Table2[Group],"ERROR")</f>
        <v>Others</v>
      </c>
      <c r="R47" s="138" t="s">
        <v>680</v>
      </c>
      <c r="S47" s="138" t="s">
        <v>676</v>
      </c>
      <c r="T47" s="138" t="s">
        <v>465</v>
      </c>
      <c r="V47" s="138" t="s">
        <v>113</v>
      </c>
    </row>
    <row r="48" spans="1:22" ht="12.95" customHeight="1" x14ac:dyDescent="0.2">
      <c r="A48" s="2" t="s">
        <v>15</v>
      </c>
      <c r="B48" s="2" t="s">
        <v>1</v>
      </c>
      <c r="C48" s="3">
        <v>46049</v>
      </c>
      <c r="D48" s="3">
        <v>46049</v>
      </c>
      <c r="E48" s="3">
        <v>46049</v>
      </c>
      <c r="F48" s="2" t="s">
        <v>77</v>
      </c>
      <c r="G48" s="220">
        <v>-7.58</v>
      </c>
      <c r="H48" s="220">
        <v>0</v>
      </c>
      <c r="I48" s="220">
        <f t="shared" si="2"/>
        <v>-7.58</v>
      </c>
      <c r="J48" s="220">
        <f t="shared" si="3"/>
        <v>-5.9678931800000008</v>
      </c>
      <c r="K48" s="105" t="s">
        <v>670</v>
      </c>
      <c r="L48" s="105" t="s">
        <v>710</v>
      </c>
      <c r="M48" s="4" t="s">
        <v>715</v>
      </c>
      <c r="N48" s="105" t="s">
        <v>332</v>
      </c>
      <c r="O48" s="146" t="str">
        <f>_xlfn.XLOOKUP(N48,costcategory[Account Code],costcategory[Cost Category],"ERROR")</f>
        <v>Bank Charges</v>
      </c>
      <c r="P48" s="4" t="s">
        <v>333</v>
      </c>
      <c r="Q48" s="147" t="str">
        <f>_xlfn.XLOOKUP(P48,Table2[Department],Table2[Group],"ERROR")</f>
        <v>General &amp; Administrative</v>
      </c>
      <c r="R48" s="138" t="s">
        <v>451</v>
      </c>
      <c r="S48" s="138" t="s">
        <v>452</v>
      </c>
      <c r="T48" s="138" t="s">
        <v>452</v>
      </c>
      <c r="U48" s="2" t="s">
        <v>1191</v>
      </c>
      <c r="V48" s="138" t="s">
        <v>113</v>
      </c>
    </row>
    <row r="49" spans="1:22" ht="12.95" customHeight="1" x14ac:dyDescent="0.2">
      <c r="A49" s="2" t="s">
        <v>15</v>
      </c>
      <c r="B49" s="2" t="s">
        <v>1</v>
      </c>
      <c r="C49" s="3">
        <v>45965</v>
      </c>
      <c r="D49" s="3">
        <v>45969</v>
      </c>
      <c r="E49" s="3">
        <v>46049</v>
      </c>
      <c r="F49" s="2" t="s">
        <v>77</v>
      </c>
      <c r="G49" s="220">
        <v>35350</v>
      </c>
      <c r="H49" s="220">
        <v>0</v>
      </c>
      <c r="I49" s="220">
        <f t="shared" si="2"/>
        <v>35350</v>
      </c>
      <c r="J49" s="220">
        <f t="shared" si="3"/>
        <v>27831.797350000001</v>
      </c>
      <c r="K49" s="105" t="s">
        <v>662</v>
      </c>
      <c r="L49" s="142" t="s">
        <v>716</v>
      </c>
      <c r="M49" s="4" t="s">
        <v>717</v>
      </c>
      <c r="N49" s="105" t="s">
        <v>367</v>
      </c>
      <c r="O49" s="146" t="str">
        <f>_xlfn.XLOOKUP(N49,costcategory[Account Code],costcategory[Cost Category],"ERROR")</f>
        <v>Professional &amp; Consultancy Fees</v>
      </c>
      <c r="P49" s="4" t="s">
        <v>340</v>
      </c>
      <c r="Q49" s="147" t="str">
        <f>_xlfn.XLOOKUP(P49,Table2[Department],Table2[Group],"ERROR")</f>
        <v>General &amp; Administrative</v>
      </c>
      <c r="R49" s="138" t="s">
        <v>718</v>
      </c>
      <c r="S49" s="138" t="s">
        <v>676</v>
      </c>
      <c r="T49" s="138" t="s">
        <v>465</v>
      </c>
      <c r="V49" s="138" t="s">
        <v>113</v>
      </c>
    </row>
    <row r="50" spans="1:22" ht="12.95" customHeight="1" x14ac:dyDescent="0.2">
      <c r="A50" s="2" t="s">
        <v>15</v>
      </c>
      <c r="B50" s="2" t="s">
        <v>1</v>
      </c>
      <c r="C50" s="3">
        <v>46030</v>
      </c>
      <c r="D50" s="3">
        <v>46044</v>
      </c>
      <c r="E50" s="3">
        <v>46049</v>
      </c>
      <c r="F50" s="2" t="s">
        <v>77</v>
      </c>
      <c r="G50" s="220">
        <v>97.36</v>
      </c>
      <c r="H50" s="220">
        <v>8.76</v>
      </c>
      <c r="I50" s="220">
        <f t="shared" si="2"/>
        <v>106.12</v>
      </c>
      <c r="J50" s="220">
        <f t="shared" si="3"/>
        <v>83.550504520000004</v>
      </c>
      <c r="K50" s="105" t="s">
        <v>659</v>
      </c>
      <c r="L50" s="105" t="s">
        <v>711</v>
      </c>
      <c r="M50" s="4" t="s">
        <v>712</v>
      </c>
      <c r="N50" s="105" t="s">
        <v>370</v>
      </c>
      <c r="O50" s="146" t="str">
        <f>_xlfn.XLOOKUP(N50,costcategory[Account Code],costcategory[Cost Category],"ERROR")</f>
        <v>Utilities</v>
      </c>
      <c r="P50" s="4" t="s">
        <v>340</v>
      </c>
      <c r="Q50" s="147" t="str">
        <f>_xlfn.XLOOKUP(P50,Table2[Department],Table2[Group],"ERROR")</f>
        <v>General &amp; Administrative</v>
      </c>
      <c r="R50" s="2" t="s">
        <v>680</v>
      </c>
      <c r="S50" s="138" t="s">
        <v>458</v>
      </c>
      <c r="T50" s="138" t="s">
        <v>465</v>
      </c>
      <c r="V50" s="138" t="s">
        <v>104</v>
      </c>
    </row>
    <row r="51" spans="1:22" ht="12.95" customHeight="1" x14ac:dyDescent="0.2">
      <c r="A51" s="2" t="s">
        <v>15</v>
      </c>
      <c r="B51" s="2" t="s">
        <v>1</v>
      </c>
      <c r="C51" s="3">
        <v>46030</v>
      </c>
      <c r="D51" s="3">
        <v>46044</v>
      </c>
      <c r="E51" s="3">
        <v>46049</v>
      </c>
      <c r="F51" s="2" t="s">
        <v>77</v>
      </c>
      <c r="G51" s="220">
        <v>63.42</v>
      </c>
      <c r="H51" s="220">
        <v>5.71</v>
      </c>
      <c r="I51" s="220">
        <f t="shared" si="2"/>
        <v>69.13</v>
      </c>
      <c r="J51" s="220">
        <f t="shared" si="3"/>
        <v>54.427500729999998</v>
      </c>
      <c r="K51" s="105" t="s">
        <v>659</v>
      </c>
      <c r="L51" s="105" t="s">
        <v>713</v>
      </c>
      <c r="M51" s="4" t="s">
        <v>714</v>
      </c>
      <c r="N51" s="105" t="s">
        <v>370</v>
      </c>
      <c r="O51" s="146" t="str">
        <f>_xlfn.XLOOKUP(N51,costcategory[Account Code],costcategory[Cost Category],"ERROR")</f>
        <v>Utilities</v>
      </c>
      <c r="P51" s="4" t="s">
        <v>340</v>
      </c>
      <c r="Q51" s="147" t="str">
        <f>_xlfn.XLOOKUP(P51,Table2[Department],Table2[Group],"ERROR")</f>
        <v>General &amp; Administrative</v>
      </c>
      <c r="R51" s="2" t="s">
        <v>680</v>
      </c>
      <c r="S51" s="138" t="s">
        <v>458</v>
      </c>
      <c r="T51" s="138" t="s">
        <v>465</v>
      </c>
      <c r="V51" s="138" t="s">
        <v>104</v>
      </c>
    </row>
    <row r="52" spans="1:22" ht="12.95" customHeight="1" x14ac:dyDescent="0.2">
      <c r="A52" s="2" t="s">
        <v>15</v>
      </c>
      <c r="B52" s="2" t="s">
        <v>1</v>
      </c>
      <c r="C52" s="3">
        <v>46027</v>
      </c>
      <c r="D52" s="3">
        <v>46027</v>
      </c>
      <c r="E52" s="3">
        <v>46049</v>
      </c>
      <c r="F52" s="2" t="s">
        <v>77</v>
      </c>
      <c r="G52" s="220">
        <v>40</v>
      </c>
      <c r="H52" s="220">
        <v>0</v>
      </c>
      <c r="I52" s="220">
        <f t="shared" si="2"/>
        <v>40</v>
      </c>
      <c r="J52" s="220">
        <f t="shared" si="3"/>
        <v>31.492840000000001</v>
      </c>
      <c r="K52" s="105" t="s">
        <v>670</v>
      </c>
      <c r="L52" s="105" t="s">
        <v>710</v>
      </c>
      <c r="M52" s="4" t="s">
        <v>332</v>
      </c>
      <c r="N52" s="105" t="s">
        <v>332</v>
      </c>
      <c r="O52" s="146" t="str">
        <f>_xlfn.XLOOKUP(N52,costcategory[Account Code],costcategory[Cost Category],"ERROR")</f>
        <v>Bank Charges</v>
      </c>
      <c r="P52" s="4" t="s">
        <v>333</v>
      </c>
      <c r="Q52" s="147" t="str">
        <f>_xlfn.XLOOKUP(P52,Table2[Department],Table2[Group],"ERROR")</f>
        <v>General &amp; Administrative</v>
      </c>
      <c r="R52" s="138" t="s">
        <v>451</v>
      </c>
      <c r="S52" s="138" t="s">
        <v>452</v>
      </c>
      <c r="T52" s="138" t="s">
        <v>452</v>
      </c>
      <c r="U52" s="2" t="s">
        <v>1192</v>
      </c>
      <c r="V52" s="138" t="s">
        <v>113</v>
      </c>
    </row>
    <row r="53" spans="1:22" ht="12.95" customHeight="1" x14ac:dyDescent="0.2">
      <c r="A53" s="2" t="s">
        <v>15</v>
      </c>
      <c r="B53" s="2" t="s">
        <v>1</v>
      </c>
      <c r="C53" s="3">
        <v>46051</v>
      </c>
      <c r="D53" s="3">
        <v>46051</v>
      </c>
      <c r="E53" s="3">
        <v>46051</v>
      </c>
      <c r="F53" s="2" t="s">
        <v>77</v>
      </c>
      <c r="G53" s="220">
        <v>-627.23</v>
      </c>
      <c r="H53" s="220">
        <v>0</v>
      </c>
      <c r="I53" s="220">
        <f t="shared" si="2"/>
        <v>-627.23</v>
      </c>
      <c r="J53" s="220">
        <f t="shared" si="3"/>
        <v>-493.83135083000002</v>
      </c>
      <c r="K53" s="105" t="s">
        <v>719</v>
      </c>
      <c r="L53" s="105" t="s">
        <v>720</v>
      </c>
      <c r="M53" s="4" t="s">
        <v>721</v>
      </c>
      <c r="N53" s="105" t="s">
        <v>387</v>
      </c>
      <c r="O53" s="146" t="str">
        <f>_xlfn.XLOOKUP(N53,costcategory[Account Code],costcategory[Cost Category],"ERROR")</f>
        <v>Headcount Costs</v>
      </c>
      <c r="P53" s="4" t="s">
        <v>350</v>
      </c>
      <c r="Q53" s="147" t="str">
        <f>_xlfn.XLOOKUP(P53,Table2[Department],Table2[Group],"ERROR")</f>
        <v>General &amp; Administrative</v>
      </c>
      <c r="R53" s="138" t="s">
        <v>675</v>
      </c>
      <c r="S53" s="138" t="s">
        <v>452</v>
      </c>
      <c r="T53" s="138" t="s">
        <v>465</v>
      </c>
      <c r="V53" s="138" t="s">
        <v>113</v>
      </c>
    </row>
    <row r="54" spans="1:22" ht="12.95" customHeight="1" x14ac:dyDescent="0.2">
      <c r="A54" s="2" t="s">
        <v>15</v>
      </c>
      <c r="B54" s="2" t="s">
        <v>1</v>
      </c>
      <c r="C54" s="3">
        <v>46051</v>
      </c>
      <c r="D54" s="3">
        <v>46051</v>
      </c>
      <c r="E54" s="3">
        <v>46051</v>
      </c>
      <c r="F54" s="2" t="s">
        <v>77</v>
      </c>
      <c r="G54" s="220">
        <v>-1000</v>
      </c>
      <c r="H54" s="220">
        <v>0</v>
      </c>
      <c r="I54" s="220">
        <f t="shared" si="2"/>
        <v>-1000</v>
      </c>
      <c r="J54" s="220">
        <f t="shared" si="3"/>
        <v>-787.32100000000003</v>
      </c>
      <c r="K54" s="105" t="s">
        <v>719</v>
      </c>
      <c r="L54" s="105" t="s">
        <v>722</v>
      </c>
      <c r="M54" s="4" t="s">
        <v>721</v>
      </c>
      <c r="N54" s="105" t="s">
        <v>387</v>
      </c>
      <c r="O54" s="146" t="str">
        <f>_xlfn.XLOOKUP(N54,costcategory[Account Code],costcategory[Cost Category],"ERROR")</f>
        <v>Headcount Costs</v>
      </c>
      <c r="P54" s="4" t="s">
        <v>350</v>
      </c>
      <c r="Q54" s="147" t="str">
        <f>_xlfn.XLOOKUP(P54,Table2[Department],Table2[Group],"ERROR")</f>
        <v>General &amp; Administrative</v>
      </c>
      <c r="R54" s="138" t="s">
        <v>675</v>
      </c>
      <c r="S54" s="138" t="s">
        <v>452</v>
      </c>
      <c r="T54" s="138" t="s">
        <v>465</v>
      </c>
      <c r="V54" s="138" t="s">
        <v>113</v>
      </c>
    </row>
    <row r="55" spans="1:22" ht="12.95" customHeight="1" x14ac:dyDescent="0.2">
      <c r="A55" s="2" t="s">
        <v>15</v>
      </c>
      <c r="B55" s="2" t="s">
        <v>1</v>
      </c>
      <c r="C55" s="3">
        <v>46052</v>
      </c>
      <c r="D55" s="3">
        <v>46052</v>
      </c>
      <c r="E55" s="3">
        <v>46052</v>
      </c>
      <c r="F55" s="2" t="s">
        <v>77</v>
      </c>
      <c r="G55" s="220">
        <v>163.41</v>
      </c>
      <c r="H55" s="220">
        <v>0</v>
      </c>
      <c r="I55" s="220">
        <v>163.41</v>
      </c>
      <c r="J55" s="220">
        <f t="shared" si="3"/>
        <v>128.65612461000001</v>
      </c>
      <c r="K55" s="105" t="s">
        <v>1193</v>
      </c>
      <c r="L55" s="105" t="s">
        <v>1194</v>
      </c>
      <c r="M55" s="4" t="s">
        <v>734</v>
      </c>
      <c r="N55" s="105" t="s">
        <v>60</v>
      </c>
      <c r="O55" s="146" t="str">
        <f>_xlfn.XLOOKUP(N55,costcategory[Account Code],costcategory[Cost Category],"ERROR")</f>
        <v>Subscription Fee</v>
      </c>
      <c r="P55" s="4" t="s">
        <v>333</v>
      </c>
      <c r="Q55" s="147" t="str">
        <f>_xlfn.XLOOKUP(P55,Table2[Department],Table2[Group],"ERROR")</f>
        <v>General &amp; Administrative</v>
      </c>
      <c r="R55" s="138" t="s">
        <v>451</v>
      </c>
      <c r="S55" s="138" t="s">
        <v>452</v>
      </c>
      <c r="T55" s="138" t="s">
        <v>465</v>
      </c>
      <c r="V55" s="138" t="s">
        <v>113</v>
      </c>
    </row>
    <row r="56" spans="1:22" ht="12.95" customHeight="1" x14ac:dyDescent="0.2">
      <c r="A56" s="2" t="s">
        <v>15</v>
      </c>
      <c r="B56" s="2" t="s">
        <v>1</v>
      </c>
      <c r="C56" s="3">
        <v>46052</v>
      </c>
      <c r="D56" s="3">
        <v>46052</v>
      </c>
      <c r="E56" s="3">
        <v>46052</v>
      </c>
      <c r="F56" s="2" t="s">
        <v>77</v>
      </c>
      <c r="G56" s="220">
        <v>44.04</v>
      </c>
      <c r="H56" s="220">
        <v>0</v>
      </c>
      <c r="I56" s="220">
        <v>44.04</v>
      </c>
      <c r="J56" s="220">
        <f t="shared" si="3"/>
        <v>34.673616840000001</v>
      </c>
      <c r="K56" s="105" t="s">
        <v>1193</v>
      </c>
      <c r="L56" s="105" t="s">
        <v>1194</v>
      </c>
      <c r="M56" s="4" t="s">
        <v>735</v>
      </c>
      <c r="N56" s="105" t="s">
        <v>657</v>
      </c>
      <c r="O56" s="146" t="str">
        <f>_xlfn.XLOOKUP(N56,costcategory[Account Code],costcategory[Cost Category],"ERROR")</f>
        <v>Intercompany</v>
      </c>
      <c r="P56" s="4" t="s">
        <v>354</v>
      </c>
      <c r="Q56" s="147" t="str">
        <f>_xlfn.XLOOKUP(P56,Table2[Department],Table2[Group],"ERROR")</f>
        <v>Sales &amp; Marketing</v>
      </c>
      <c r="R56" s="138" t="s">
        <v>451</v>
      </c>
      <c r="S56" s="138" t="s">
        <v>452</v>
      </c>
      <c r="T56" s="138" t="s">
        <v>465</v>
      </c>
      <c r="V56" s="138" t="s">
        <v>113</v>
      </c>
    </row>
    <row r="57" spans="1:22" ht="12.95" customHeight="1" x14ac:dyDescent="0.2">
      <c r="A57" s="2" t="s">
        <v>15</v>
      </c>
      <c r="B57" s="2" t="s">
        <v>1</v>
      </c>
      <c r="C57" s="3" t="s">
        <v>1195</v>
      </c>
      <c r="D57" s="3" t="s">
        <v>1195</v>
      </c>
      <c r="E57" s="3" t="s">
        <v>1196</v>
      </c>
      <c r="F57" s="2" t="s">
        <v>77</v>
      </c>
      <c r="G57" s="220">
        <v>82.04</v>
      </c>
      <c r="H57" s="220">
        <v>0</v>
      </c>
      <c r="I57" s="220">
        <v>82.04</v>
      </c>
      <c r="J57" s="220">
        <f t="shared" si="3"/>
        <v>64.591814840000012</v>
      </c>
      <c r="K57" s="105" t="s">
        <v>1197</v>
      </c>
      <c r="L57" s="105" t="s">
        <v>1198</v>
      </c>
      <c r="M57" s="4" t="s">
        <v>735</v>
      </c>
      <c r="N57" s="105" t="s">
        <v>657</v>
      </c>
      <c r="O57" s="146" t="str">
        <f>_xlfn.XLOOKUP(N57,costcategory[Account Code],costcategory[Cost Category],"ERROR")</f>
        <v>Intercompany</v>
      </c>
      <c r="P57" s="4" t="s">
        <v>333</v>
      </c>
      <c r="Q57" s="147" t="str">
        <f>_xlfn.XLOOKUP(P57,Table2[Department],Table2[Group],"ERROR")</f>
        <v>General &amp; Administrative</v>
      </c>
      <c r="R57" s="138" t="s">
        <v>451</v>
      </c>
      <c r="S57" s="138" t="s">
        <v>452</v>
      </c>
      <c r="T57" s="138" t="s">
        <v>465</v>
      </c>
      <c r="V57" s="138" t="s">
        <v>113</v>
      </c>
    </row>
    <row r="58" spans="1:22" ht="12.95" customHeight="1" x14ac:dyDescent="0.2">
      <c r="A58" s="2" t="s">
        <v>15</v>
      </c>
      <c r="B58" s="2" t="s">
        <v>1</v>
      </c>
      <c r="C58" s="3">
        <v>46021</v>
      </c>
      <c r="D58" s="3">
        <v>46047</v>
      </c>
      <c r="E58" s="3">
        <v>46052</v>
      </c>
      <c r="F58" s="2" t="s">
        <v>77</v>
      </c>
      <c r="G58" s="220">
        <v>92.58</v>
      </c>
      <c r="H58" s="220">
        <v>0</v>
      </c>
      <c r="I58" s="220">
        <f t="shared" ref="I58:I64" si="4">SUM(G58:H58)</f>
        <v>92.58</v>
      </c>
      <c r="J58" s="220">
        <f t="shared" si="3"/>
        <v>72.890178180000007</v>
      </c>
      <c r="K58" s="105" t="s">
        <v>730</v>
      </c>
      <c r="L58" s="105" t="s">
        <v>731</v>
      </c>
      <c r="M58" s="4" t="s">
        <v>732</v>
      </c>
      <c r="N58" s="105" t="s">
        <v>344</v>
      </c>
      <c r="O58" s="146" t="str">
        <f>_xlfn.XLOOKUP(N58,costcategory[Account Code],costcategory[Cost Category],"ERROR")</f>
        <v>Courier Charges</v>
      </c>
      <c r="P58" s="4" t="s">
        <v>340</v>
      </c>
      <c r="Q58" s="147" t="str">
        <f>_xlfn.XLOOKUP(P58,Table2[Department],Table2[Group],"ERROR")</f>
        <v>General &amp; Administrative</v>
      </c>
      <c r="R58" s="2" t="s">
        <v>680</v>
      </c>
      <c r="S58" s="138" t="s">
        <v>458</v>
      </c>
      <c r="T58" s="138" t="s">
        <v>465</v>
      </c>
      <c r="U58" s="2" t="s">
        <v>1199</v>
      </c>
      <c r="V58" s="138" t="s">
        <v>113</v>
      </c>
    </row>
    <row r="59" spans="1:22" ht="12.95" customHeight="1" x14ac:dyDescent="0.2">
      <c r="A59" s="2" t="s">
        <v>15</v>
      </c>
      <c r="B59" s="2" t="s">
        <v>1</v>
      </c>
      <c r="C59" s="3">
        <v>46024</v>
      </c>
      <c r="D59" s="3">
        <v>46024</v>
      </c>
      <c r="E59" s="3">
        <v>46052</v>
      </c>
      <c r="F59" s="2" t="s">
        <v>77</v>
      </c>
      <c r="G59" s="220">
        <v>70</v>
      </c>
      <c r="H59" s="220">
        <v>6.3</v>
      </c>
      <c r="I59" s="220">
        <f t="shared" si="4"/>
        <v>76.3</v>
      </c>
      <c r="J59" s="220">
        <f t="shared" si="3"/>
        <v>60.072592300000004</v>
      </c>
      <c r="K59" s="105" t="s">
        <v>661</v>
      </c>
      <c r="L59" s="105" t="s">
        <v>727</v>
      </c>
      <c r="M59" s="4" t="s">
        <v>728</v>
      </c>
      <c r="N59" s="105" t="s">
        <v>374</v>
      </c>
      <c r="O59" s="146" t="str">
        <f>_xlfn.XLOOKUP(N59,costcategory[Account Code],costcategory[Cost Category],"ERROR")</f>
        <v>Non-Current Liabilities</v>
      </c>
      <c r="P59" s="4" t="s">
        <v>376</v>
      </c>
      <c r="Q59" s="147" t="str">
        <f>_xlfn.XLOOKUP(P59,Table2[Department],Table2[Group],"ERROR")</f>
        <v>General &amp; Administrative</v>
      </c>
      <c r="R59" s="138" t="s">
        <v>484</v>
      </c>
      <c r="S59" s="138" t="s">
        <v>458</v>
      </c>
      <c r="T59" s="138" t="s">
        <v>465</v>
      </c>
      <c r="V59" s="138" t="s">
        <v>113</v>
      </c>
    </row>
    <row r="60" spans="1:22" ht="12.95" customHeight="1" x14ac:dyDescent="0.2">
      <c r="A60" s="2" t="s">
        <v>15</v>
      </c>
      <c r="B60" s="2" t="s">
        <v>1</v>
      </c>
      <c r="C60" s="3">
        <v>46024</v>
      </c>
      <c r="D60" s="3">
        <v>46024</v>
      </c>
      <c r="E60" s="3">
        <v>46052</v>
      </c>
      <c r="F60" s="2" t="s">
        <v>77</v>
      </c>
      <c r="G60" s="220">
        <v>584.1</v>
      </c>
      <c r="H60" s="220">
        <v>52.57</v>
      </c>
      <c r="I60" s="220">
        <f t="shared" si="4"/>
        <v>636.67000000000007</v>
      </c>
      <c r="J60" s="220">
        <f t="shared" si="3"/>
        <v>501.26366107000007</v>
      </c>
      <c r="K60" s="105" t="s">
        <v>661</v>
      </c>
      <c r="L60" s="4" t="s">
        <v>729</v>
      </c>
      <c r="M60" s="4" t="s">
        <v>728</v>
      </c>
      <c r="N60" s="105" t="s">
        <v>374</v>
      </c>
      <c r="O60" s="146" t="str">
        <f>_xlfn.XLOOKUP(N60,costcategory[Account Code],costcategory[Cost Category],"ERROR")</f>
        <v>Non-Current Liabilities</v>
      </c>
      <c r="P60" s="4" t="s">
        <v>376</v>
      </c>
      <c r="Q60" s="147" t="str">
        <f>_xlfn.XLOOKUP(P60,Table2[Department],Table2[Group],"ERROR")</f>
        <v>General &amp; Administrative</v>
      </c>
      <c r="R60" s="138" t="s">
        <v>484</v>
      </c>
      <c r="S60" s="138" t="s">
        <v>458</v>
      </c>
      <c r="T60" s="138" t="s">
        <v>465</v>
      </c>
      <c r="V60" s="138" t="s">
        <v>113</v>
      </c>
    </row>
    <row r="61" spans="1:22" ht="12.95" customHeight="1" x14ac:dyDescent="0.2">
      <c r="A61" s="2" t="s">
        <v>15</v>
      </c>
      <c r="B61" s="2" t="s">
        <v>1</v>
      </c>
      <c r="C61" s="3">
        <v>46039</v>
      </c>
      <c r="D61" s="3">
        <v>46053</v>
      </c>
      <c r="E61" s="3">
        <v>46052</v>
      </c>
      <c r="F61" s="2" t="s">
        <v>77</v>
      </c>
      <c r="G61" s="220">
        <v>1012.35</v>
      </c>
      <c r="H61" s="220">
        <v>0</v>
      </c>
      <c r="I61" s="220">
        <f t="shared" si="4"/>
        <v>1012.35</v>
      </c>
      <c r="J61" s="220">
        <f t="shared" si="3"/>
        <v>797.04441435000001</v>
      </c>
      <c r="K61" s="105" t="s">
        <v>736</v>
      </c>
      <c r="L61" s="142" t="s">
        <v>737</v>
      </c>
      <c r="M61" s="4" t="s">
        <v>738</v>
      </c>
      <c r="N61" s="105" t="s">
        <v>58</v>
      </c>
      <c r="O61" s="146" t="str">
        <f>_xlfn.XLOOKUP(N61,costcategory[Account Code],costcategory[Cost Category],"ERROR")</f>
        <v>Network &amp; Server</v>
      </c>
      <c r="P61" s="4" t="s">
        <v>376</v>
      </c>
      <c r="Q61" s="147" t="str">
        <f>_xlfn.XLOOKUP(P61,Table2[Department],Table2[Group],"ERROR")</f>
        <v>General &amp; Administrative</v>
      </c>
      <c r="R61" s="138" t="s">
        <v>484</v>
      </c>
      <c r="S61" s="138" t="s">
        <v>458</v>
      </c>
      <c r="T61" s="138" t="s">
        <v>465</v>
      </c>
      <c r="U61" s="2" t="s">
        <v>1200</v>
      </c>
      <c r="V61" s="138" t="s">
        <v>113</v>
      </c>
    </row>
    <row r="62" spans="1:22" ht="12.95" customHeight="1" x14ac:dyDescent="0.2">
      <c r="A62" s="2" t="s">
        <v>15</v>
      </c>
      <c r="B62" s="2" t="s">
        <v>1</v>
      </c>
      <c r="C62" s="3">
        <v>45987</v>
      </c>
      <c r="D62" s="3">
        <v>46017</v>
      </c>
      <c r="E62" s="3">
        <v>46052</v>
      </c>
      <c r="F62" s="2" t="s">
        <v>77</v>
      </c>
      <c r="G62" s="220">
        <v>5000</v>
      </c>
      <c r="H62" s="220">
        <v>450</v>
      </c>
      <c r="I62" s="220">
        <f t="shared" si="4"/>
        <v>5450</v>
      </c>
      <c r="J62" s="220">
        <f t="shared" si="3"/>
        <v>4290.8994499999999</v>
      </c>
      <c r="K62" s="105" t="s">
        <v>723</v>
      </c>
      <c r="L62" s="142" t="s">
        <v>724</v>
      </c>
      <c r="M62" s="4" t="s">
        <v>725</v>
      </c>
      <c r="N62" s="105" t="s">
        <v>60</v>
      </c>
      <c r="O62" s="146" t="str">
        <f>_xlfn.XLOOKUP(N62,costcategory[Account Code],costcategory[Cost Category],"ERROR")</f>
        <v>Subscription Fee</v>
      </c>
      <c r="P62" s="4" t="s">
        <v>56</v>
      </c>
      <c r="Q62" s="147" t="str">
        <f>_xlfn.XLOOKUP(P62,Table2[Department],Table2[Group],"ERROR")</f>
        <v>Research &amp; Development</v>
      </c>
      <c r="R62" s="2" t="s">
        <v>484</v>
      </c>
      <c r="S62" s="138" t="s">
        <v>458</v>
      </c>
      <c r="T62" s="138" t="s">
        <v>465</v>
      </c>
      <c r="U62" s="2" t="s">
        <v>726</v>
      </c>
      <c r="V62" s="138" t="s">
        <v>104</v>
      </c>
    </row>
    <row r="63" spans="1:22" ht="12.95" customHeight="1" x14ac:dyDescent="0.2">
      <c r="A63" s="2" t="s">
        <v>15</v>
      </c>
      <c r="B63" s="2" t="s">
        <v>1</v>
      </c>
      <c r="C63" s="3">
        <v>46054</v>
      </c>
      <c r="D63" s="3">
        <v>46054</v>
      </c>
      <c r="E63" s="3">
        <v>46052</v>
      </c>
      <c r="F63" s="2" t="s">
        <v>77</v>
      </c>
      <c r="G63" s="220">
        <v>23892</v>
      </c>
      <c r="H63" s="220">
        <v>2150.2800000000002</v>
      </c>
      <c r="I63" s="220">
        <f t="shared" si="4"/>
        <v>26042.28</v>
      </c>
      <c r="J63" s="220">
        <f t="shared" si="3"/>
        <v>20503.633931880002</v>
      </c>
      <c r="K63" s="105" t="s">
        <v>660</v>
      </c>
      <c r="L63" s="105" t="s">
        <v>739</v>
      </c>
      <c r="M63" s="4" t="s">
        <v>740</v>
      </c>
      <c r="N63" s="105" t="s">
        <v>409</v>
      </c>
      <c r="O63" s="146" t="str">
        <f>_xlfn.XLOOKUP(N63,costcategory[Account Code],costcategory[Cost Category],"ERROR")</f>
        <v>Rental</v>
      </c>
      <c r="P63" s="4" t="s">
        <v>340</v>
      </c>
      <c r="Q63" s="147" t="str">
        <f>_xlfn.XLOOKUP(P63,Table2[Department],Table2[Group],"ERROR")</f>
        <v>General &amp; Administrative</v>
      </c>
      <c r="R63" s="138" t="s">
        <v>680</v>
      </c>
      <c r="S63" s="138" t="s">
        <v>458</v>
      </c>
      <c r="T63" s="138" t="s">
        <v>465</v>
      </c>
      <c r="V63" s="138" t="s">
        <v>104</v>
      </c>
    </row>
    <row r="64" spans="1:22" x14ac:dyDescent="0.2">
      <c r="A64" s="2" t="s">
        <v>15</v>
      </c>
      <c r="B64" s="2" t="s">
        <v>1</v>
      </c>
      <c r="C64" s="3">
        <v>46052</v>
      </c>
      <c r="D64" s="3">
        <v>46052</v>
      </c>
      <c r="E64" s="3">
        <v>46052</v>
      </c>
      <c r="F64" s="2" t="s">
        <v>77</v>
      </c>
      <c r="G64" s="212">
        <v>207752.77</v>
      </c>
      <c r="H64" s="212">
        <v>0</v>
      </c>
      <c r="I64" s="212">
        <f t="shared" si="4"/>
        <v>207752.77</v>
      </c>
      <c r="J64" s="212">
        <f t="shared" si="3"/>
        <v>163568.11862917</v>
      </c>
      <c r="K64" s="106" t="s">
        <v>1201</v>
      </c>
      <c r="L64" s="106" t="s">
        <v>1202</v>
      </c>
      <c r="M64" s="4" t="s">
        <v>1203</v>
      </c>
      <c r="N64" s="106" t="s">
        <v>387</v>
      </c>
      <c r="O64" s="146" t="str">
        <f>_xlfn.XLOOKUP(N64,costcategory[Account Code],costcategory[Cost Category],"ERROR")</f>
        <v>Headcount Costs</v>
      </c>
      <c r="P64" s="4" t="s">
        <v>350</v>
      </c>
      <c r="Q64" s="147" t="str">
        <f>_xlfn.XLOOKUP(P64,Table2[Department],Table2[Group],"ERROR")</f>
        <v>General &amp; Administrative</v>
      </c>
      <c r="R64" s="138" t="s">
        <v>675</v>
      </c>
      <c r="S64" s="138" t="s">
        <v>1204</v>
      </c>
      <c r="T64" s="138" t="s">
        <v>458</v>
      </c>
      <c r="U64" s="2" t="s">
        <v>1086</v>
      </c>
      <c r="V64" s="138" t="s">
        <v>113</v>
      </c>
    </row>
    <row r="65" spans="1:22" x14ac:dyDescent="0.2">
      <c r="F65" s="2" t="s">
        <v>77</v>
      </c>
      <c r="G65" s="212"/>
      <c r="H65" s="212"/>
      <c r="I65" s="212">
        <f>SUM(I6:I64)</f>
        <v>65777.799999999959</v>
      </c>
      <c r="J65" s="212"/>
      <c r="K65" s="106"/>
      <c r="L65" s="106"/>
      <c r="N65" s="106"/>
      <c r="O65" s="106"/>
      <c r="R65" s="138"/>
      <c r="S65" s="138"/>
      <c r="T65" s="138"/>
      <c r="V65" s="138"/>
    </row>
    <row r="66" spans="1:22" s="110" customFormat="1" ht="12.95" customHeight="1" x14ac:dyDescent="0.2">
      <c r="A66" s="329" t="s">
        <v>1173</v>
      </c>
      <c r="B66" s="329"/>
      <c r="C66" s="329"/>
      <c r="D66" s="329"/>
      <c r="E66" s="14">
        <v>46053</v>
      </c>
      <c r="F66" s="13" t="s">
        <v>77</v>
      </c>
      <c r="G66" s="221"/>
      <c r="H66" s="221"/>
      <c r="I66" s="221">
        <f>I5-I65</f>
        <v>107296.56000000003</v>
      </c>
      <c r="J66" s="208"/>
      <c r="K66" s="140"/>
      <c r="L66" s="140"/>
      <c r="M66" s="140"/>
      <c r="N66" s="140"/>
      <c r="O66" s="140"/>
      <c r="P66" s="140"/>
      <c r="Q66" s="140"/>
      <c r="R66" s="13"/>
      <c r="S66" s="13"/>
      <c r="T66" s="13"/>
      <c r="U66" s="13"/>
      <c r="V66" s="13"/>
    </row>
    <row r="67" spans="1:22" ht="12.95" customHeight="1" x14ac:dyDescent="0.2"/>
    <row r="68" spans="1:22" ht="12.95" customHeight="1" x14ac:dyDescent="0.2">
      <c r="A68" s="10"/>
      <c r="B68" s="10"/>
      <c r="C68" s="11"/>
      <c r="D68" s="11"/>
      <c r="E68" s="11"/>
      <c r="F68" s="10"/>
      <c r="G68" s="222"/>
      <c r="H68" s="222"/>
      <c r="I68" s="222"/>
      <c r="J68" s="263">
        <f>FOREX!C2</f>
        <v>0.78732100000000005</v>
      </c>
      <c r="K68" s="182"/>
      <c r="L68" s="182"/>
      <c r="M68" s="181"/>
      <c r="N68" s="181"/>
      <c r="O68" s="181"/>
      <c r="P68" s="181"/>
      <c r="Q68" s="181"/>
      <c r="R68" s="10"/>
      <c r="S68" s="10"/>
      <c r="T68" s="10"/>
      <c r="U68" s="10"/>
      <c r="V68" s="10"/>
    </row>
    <row r="69" spans="1:22" ht="12.95" customHeight="1" x14ac:dyDescent="0.2">
      <c r="A69" s="7" t="s">
        <v>87</v>
      </c>
      <c r="B69" s="7" t="s">
        <v>43</v>
      </c>
      <c r="C69" s="8" t="s">
        <v>54</v>
      </c>
      <c r="D69" s="8" t="s">
        <v>88</v>
      </c>
      <c r="E69" s="185" t="s">
        <v>1083</v>
      </c>
      <c r="F69" s="7" t="s">
        <v>70</v>
      </c>
      <c r="G69" s="201" t="s">
        <v>90</v>
      </c>
      <c r="H69" s="201" t="s">
        <v>91</v>
      </c>
      <c r="I69" s="201" t="s">
        <v>92</v>
      </c>
      <c r="J69" s="201" t="s">
        <v>72</v>
      </c>
      <c r="K69" s="132" t="s">
        <v>325</v>
      </c>
      <c r="L69" s="132" t="s">
        <v>94</v>
      </c>
      <c r="M69" s="7" t="s">
        <v>95</v>
      </c>
      <c r="N69" s="7" t="s">
        <v>53</v>
      </c>
      <c r="O69" s="7" t="s">
        <v>64</v>
      </c>
      <c r="P69" s="7" t="s">
        <v>67</v>
      </c>
      <c r="Q69" s="7" t="s">
        <v>44</v>
      </c>
      <c r="R69" s="7" t="s">
        <v>326</v>
      </c>
      <c r="S69" s="7" t="s">
        <v>327</v>
      </c>
      <c r="T69" s="7" t="s">
        <v>328</v>
      </c>
      <c r="U69" s="7" t="s">
        <v>98</v>
      </c>
      <c r="V69" s="7" t="s">
        <v>329</v>
      </c>
    </row>
    <row r="70" spans="1:22" s="180" customFormat="1" ht="12.95" customHeight="1" x14ac:dyDescent="0.2">
      <c r="A70" s="329" t="s">
        <v>1172</v>
      </c>
      <c r="B70" s="329"/>
      <c r="C70" s="329"/>
      <c r="D70" s="329"/>
      <c r="E70" s="14">
        <v>46054</v>
      </c>
      <c r="F70" s="13" t="s">
        <v>77</v>
      </c>
      <c r="G70" s="211"/>
      <c r="H70" s="211"/>
      <c r="I70" s="211">
        <f>I66</f>
        <v>107296.56000000003</v>
      </c>
      <c r="J70" s="211"/>
      <c r="K70" s="179"/>
      <c r="L70" s="179"/>
      <c r="M70" s="96"/>
      <c r="N70" s="96"/>
      <c r="O70" s="96"/>
      <c r="P70" s="96"/>
      <c r="Q70" s="96"/>
      <c r="R70" s="13"/>
      <c r="S70" s="13"/>
      <c r="T70" s="13"/>
      <c r="U70" s="13"/>
      <c r="V70" s="13"/>
    </row>
    <row r="71" spans="1:22" ht="12.95" customHeight="1" x14ac:dyDescent="0.2">
      <c r="A71" s="2" t="s">
        <v>15</v>
      </c>
      <c r="B71" s="2" t="s">
        <v>1</v>
      </c>
      <c r="C71" s="3">
        <v>46056</v>
      </c>
      <c r="D71" s="3">
        <v>46056</v>
      </c>
      <c r="E71" s="3">
        <v>46056</v>
      </c>
      <c r="F71" s="2" t="s">
        <v>77</v>
      </c>
      <c r="G71" s="212">
        <v>10</v>
      </c>
      <c r="H71" s="212">
        <v>0</v>
      </c>
      <c r="I71" s="212">
        <f>SUM(G71:H71)</f>
        <v>10</v>
      </c>
      <c r="J71" s="220">
        <f t="shared" ref="J71:J114" si="5">I71*$J$68</f>
        <v>7.8732100000000003</v>
      </c>
      <c r="K71" s="106" t="s">
        <v>670</v>
      </c>
      <c r="L71" s="106" t="s">
        <v>1205</v>
      </c>
      <c r="M71" s="4" t="s">
        <v>332</v>
      </c>
      <c r="N71" s="106" t="s">
        <v>332</v>
      </c>
      <c r="O71" s="146" t="str">
        <f>_xlfn.XLOOKUP(N71,costcategory[Account Code],costcategory[Cost Category],"ERROR")</f>
        <v>Bank Charges</v>
      </c>
      <c r="P71" s="4" t="s">
        <v>333</v>
      </c>
      <c r="Q71" s="147" t="str">
        <f>_xlfn.XLOOKUP(P71,Table2[Department],Table2[Group],"ERROR")</f>
        <v>General &amp; Administrative</v>
      </c>
      <c r="R71" s="138" t="s">
        <v>451</v>
      </c>
      <c r="S71" s="138" t="s">
        <v>452</v>
      </c>
      <c r="T71" s="138" t="s">
        <v>452</v>
      </c>
      <c r="V71" s="138" t="s">
        <v>113</v>
      </c>
    </row>
    <row r="72" spans="1:22" ht="12.95" customHeight="1" x14ac:dyDescent="0.2">
      <c r="A72" s="2" t="s">
        <v>15</v>
      </c>
      <c r="B72" s="2" t="s">
        <v>1</v>
      </c>
      <c r="C72" s="3">
        <v>46058</v>
      </c>
      <c r="D72" s="3">
        <v>46058</v>
      </c>
      <c r="E72" s="3">
        <v>46058</v>
      </c>
      <c r="F72" s="2" t="s">
        <v>77</v>
      </c>
      <c r="G72" s="212">
        <v>30202.5</v>
      </c>
      <c r="H72" s="212">
        <v>0</v>
      </c>
      <c r="I72" s="212">
        <f>SUM(G72:H72)</f>
        <v>30202.5</v>
      </c>
      <c r="J72" s="220">
        <f t="shared" si="5"/>
        <v>23779.062502500001</v>
      </c>
      <c r="K72" s="106" t="s">
        <v>672</v>
      </c>
      <c r="L72" s="106" t="s">
        <v>741</v>
      </c>
      <c r="M72" s="4" t="s">
        <v>742</v>
      </c>
      <c r="N72" s="106" t="s">
        <v>387</v>
      </c>
      <c r="O72" s="146" t="str">
        <f>_xlfn.XLOOKUP(N72,costcategory[Account Code],costcategory[Cost Category],"ERROR")</f>
        <v>Headcount Costs</v>
      </c>
      <c r="P72" s="4" t="s">
        <v>350</v>
      </c>
      <c r="Q72" s="147" t="str">
        <f>_xlfn.XLOOKUP(P72,Table2[Department],Table2[Group],"ERROR")</f>
        <v>General &amp; Administrative</v>
      </c>
      <c r="R72" s="138"/>
      <c r="S72" s="138"/>
      <c r="T72" s="138"/>
      <c r="V72" s="138" t="s">
        <v>113</v>
      </c>
    </row>
    <row r="73" spans="1:22" ht="12.95" customHeight="1" x14ac:dyDescent="0.2">
      <c r="A73" s="2" t="s">
        <v>15</v>
      </c>
      <c r="B73" s="2" t="s">
        <v>1</v>
      </c>
      <c r="C73" s="3">
        <v>46058</v>
      </c>
      <c r="D73" s="3">
        <v>46058</v>
      </c>
      <c r="E73" s="3">
        <v>46062</v>
      </c>
      <c r="F73" s="2" t="s">
        <v>77</v>
      </c>
      <c r="G73" s="212">
        <v>1074.7</v>
      </c>
      <c r="H73" s="212">
        <v>96.72</v>
      </c>
      <c r="I73" s="212">
        <f t="shared" ref="I73:I114" si="6">SUM(G73:H73)</f>
        <v>1171.42</v>
      </c>
      <c r="J73" s="220">
        <f t="shared" si="5"/>
        <v>922.28356582000015</v>
      </c>
      <c r="K73" s="106" t="s">
        <v>1206</v>
      </c>
      <c r="L73" s="106" t="s">
        <v>743</v>
      </c>
      <c r="M73" s="4" t="s">
        <v>1207</v>
      </c>
      <c r="N73" s="106" t="s">
        <v>390</v>
      </c>
      <c r="O73" s="146" t="str">
        <f>_xlfn.XLOOKUP(N73,costcategory[Account Code],costcategory[Cost Category],"ERROR")</f>
        <v>Employee Benefits</v>
      </c>
      <c r="P73" s="4" t="s">
        <v>523</v>
      </c>
      <c r="Q73" s="147" t="str">
        <f>_xlfn.XLOOKUP(P73,Table2[Department],Table2[Group],"ERROR")</f>
        <v>General &amp; Administrative</v>
      </c>
      <c r="R73" s="138" t="s">
        <v>459</v>
      </c>
      <c r="S73" s="138" t="s">
        <v>676</v>
      </c>
      <c r="T73" s="138"/>
      <c r="V73" s="138" t="s">
        <v>104</v>
      </c>
    </row>
    <row r="74" spans="1:22" ht="12.95" customHeight="1" x14ac:dyDescent="0.2">
      <c r="A74" s="2" t="s">
        <v>15</v>
      </c>
      <c r="B74" s="2" t="s">
        <v>1</v>
      </c>
      <c r="C74" s="3">
        <v>46066</v>
      </c>
      <c r="D74" s="3">
        <v>46066</v>
      </c>
      <c r="E74" s="3">
        <v>46066</v>
      </c>
      <c r="F74" s="2" t="s">
        <v>77</v>
      </c>
      <c r="G74" s="198">
        <v>11.56</v>
      </c>
      <c r="H74" s="198">
        <v>1.04</v>
      </c>
      <c r="I74" s="223">
        <f t="shared" ref="I74:I100" si="7">SUM(G74:H74)</f>
        <v>12.600000000000001</v>
      </c>
      <c r="J74" s="220">
        <f t="shared" si="5"/>
        <v>9.920244600000002</v>
      </c>
      <c r="K74" s="106" t="s">
        <v>525</v>
      </c>
      <c r="L74" s="4" t="s">
        <v>525</v>
      </c>
      <c r="M74" s="4" t="s">
        <v>474</v>
      </c>
      <c r="N74" s="106" t="s">
        <v>475</v>
      </c>
      <c r="O74" s="146" t="str">
        <f>_xlfn.XLOOKUP(N74,costcategory[Account Code],costcategory[Cost Category],"ERROR")</f>
        <v>Travelling Expenses</v>
      </c>
      <c r="P74" s="4" t="s">
        <v>523</v>
      </c>
      <c r="Q74" s="147" t="str">
        <f>_xlfn.XLOOKUP(P74,Table2[Department],Table2[Group],"ERROR")</f>
        <v>General &amp; Administrative</v>
      </c>
      <c r="V74" s="138" t="s">
        <v>104</v>
      </c>
    </row>
    <row r="75" spans="1:22" ht="12.95" customHeight="1" x14ac:dyDescent="0.2">
      <c r="A75" s="2" t="s">
        <v>15</v>
      </c>
      <c r="B75" s="2" t="s">
        <v>1</v>
      </c>
      <c r="C75" s="3">
        <v>46066</v>
      </c>
      <c r="D75" s="3">
        <v>46066</v>
      </c>
      <c r="E75" s="3">
        <v>46066</v>
      </c>
      <c r="F75" s="2" t="s">
        <v>77</v>
      </c>
      <c r="G75" s="212">
        <v>2903.11</v>
      </c>
      <c r="H75" s="212">
        <v>96.89</v>
      </c>
      <c r="I75" s="224">
        <f t="shared" si="7"/>
        <v>3000</v>
      </c>
      <c r="J75" s="220">
        <f t="shared" si="5"/>
        <v>2361.9630000000002</v>
      </c>
      <c r="K75" s="106" t="s">
        <v>525</v>
      </c>
      <c r="L75" s="144" t="s">
        <v>525</v>
      </c>
      <c r="M75" s="4" t="s">
        <v>476</v>
      </c>
      <c r="N75" s="106" t="s">
        <v>339</v>
      </c>
      <c r="O75" s="146" t="str">
        <f>_xlfn.XLOOKUP(N75,costcategory[Account Code],costcategory[Cost Category],"ERROR")</f>
        <v>Travelling Expenses</v>
      </c>
      <c r="P75" s="4" t="s">
        <v>438</v>
      </c>
      <c r="Q75" s="147" t="str">
        <f>_xlfn.XLOOKUP(P75,Table2[Department],Table2[Group],"ERROR")</f>
        <v>Sales &amp; Marketing</v>
      </c>
      <c r="R75" s="138"/>
      <c r="S75" s="138"/>
      <c r="T75" s="138"/>
      <c r="V75" s="138" t="s">
        <v>104</v>
      </c>
    </row>
    <row r="76" spans="1:22" ht="12.95" customHeight="1" x14ac:dyDescent="0.2">
      <c r="A76" s="2" t="s">
        <v>15</v>
      </c>
      <c r="B76" s="2" t="s">
        <v>1</v>
      </c>
      <c r="C76" s="3">
        <v>46066</v>
      </c>
      <c r="D76" s="3">
        <v>46066</v>
      </c>
      <c r="E76" s="3">
        <v>46066</v>
      </c>
      <c r="F76" s="2" t="s">
        <v>77</v>
      </c>
      <c r="G76" s="212">
        <v>153.63999999999999</v>
      </c>
      <c r="H76" s="212">
        <v>0</v>
      </c>
      <c r="I76" s="224">
        <f t="shared" si="7"/>
        <v>153.63999999999999</v>
      </c>
      <c r="J76" s="220">
        <f t="shared" si="5"/>
        <v>120.96399844</v>
      </c>
      <c r="K76" s="106" t="s">
        <v>525</v>
      </c>
      <c r="L76" s="144" t="s">
        <v>525</v>
      </c>
      <c r="M76" s="4" t="s">
        <v>744</v>
      </c>
      <c r="N76" s="106" t="s">
        <v>464</v>
      </c>
      <c r="O76" s="146" t="str">
        <f>_xlfn.XLOOKUP(N76,costcategory[Account Code],costcategory[Cost Category],"ERROR")</f>
        <v>Accrual - Expenses of 2025</v>
      </c>
      <c r="P76" s="4" t="s">
        <v>56</v>
      </c>
      <c r="Q76" s="147" t="str">
        <f>_xlfn.XLOOKUP(P76,Table2[Department],Table2[Group],"ERROR")</f>
        <v>Research &amp; Development</v>
      </c>
      <c r="R76" s="138"/>
      <c r="S76" s="138"/>
      <c r="T76" s="138"/>
      <c r="U76" s="2" t="s">
        <v>745</v>
      </c>
      <c r="V76" s="138" t="s">
        <v>113</v>
      </c>
    </row>
    <row r="77" spans="1:22" ht="12.95" customHeight="1" x14ac:dyDescent="0.2">
      <c r="A77" s="2" t="s">
        <v>15</v>
      </c>
      <c r="B77" s="2" t="s">
        <v>1</v>
      </c>
      <c r="C77" s="3">
        <v>46066</v>
      </c>
      <c r="D77" s="3">
        <v>46066</v>
      </c>
      <c r="E77" s="3">
        <v>46066</v>
      </c>
      <c r="F77" s="2" t="s">
        <v>77</v>
      </c>
      <c r="G77" s="212">
        <v>454.48</v>
      </c>
      <c r="H77" s="212">
        <v>25.09</v>
      </c>
      <c r="I77" s="224">
        <f t="shared" si="7"/>
        <v>479.57</v>
      </c>
      <c r="J77" s="220">
        <f t="shared" si="5"/>
        <v>377.57553197000004</v>
      </c>
      <c r="K77" s="106" t="s">
        <v>525</v>
      </c>
      <c r="L77" s="144" t="s">
        <v>525</v>
      </c>
      <c r="M77" s="4" t="s">
        <v>389</v>
      </c>
      <c r="N77" s="106" t="s">
        <v>684</v>
      </c>
      <c r="O77" s="146" t="str">
        <f>_xlfn.XLOOKUP(N77,costcategory[Account Code],costcategory[Cost Category],"ERROR")</f>
        <v>Sales Expenses</v>
      </c>
      <c r="P77" s="4" t="s">
        <v>523</v>
      </c>
      <c r="Q77" s="147" t="str">
        <f>_xlfn.XLOOKUP(P77,Table2[Department],Table2[Group],"ERROR")</f>
        <v>General &amp; Administrative</v>
      </c>
      <c r="R77" s="138"/>
      <c r="S77" s="138"/>
      <c r="T77" s="138"/>
      <c r="V77" s="138" t="s">
        <v>104</v>
      </c>
    </row>
    <row r="78" spans="1:22" ht="12.95" customHeight="1" x14ac:dyDescent="0.2">
      <c r="A78" s="2" t="s">
        <v>15</v>
      </c>
      <c r="B78" s="2" t="s">
        <v>1</v>
      </c>
      <c r="C78" s="3">
        <v>46066</v>
      </c>
      <c r="D78" s="3">
        <v>46066</v>
      </c>
      <c r="E78" s="3">
        <v>46066</v>
      </c>
      <c r="F78" s="2" t="s">
        <v>77</v>
      </c>
      <c r="G78" s="212">
        <v>184.82</v>
      </c>
      <c r="H78" s="212">
        <v>16.63</v>
      </c>
      <c r="I78" s="224">
        <f t="shared" si="7"/>
        <v>201.45</v>
      </c>
      <c r="J78" s="220">
        <f t="shared" si="5"/>
        <v>158.60581544999999</v>
      </c>
      <c r="K78" s="106" t="s">
        <v>525</v>
      </c>
      <c r="L78" s="144" t="s">
        <v>525</v>
      </c>
      <c r="M78" s="144" t="s">
        <v>526</v>
      </c>
      <c r="N78" s="106" t="s">
        <v>527</v>
      </c>
      <c r="O78" s="146" t="str">
        <f>_xlfn.XLOOKUP(N78,costcategory[Account Code],costcategory[Cost Category],"ERROR")</f>
        <v>Sales Expenses</v>
      </c>
      <c r="P78" s="4" t="s">
        <v>438</v>
      </c>
      <c r="Q78" s="147" t="str">
        <f>_xlfn.XLOOKUP(P78,Table2[Department],Table2[Group],"ERROR")</f>
        <v>Sales &amp; Marketing</v>
      </c>
      <c r="R78" s="138"/>
      <c r="S78" s="138"/>
      <c r="T78" s="138"/>
      <c r="V78" s="138" t="s">
        <v>104</v>
      </c>
    </row>
    <row r="79" spans="1:22" ht="12.95" customHeight="1" x14ac:dyDescent="0.2">
      <c r="A79" s="2" t="s">
        <v>15</v>
      </c>
      <c r="B79" s="2" t="s">
        <v>1</v>
      </c>
      <c r="C79" s="3">
        <v>46066</v>
      </c>
      <c r="D79" s="3">
        <v>46066</v>
      </c>
      <c r="E79" s="3">
        <v>46066</v>
      </c>
      <c r="F79" s="2" t="s">
        <v>77</v>
      </c>
      <c r="G79" s="212">
        <v>4526.32</v>
      </c>
      <c r="H79" s="212">
        <v>107.39</v>
      </c>
      <c r="I79" s="224">
        <f t="shared" si="7"/>
        <v>4633.71</v>
      </c>
      <c r="J79" s="220">
        <f t="shared" si="5"/>
        <v>3648.2171909100002</v>
      </c>
      <c r="K79" s="106" t="s">
        <v>525</v>
      </c>
      <c r="L79" s="144" t="s">
        <v>525</v>
      </c>
      <c r="M79" s="144" t="s">
        <v>526</v>
      </c>
      <c r="N79" s="106" t="s">
        <v>527</v>
      </c>
      <c r="O79" s="146" t="str">
        <f>_xlfn.XLOOKUP(N79,costcategory[Account Code],costcategory[Cost Category],"ERROR")</f>
        <v>Sales Expenses</v>
      </c>
      <c r="P79" s="4" t="s">
        <v>523</v>
      </c>
      <c r="Q79" s="147" t="str">
        <f>_xlfn.XLOOKUP(P79,Table2[Department],Table2[Group],"ERROR")</f>
        <v>General &amp; Administrative</v>
      </c>
      <c r="R79" s="138"/>
      <c r="S79" s="138"/>
      <c r="T79" s="138"/>
      <c r="V79" s="138" t="s">
        <v>104</v>
      </c>
    </row>
    <row r="80" spans="1:22" ht="12.95" customHeight="1" x14ac:dyDescent="0.2">
      <c r="A80" s="2" t="s">
        <v>15</v>
      </c>
      <c r="B80" s="2" t="s">
        <v>1</v>
      </c>
      <c r="C80" s="3">
        <v>46066</v>
      </c>
      <c r="D80" s="3">
        <v>46066</v>
      </c>
      <c r="E80" s="3">
        <v>46066</v>
      </c>
      <c r="F80" s="2" t="s">
        <v>77</v>
      </c>
      <c r="G80" s="212">
        <v>260</v>
      </c>
      <c r="H80" s="212">
        <v>0</v>
      </c>
      <c r="I80" s="224">
        <f t="shared" si="7"/>
        <v>260</v>
      </c>
      <c r="J80" s="220">
        <f t="shared" si="5"/>
        <v>204.70346000000001</v>
      </c>
      <c r="K80" s="106" t="s">
        <v>525</v>
      </c>
      <c r="L80" s="144" t="s">
        <v>525</v>
      </c>
      <c r="M80" s="4" t="s">
        <v>345</v>
      </c>
      <c r="N80" s="106" t="s">
        <v>393</v>
      </c>
      <c r="O80" s="146" t="str">
        <f>_xlfn.XLOOKUP(N80,costcategory[Account Code],costcategory[Cost Category],"ERROR")</f>
        <v>Employee Benefits</v>
      </c>
      <c r="P80" s="4" t="s">
        <v>523</v>
      </c>
      <c r="Q80" s="147" t="str">
        <f>_xlfn.XLOOKUP(P80,Table2[Department],Table2[Group],"ERROR")</f>
        <v>General &amp; Administrative</v>
      </c>
      <c r="R80" s="138"/>
      <c r="S80" s="138"/>
      <c r="T80" s="138"/>
      <c r="V80" s="138" t="s">
        <v>113</v>
      </c>
    </row>
    <row r="81" spans="1:22" ht="12.95" customHeight="1" x14ac:dyDescent="0.2">
      <c r="A81" s="2" t="s">
        <v>15</v>
      </c>
      <c r="B81" s="2" t="s">
        <v>1</v>
      </c>
      <c r="C81" s="3">
        <v>46066</v>
      </c>
      <c r="D81" s="3">
        <v>46066</v>
      </c>
      <c r="E81" s="3">
        <v>46066</v>
      </c>
      <c r="F81" s="2" t="s">
        <v>77</v>
      </c>
      <c r="G81" s="212">
        <v>17.059999999999999</v>
      </c>
      <c r="H81" s="212">
        <v>1.54</v>
      </c>
      <c r="I81" s="224">
        <f t="shared" si="7"/>
        <v>18.599999999999998</v>
      </c>
      <c r="J81" s="220">
        <f t="shared" si="5"/>
        <v>14.644170599999999</v>
      </c>
      <c r="K81" s="106" t="s">
        <v>525</v>
      </c>
      <c r="L81" s="144" t="s">
        <v>525</v>
      </c>
      <c r="M81" s="4" t="s">
        <v>687</v>
      </c>
      <c r="N81" s="106" t="s">
        <v>688</v>
      </c>
      <c r="O81" s="146" t="str">
        <f>_xlfn.XLOOKUP(N81,costcategory[Account Code],costcategory[Cost Category],"ERROR")</f>
        <v>Sales Expenses</v>
      </c>
      <c r="P81" s="4" t="s">
        <v>523</v>
      </c>
      <c r="Q81" s="147" t="str">
        <f>_xlfn.XLOOKUP(P81,Table2[Department],Table2[Group],"ERROR")</f>
        <v>General &amp; Administrative</v>
      </c>
      <c r="R81" s="138"/>
      <c r="S81" s="138"/>
      <c r="T81" s="138"/>
      <c r="V81" s="138" t="s">
        <v>104</v>
      </c>
    </row>
    <row r="82" spans="1:22" ht="12.95" customHeight="1" x14ac:dyDescent="0.2">
      <c r="A82" s="2" t="s">
        <v>15</v>
      </c>
      <c r="B82" s="2" t="s">
        <v>1</v>
      </c>
      <c r="C82" s="3">
        <v>46066</v>
      </c>
      <c r="D82" s="3">
        <v>46066</v>
      </c>
      <c r="E82" s="3">
        <v>46066</v>
      </c>
      <c r="F82" s="2" t="s">
        <v>77</v>
      </c>
      <c r="G82" s="212">
        <v>28</v>
      </c>
      <c r="H82" s="212">
        <v>0</v>
      </c>
      <c r="I82" s="224">
        <f t="shared" si="7"/>
        <v>28</v>
      </c>
      <c r="J82" s="220">
        <f t="shared" si="5"/>
        <v>22.044988</v>
      </c>
      <c r="K82" s="106" t="s">
        <v>525</v>
      </c>
      <c r="L82" s="144" t="s">
        <v>525</v>
      </c>
      <c r="M82" s="4" t="s">
        <v>348</v>
      </c>
      <c r="N82" s="106" t="s">
        <v>349</v>
      </c>
      <c r="O82" s="146" t="str">
        <f>_xlfn.XLOOKUP(N82,costcategory[Account Code],costcategory[Cost Category],"ERROR")</f>
        <v>Employee Benefits</v>
      </c>
      <c r="P82" s="4" t="s">
        <v>59</v>
      </c>
      <c r="Q82" s="147" t="str">
        <f>_xlfn.XLOOKUP(P82,Table2[Department],Table2[Group],"ERROR")</f>
        <v>Research &amp; Development</v>
      </c>
      <c r="R82" s="138"/>
      <c r="S82" s="138"/>
      <c r="T82" s="138"/>
      <c r="V82" s="138" t="s">
        <v>113</v>
      </c>
    </row>
    <row r="83" spans="1:22" ht="12.95" customHeight="1" x14ac:dyDescent="0.2">
      <c r="A83" s="2" t="s">
        <v>15</v>
      </c>
      <c r="B83" s="2" t="s">
        <v>1</v>
      </c>
      <c r="C83" s="3">
        <v>46066</v>
      </c>
      <c r="D83" s="3">
        <v>46066</v>
      </c>
      <c r="E83" s="3">
        <v>46066</v>
      </c>
      <c r="F83" s="2" t="s">
        <v>77</v>
      </c>
      <c r="G83" s="212">
        <v>160.87</v>
      </c>
      <c r="H83" s="212">
        <v>11.64</v>
      </c>
      <c r="I83" s="224">
        <f t="shared" si="7"/>
        <v>172.51</v>
      </c>
      <c r="J83" s="220">
        <f t="shared" si="5"/>
        <v>135.82074571000001</v>
      </c>
      <c r="K83" s="106" t="s">
        <v>525</v>
      </c>
      <c r="L83" s="144" t="s">
        <v>525</v>
      </c>
      <c r="M83" s="4" t="s">
        <v>351</v>
      </c>
      <c r="N83" s="106" t="s">
        <v>50</v>
      </c>
      <c r="O83" s="146" t="str">
        <f>_xlfn.XLOOKUP(N83,costcategory[Account Code],costcategory[Cost Category],"ERROR")</f>
        <v>Office Supplies</v>
      </c>
      <c r="P83" s="4" t="s">
        <v>340</v>
      </c>
      <c r="Q83" s="147" t="str">
        <f>_xlfn.XLOOKUP(P83,Table2[Department],Table2[Group],"ERROR")</f>
        <v>General &amp; Administrative</v>
      </c>
      <c r="R83" s="138"/>
      <c r="S83" s="138"/>
      <c r="T83" s="138"/>
      <c r="V83" s="138" t="s">
        <v>104</v>
      </c>
    </row>
    <row r="84" spans="1:22" ht="12.95" customHeight="1" x14ac:dyDescent="0.2">
      <c r="A84" s="2" t="s">
        <v>15</v>
      </c>
      <c r="B84" s="2" t="s">
        <v>1</v>
      </c>
      <c r="C84" s="3">
        <v>46066</v>
      </c>
      <c r="D84" s="3">
        <v>46066</v>
      </c>
      <c r="E84" s="3">
        <v>46066</v>
      </c>
      <c r="F84" s="2" t="s">
        <v>77</v>
      </c>
      <c r="G84" s="212">
        <f>290.46-23.84</f>
        <v>266.62</v>
      </c>
      <c r="H84" s="212">
        <v>23.99</v>
      </c>
      <c r="I84" s="224">
        <f t="shared" si="7"/>
        <v>290.61</v>
      </c>
      <c r="J84" s="220">
        <f t="shared" si="5"/>
        <v>228.80335581000003</v>
      </c>
      <c r="K84" s="106" t="s">
        <v>525</v>
      </c>
      <c r="L84" s="144" t="s">
        <v>525</v>
      </c>
      <c r="M84" s="4" t="s">
        <v>352</v>
      </c>
      <c r="N84" s="106" t="s">
        <v>391</v>
      </c>
      <c r="O84" s="146" t="str">
        <f>_xlfn.XLOOKUP(N84,costcategory[Account Code],costcategory[Cost Category],"ERROR")</f>
        <v>Travelling Expenses</v>
      </c>
      <c r="P84" s="4" t="s">
        <v>59</v>
      </c>
      <c r="Q84" s="147" t="str">
        <f>_xlfn.XLOOKUP(P84,Table2[Department],Table2[Group],"ERROR")</f>
        <v>Research &amp; Development</v>
      </c>
      <c r="R84" s="138"/>
      <c r="S84" s="138"/>
      <c r="T84" s="138"/>
      <c r="V84" s="138" t="s">
        <v>104</v>
      </c>
    </row>
    <row r="85" spans="1:22" ht="12.95" customHeight="1" x14ac:dyDescent="0.2">
      <c r="A85" s="2" t="s">
        <v>15</v>
      </c>
      <c r="B85" s="2" t="s">
        <v>1</v>
      </c>
      <c r="C85" s="3">
        <v>46066</v>
      </c>
      <c r="D85" s="3">
        <v>46066</v>
      </c>
      <c r="E85" s="3">
        <v>46066</v>
      </c>
      <c r="F85" s="2" t="s">
        <v>77</v>
      </c>
      <c r="G85" s="212">
        <v>23.84</v>
      </c>
      <c r="H85" s="212">
        <v>0</v>
      </c>
      <c r="I85" s="224">
        <f t="shared" si="7"/>
        <v>23.84</v>
      </c>
      <c r="J85" s="220">
        <f t="shared" si="5"/>
        <v>18.769732640000001</v>
      </c>
      <c r="K85" s="106" t="s">
        <v>525</v>
      </c>
      <c r="L85" s="144" t="s">
        <v>525</v>
      </c>
      <c r="M85" s="4" t="s">
        <v>352</v>
      </c>
      <c r="N85" s="106" t="s">
        <v>391</v>
      </c>
      <c r="O85" s="146" t="str">
        <f>_xlfn.XLOOKUP(N85,costcategory[Account Code],costcategory[Cost Category],"ERROR")</f>
        <v>Travelling Expenses</v>
      </c>
      <c r="P85" s="4" t="s">
        <v>523</v>
      </c>
      <c r="Q85" s="147" t="str">
        <f>_xlfn.XLOOKUP(P85,Table2[Department],Table2[Group],"ERROR")</f>
        <v>General &amp; Administrative</v>
      </c>
      <c r="R85" s="138"/>
      <c r="S85" s="138"/>
      <c r="T85" s="138"/>
      <c r="V85" s="138" t="s">
        <v>113</v>
      </c>
    </row>
    <row r="86" spans="1:22" ht="12.95" customHeight="1" x14ac:dyDescent="0.2">
      <c r="A86" s="2" t="s">
        <v>15</v>
      </c>
      <c r="B86" s="2" t="s">
        <v>1</v>
      </c>
      <c r="C86" s="3">
        <v>46066</v>
      </c>
      <c r="D86" s="3">
        <v>46066</v>
      </c>
      <c r="E86" s="3">
        <v>46066</v>
      </c>
      <c r="F86" s="2" t="s">
        <v>77</v>
      </c>
      <c r="G86" s="212">
        <f>424.3-190.44</f>
        <v>233.86</v>
      </c>
      <c r="H86" s="212">
        <f>32.22-17.13</f>
        <v>15.09</v>
      </c>
      <c r="I86" s="224">
        <f t="shared" si="7"/>
        <v>248.95000000000002</v>
      </c>
      <c r="J86" s="220">
        <f t="shared" si="5"/>
        <v>196.00356295000003</v>
      </c>
      <c r="K86" s="106" t="s">
        <v>525</v>
      </c>
      <c r="L86" s="144" t="s">
        <v>525</v>
      </c>
      <c r="M86" s="4" t="s">
        <v>355</v>
      </c>
      <c r="N86" s="106" t="s">
        <v>402</v>
      </c>
      <c r="O86" s="146" t="str">
        <f>_xlfn.XLOOKUP(N86,costcategory[Account Code],costcategory[Cost Category],"ERROR")</f>
        <v>Travelling Expenses</v>
      </c>
      <c r="P86" s="4" t="s">
        <v>438</v>
      </c>
      <c r="Q86" s="147" t="str">
        <f>_xlfn.XLOOKUP(P86,Table2[Department],Table2[Group],"ERROR")</f>
        <v>Sales &amp; Marketing</v>
      </c>
      <c r="R86" s="138"/>
      <c r="S86" s="138"/>
      <c r="T86" s="138"/>
      <c r="V86" s="138" t="s">
        <v>104</v>
      </c>
    </row>
    <row r="87" spans="1:22" ht="12.95" customHeight="1" x14ac:dyDescent="0.2">
      <c r="A87" s="2" t="s">
        <v>15</v>
      </c>
      <c r="B87" s="2" t="s">
        <v>1</v>
      </c>
      <c r="C87" s="3">
        <v>46066</v>
      </c>
      <c r="D87" s="3">
        <v>46066</v>
      </c>
      <c r="E87" s="3">
        <v>46066</v>
      </c>
      <c r="F87" s="2" t="s">
        <v>77</v>
      </c>
      <c r="G87" s="212">
        <v>190.44</v>
      </c>
      <c r="H87" s="212">
        <v>17.13</v>
      </c>
      <c r="I87" s="224">
        <f t="shared" si="7"/>
        <v>207.57</v>
      </c>
      <c r="J87" s="220">
        <f t="shared" si="5"/>
        <v>163.42421997</v>
      </c>
      <c r="K87" s="106" t="s">
        <v>525</v>
      </c>
      <c r="L87" s="144" t="s">
        <v>525</v>
      </c>
      <c r="M87" s="4" t="s">
        <v>355</v>
      </c>
      <c r="N87" s="106" t="s">
        <v>402</v>
      </c>
      <c r="O87" s="146" t="str">
        <f>_xlfn.XLOOKUP(N87,costcategory[Account Code],costcategory[Cost Category],"ERROR")</f>
        <v>Travelling Expenses</v>
      </c>
      <c r="P87" s="4" t="s">
        <v>523</v>
      </c>
      <c r="Q87" s="147" t="str">
        <f>_xlfn.XLOOKUP(P87,Table2[Department],Table2[Group],"ERROR")</f>
        <v>General &amp; Administrative</v>
      </c>
      <c r="R87" s="138"/>
      <c r="S87" s="138"/>
      <c r="T87" s="138"/>
      <c r="V87" s="138" t="s">
        <v>104</v>
      </c>
    </row>
    <row r="88" spans="1:22" ht="12.95" customHeight="1" x14ac:dyDescent="0.2">
      <c r="A88" s="2" t="s">
        <v>15</v>
      </c>
      <c r="B88" s="2" t="s">
        <v>1</v>
      </c>
      <c r="C88" s="3">
        <v>46066</v>
      </c>
      <c r="D88" s="3">
        <v>46066</v>
      </c>
      <c r="E88" s="3">
        <v>46066</v>
      </c>
      <c r="F88" s="2" t="s">
        <v>77</v>
      </c>
      <c r="G88" s="212">
        <v>90</v>
      </c>
      <c r="H88" s="212">
        <v>0</v>
      </c>
      <c r="I88" s="224">
        <f t="shared" si="7"/>
        <v>90</v>
      </c>
      <c r="J88" s="220">
        <f t="shared" si="5"/>
        <v>70.858890000000002</v>
      </c>
      <c r="K88" s="106" t="s">
        <v>525</v>
      </c>
      <c r="L88" s="144" t="s">
        <v>525</v>
      </c>
      <c r="M88" s="4" t="s">
        <v>403</v>
      </c>
      <c r="N88" s="106" t="s">
        <v>367</v>
      </c>
      <c r="O88" s="146" t="str">
        <f>_xlfn.XLOOKUP(N88,costcategory[Account Code],costcategory[Cost Category],"ERROR")</f>
        <v>Professional &amp; Consultancy Fees</v>
      </c>
      <c r="P88" s="4" t="s">
        <v>350</v>
      </c>
      <c r="Q88" s="147" t="str">
        <f>_xlfn.XLOOKUP(P88,Table2[Department],Table2[Group],"ERROR")</f>
        <v>General &amp; Administrative</v>
      </c>
      <c r="R88" s="138"/>
      <c r="S88" s="138"/>
      <c r="T88" s="138"/>
      <c r="U88" s="2" t="s">
        <v>746</v>
      </c>
      <c r="V88" s="138" t="s">
        <v>113</v>
      </c>
    </row>
    <row r="89" spans="1:22" ht="12.95" customHeight="1" x14ac:dyDescent="0.2">
      <c r="A89" s="2" t="s">
        <v>15</v>
      </c>
      <c r="B89" s="2" t="s">
        <v>1</v>
      </c>
      <c r="C89" s="3">
        <v>46066</v>
      </c>
      <c r="D89" s="3">
        <v>46066</v>
      </c>
      <c r="E89" s="3">
        <v>46066</v>
      </c>
      <c r="F89" s="2" t="s">
        <v>77</v>
      </c>
      <c r="G89" s="212">
        <v>179.85</v>
      </c>
      <c r="H89" s="212">
        <v>0</v>
      </c>
      <c r="I89" s="224">
        <f t="shared" si="7"/>
        <v>179.85</v>
      </c>
      <c r="J89" s="220">
        <f t="shared" si="5"/>
        <v>141.59968185</v>
      </c>
      <c r="K89" s="106" t="s">
        <v>525</v>
      </c>
      <c r="L89" s="144" t="s">
        <v>525</v>
      </c>
      <c r="M89" s="4" t="s">
        <v>403</v>
      </c>
      <c r="N89" s="106" t="s">
        <v>747</v>
      </c>
      <c r="O89" s="146" t="str">
        <f>_xlfn.XLOOKUP(N89,costcategory[Account Code],costcategory[Cost Category],"ERROR")</f>
        <v>Intercompany</v>
      </c>
      <c r="P89" s="4" t="s">
        <v>340</v>
      </c>
      <c r="Q89" s="147" t="str">
        <f>_xlfn.XLOOKUP(P89,Table2[Department],Table2[Group],"ERROR")</f>
        <v>General &amp; Administrative</v>
      </c>
      <c r="R89" s="138"/>
      <c r="S89" s="138"/>
      <c r="T89" s="138"/>
      <c r="V89" s="138" t="s">
        <v>113</v>
      </c>
    </row>
    <row r="90" spans="1:22" ht="12.95" customHeight="1" x14ac:dyDescent="0.2">
      <c r="A90" s="2" t="s">
        <v>15</v>
      </c>
      <c r="B90" s="2" t="s">
        <v>1</v>
      </c>
      <c r="C90" s="3">
        <v>46066</v>
      </c>
      <c r="D90" s="3">
        <v>46066</v>
      </c>
      <c r="E90" s="3">
        <v>46066</v>
      </c>
      <c r="F90" s="2" t="s">
        <v>77</v>
      </c>
      <c r="G90" s="212">
        <v>87.16</v>
      </c>
      <c r="H90" s="212">
        <v>7.84</v>
      </c>
      <c r="I90" s="224">
        <f t="shared" si="7"/>
        <v>95</v>
      </c>
      <c r="J90" s="220">
        <f t="shared" si="5"/>
        <v>74.795495000000003</v>
      </c>
      <c r="K90" s="106" t="s">
        <v>525</v>
      </c>
      <c r="L90" s="144" t="s">
        <v>525</v>
      </c>
      <c r="M90" s="4" t="s">
        <v>748</v>
      </c>
      <c r="N90" s="106" t="s">
        <v>749</v>
      </c>
      <c r="O90" s="146" t="str">
        <f>_xlfn.XLOOKUP(N90,costcategory[Account Code],costcategory[Cost Category],"ERROR")</f>
        <v>Repair &amp; Maintenance</v>
      </c>
      <c r="P90" s="4" t="s">
        <v>340</v>
      </c>
      <c r="Q90" s="147" t="str">
        <f>_xlfn.XLOOKUP(P90,Table2[Department],Table2[Group],"ERROR")</f>
        <v>General &amp; Administrative</v>
      </c>
      <c r="R90" s="138"/>
      <c r="S90" s="138"/>
      <c r="T90" s="138"/>
      <c r="V90" s="138" t="s">
        <v>104</v>
      </c>
    </row>
    <row r="91" spans="1:22" ht="12.95" customHeight="1" x14ac:dyDescent="0.2">
      <c r="A91" s="2" t="s">
        <v>15</v>
      </c>
      <c r="B91" s="2" t="s">
        <v>1</v>
      </c>
      <c r="C91" s="3">
        <v>46066</v>
      </c>
      <c r="D91" s="3">
        <v>46066</v>
      </c>
      <c r="E91" s="3">
        <v>46066</v>
      </c>
      <c r="F91" s="2" t="s">
        <v>77</v>
      </c>
      <c r="G91" s="212">
        <v>468.2</v>
      </c>
      <c r="H91" s="212">
        <v>42.14</v>
      </c>
      <c r="I91" s="224">
        <f t="shared" si="7"/>
        <v>510.34</v>
      </c>
      <c r="J91" s="220">
        <f t="shared" si="5"/>
        <v>401.80139914</v>
      </c>
      <c r="K91" s="106" t="s">
        <v>525</v>
      </c>
      <c r="L91" s="144" t="s">
        <v>525</v>
      </c>
      <c r="M91" s="4" t="s">
        <v>416</v>
      </c>
      <c r="N91" s="106" t="s">
        <v>390</v>
      </c>
      <c r="O91" s="146" t="str">
        <f>_xlfn.XLOOKUP(N91,costcategory[Account Code],costcategory[Cost Category],"ERROR")</f>
        <v>Employee Benefits</v>
      </c>
      <c r="P91" s="4" t="s">
        <v>350</v>
      </c>
      <c r="Q91" s="147" t="str">
        <f>_xlfn.XLOOKUP(P91,Table2[Department],Table2[Group],"ERROR")</f>
        <v>General &amp; Administrative</v>
      </c>
      <c r="R91" s="138"/>
      <c r="S91" s="138"/>
      <c r="T91" s="138"/>
      <c r="V91" s="138" t="s">
        <v>104</v>
      </c>
    </row>
    <row r="92" spans="1:22" ht="12.95" customHeight="1" x14ac:dyDescent="0.2">
      <c r="A92" s="2" t="s">
        <v>15</v>
      </c>
      <c r="B92" s="2" t="s">
        <v>1</v>
      </c>
      <c r="C92" s="3">
        <v>46066</v>
      </c>
      <c r="D92" s="3">
        <v>46066</v>
      </c>
      <c r="E92" s="3">
        <v>46066</v>
      </c>
      <c r="F92" s="2" t="s">
        <v>77</v>
      </c>
      <c r="G92" s="212">
        <v>1931.66</v>
      </c>
      <c r="H92" s="212">
        <v>37.869999999999997</v>
      </c>
      <c r="I92" s="224">
        <f t="shared" si="7"/>
        <v>1969.53</v>
      </c>
      <c r="J92" s="220">
        <f t="shared" si="5"/>
        <v>1550.65232913</v>
      </c>
      <c r="K92" s="106" t="s">
        <v>525</v>
      </c>
      <c r="L92" s="144" t="s">
        <v>525</v>
      </c>
      <c r="M92" s="4" t="s">
        <v>416</v>
      </c>
      <c r="N92" s="106" t="s">
        <v>390</v>
      </c>
      <c r="O92" s="146" t="str">
        <f>_xlfn.XLOOKUP(N92,costcategory[Account Code],costcategory[Cost Category],"ERROR")</f>
        <v>Employee Benefits</v>
      </c>
      <c r="P92" s="4" t="s">
        <v>523</v>
      </c>
      <c r="Q92" s="147" t="str">
        <f>_xlfn.XLOOKUP(P92,Table2[Department],Table2[Group],"ERROR")</f>
        <v>General &amp; Administrative</v>
      </c>
      <c r="R92" s="138"/>
      <c r="S92" s="138"/>
      <c r="T92" s="138"/>
      <c r="V92" s="138" t="s">
        <v>104</v>
      </c>
    </row>
    <row r="93" spans="1:22" ht="12.95" customHeight="1" x14ac:dyDescent="0.2">
      <c r="A93" s="2" t="s">
        <v>15</v>
      </c>
      <c r="B93" s="2" t="s">
        <v>1</v>
      </c>
      <c r="C93" s="3">
        <v>46066</v>
      </c>
      <c r="D93" s="3">
        <v>46066</v>
      </c>
      <c r="E93" s="3">
        <v>46066</v>
      </c>
      <c r="F93" s="2" t="s">
        <v>77</v>
      </c>
      <c r="G93" s="212">
        <v>359.94</v>
      </c>
      <c r="H93" s="212">
        <v>0</v>
      </c>
      <c r="I93" s="224">
        <f t="shared" si="7"/>
        <v>359.94</v>
      </c>
      <c r="J93" s="220">
        <f t="shared" si="5"/>
        <v>283.38832074000004</v>
      </c>
      <c r="K93" s="106" t="s">
        <v>525</v>
      </c>
      <c r="L93" s="144" t="s">
        <v>525</v>
      </c>
      <c r="M93" s="4" t="s">
        <v>750</v>
      </c>
      <c r="N93" s="106" t="s">
        <v>751</v>
      </c>
      <c r="O93" s="146" t="str">
        <f>_xlfn.XLOOKUP(N93,costcategory[Account Code],costcategory[Cost Category],"ERROR")</f>
        <v>Employee Benefits</v>
      </c>
      <c r="P93" s="4" t="s">
        <v>376</v>
      </c>
      <c r="Q93" s="147" t="str">
        <f>_xlfn.XLOOKUP(P93,Table2[Department],Table2[Group],"ERROR")</f>
        <v>General &amp; Administrative</v>
      </c>
      <c r="R93" s="138"/>
      <c r="S93" s="138"/>
      <c r="T93" s="138"/>
      <c r="V93" s="138" t="s">
        <v>113</v>
      </c>
    </row>
    <row r="94" spans="1:22" ht="12.95" customHeight="1" x14ac:dyDescent="0.2">
      <c r="A94" s="2" t="s">
        <v>15</v>
      </c>
      <c r="B94" s="2" t="s">
        <v>1</v>
      </c>
      <c r="C94" s="3">
        <v>46066</v>
      </c>
      <c r="D94" s="3">
        <v>46066</v>
      </c>
      <c r="E94" s="3">
        <v>46066</v>
      </c>
      <c r="F94" s="2" t="s">
        <v>77</v>
      </c>
      <c r="G94" s="212">
        <v>9.17</v>
      </c>
      <c r="H94" s="212">
        <v>0.83</v>
      </c>
      <c r="I94" s="224">
        <f t="shared" si="7"/>
        <v>10</v>
      </c>
      <c r="J94" s="220">
        <f t="shared" si="5"/>
        <v>7.8732100000000003</v>
      </c>
      <c r="K94" s="106" t="s">
        <v>525</v>
      </c>
      <c r="L94" s="144" t="s">
        <v>525</v>
      </c>
      <c r="M94" s="4" t="s">
        <v>750</v>
      </c>
      <c r="N94" s="106" t="s">
        <v>751</v>
      </c>
      <c r="O94" s="146" t="str">
        <f>_xlfn.XLOOKUP(N94,costcategory[Account Code],costcategory[Cost Category],"ERROR")</f>
        <v>Employee Benefits</v>
      </c>
      <c r="P94" s="4" t="s">
        <v>354</v>
      </c>
      <c r="Q94" s="147" t="str">
        <f>_xlfn.XLOOKUP(P94,Table2[Department],Table2[Group],"ERROR")</f>
        <v>Sales &amp; Marketing</v>
      </c>
      <c r="R94" s="138"/>
      <c r="S94" s="138"/>
      <c r="T94" s="138"/>
      <c r="V94" s="138" t="s">
        <v>104</v>
      </c>
    </row>
    <row r="95" spans="1:22" ht="12.95" customHeight="1" x14ac:dyDescent="0.2">
      <c r="A95" s="2" t="s">
        <v>15</v>
      </c>
      <c r="B95" s="2" t="s">
        <v>1</v>
      </c>
      <c r="C95" s="3">
        <v>46066</v>
      </c>
      <c r="D95" s="3">
        <v>46066</v>
      </c>
      <c r="E95" s="3">
        <v>46066</v>
      </c>
      <c r="F95" s="2" t="s">
        <v>77</v>
      </c>
      <c r="G95" s="212">
        <v>131.55000000000001</v>
      </c>
      <c r="H95" s="212">
        <v>0</v>
      </c>
      <c r="I95" s="224">
        <f t="shared" si="7"/>
        <v>131.55000000000001</v>
      </c>
      <c r="J95" s="220">
        <f t="shared" si="5"/>
        <v>103.57207755000002</v>
      </c>
      <c r="K95" s="106" t="s">
        <v>525</v>
      </c>
      <c r="L95" s="144" t="s">
        <v>525</v>
      </c>
      <c r="M95" s="4" t="s">
        <v>358</v>
      </c>
      <c r="N95" s="106" t="s">
        <v>60</v>
      </c>
      <c r="O95" s="146" t="str">
        <f>_xlfn.XLOOKUP(N95,costcategory[Account Code],costcategory[Cost Category],"ERROR")</f>
        <v>Subscription Fee</v>
      </c>
      <c r="P95" s="4" t="s">
        <v>59</v>
      </c>
      <c r="Q95" s="147" t="str">
        <f>_xlfn.XLOOKUP(P95,Table2[Department],Table2[Group],"ERROR")</f>
        <v>Research &amp; Development</v>
      </c>
      <c r="R95" s="138"/>
      <c r="S95" s="138"/>
      <c r="T95" s="138"/>
      <c r="V95" s="138" t="s">
        <v>113</v>
      </c>
    </row>
    <row r="96" spans="1:22" ht="12.95" customHeight="1" x14ac:dyDescent="0.2">
      <c r="A96" s="2" t="s">
        <v>15</v>
      </c>
      <c r="B96" s="2" t="s">
        <v>1</v>
      </c>
      <c r="C96" s="3">
        <v>46066</v>
      </c>
      <c r="D96" s="3">
        <v>46066</v>
      </c>
      <c r="E96" s="3">
        <v>46066</v>
      </c>
      <c r="F96" s="2" t="s">
        <v>77</v>
      </c>
      <c r="G96" s="212">
        <v>934.86</v>
      </c>
      <c r="H96" s="212">
        <v>0</v>
      </c>
      <c r="I96" s="224">
        <f t="shared" si="7"/>
        <v>934.86</v>
      </c>
      <c r="J96" s="220">
        <f t="shared" si="5"/>
        <v>736.03491006000002</v>
      </c>
      <c r="K96" s="106" t="s">
        <v>525</v>
      </c>
      <c r="L96" s="144" t="s">
        <v>525</v>
      </c>
      <c r="M96" s="4" t="s">
        <v>360</v>
      </c>
      <c r="N96" s="106" t="s">
        <v>353</v>
      </c>
      <c r="O96" s="146" t="str">
        <f>_xlfn.XLOOKUP(N96,costcategory[Account Code],costcategory[Cost Category],"ERROR")</f>
        <v>Travelling Expenses</v>
      </c>
      <c r="P96" s="4" t="s">
        <v>59</v>
      </c>
      <c r="Q96" s="147" t="str">
        <f>_xlfn.XLOOKUP(P96,Table2[Department],Table2[Group],"ERROR")</f>
        <v>Research &amp; Development</v>
      </c>
      <c r="R96" s="138"/>
      <c r="S96" s="138"/>
      <c r="T96" s="138"/>
      <c r="V96" s="138" t="s">
        <v>113</v>
      </c>
    </row>
    <row r="97" spans="1:22" ht="12.95" customHeight="1" x14ac:dyDescent="0.2">
      <c r="A97" s="2" t="s">
        <v>15</v>
      </c>
      <c r="B97" s="2" t="s">
        <v>1</v>
      </c>
      <c r="C97" s="3">
        <v>46066</v>
      </c>
      <c r="D97" s="3">
        <v>46066</v>
      </c>
      <c r="E97" s="3">
        <v>46066</v>
      </c>
      <c r="F97" s="2" t="s">
        <v>77</v>
      </c>
      <c r="G97" s="212">
        <v>697.67</v>
      </c>
      <c r="H97" s="212">
        <v>0</v>
      </c>
      <c r="I97" s="224">
        <f t="shared" si="7"/>
        <v>697.67</v>
      </c>
      <c r="J97" s="220">
        <f t="shared" si="5"/>
        <v>549.29024206999998</v>
      </c>
      <c r="K97" s="106" t="s">
        <v>525</v>
      </c>
      <c r="L97" s="144" t="s">
        <v>525</v>
      </c>
      <c r="M97" s="4" t="s">
        <v>360</v>
      </c>
      <c r="N97" s="106" t="s">
        <v>353</v>
      </c>
      <c r="O97" s="146" t="str">
        <f>_xlfn.XLOOKUP(N97,costcategory[Account Code],costcategory[Cost Category],"ERROR")</f>
        <v>Travelling Expenses</v>
      </c>
      <c r="P97" s="4" t="s">
        <v>523</v>
      </c>
      <c r="Q97" s="147" t="str">
        <f>_xlfn.XLOOKUP(P97,Table2[Department],Table2[Group],"ERROR")</f>
        <v>General &amp; Administrative</v>
      </c>
      <c r="R97" s="138"/>
      <c r="S97" s="138"/>
      <c r="T97" s="138"/>
      <c r="V97" s="138" t="s">
        <v>113</v>
      </c>
    </row>
    <row r="98" spans="1:22" ht="12.95" customHeight="1" x14ac:dyDescent="0.2">
      <c r="A98" s="2" t="s">
        <v>15</v>
      </c>
      <c r="B98" s="2" t="s">
        <v>1</v>
      </c>
      <c r="C98" s="3">
        <v>46066</v>
      </c>
      <c r="D98" s="3">
        <v>46066</v>
      </c>
      <c r="E98" s="3">
        <v>46066</v>
      </c>
      <c r="F98" s="2" t="s">
        <v>77</v>
      </c>
      <c r="G98" s="212">
        <v>5.3</v>
      </c>
      <c r="H98" s="212">
        <v>0</v>
      </c>
      <c r="I98" s="224">
        <f t="shared" si="7"/>
        <v>5.3</v>
      </c>
      <c r="J98" s="220">
        <f t="shared" si="5"/>
        <v>4.1728012999999997</v>
      </c>
      <c r="K98" s="106" t="s">
        <v>525</v>
      </c>
      <c r="L98" s="144" t="s">
        <v>525</v>
      </c>
      <c r="M98" s="4" t="s">
        <v>360</v>
      </c>
      <c r="N98" s="106" t="s">
        <v>353</v>
      </c>
      <c r="O98" s="146" t="str">
        <f>_xlfn.XLOOKUP(N98,costcategory[Account Code],costcategory[Cost Category],"ERROR")</f>
        <v>Travelling Expenses</v>
      </c>
      <c r="P98" s="4" t="s">
        <v>350</v>
      </c>
      <c r="Q98" s="147" t="str">
        <f>_xlfn.XLOOKUP(P98,Table2[Department],Table2[Group],"ERROR")</f>
        <v>General &amp; Administrative</v>
      </c>
      <c r="R98" s="138"/>
      <c r="S98" s="138"/>
      <c r="T98" s="138"/>
      <c r="V98" s="138" t="s">
        <v>113</v>
      </c>
    </row>
    <row r="99" spans="1:22" ht="12.95" customHeight="1" x14ac:dyDescent="0.2">
      <c r="A99" s="2" t="s">
        <v>15</v>
      </c>
      <c r="B99" s="2" t="s">
        <v>1</v>
      </c>
      <c r="C99" s="3">
        <v>46066</v>
      </c>
      <c r="D99" s="3">
        <v>46066</v>
      </c>
      <c r="E99" s="3">
        <v>46066</v>
      </c>
      <c r="F99" s="2" t="s">
        <v>77</v>
      </c>
      <c r="G99" s="212">
        <v>413.29</v>
      </c>
      <c r="H99" s="212">
        <v>0</v>
      </c>
      <c r="I99" s="224">
        <f t="shared" si="7"/>
        <v>413.29</v>
      </c>
      <c r="J99" s="220">
        <f t="shared" si="5"/>
        <v>325.39189609000005</v>
      </c>
      <c r="K99" s="106" t="s">
        <v>525</v>
      </c>
      <c r="L99" s="144" t="s">
        <v>525</v>
      </c>
      <c r="M99" s="4" t="s">
        <v>360</v>
      </c>
      <c r="N99" s="106" t="s">
        <v>353</v>
      </c>
      <c r="O99" s="146" t="str">
        <f>_xlfn.XLOOKUP(N99,costcategory[Account Code],costcategory[Cost Category],"ERROR")</f>
        <v>Travelling Expenses</v>
      </c>
      <c r="P99" s="4" t="s">
        <v>438</v>
      </c>
      <c r="Q99" s="147" t="str">
        <f>_xlfn.XLOOKUP(P99,Table2[Department],Table2[Group],"ERROR")</f>
        <v>Sales &amp; Marketing</v>
      </c>
      <c r="R99" s="138"/>
      <c r="S99" s="138"/>
      <c r="T99" s="138"/>
      <c r="V99" s="138" t="s">
        <v>113</v>
      </c>
    </row>
    <row r="100" spans="1:22" ht="12.95" customHeight="1" x14ac:dyDescent="0.2">
      <c r="A100" s="2" t="s">
        <v>15</v>
      </c>
      <c r="B100" s="2" t="s">
        <v>1</v>
      </c>
      <c r="C100" s="3">
        <v>46066</v>
      </c>
      <c r="D100" s="3">
        <v>46066</v>
      </c>
      <c r="E100" s="3">
        <v>46066</v>
      </c>
      <c r="F100" s="2" t="s">
        <v>77</v>
      </c>
      <c r="G100" s="212">
        <v>369.46999999999997</v>
      </c>
      <c r="H100" s="212">
        <v>0</v>
      </c>
      <c r="I100" s="224">
        <f t="shared" si="7"/>
        <v>369.46999999999997</v>
      </c>
      <c r="J100" s="220">
        <f t="shared" si="5"/>
        <v>290.89148986999999</v>
      </c>
      <c r="K100" s="106" t="s">
        <v>525</v>
      </c>
      <c r="L100" s="144" t="s">
        <v>525</v>
      </c>
      <c r="M100" s="4" t="s">
        <v>361</v>
      </c>
      <c r="N100" s="106" t="s">
        <v>356</v>
      </c>
      <c r="O100" s="146" t="str">
        <f>_xlfn.XLOOKUP(N100,costcategory[Account Code],costcategory[Cost Category],"ERROR")</f>
        <v>Travelling Expenses</v>
      </c>
      <c r="P100" s="4" t="s">
        <v>438</v>
      </c>
      <c r="Q100" s="147" t="str">
        <f>_xlfn.XLOOKUP(P100,Table2[Department],Table2[Group],"ERROR")</f>
        <v>Sales &amp; Marketing</v>
      </c>
      <c r="R100" s="138"/>
      <c r="S100" s="138"/>
      <c r="T100" s="138"/>
      <c r="V100" s="138" t="s">
        <v>113</v>
      </c>
    </row>
    <row r="101" spans="1:22" ht="12.95" customHeight="1" x14ac:dyDescent="0.2">
      <c r="A101" s="2" t="s">
        <v>15</v>
      </c>
      <c r="B101" s="2" t="s">
        <v>1</v>
      </c>
      <c r="C101" s="3">
        <v>46066</v>
      </c>
      <c r="D101" s="3">
        <v>46066</v>
      </c>
      <c r="E101" s="3">
        <v>46066</v>
      </c>
      <c r="F101" s="2" t="s">
        <v>77</v>
      </c>
      <c r="G101" s="212">
        <v>162.55000000000001</v>
      </c>
      <c r="H101" s="212">
        <v>0</v>
      </c>
      <c r="I101" s="224">
        <f t="shared" ref="I101:I104" si="8">SUM(G101:H101)</f>
        <v>162.55000000000001</v>
      </c>
      <c r="J101" s="220">
        <f t="shared" si="5"/>
        <v>127.97902855000002</v>
      </c>
      <c r="K101" s="106" t="s">
        <v>525</v>
      </c>
      <c r="L101" s="144" t="s">
        <v>525</v>
      </c>
      <c r="M101" s="4" t="s">
        <v>361</v>
      </c>
      <c r="N101" s="106" t="s">
        <v>356</v>
      </c>
      <c r="O101" s="146" t="str">
        <f>_xlfn.XLOOKUP(N101,costcategory[Account Code],costcategory[Cost Category],"ERROR")</f>
        <v>Travelling Expenses</v>
      </c>
      <c r="P101" s="4" t="s">
        <v>59</v>
      </c>
      <c r="Q101" s="147" t="str">
        <f>_xlfn.XLOOKUP(P101,Table2[Department],Table2[Group],"ERROR")</f>
        <v>Research &amp; Development</v>
      </c>
      <c r="R101" s="138"/>
      <c r="S101" s="138"/>
      <c r="T101" s="138"/>
      <c r="V101" s="138" t="s">
        <v>113</v>
      </c>
    </row>
    <row r="102" spans="1:22" ht="12.95" customHeight="1" x14ac:dyDescent="0.2">
      <c r="A102" s="2" t="s">
        <v>15</v>
      </c>
      <c r="B102" s="2" t="s">
        <v>1</v>
      </c>
      <c r="C102" s="3">
        <v>46066</v>
      </c>
      <c r="D102" s="3">
        <v>46066</v>
      </c>
      <c r="E102" s="3">
        <v>46066</v>
      </c>
      <c r="F102" s="2" t="s">
        <v>77</v>
      </c>
      <c r="G102" s="212">
        <f>17.2+20.4</f>
        <v>37.599999999999994</v>
      </c>
      <c r="H102" s="212">
        <v>0</v>
      </c>
      <c r="I102" s="224">
        <f t="shared" si="8"/>
        <v>37.599999999999994</v>
      </c>
      <c r="J102" s="220">
        <f t="shared" si="5"/>
        <v>29.603269599999997</v>
      </c>
      <c r="K102" s="106" t="s">
        <v>525</v>
      </c>
      <c r="L102" s="144" t="s">
        <v>525</v>
      </c>
      <c r="M102" s="4" t="s">
        <v>361</v>
      </c>
      <c r="N102" s="106" t="s">
        <v>356</v>
      </c>
      <c r="O102" s="146" t="str">
        <f>_xlfn.XLOOKUP(N102,costcategory[Account Code],costcategory[Cost Category],"ERROR")</f>
        <v>Travelling Expenses</v>
      </c>
      <c r="P102" s="4" t="s">
        <v>350</v>
      </c>
      <c r="Q102" s="147" t="str">
        <f>_xlfn.XLOOKUP(P102,Table2[Department],Table2[Group],"ERROR")</f>
        <v>General &amp; Administrative</v>
      </c>
      <c r="R102" s="138"/>
      <c r="S102" s="138"/>
      <c r="T102" s="138"/>
      <c r="V102" s="138" t="s">
        <v>113</v>
      </c>
    </row>
    <row r="103" spans="1:22" ht="12.95" customHeight="1" x14ac:dyDescent="0.2">
      <c r="A103" s="2" t="s">
        <v>15</v>
      </c>
      <c r="B103" s="2" t="s">
        <v>1</v>
      </c>
      <c r="C103" s="3">
        <v>46066</v>
      </c>
      <c r="D103" s="3">
        <v>46066</v>
      </c>
      <c r="E103" s="3">
        <v>46066</v>
      </c>
      <c r="F103" s="2" t="s">
        <v>77</v>
      </c>
      <c r="G103" s="212">
        <v>79.900000000000006</v>
      </c>
      <c r="H103" s="212">
        <v>0</v>
      </c>
      <c r="I103" s="224">
        <f t="shared" si="8"/>
        <v>79.900000000000006</v>
      </c>
      <c r="J103" s="220">
        <f t="shared" si="5"/>
        <v>62.906947900000006</v>
      </c>
      <c r="K103" s="106" t="s">
        <v>525</v>
      </c>
      <c r="L103" s="144" t="s">
        <v>525</v>
      </c>
      <c r="M103" s="4" t="s">
        <v>361</v>
      </c>
      <c r="N103" s="106" t="s">
        <v>356</v>
      </c>
      <c r="O103" s="146" t="str">
        <f>_xlfn.XLOOKUP(N103,costcategory[Account Code],costcategory[Cost Category],"ERROR")</f>
        <v>Travelling Expenses</v>
      </c>
      <c r="P103" s="4" t="s">
        <v>523</v>
      </c>
      <c r="Q103" s="147" t="str">
        <f>_xlfn.XLOOKUP(P103,Table2[Department],Table2[Group],"ERROR")</f>
        <v>General &amp; Administrative</v>
      </c>
      <c r="R103" s="138"/>
      <c r="S103" s="138"/>
      <c r="T103" s="138"/>
      <c r="V103" s="138" t="s">
        <v>113</v>
      </c>
    </row>
    <row r="104" spans="1:22" ht="12.95" customHeight="1" x14ac:dyDescent="0.2">
      <c r="A104" s="2" t="s">
        <v>15</v>
      </c>
      <c r="B104" s="2" t="s">
        <v>1</v>
      </c>
      <c r="C104" s="3">
        <v>46066</v>
      </c>
      <c r="D104" s="3">
        <v>46066</v>
      </c>
      <c r="E104" s="3">
        <v>46066</v>
      </c>
      <c r="F104" s="2" t="s">
        <v>77</v>
      </c>
      <c r="G104" s="212">
        <v>15.5</v>
      </c>
      <c r="H104" s="212">
        <v>0</v>
      </c>
      <c r="I104" s="224">
        <f t="shared" si="8"/>
        <v>15.5</v>
      </c>
      <c r="J104" s="220">
        <f t="shared" si="5"/>
        <v>12.203475500000001</v>
      </c>
      <c r="K104" s="106" t="s">
        <v>525</v>
      </c>
      <c r="L104" s="144" t="s">
        <v>525</v>
      </c>
      <c r="M104" s="4" t="s">
        <v>361</v>
      </c>
      <c r="N104" s="106" t="s">
        <v>356</v>
      </c>
      <c r="O104" s="146" t="str">
        <f>_xlfn.XLOOKUP(N104,costcategory[Account Code],costcategory[Cost Category],"ERROR")</f>
        <v>Travelling Expenses</v>
      </c>
      <c r="P104" s="4" t="s">
        <v>340</v>
      </c>
      <c r="Q104" s="147" t="str">
        <f>_xlfn.XLOOKUP(P104,Table2[Department],Table2[Group],"ERROR")</f>
        <v>General &amp; Administrative</v>
      </c>
      <c r="R104" s="138"/>
      <c r="S104" s="138"/>
      <c r="T104" s="138"/>
      <c r="U104" s="2" t="s">
        <v>752</v>
      </c>
      <c r="V104" s="138" t="s">
        <v>113</v>
      </c>
    </row>
    <row r="105" spans="1:22" ht="12.95" customHeight="1" x14ac:dyDescent="0.2">
      <c r="A105" s="2" t="s">
        <v>15</v>
      </c>
      <c r="B105" s="2" t="s">
        <v>1</v>
      </c>
      <c r="C105" s="3">
        <v>46066</v>
      </c>
      <c r="D105" s="3">
        <v>46066</v>
      </c>
      <c r="E105" s="3">
        <v>46066</v>
      </c>
      <c r="F105" s="2" t="s">
        <v>77</v>
      </c>
      <c r="G105" s="212">
        <v>40</v>
      </c>
      <c r="H105" s="212">
        <v>0</v>
      </c>
      <c r="I105" s="225">
        <f>SUM(G105:H105)</f>
        <v>40</v>
      </c>
      <c r="J105" s="220">
        <f t="shared" si="5"/>
        <v>31.492840000000001</v>
      </c>
      <c r="K105" s="106" t="s">
        <v>525</v>
      </c>
      <c r="L105" s="144" t="s">
        <v>525</v>
      </c>
      <c r="M105" s="4" t="s">
        <v>692</v>
      </c>
      <c r="N105" s="106" t="s">
        <v>617</v>
      </c>
      <c r="O105" s="146" t="str">
        <f>_xlfn.XLOOKUP(N105,costcategory[Account Code],costcategory[Cost Category],"ERROR")</f>
        <v>Upkeep of Office</v>
      </c>
      <c r="P105" s="4" t="s">
        <v>340</v>
      </c>
      <c r="Q105" s="147" t="str">
        <f>_xlfn.XLOOKUP(P105,Table2[Department],Table2[Group],"ERROR")</f>
        <v>General &amp; Administrative</v>
      </c>
      <c r="R105" s="138"/>
      <c r="S105" s="138"/>
      <c r="T105" s="138"/>
      <c r="V105" s="138" t="s">
        <v>113</v>
      </c>
    </row>
    <row r="106" spans="1:22" ht="12.95" customHeight="1" x14ac:dyDescent="0.2">
      <c r="A106" s="2" t="s">
        <v>15</v>
      </c>
      <c r="B106" s="2" t="s">
        <v>1</v>
      </c>
      <c r="C106" s="3">
        <v>46066</v>
      </c>
      <c r="D106" s="3">
        <v>46066</v>
      </c>
      <c r="E106" s="3">
        <v>46066</v>
      </c>
      <c r="F106" s="2" t="s">
        <v>77</v>
      </c>
      <c r="G106" s="212">
        <v>290</v>
      </c>
      <c r="H106" s="212">
        <v>26.1</v>
      </c>
      <c r="I106" s="212">
        <f t="shared" si="6"/>
        <v>316.10000000000002</v>
      </c>
      <c r="J106" s="220">
        <f t="shared" si="5"/>
        <v>248.87216810000004</v>
      </c>
      <c r="K106" s="106" t="s">
        <v>753</v>
      </c>
      <c r="L106" s="106" t="s">
        <v>754</v>
      </c>
      <c r="M106" s="144" t="s">
        <v>1208</v>
      </c>
      <c r="N106" s="106" t="s">
        <v>749</v>
      </c>
      <c r="O106" s="146" t="str">
        <f>_xlfn.XLOOKUP(N106,costcategory[Account Code],costcategory[Cost Category],"ERROR")</f>
        <v>Repair &amp; Maintenance</v>
      </c>
      <c r="P106" s="4" t="s">
        <v>340</v>
      </c>
      <c r="Q106" s="147" t="str">
        <f>_xlfn.XLOOKUP(P106,Table2[Department],Table2[Group],"ERROR")</f>
        <v>General &amp; Administrative</v>
      </c>
      <c r="R106" s="138" t="s">
        <v>680</v>
      </c>
      <c r="S106" s="138"/>
      <c r="T106" s="138"/>
      <c r="V106" s="138" t="s">
        <v>104</v>
      </c>
    </row>
    <row r="107" spans="1:22" ht="12.95" customHeight="1" x14ac:dyDescent="0.2">
      <c r="A107" s="2" t="s">
        <v>15</v>
      </c>
      <c r="B107" s="2" t="s">
        <v>1</v>
      </c>
      <c r="C107" s="3">
        <v>46066</v>
      </c>
      <c r="D107" s="3">
        <v>46066</v>
      </c>
      <c r="E107" s="3">
        <v>46066</v>
      </c>
      <c r="F107" s="2" t="s">
        <v>77</v>
      </c>
      <c r="G107" s="212">
        <f>70+584.1</f>
        <v>654.1</v>
      </c>
      <c r="H107" s="212">
        <f>6.3+52.57</f>
        <v>58.87</v>
      </c>
      <c r="I107" s="212">
        <f t="shared" si="6"/>
        <v>712.97</v>
      </c>
      <c r="J107" s="220">
        <f t="shared" si="5"/>
        <v>561.33625337000001</v>
      </c>
      <c r="K107" s="106" t="s">
        <v>661</v>
      </c>
      <c r="L107" s="106" t="s">
        <v>755</v>
      </c>
      <c r="M107" s="144" t="s">
        <v>756</v>
      </c>
      <c r="N107" s="106" t="s">
        <v>374</v>
      </c>
      <c r="O107" s="146" t="str">
        <f>_xlfn.XLOOKUP(N107,costcategory[Account Code],costcategory[Cost Category],"ERROR")</f>
        <v>Non-Current Liabilities</v>
      </c>
      <c r="P107" s="4" t="s">
        <v>376</v>
      </c>
      <c r="Q107" s="147" t="str">
        <f>_xlfn.XLOOKUP(P107,Table2[Department],Table2[Group],"ERROR")</f>
        <v>General &amp; Administrative</v>
      </c>
      <c r="R107" s="138" t="s">
        <v>484</v>
      </c>
      <c r="S107" s="138"/>
      <c r="T107" s="138"/>
      <c r="V107" s="138" t="s">
        <v>113</v>
      </c>
    </row>
    <row r="108" spans="1:22" ht="12.95" customHeight="1" x14ac:dyDescent="0.2">
      <c r="A108" s="2" t="s">
        <v>15</v>
      </c>
      <c r="B108" s="2" t="s">
        <v>1</v>
      </c>
      <c r="C108" s="3">
        <v>46066</v>
      </c>
      <c r="D108" s="3">
        <v>46066</v>
      </c>
      <c r="E108" s="3">
        <v>46066</v>
      </c>
      <c r="F108" s="2" t="s">
        <v>77</v>
      </c>
      <c r="G108" s="212">
        <v>600</v>
      </c>
      <c r="H108" s="212">
        <v>0</v>
      </c>
      <c r="I108" s="212">
        <f t="shared" si="6"/>
        <v>600</v>
      </c>
      <c r="J108" s="220">
        <f t="shared" si="5"/>
        <v>472.39260000000002</v>
      </c>
      <c r="K108" s="106" t="s">
        <v>757</v>
      </c>
      <c r="L108" s="280">
        <v>46023</v>
      </c>
      <c r="M108" s="4" t="s">
        <v>758</v>
      </c>
      <c r="N108" s="106" t="s">
        <v>621</v>
      </c>
      <c r="O108" s="146" t="str">
        <f>_xlfn.XLOOKUP(N108,costcategory[Account Code],costcategory[Cost Category],"ERROR")</f>
        <v>Upkeep of Office</v>
      </c>
      <c r="P108" s="4" t="s">
        <v>340</v>
      </c>
      <c r="Q108" s="147" t="str">
        <f>_xlfn.XLOOKUP(P108,Table2[Department],Table2[Group],"ERROR")</f>
        <v>General &amp; Administrative</v>
      </c>
      <c r="R108" s="138" t="s">
        <v>680</v>
      </c>
      <c r="S108" s="138"/>
      <c r="T108" s="138"/>
      <c r="V108" s="138" t="s">
        <v>113</v>
      </c>
    </row>
    <row r="109" spans="1:22" ht="12.95" customHeight="1" x14ac:dyDescent="0.2">
      <c r="A109" s="2" t="s">
        <v>15</v>
      </c>
      <c r="B109" s="2" t="s">
        <v>1</v>
      </c>
      <c r="C109" s="3">
        <v>46066</v>
      </c>
      <c r="D109" s="3">
        <v>46066</v>
      </c>
      <c r="E109" s="3">
        <v>46066</v>
      </c>
      <c r="F109" s="2" t="s">
        <v>77</v>
      </c>
      <c r="G109" s="212">
        <v>-11683.98</v>
      </c>
      <c r="H109" s="212">
        <v>0</v>
      </c>
      <c r="I109" s="212">
        <f t="shared" si="6"/>
        <v>-11683.98</v>
      </c>
      <c r="J109" s="220">
        <f t="shared" si="5"/>
        <v>-9199.0428175800007</v>
      </c>
      <c r="K109" s="106" t="s">
        <v>759</v>
      </c>
      <c r="L109" s="106" t="s">
        <v>760</v>
      </c>
      <c r="M109" s="4" t="s">
        <v>761</v>
      </c>
      <c r="N109" s="106" t="s">
        <v>571</v>
      </c>
      <c r="O109" s="146" t="str">
        <f>_xlfn.XLOOKUP(N109,costcategory[Account Code],costcategory[Cost Category],"ERROR")</f>
        <v>Current Asset</v>
      </c>
      <c r="P109" s="4" t="s">
        <v>340</v>
      </c>
      <c r="Q109" s="147" t="str">
        <f>_xlfn.XLOOKUP(P109,Table2[Department],Table2[Group],"ERROR")</f>
        <v>General &amp; Administrative</v>
      </c>
      <c r="R109" s="138"/>
      <c r="S109" s="138"/>
      <c r="T109" s="138"/>
      <c r="V109" s="138" t="s">
        <v>113</v>
      </c>
    </row>
    <row r="110" spans="1:22" ht="12.95" customHeight="1" x14ac:dyDescent="0.2">
      <c r="A110" s="2" t="s">
        <v>15</v>
      </c>
      <c r="B110" s="2" t="s">
        <v>1</v>
      </c>
      <c r="C110" s="3">
        <v>46069</v>
      </c>
      <c r="D110" s="3">
        <v>46069</v>
      </c>
      <c r="E110" s="3">
        <v>46069</v>
      </c>
      <c r="F110" s="2" t="s">
        <v>77</v>
      </c>
      <c r="G110" s="212">
        <v>8171</v>
      </c>
      <c r="H110" s="212">
        <v>0</v>
      </c>
      <c r="I110" s="212">
        <f t="shared" si="6"/>
        <v>8171</v>
      </c>
      <c r="J110" s="220">
        <f t="shared" si="5"/>
        <v>6433.1998910000002</v>
      </c>
      <c r="K110" s="106" t="s">
        <v>762</v>
      </c>
      <c r="L110" s="106" t="s">
        <v>763</v>
      </c>
      <c r="M110" s="4" t="s">
        <v>764</v>
      </c>
      <c r="N110" s="106" t="s">
        <v>499</v>
      </c>
      <c r="O110" s="146" t="str">
        <f>_xlfn.XLOOKUP(N110,costcategory[Account Code],costcategory[Cost Category],"ERROR")</f>
        <v>Tax Expenses (GST/SST/VAT)</v>
      </c>
      <c r="P110" s="4" t="s">
        <v>340</v>
      </c>
      <c r="Q110" s="147" t="str">
        <f>_xlfn.XLOOKUP(P110,Table2[Department],Table2[Group],"ERROR")</f>
        <v>General &amp; Administrative</v>
      </c>
      <c r="R110" s="138"/>
      <c r="S110" s="138"/>
      <c r="T110" s="138"/>
      <c r="V110" s="138" t="s">
        <v>113</v>
      </c>
    </row>
    <row r="111" spans="1:22" ht="12.95" customHeight="1" x14ac:dyDescent="0.2">
      <c r="A111" s="2" t="s">
        <v>15</v>
      </c>
      <c r="B111" s="2" t="s">
        <v>1</v>
      </c>
      <c r="C111" s="3">
        <v>46069</v>
      </c>
      <c r="D111" s="3">
        <v>46069</v>
      </c>
      <c r="E111" s="3">
        <v>46072</v>
      </c>
      <c r="F111" s="2" t="s">
        <v>77</v>
      </c>
      <c r="G111" s="212">
        <v>9833</v>
      </c>
      <c r="H111" s="212">
        <v>884.97</v>
      </c>
      <c r="I111" s="212">
        <f t="shared" si="6"/>
        <v>10717.97</v>
      </c>
      <c r="J111" s="220">
        <f t="shared" si="5"/>
        <v>8438.48285837</v>
      </c>
      <c r="K111" s="106" t="s">
        <v>765</v>
      </c>
      <c r="L111" s="108" t="s">
        <v>766</v>
      </c>
      <c r="M111" s="4" t="s">
        <v>767</v>
      </c>
      <c r="N111" s="106" t="s">
        <v>349</v>
      </c>
      <c r="O111" s="146" t="str">
        <f>_xlfn.XLOOKUP(N111,costcategory[Account Code],costcategory[Cost Category],"ERROR")</f>
        <v>Employee Benefits</v>
      </c>
      <c r="P111" s="4" t="s">
        <v>523</v>
      </c>
      <c r="Q111" s="147" t="str">
        <f>_xlfn.XLOOKUP(P111,Table2[Department],Table2[Group],"ERROR")</f>
        <v>General &amp; Administrative</v>
      </c>
      <c r="R111" s="138" t="s">
        <v>466</v>
      </c>
      <c r="S111" s="138"/>
      <c r="T111" s="138"/>
      <c r="V111" s="138" t="s">
        <v>104</v>
      </c>
    </row>
    <row r="112" spans="1:22" ht="12.95" customHeight="1" x14ac:dyDescent="0.2">
      <c r="A112" s="2" t="s">
        <v>15</v>
      </c>
      <c r="B112" s="2" t="s">
        <v>1</v>
      </c>
      <c r="C112" s="3">
        <v>46079</v>
      </c>
      <c r="D112" s="3">
        <v>46079</v>
      </c>
      <c r="E112" s="3">
        <v>46079</v>
      </c>
      <c r="F112" s="2" t="s">
        <v>77</v>
      </c>
      <c r="G112" s="212">
        <v>-4.42</v>
      </c>
      <c r="H112" s="212">
        <v>0</v>
      </c>
      <c r="I112" s="212">
        <f t="shared" si="6"/>
        <v>-4.42</v>
      </c>
      <c r="J112" s="220">
        <f t="shared" si="5"/>
        <v>-3.4799588200000002</v>
      </c>
      <c r="K112" s="106" t="s">
        <v>670</v>
      </c>
      <c r="L112" s="106" t="s">
        <v>771</v>
      </c>
      <c r="M112" s="4" t="s">
        <v>715</v>
      </c>
      <c r="N112" s="106" t="s">
        <v>332</v>
      </c>
      <c r="O112" s="146" t="str">
        <f>_xlfn.XLOOKUP(N112,costcategory[Account Code],costcategory[Cost Category],"ERROR")</f>
        <v>Bank Charges</v>
      </c>
      <c r="P112" s="4" t="s">
        <v>333</v>
      </c>
      <c r="Q112" s="147" t="str">
        <f>_xlfn.XLOOKUP(P112,Table2[Department],Table2[Group],"ERROR")</f>
        <v>General &amp; Administrative</v>
      </c>
      <c r="R112" s="138" t="s">
        <v>451</v>
      </c>
      <c r="S112" s="138" t="s">
        <v>452</v>
      </c>
      <c r="T112" s="138" t="s">
        <v>452</v>
      </c>
      <c r="V112" s="138" t="s">
        <v>113</v>
      </c>
    </row>
    <row r="113" spans="1:22" ht="12.95" customHeight="1" x14ac:dyDescent="0.2">
      <c r="A113" s="2" t="s">
        <v>15</v>
      </c>
      <c r="B113" s="2" t="s">
        <v>1</v>
      </c>
      <c r="C113" s="3">
        <v>46078</v>
      </c>
      <c r="D113" s="3">
        <v>46078</v>
      </c>
      <c r="E113" s="3">
        <v>46079</v>
      </c>
      <c r="F113" s="2" t="s">
        <v>77</v>
      </c>
      <c r="G113" s="212">
        <v>484.77</v>
      </c>
      <c r="H113" s="212">
        <v>43.63</v>
      </c>
      <c r="I113" s="212">
        <f t="shared" si="6"/>
        <v>528.4</v>
      </c>
      <c r="J113" s="220">
        <f t="shared" si="5"/>
        <v>416.02041639999999</v>
      </c>
      <c r="K113" s="106" t="s">
        <v>768</v>
      </c>
      <c r="L113" s="106" t="s">
        <v>769</v>
      </c>
      <c r="M113" s="4" t="s">
        <v>770</v>
      </c>
      <c r="N113" s="106" t="s">
        <v>390</v>
      </c>
      <c r="O113" s="146" t="str">
        <f>_xlfn.XLOOKUP(N113,costcategory[Account Code],costcategory[Cost Category],"ERROR")</f>
        <v>Employee Benefits</v>
      </c>
      <c r="P113" s="4" t="s">
        <v>523</v>
      </c>
      <c r="Q113" s="147" t="str">
        <f>_xlfn.XLOOKUP(P113,Table2[Department],Table2[Group],"ERROR")</f>
        <v>General &amp; Administrative</v>
      </c>
      <c r="R113" s="138" t="s">
        <v>459</v>
      </c>
      <c r="S113" s="138" t="s">
        <v>676</v>
      </c>
      <c r="T113" s="138"/>
      <c r="V113" s="138" t="s">
        <v>104</v>
      </c>
    </row>
    <row r="114" spans="1:22" ht="12.95" customHeight="1" x14ac:dyDescent="0.2">
      <c r="A114" s="2" t="s">
        <v>15</v>
      </c>
      <c r="B114" s="2" t="s">
        <v>1</v>
      </c>
      <c r="C114" s="3">
        <v>46080</v>
      </c>
      <c r="D114" s="3">
        <v>46080</v>
      </c>
      <c r="E114" s="3">
        <v>46080</v>
      </c>
      <c r="F114" s="2" t="s">
        <v>77</v>
      </c>
      <c r="G114" s="212">
        <f>-(5000+26900)</f>
        <v>-31900</v>
      </c>
      <c r="H114" s="212">
        <v>-2421</v>
      </c>
      <c r="I114" s="212">
        <f t="shared" si="6"/>
        <v>-34321</v>
      </c>
      <c r="J114" s="220">
        <f t="shared" si="5"/>
        <v>-27021.644041000003</v>
      </c>
      <c r="K114" s="106" t="s">
        <v>109</v>
      </c>
      <c r="L114" s="106" t="s">
        <v>772</v>
      </c>
      <c r="M114" s="4" t="s">
        <v>1209</v>
      </c>
      <c r="N114" s="106" t="s">
        <v>773</v>
      </c>
      <c r="O114" s="146" t="str">
        <f>_xlfn.XLOOKUP(N114,costcategory[Account Code],costcategory[Cost Category],"ERROR")</f>
        <v>Revenue</v>
      </c>
      <c r="P114" s="4" t="s">
        <v>56</v>
      </c>
      <c r="Q114" s="147" t="str">
        <f>_xlfn.XLOOKUP(P114,Table2[Department],Table2[Group],"ERROR")</f>
        <v>Research &amp; Development</v>
      </c>
      <c r="R114" s="138"/>
      <c r="S114" s="138"/>
      <c r="T114" s="138"/>
      <c r="V114" s="138" t="s">
        <v>104</v>
      </c>
    </row>
    <row r="115" spans="1:22" ht="12.95" customHeight="1" x14ac:dyDescent="0.2">
      <c r="F115" s="2" t="s">
        <v>77</v>
      </c>
      <c r="G115" s="212"/>
      <c r="H115" s="212"/>
      <c r="I115" s="212">
        <f>SUM(I71:I114)</f>
        <v>22254.359999999993</v>
      </c>
      <c r="J115" s="220"/>
      <c r="K115" s="106"/>
      <c r="L115" s="106"/>
      <c r="M115" s="145"/>
      <c r="N115" s="106"/>
      <c r="O115" s="106"/>
      <c r="R115" s="138"/>
      <c r="S115" s="138"/>
      <c r="T115" s="138"/>
      <c r="V115" s="138"/>
    </row>
    <row r="116" spans="1:22" ht="12.95" customHeight="1" x14ac:dyDescent="0.2">
      <c r="A116" s="329" t="s">
        <v>1173</v>
      </c>
      <c r="B116" s="329"/>
      <c r="C116" s="329"/>
      <c r="D116" s="329"/>
      <c r="E116" s="14">
        <v>46081</v>
      </c>
      <c r="F116" s="13" t="s">
        <v>77</v>
      </c>
      <c r="G116" s="211"/>
      <c r="H116" s="226"/>
      <c r="I116" s="208">
        <f>I70-I115</f>
        <v>85042.200000000041</v>
      </c>
      <c r="J116" s="226"/>
      <c r="K116" s="17"/>
      <c r="L116" s="17"/>
      <c r="M116" s="17"/>
      <c r="N116" s="17"/>
      <c r="O116" s="17"/>
      <c r="P116" s="17"/>
      <c r="Q116" s="17"/>
      <c r="R116" s="13"/>
      <c r="S116" s="13"/>
      <c r="T116" s="13"/>
      <c r="U116" s="13"/>
      <c r="V116" s="13"/>
    </row>
    <row r="117" spans="1:22" ht="12.95" customHeight="1" x14ac:dyDescent="0.2">
      <c r="V117" s="138"/>
    </row>
    <row r="118" spans="1:22" ht="12.95" customHeight="1" x14ac:dyDescent="0.2">
      <c r="A118" s="10"/>
      <c r="B118" s="10"/>
      <c r="C118" s="11"/>
      <c r="D118" s="11"/>
      <c r="E118" s="11"/>
      <c r="F118" s="10"/>
      <c r="G118" s="222"/>
      <c r="H118" s="222"/>
      <c r="I118" s="222"/>
      <c r="J118" s="263">
        <f>FOREX!C3</f>
        <v>0.79061400000000004</v>
      </c>
      <c r="K118" s="182"/>
      <c r="L118" s="182"/>
      <c r="M118" s="181"/>
      <c r="N118" s="181"/>
      <c r="O118" s="181"/>
      <c r="P118" s="181"/>
      <c r="Q118" s="181"/>
      <c r="R118" s="10"/>
      <c r="S118" s="10"/>
      <c r="T118" s="10"/>
      <c r="U118" s="10"/>
      <c r="V118" s="10"/>
    </row>
    <row r="119" spans="1:22" ht="12.95" customHeight="1" x14ac:dyDescent="0.2">
      <c r="A119" s="7" t="s">
        <v>87</v>
      </c>
      <c r="B119" s="7" t="s">
        <v>43</v>
      </c>
      <c r="C119" s="8" t="s">
        <v>54</v>
      </c>
      <c r="D119" s="8" t="s">
        <v>88</v>
      </c>
      <c r="E119" s="185" t="s">
        <v>1083</v>
      </c>
      <c r="F119" s="7" t="s">
        <v>70</v>
      </c>
      <c r="G119" s="201" t="s">
        <v>90</v>
      </c>
      <c r="H119" s="201" t="s">
        <v>91</v>
      </c>
      <c r="I119" s="201" t="s">
        <v>92</v>
      </c>
      <c r="J119" s="201" t="s">
        <v>72</v>
      </c>
      <c r="K119" s="132" t="s">
        <v>325</v>
      </c>
      <c r="L119" s="132" t="s">
        <v>94</v>
      </c>
      <c r="M119" s="7" t="s">
        <v>95</v>
      </c>
      <c r="N119" s="7" t="s">
        <v>53</v>
      </c>
      <c r="O119" s="7" t="s">
        <v>64</v>
      </c>
      <c r="P119" s="7" t="s">
        <v>67</v>
      </c>
      <c r="Q119" s="7" t="s">
        <v>44</v>
      </c>
      <c r="R119" s="7" t="s">
        <v>326</v>
      </c>
      <c r="S119" s="7" t="s">
        <v>327</v>
      </c>
      <c r="T119" s="7" t="s">
        <v>328</v>
      </c>
      <c r="U119" s="7" t="s">
        <v>98</v>
      </c>
      <c r="V119" s="7" t="s">
        <v>329</v>
      </c>
    </row>
    <row r="120" spans="1:22" s="180" customFormat="1" ht="12.95" customHeight="1" x14ac:dyDescent="0.2">
      <c r="A120" s="329" t="s">
        <v>1172</v>
      </c>
      <c r="B120" s="329"/>
      <c r="C120" s="329"/>
      <c r="D120" s="329"/>
      <c r="E120" s="14">
        <v>46082</v>
      </c>
      <c r="F120" s="13" t="s">
        <v>77</v>
      </c>
      <c r="G120" s="211"/>
      <c r="H120" s="211"/>
      <c r="I120" s="211">
        <v>85042.200000000012</v>
      </c>
      <c r="J120" s="211"/>
      <c r="K120" s="179"/>
      <c r="L120" s="179"/>
      <c r="M120" s="96"/>
      <c r="N120" s="96"/>
      <c r="O120" s="96"/>
      <c r="P120" s="96"/>
      <c r="Q120" s="96"/>
      <c r="R120" s="13"/>
      <c r="S120" s="13"/>
      <c r="T120" s="13"/>
      <c r="U120" s="13"/>
      <c r="V120" s="13"/>
    </row>
    <row r="121" spans="1:22" ht="12.95" customHeight="1" x14ac:dyDescent="0.2">
      <c r="A121" s="2" t="s">
        <v>15</v>
      </c>
      <c r="B121" s="2" t="s">
        <v>1</v>
      </c>
      <c r="C121" s="3">
        <v>46083</v>
      </c>
      <c r="D121" s="3">
        <v>46083</v>
      </c>
      <c r="E121" s="3">
        <v>46083</v>
      </c>
      <c r="F121" s="2" t="s">
        <v>77</v>
      </c>
      <c r="G121" s="212">
        <v>151.79</v>
      </c>
      <c r="H121" s="212">
        <v>13.66</v>
      </c>
      <c r="I121" s="212">
        <v>165.45</v>
      </c>
      <c r="J121" s="220">
        <f t="shared" ref="J121:J152" si="9">I121*$J$118</f>
        <v>130.80708630000001</v>
      </c>
      <c r="K121" s="106" t="s">
        <v>774</v>
      </c>
      <c r="L121" s="106" t="s">
        <v>775</v>
      </c>
      <c r="M121" s="4" t="s">
        <v>776</v>
      </c>
      <c r="N121" s="106" t="s">
        <v>60</v>
      </c>
      <c r="O121" s="146" t="str">
        <f>_xlfn.XLOOKUP(N121,costcategory[Account Code],costcategory[Cost Category],"ERROR")</f>
        <v>Subscription Fee</v>
      </c>
      <c r="P121" s="4" t="s">
        <v>333</v>
      </c>
      <c r="Q121" s="147" t="str">
        <f>_xlfn.XLOOKUP(P121,Table2[Department],Table2[Group],"ERROR")</f>
        <v>General &amp; Administrative</v>
      </c>
      <c r="R121" s="138"/>
      <c r="S121" s="138"/>
      <c r="T121" s="138"/>
      <c r="U121" s="2" t="s">
        <v>1210</v>
      </c>
      <c r="V121" s="138" t="s">
        <v>1211</v>
      </c>
    </row>
    <row r="122" spans="1:22" ht="12.95" customHeight="1" x14ac:dyDescent="0.2">
      <c r="A122" s="2" t="s">
        <v>15</v>
      </c>
      <c r="B122" s="2" t="s">
        <v>1</v>
      </c>
      <c r="C122" s="3">
        <v>46083</v>
      </c>
      <c r="D122" s="3">
        <v>46083</v>
      </c>
      <c r="E122" s="3">
        <v>46083</v>
      </c>
      <c r="F122" s="2" t="s">
        <v>77</v>
      </c>
      <c r="G122" s="212">
        <v>58.72</v>
      </c>
      <c r="H122" s="212">
        <v>5.28</v>
      </c>
      <c r="I122" s="212">
        <v>64</v>
      </c>
      <c r="J122" s="220">
        <f t="shared" si="9"/>
        <v>50.599296000000002</v>
      </c>
      <c r="K122" s="106" t="s">
        <v>774</v>
      </c>
      <c r="L122" s="106" t="s">
        <v>775</v>
      </c>
      <c r="M122" s="4" t="s">
        <v>776</v>
      </c>
      <c r="N122" s="106" t="s">
        <v>60</v>
      </c>
      <c r="O122" s="146" t="str">
        <f>_xlfn.XLOOKUP(N122,costcategory[Account Code],costcategory[Cost Category],"ERROR")</f>
        <v>Subscription Fee</v>
      </c>
      <c r="P122" s="4" t="s">
        <v>354</v>
      </c>
      <c r="Q122" s="147" t="str">
        <f>_xlfn.XLOOKUP(P122,Table2[Department],Table2[Group],"ERROR")</f>
        <v>Sales &amp; Marketing</v>
      </c>
      <c r="R122" s="138"/>
      <c r="S122" s="138"/>
      <c r="T122" s="138"/>
      <c r="U122" s="2" t="s">
        <v>1210</v>
      </c>
      <c r="V122" s="138" t="s">
        <v>1211</v>
      </c>
    </row>
    <row r="123" spans="1:22" ht="12.95" customHeight="1" x14ac:dyDescent="0.2">
      <c r="A123" s="2" t="s">
        <v>15</v>
      </c>
      <c r="B123" s="2" t="s">
        <v>1</v>
      </c>
      <c r="C123" s="3">
        <v>46083</v>
      </c>
      <c r="D123" s="3">
        <v>46083</v>
      </c>
      <c r="E123" s="3">
        <v>46083</v>
      </c>
      <c r="F123" s="2" t="s">
        <v>77</v>
      </c>
      <c r="G123" s="212">
        <v>79.180000000000007</v>
      </c>
      <c r="H123" s="212">
        <v>0</v>
      </c>
      <c r="I123" s="212">
        <f t="shared" ref="I123:I200" si="10">SUM(G123:H123)</f>
        <v>79.180000000000007</v>
      </c>
      <c r="J123" s="220">
        <f t="shared" si="9"/>
        <v>62.600816520000009</v>
      </c>
      <c r="K123" s="106" t="s">
        <v>893</v>
      </c>
      <c r="L123" s="106" t="s">
        <v>1212</v>
      </c>
      <c r="M123" s="106" t="s">
        <v>1213</v>
      </c>
      <c r="N123" s="106" t="s">
        <v>657</v>
      </c>
      <c r="O123" s="146" t="str">
        <f>_xlfn.XLOOKUP(N123,costcategory[Account Code],costcategory[Cost Category],"ERROR")</f>
        <v>Intercompany</v>
      </c>
      <c r="P123" s="4" t="s">
        <v>333</v>
      </c>
      <c r="Q123" s="147" t="str">
        <f>_xlfn.XLOOKUP(P123,Table2[Department],Table2[Group],"ERROR")</f>
        <v>General &amp; Administrative</v>
      </c>
      <c r="R123" s="138"/>
      <c r="S123" s="138"/>
      <c r="T123" s="138"/>
      <c r="V123" s="138" t="s">
        <v>1214</v>
      </c>
    </row>
    <row r="124" spans="1:22" ht="12.95" customHeight="1" x14ac:dyDescent="0.2">
      <c r="A124" s="2" t="s">
        <v>15</v>
      </c>
      <c r="B124" s="2" t="s">
        <v>1</v>
      </c>
      <c r="C124" s="3">
        <v>46083</v>
      </c>
      <c r="D124" s="3">
        <v>46083</v>
      </c>
      <c r="E124" s="3">
        <v>46083</v>
      </c>
      <c r="F124" s="2" t="s">
        <v>77</v>
      </c>
      <c r="G124" s="212">
        <v>-15086.4</v>
      </c>
      <c r="H124" s="205">
        <v>0</v>
      </c>
      <c r="I124" s="212">
        <f t="shared" si="10"/>
        <v>-15086.4</v>
      </c>
      <c r="J124" s="220">
        <f t="shared" si="9"/>
        <v>-11927.5190496</v>
      </c>
      <c r="K124" s="106" t="s">
        <v>670</v>
      </c>
      <c r="L124" s="106" t="s">
        <v>528</v>
      </c>
      <c r="M124" s="4" t="s">
        <v>696</v>
      </c>
      <c r="N124" s="106" t="s">
        <v>418</v>
      </c>
      <c r="O124" s="146" t="str">
        <f>_xlfn.XLOOKUP(N124,costcategory[Account Code],costcategory[Cost Category],"ERROR")</f>
        <v>Internal Fund Transfer</v>
      </c>
      <c r="P124" s="4" t="s">
        <v>66</v>
      </c>
      <c r="Q124" s="147" t="str">
        <f>_xlfn.XLOOKUP(P124,Table2[Department],Table2[Group],"ERROR")</f>
        <v>Others</v>
      </c>
      <c r="R124" s="138"/>
      <c r="S124" s="138"/>
      <c r="T124" s="138"/>
      <c r="U124" s="2" t="s">
        <v>1019</v>
      </c>
      <c r="V124" s="138" t="s">
        <v>1214</v>
      </c>
    </row>
    <row r="125" spans="1:22" ht="12.95" customHeight="1" x14ac:dyDescent="0.2">
      <c r="A125" s="2" t="s">
        <v>15</v>
      </c>
      <c r="B125" s="2" t="s">
        <v>1</v>
      </c>
      <c r="C125" s="3">
        <v>46083</v>
      </c>
      <c r="D125" s="3">
        <v>46083</v>
      </c>
      <c r="E125" s="3">
        <v>46083</v>
      </c>
      <c r="F125" s="2" t="s">
        <v>77</v>
      </c>
      <c r="G125" s="198">
        <v>-2191.54</v>
      </c>
      <c r="H125" s="205">
        <v>0</v>
      </c>
      <c r="I125" s="212">
        <f t="shared" si="10"/>
        <v>-2191.54</v>
      </c>
      <c r="J125" s="220">
        <f t="shared" si="9"/>
        <v>-1732.6622055600001</v>
      </c>
      <c r="K125" s="106" t="s">
        <v>670</v>
      </c>
      <c r="L125" s="106" t="s">
        <v>528</v>
      </c>
      <c r="M125" s="4" t="s">
        <v>777</v>
      </c>
      <c r="N125" s="106" t="s">
        <v>418</v>
      </c>
      <c r="O125" s="146" t="str">
        <f>_xlfn.XLOOKUP(N125,costcategory[Account Code],costcategory[Cost Category],"ERROR")</f>
        <v>Internal Fund Transfer</v>
      </c>
      <c r="P125" s="4" t="s">
        <v>66</v>
      </c>
      <c r="Q125" s="147" t="str">
        <f>_xlfn.XLOOKUP(P125,Table2[Department],Table2[Group],"ERROR")</f>
        <v>Others</v>
      </c>
      <c r="U125" s="2" t="s">
        <v>1215</v>
      </c>
      <c r="V125" s="138" t="s">
        <v>1214</v>
      </c>
    </row>
    <row r="126" spans="1:22" ht="12.95" customHeight="1" x14ac:dyDescent="0.2">
      <c r="A126" s="2" t="s">
        <v>15</v>
      </c>
      <c r="B126" s="2" t="s">
        <v>1</v>
      </c>
      <c r="C126" s="3">
        <v>46083</v>
      </c>
      <c r="D126" s="3">
        <v>46083</v>
      </c>
      <c r="E126" s="3">
        <v>46083</v>
      </c>
      <c r="F126" s="2" t="s">
        <v>77</v>
      </c>
      <c r="G126" s="212">
        <v>89977.5</v>
      </c>
      <c r="H126" s="205">
        <v>0</v>
      </c>
      <c r="I126" s="212">
        <f t="shared" si="10"/>
        <v>89977.5</v>
      </c>
      <c r="J126" s="212">
        <f t="shared" si="9"/>
        <v>71137.471185000002</v>
      </c>
      <c r="K126" s="106" t="s">
        <v>1216</v>
      </c>
      <c r="L126" s="144" t="s">
        <v>1217</v>
      </c>
      <c r="M126" s="4" t="s">
        <v>1218</v>
      </c>
      <c r="N126" s="106" t="s">
        <v>387</v>
      </c>
      <c r="O126" s="146" t="str">
        <f>_xlfn.XLOOKUP(N126,costcategory[Account Code],costcategory[Cost Category],"ERROR")</f>
        <v>Headcount Costs</v>
      </c>
      <c r="P126" s="4" t="s">
        <v>350</v>
      </c>
      <c r="Q126" s="147" t="str">
        <f>_xlfn.XLOOKUP(P126,Table2[Department],Table2[Group],"ERROR")</f>
        <v>General &amp; Administrative</v>
      </c>
      <c r="R126" s="138"/>
      <c r="S126" s="138"/>
      <c r="T126" s="138"/>
      <c r="U126" s="2" t="s">
        <v>1087</v>
      </c>
      <c r="V126" s="138" t="s">
        <v>1214</v>
      </c>
    </row>
    <row r="127" spans="1:22" ht="12.95" customHeight="1" x14ac:dyDescent="0.2">
      <c r="A127" s="2" t="s">
        <v>15</v>
      </c>
      <c r="B127" s="2" t="s">
        <v>1</v>
      </c>
      <c r="C127" s="3">
        <v>46083</v>
      </c>
      <c r="D127" s="3">
        <v>46083</v>
      </c>
      <c r="E127" s="3">
        <v>46083</v>
      </c>
      <c r="F127" s="2" t="s">
        <v>77</v>
      </c>
      <c r="G127" s="212">
        <v>-252600</v>
      </c>
      <c r="H127" s="205">
        <v>0</v>
      </c>
      <c r="I127" s="212">
        <f t="shared" si="10"/>
        <v>-252600</v>
      </c>
      <c r="J127" s="212">
        <f t="shared" si="9"/>
        <v>-199709.09640000001</v>
      </c>
      <c r="K127" s="106" t="s">
        <v>670</v>
      </c>
      <c r="L127" s="106" t="s">
        <v>528</v>
      </c>
      <c r="M127" s="4" t="s">
        <v>696</v>
      </c>
      <c r="N127" s="106" t="s">
        <v>418</v>
      </c>
      <c r="O127" s="146" t="str">
        <f>_xlfn.XLOOKUP(N127,costcategory[Account Code],costcategory[Cost Category],"ERROR")</f>
        <v>Internal Fund Transfer</v>
      </c>
      <c r="P127" s="4" t="s">
        <v>66</v>
      </c>
      <c r="Q127" s="147" t="str">
        <f>_xlfn.XLOOKUP(P127,Table2[Department],Table2[Group],"ERROR")</f>
        <v>Others</v>
      </c>
      <c r="R127" s="138"/>
      <c r="S127" s="138"/>
      <c r="T127" s="138"/>
      <c r="U127" s="2" t="s">
        <v>1219</v>
      </c>
      <c r="V127" s="138" t="s">
        <v>1214</v>
      </c>
    </row>
    <row r="128" spans="1:22" ht="12.95" customHeight="1" x14ac:dyDescent="0.2">
      <c r="A128" s="2" t="s">
        <v>15</v>
      </c>
      <c r="B128" s="2" t="s">
        <v>1</v>
      </c>
      <c r="C128" s="3">
        <v>46083</v>
      </c>
      <c r="D128" s="3">
        <v>46083</v>
      </c>
      <c r="E128" s="3">
        <v>46083</v>
      </c>
      <c r="F128" s="2" t="s">
        <v>77</v>
      </c>
      <c r="G128" s="212">
        <v>86365</v>
      </c>
      <c r="H128" s="205">
        <v>0</v>
      </c>
      <c r="I128" s="212">
        <f t="shared" si="10"/>
        <v>86365</v>
      </c>
      <c r="J128" s="212">
        <f t="shared" si="9"/>
        <v>68281.378110000005</v>
      </c>
      <c r="K128" s="106" t="s">
        <v>1216</v>
      </c>
      <c r="L128" s="144" t="s">
        <v>1217</v>
      </c>
      <c r="M128" s="4" t="s">
        <v>1220</v>
      </c>
      <c r="N128" s="106" t="s">
        <v>387</v>
      </c>
      <c r="O128" s="146" t="str">
        <f>_xlfn.XLOOKUP(N128,costcategory[Account Code],costcategory[Cost Category],"ERROR")</f>
        <v>Headcount Costs</v>
      </c>
      <c r="P128" s="4" t="s">
        <v>350</v>
      </c>
      <c r="Q128" s="147" t="str">
        <f>_xlfn.XLOOKUP(P128,Table2[Department],Table2[Group],"ERROR")</f>
        <v>General &amp; Administrative</v>
      </c>
      <c r="R128" s="138"/>
      <c r="S128" s="138"/>
      <c r="T128" s="138"/>
      <c r="U128" s="2" t="s">
        <v>1088</v>
      </c>
      <c r="V128" s="138" t="s">
        <v>1214</v>
      </c>
    </row>
    <row r="129" spans="1:22" ht="12.95" customHeight="1" x14ac:dyDescent="0.2">
      <c r="A129" s="2" t="s">
        <v>15</v>
      </c>
      <c r="B129" s="2" t="s">
        <v>1</v>
      </c>
      <c r="C129" s="3">
        <v>46083</v>
      </c>
      <c r="D129" s="3">
        <v>46083</v>
      </c>
      <c r="E129" s="3">
        <v>46083</v>
      </c>
      <c r="F129" s="2" t="s">
        <v>77</v>
      </c>
      <c r="G129" s="212">
        <v>23892</v>
      </c>
      <c r="H129" s="205">
        <f>G129*0.09</f>
        <v>2150.2799999999997</v>
      </c>
      <c r="I129" s="227">
        <f t="shared" si="10"/>
        <v>26042.28</v>
      </c>
      <c r="J129" s="220">
        <f t="shared" si="9"/>
        <v>20589.39115992</v>
      </c>
      <c r="K129" s="106" t="s">
        <v>759</v>
      </c>
      <c r="L129" s="144" t="s">
        <v>778</v>
      </c>
      <c r="M129" s="4" t="s">
        <v>1221</v>
      </c>
      <c r="N129" s="106" t="s">
        <v>409</v>
      </c>
      <c r="O129" s="146" t="str">
        <f>_xlfn.XLOOKUP(N129,costcategory[Account Code],costcategory[Cost Category],"ERROR")</f>
        <v>Rental</v>
      </c>
      <c r="P129" s="4" t="s">
        <v>340</v>
      </c>
      <c r="Q129" s="147" t="str">
        <f>_xlfn.XLOOKUP(P129,Table2[Department],Table2[Group],"ERROR")</f>
        <v>General &amp; Administrative</v>
      </c>
      <c r="R129" s="138"/>
      <c r="S129" s="138"/>
      <c r="T129" s="138"/>
      <c r="V129" s="138" t="s">
        <v>1211</v>
      </c>
    </row>
    <row r="130" spans="1:22" ht="12.95" customHeight="1" x14ac:dyDescent="0.2">
      <c r="A130" s="2" t="s">
        <v>15</v>
      </c>
      <c r="B130" s="2" t="s">
        <v>1</v>
      </c>
      <c r="C130" s="3">
        <v>46083</v>
      </c>
      <c r="D130" s="3">
        <v>46083</v>
      </c>
      <c r="E130" s="3">
        <v>46083</v>
      </c>
      <c r="F130" s="2" t="s">
        <v>77</v>
      </c>
      <c r="G130" s="212">
        <v>129.26</v>
      </c>
      <c r="H130" s="205">
        <f>G130*0.09</f>
        <v>11.633399999999998</v>
      </c>
      <c r="I130" s="228">
        <f t="shared" ref="I130:I135" si="11">SUM(G130:H130)</f>
        <v>140.89339999999999</v>
      </c>
      <c r="J130" s="220">
        <f t="shared" si="9"/>
        <v>111.39229454759999</v>
      </c>
      <c r="K130" s="106" t="s">
        <v>667</v>
      </c>
      <c r="L130" s="144" t="s">
        <v>779</v>
      </c>
      <c r="M130" s="4" t="s">
        <v>1222</v>
      </c>
      <c r="N130" s="106" t="s">
        <v>58</v>
      </c>
      <c r="O130" s="146" t="str">
        <f>_xlfn.XLOOKUP(N130,costcategory[Account Code],costcategory[Cost Category],"ERROR")</f>
        <v>Network &amp; Server</v>
      </c>
      <c r="P130" s="4" t="s">
        <v>376</v>
      </c>
      <c r="Q130" s="147" t="str">
        <f>_xlfn.XLOOKUP(P130,Table2[Department],Table2[Group],"ERROR")</f>
        <v>General &amp; Administrative</v>
      </c>
      <c r="R130" s="138"/>
      <c r="S130" s="138"/>
      <c r="T130" s="138"/>
      <c r="V130" s="138" t="s">
        <v>1211</v>
      </c>
    </row>
    <row r="131" spans="1:22" ht="12.95" customHeight="1" x14ac:dyDescent="0.2">
      <c r="A131" s="2" t="s">
        <v>15</v>
      </c>
      <c r="B131" s="2" t="s">
        <v>1</v>
      </c>
      <c r="C131" s="3">
        <v>46083</v>
      </c>
      <c r="D131" s="3">
        <v>46083</v>
      </c>
      <c r="E131" s="3">
        <v>46083</v>
      </c>
      <c r="F131" s="2" t="s">
        <v>77</v>
      </c>
      <c r="G131" s="212">
        <v>29179</v>
      </c>
      <c r="H131" s="205">
        <v>2356.11</v>
      </c>
      <c r="I131" s="228">
        <f t="shared" si="11"/>
        <v>31535.11</v>
      </c>
      <c r="J131" s="220">
        <f t="shared" si="9"/>
        <v>24932.09945754</v>
      </c>
      <c r="K131" s="106" t="s">
        <v>1223</v>
      </c>
      <c r="L131" s="144" t="s">
        <v>780</v>
      </c>
      <c r="M131" s="4" t="s">
        <v>1224</v>
      </c>
      <c r="N131" s="106" t="s">
        <v>349</v>
      </c>
      <c r="O131" s="146" t="str">
        <f>_xlfn.XLOOKUP(N131,costcategory[Account Code],costcategory[Cost Category],"ERROR")</f>
        <v>Employee Benefits</v>
      </c>
      <c r="P131" s="4" t="s">
        <v>350</v>
      </c>
      <c r="Q131" s="147" t="str">
        <f>_xlfn.XLOOKUP(P131,Table2[Department],Table2[Group],"ERROR")</f>
        <v>General &amp; Administrative</v>
      </c>
      <c r="R131" s="138"/>
      <c r="S131" s="138"/>
      <c r="T131" s="138"/>
      <c r="V131" s="138" t="s">
        <v>1211</v>
      </c>
    </row>
    <row r="132" spans="1:22" ht="12.95" customHeight="1" x14ac:dyDescent="0.2">
      <c r="A132" s="2" t="s">
        <v>15</v>
      </c>
      <c r="B132" s="2" t="s">
        <v>1</v>
      </c>
      <c r="C132" s="3">
        <v>46083</v>
      </c>
      <c r="D132" s="3">
        <v>46083</v>
      </c>
      <c r="E132" s="3">
        <v>46083</v>
      </c>
      <c r="F132" s="2" t="s">
        <v>77</v>
      </c>
      <c r="G132" s="212">
        <v>57</v>
      </c>
      <c r="H132" s="205">
        <f>G132*0.09</f>
        <v>5.13</v>
      </c>
      <c r="I132" s="228">
        <f t="shared" si="11"/>
        <v>62.13</v>
      </c>
      <c r="J132" s="220">
        <f t="shared" si="9"/>
        <v>49.120847820000002</v>
      </c>
      <c r="K132" s="106" t="s">
        <v>1225</v>
      </c>
      <c r="L132" s="144" t="s">
        <v>781</v>
      </c>
      <c r="M132" s="4" t="s">
        <v>1226</v>
      </c>
      <c r="N132" s="106" t="s">
        <v>50</v>
      </c>
      <c r="O132" s="146" t="str">
        <f>_xlfn.XLOOKUP(N132,costcategory[Account Code],costcategory[Cost Category],"ERROR")</f>
        <v>Office Supplies</v>
      </c>
      <c r="P132" s="4" t="s">
        <v>340</v>
      </c>
      <c r="Q132" s="147" t="str">
        <f>_xlfn.XLOOKUP(P132,Table2[Department],Table2[Group],"ERROR")</f>
        <v>General &amp; Administrative</v>
      </c>
      <c r="R132" s="138"/>
      <c r="S132" s="138"/>
      <c r="T132" s="138"/>
      <c r="V132" s="138" t="s">
        <v>1211</v>
      </c>
    </row>
    <row r="133" spans="1:22" ht="12.95" customHeight="1" x14ac:dyDescent="0.2">
      <c r="A133" s="2" t="s">
        <v>15</v>
      </c>
      <c r="B133" s="2" t="s">
        <v>1</v>
      </c>
      <c r="C133" s="3">
        <v>46083</v>
      </c>
      <c r="D133" s="3">
        <v>46083</v>
      </c>
      <c r="E133" s="3">
        <v>46083</v>
      </c>
      <c r="F133" s="2" t="s">
        <v>77</v>
      </c>
      <c r="G133" s="205">
        <v>3670</v>
      </c>
      <c r="H133" s="205">
        <f>G133*0.09</f>
        <v>330.3</v>
      </c>
      <c r="I133" s="228">
        <f t="shared" si="11"/>
        <v>4000.3</v>
      </c>
      <c r="J133" s="220">
        <f t="shared" si="9"/>
        <v>3162.6931842000004</v>
      </c>
      <c r="K133" s="106" t="s">
        <v>1227</v>
      </c>
      <c r="L133" s="144" t="s">
        <v>782</v>
      </c>
      <c r="M133" s="4" t="s">
        <v>1228</v>
      </c>
      <c r="N133" s="106" t="s">
        <v>691</v>
      </c>
      <c r="O133" s="146" t="str">
        <f>_xlfn.XLOOKUP(N133,costcategory[Account Code],costcategory[Cost Category],"ERROR")</f>
        <v>Small Value Assets</v>
      </c>
      <c r="P133" s="4" t="s">
        <v>66</v>
      </c>
      <c r="Q133" s="147" t="str">
        <f>_xlfn.XLOOKUP(P133,Table2[Department],Table2[Group],"ERROR")</f>
        <v>Others</v>
      </c>
      <c r="R133" s="138"/>
      <c r="S133" s="138"/>
      <c r="T133" s="138"/>
      <c r="V133" s="138" t="s">
        <v>1211</v>
      </c>
    </row>
    <row r="134" spans="1:22" ht="12.95" customHeight="1" x14ac:dyDescent="0.2">
      <c r="A134" s="2" t="s">
        <v>15</v>
      </c>
      <c r="B134" s="2" t="s">
        <v>1</v>
      </c>
      <c r="C134" s="3">
        <v>46083</v>
      </c>
      <c r="D134" s="3">
        <v>46083</v>
      </c>
      <c r="E134" s="3">
        <v>46083</v>
      </c>
      <c r="F134" s="2" t="s">
        <v>77</v>
      </c>
      <c r="G134" s="212">
        <v>7897.34</v>
      </c>
      <c r="H134" s="205">
        <f t="shared" ref="H134:H136" si="12">G134*0.09</f>
        <v>710.76059999999995</v>
      </c>
      <c r="I134" s="228">
        <f t="shared" ref="I134" si="13">SUM(G134:H134)</f>
        <v>8608.1005999999998</v>
      </c>
      <c r="J134" s="220">
        <f t="shared" si="9"/>
        <v>6805.6848477683998</v>
      </c>
      <c r="K134" s="106" t="s">
        <v>661</v>
      </c>
      <c r="L134" s="144" t="s">
        <v>783</v>
      </c>
      <c r="M134" s="4" t="s">
        <v>784</v>
      </c>
      <c r="N134" s="106" t="s">
        <v>58</v>
      </c>
      <c r="O134" s="146" t="str">
        <f>_xlfn.XLOOKUP(N134,costcategory[Account Code],costcategory[Cost Category],"ERROR")</f>
        <v>Network &amp; Server</v>
      </c>
      <c r="P134" s="4" t="s">
        <v>59</v>
      </c>
      <c r="Q134" s="147" t="str">
        <f>_xlfn.XLOOKUP(P134,Table2[Department],Table2[Group],"ERROR")</f>
        <v>Research &amp; Development</v>
      </c>
      <c r="R134" s="138"/>
      <c r="S134" s="138"/>
      <c r="T134" s="138"/>
      <c r="V134" s="138" t="s">
        <v>1211</v>
      </c>
    </row>
    <row r="135" spans="1:22" ht="12.95" customHeight="1" x14ac:dyDescent="0.2">
      <c r="A135" s="2" t="s">
        <v>15</v>
      </c>
      <c r="B135" s="2" t="s">
        <v>1</v>
      </c>
      <c r="C135" s="3">
        <v>46083</v>
      </c>
      <c r="D135" s="3">
        <v>46083</v>
      </c>
      <c r="E135" s="3">
        <v>46083</v>
      </c>
      <c r="F135" s="2" t="s">
        <v>77</v>
      </c>
      <c r="G135" s="212">
        <v>293.19</v>
      </c>
      <c r="H135" s="205">
        <f t="shared" si="12"/>
        <v>26.3871</v>
      </c>
      <c r="I135" s="228">
        <f t="shared" si="11"/>
        <v>319.57709999999997</v>
      </c>
      <c r="J135" s="220">
        <f t="shared" si="9"/>
        <v>252.6621293394</v>
      </c>
      <c r="K135" s="106" t="s">
        <v>661</v>
      </c>
      <c r="L135" s="144" t="s">
        <v>783</v>
      </c>
      <c r="M135" s="4" t="s">
        <v>784</v>
      </c>
      <c r="N135" s="106" t="s">
        <v>58</v>
      </c>
      <c r="O135" s="146" t="str">
        <f>_xlfn.XLOOKUP(N135,costcategory[Account Code],costcategory[Cost Category],"ERROR")</f>
        <v>Network &amp; Server</v>
      </c>
      <c r="P135" s="4" t="s">
        <v>56</v>
      </c>
      <c r="Q135" s="147" t="str">
        <f>_xlfn.XLOOKUP(P135,Table2[Department],Table2[Group],"ERROR")</f>
        <v>Research &amp; Development</v>
      </c>
      <c r="R135" s="138"/>
      <c r="S135" s="138"/>
      <c r="T135" s="138"/>
      <c r="V135" s="138" t="s">
        <v>1211</v>
      </c>
    </row>
    <row r="136" spans="1:22" ht="12.95" customHeight="1" x14ac:dyDescent="0.2">
      <c r="A136" s="2" t="s">
        <v>15</v>
      </c>
      <c r="B136" s="2" t="s">
        <v>1</v>
      </c>
      <c r="C136" s="3">
        <v>46083</v>
      </c>
      <c r="D136" s="3">
        <v>46083</v>
      </c>
      <c r="E136" s="3">
        <v>46083</v>
      </c>
      <c r="F136" s="2" t="s">
        <v>77</v>
      </c>
      <c r="G136" s="212">
        <v>194.25</v>
      </c>
      <c r="H136" s="205">
        <f t="shared" si="12"/>
        <v>17.482499999999998</v>
      </c>
      <c r="I136" s="229">
        <f t="shared" ref="I136" si="14">SUM(G136:H136)</f>
        <v>211.73249999999999</v>
      </c>
      <c r="J136" s="220">
        <f t="shared" si="9"/>
        <v>167.39867875499999</v>
      </c>
      <c r="K136" s="106" t="s">
        <v>661</v>
      </c>
      <c r="L136" s="144" t="s">
        <v>783</v>
      </c>
      <c r="M136" s="4" t="s">
        <v>784</v>
      </c>
      <c r="N136" s="106" t="s">
        <v>58</v>
      </c>
      <c r="O136" s="146" t="str">
        <f>_xlfn.XLOOKUP(N136,costcategory[Account Code],costcategory[Cost Category],"ERROR")</f>
        <v>Network &amp; Server</v>
      </c>
      <c r="P136" s="4" t="s">
        <v>57</v>
      </c>
      <c r="Q136" s="147" t="str">
        <f>_xlfn.XLOOKUP(P136,Table2[Department],Table2[Group],"ERROR")</f>
        <v>Research &amp; Development</v>
      </c>
      <c r="R136" s="138"/>
      <c r="S136" s="138"/>
      <c r="T136" s="138"/>
      <c r="V136" s="138" t="s">
        <v>1211</v>
      </c>
    </row>
    <row r="137" spans="1:22" ht="12.95" customHeight="1" x14ac:dyDescent="0.2">
      <c r="A137" s="2" t="s">
        <v>15</v>
      </c>
      <c r="B137" s="2" t="s">
        <v>1</v>
      </c>
      <c r="C137" s="3">
        <v>46083</v>
      </c>
      <c r="D137" s="3">
        <v>46083</v>
      </c>
      <c r="E137" s="3">
        <v>46083</v>
      </c>
      <c r="F137" s="2" t="s">
        <v>77</v>
      </c>
      <c r="G137" s="212">
        <v>180.11</v>
      </c>
      <c r="H137" s="205">
        <v>0</v>
      </c>
      <c r="I137" s="212">
        <f t="shared" si="10"/>
        <v>180.11</v>
      </c>
      <c r="J137" s="220">
        <f t="shared" si="9"/>
        <v>142.39748754000001</v>
      </c>
      <c r="K137" s="106" t="s">
        <v>659</v>
      </c>
      <c r="L137" s="144"/>
      <c r="M137" s="4" t="s">
        <v>785</v>
      </c>
      <c r="N137" s="106" t="s">
        <v>786</v>
      </c>
      <c r="O137" s="146" t="str">
        <f>_xlfn.XLOOKUP(N137,costcategory[Account Code],costcategory[Cost Category],"ERROR")</f>
        <v>Current Asset</v>
      </c>
      <c r="P137" s="4" t="s">
        <v>340</v>
      </c>
      <c r="Q137" s="147" t="str">
        <f>_xlfn.XLOOKUP(P137,Table2[Department],Table2[Group],"ERROR")</f>
        <v>General &amp; Administrative</v>
      </c>
      <c r="R137" s="138"/>
      <c r="S137" s="138"/>
      <c r="T137" s="138"/>
      <c r="U137" s="2" t="s">
        <v>1229</v>
      </c>
      <c r="V137" s="138" t="s">
        <v>1214</v>
      </c>
    </row>
    <row r="138" spans="1:22" ht="12.95" customHeight="1" x14ac:dyDescent="0.2">
      <c r="A138" s="2" t="s">
        <v>15</v>
      </c>
      <c r="B138" s="2" t="s">
        <v>1</v>
      </c>
      <c r="C138" s="3">
        <v>46084</v>
      </c>
      <c r="D138" s="3">
        <v>46084</v>
      </c>
      <c r="E138" s="3">
        <v>46084</v>
      </c>
      <c r="F138" s="2" t="s">
        <v>77</v>
      </c>
      <c r="G138" s="212">
        <v>805.87</v>
      </c>
      <c r="H138" s="205">
        <v>0</v>
      </c>
      <c r="I138" s="212">
        <f t="shared" si="10"/>
        <v>805.87</v>
      </c>
      <c r="J138" s="220">
        <f t="shared" si="9"/>
        <v>637.13210418000006</v>
      </c>
      <c r="K138" s="106" t="s">
        <v>787</v>
      </c>
      <c r="L138" s="144" t="s">
        <v>1230</v>
      </c>
      <c r="M138" s="4" t="s">
        <v>788</v>
      </c>
      <c r="N138" s="106" t="s">
        <v>387</v>
      </c>
      <c r="O138" s="146" t="str">
        <f>_xlfn.XLOOKUP(N138,costcategory[Account Code],costcategory[Cost Category],"ERROR")</f>
        <v>Headcount Costs</v>
      </c>
      <c r="P138" s="4" t="s">
        <v>350</v>
      </c>
      <c r="Q138" s="147" t="str">
        <f>_xlfn.XLOOKUP(P138,Table2[Department],Table2[Group],"ERROR")</f>
        <v>General &amp; Administrative</v>
      </c>
      <c r="R138" s="138"/>
      <c r="S138" s="138"/>
      <c r="T138" s="138"/>
      <c r="U138" s="2" t="s">
        <v>1089</v>
      </c>
      <c r="V138" s="138" t="s">
        <v>1214</v>
      </c>
    </row>
    <row r="139" spans="1:22" ht="12.95" customHeight="1" x14ac:dyDescent="0.2">
      <c r="A139" s="2" t="s">
        <v>15</v>
      </c>
      <c r="B139" s="2" t="s">
        <v>1</v>
      </c>
      <c r="C139" s="3">
        <v>46084</v>
      </c>
      <c r="D139" s="3">
        <v>46084</v>
      </c>
      <c r="E139" s="3">
        <v>46084</v>
      </c>
      <c r="F139" s="2" t="s">
        <v>77</v>
      </c>
      <c r="G139" s="212">
        <v>-240498.35</v>
      </c>
      <c r="H139" s="205">
        <v>0</v>
      </c>
      <c r="I139" s="212">
        <f t="shared" si="10"/>
        <v>-240498.35</v>
      </c>
      <c r="J139" s="212">
        <f t="shared" si="9"/>
        <v>-190141.36248690001</v>
      </c>
      <c r="K139" s="106" t="s">
        <v>789</v>
      </c>
      <c r="L139" s="144"/>
      <c r="M139" s="4" t="s">
        <v>1231</v>
      </c>
      <c r="N139" s="106" t="s">
        <v>657</v>
      </c>
      <c r="O139" s="146" t="str">
        <f>_xlfn.XLOOKUP(N139,costcategory[Account Code],costcategory[Cost Category],"ERROR")</f>
        <v>Intercompany</v>
      </c>
      <c r="P139" s="4" t="s">
        <v>66</v>
      </c>
      <c r="Q139" s="147" t="str">
        <f>_xlfn.XLOOKUP(P139,Table2[Department],Table2[Group],"ERROR")</f>
        <v>Others</v>
      </c>
      <c r="R139" s="138"/>
      <c r="S139" s="138"/>
      <c r="T139" s="138"/>
      <c r="U139" s="2" t="s">
        <v>1232</v>
      </c>
      <c r="V139" s="138" t="s">
        <v>1214</v>
      </c>
    </row>
    <row r="140" spans="1:22" ht="12.95" customHeight="1" x14ac:dyDescent="0.2">
      <c r="A140" s="2" t="s">
        <v>15</v>
      </c>
      <c r="B140" s="2" t="s">
        <v>1</v>
      </c>
      <c r="C140" s="3">
        <v>46084</v>
      </c>
      <c r="D140" s="3">
        <v>46084</v>
      </c>
      <c r="E140" s="3">
        <v>46084</v>
      </c>
      <c r="F140" s="2" t="s">
        <v>77</v>
      </c>
      <c r="G140" s="212">
        <v>11422.09</v>
      </c>
      <c r="H140" s="205">
        <v>0</v>
      </c>
      <c r="I140" s="212">
        <f t="shared" si="10"/>
        <v>11422.09</v>
      </c>
      <c r="J140" s="212">
        <f t="shared" si="9"/>
        <v>9030.4642632600007</v>
      </c>
      <c r="K140" s="106" t="s">
        <v>790</v>
      </c>
      <c r="L140" s="144"/>
      <c r="M140" s="4" t="s">
        <v>791</v>
      </c>
      <c r="N140" s="106" t="s">
        <v>387</v>
      </c>
      <c r="O140" s="146" t="str">
        <f>_xlfn.XLOOKUP(N140,costcategory[Account Code],costcategory[Cost Category],"ERROR")</f>
        <v>Headcount Costs</v>
      </c>
      <c r="P140" s="4" t="s">
        <v>350</v>
      </c>
      <c r="Q140" s="147" t="str">
        <f>_xlfn.XLOOKUP(P140,Table2[Department],Table2[Group],"ERROR")</f>
        <v>General &amp; Administrative</v>
      </c>
      <c r="R140" s="138"/>
      <c r="S140" s="138"/>
      <c r="T140" s="138"/>
      <c r="U140" s="2" t="s">
        <v>1090</v>
      </c>
      <c r="V140" s="138" t="s">
        <v>1214</v>
      </c>
    </row>
    <row r="141" spans="1:22" ht="12.95" customHeight="1" x14ac:dyDescent="0.2">
      <c r="A141" s="2" t="s">
        <v>15</v>
      </c>
      <c r="B141" s="2" t="s">
        <v>1</v>
      </c>
      <c r="C141" s="3">
        <v>46084</v>
      </c>
      <c r="D141" s="3">
        <v>46084</v>
      </c>
      <c r="E141" s="3">
        <v>46084</v>
      </c>
      <c r="F141" s="2" t="s">
        <v>77</v>
      </c>
      <c r="G141" s="212">
        <v>10</v>
      </c>
      <c r="H141" s="205">
        <v>0</v>
      </c>
      <c r="I141" s="212">
        <f t="shared" si="10"/>
        <v>10</v>
      </c>
      <c r="J141" s="212">
        <f t="shared" si="9"/>
        <v>7.9061400000000006</v>
      </c>
      <c r="K141" s="106" t="s">
        <v>670</v>
      </c>
      <c r="L141" s="106" t="s">
        <v>792</v>
      </c>
      <c r="M141" s="4" t="s">
        <v>332</v>
      </c>
      <c r="N141" s="106" t="s">
        <v>332</v>
      </c>
      <c r="O141" s="146" t="str">
        <f>_xlfn.XLOOKUP(N141,costcategory[Account Code],costcategory[Cost Category],"ERROR")</f>
        <v>Bank Charges</v>
      </c>
      <c r="P141" s="4" t="s">
        <v>333</v>
      </c>
      <c r="Q141" s="147" t="str">
        <f>_xlfn.XLOOKUP(P141,Table2[Department],Table2[Group],"ERROR")</f>
        <v>General &amp; Administrative</v>
      </c>
      <c r="R141" s="138"/>
      <c r="S141" s="138"/>
      <c r="T141" s="138"/>
      <c r="U141" s="2" t="s">
        <v>1233</v>
      </c>
      <c r="V141" s="138" t="s">
        <v>1214</v>
      </c>
    </row>
    <row r="142" spans="1:22" ht="12.95" customHeight="1" x14ac:dyDescent="0.2">
      <c r="A142" s="2" t="s">
        <v>15</v>
      </c>
      <c r="B142" s="2" t="s">
        <v>1</v>
      </c>
      <c r="C142" s="3">
        <v>46087</v>
      </c>
      <c r="D142" s="3">
        <v>46087</v>
      </c>
      <c r="E142" s="3">
        <v>46087</v>
      </c>
      <c r="F142" s="2" t="s">
        <v>77</v>
      </c>
      <c r="G142" s="212">
        <v>-2099</v>
      </c>
      <c r="H142" s="205">
        <v>-188.91</v>
      </c>
      <c r="I142" s="212">
        <f t="shared" si="10"/>
        <v>-2287.91</v>
      </c>
      <c r="J142" s="212">
        <f t="shared" si="9"/>
        <v>-1808.8536767400001</v>
      </c>
      <c r="K142" s="106" t="s">
        <v>138</v>
      </c>
      <c r="L142" s="144" t="s">
        <v>139</v>
      </c>
      <c r="M142" s="4" t="s">
        <v>140</v>
      </c>
      <c r="N142" s="106" t="s">
        <v>382</v>
      </c>
      <c r="O142" s="146" t="str">
        <f>_xlfn.XLOOKUP(N142,costcategory[Account Code],costcategory[Cost Category],"ERROR")</f>
        <v>Revenue</v>
      </c>
      <c r="P142" s="4" t="s">
        <v>658</v>
      </c>
      <c r="Q142" s="147" t="str">
        <f>_xlfn.XLOOKUP(P142,Table2[Department],Table2[Group],"ERROR")</f>
        <v>Sales &amp; Marketing</v>
      </c>
      <c r="R142" s="138"/>
      <c r="S142" s="138"/>
      <c r="T142" s="138"/>
      <c r="U142" s="2" t="s">
        <v>1234</v>
      </c>
      <c r="V142" s="138" t="s">
        <v>1211</v>
      </c>
    </row>
    <row r="143" spans="1:22" ht="12.95" customHeight="1" x14ac:dyDescent="0.2">
      <c r="A143" s="2" t="s">
        <v>15</v>
      </c>
      <c r="B143" s="2" t="s">
        <v>1</v>
      </c>
      <c r="C143" s="3">
        <v>46090</v>
      </c>
      <c r="D143" s="3">
        <v>46090</v>
      </c>
      <c r="E143" s="3">
        <v>46090</v>
      </c>
      <c r="F143" s="2" t="s">
        <v>77</v>
      </c>
      <c r="G143" s="212">
        <v>26034.5</v>
      </c>
      <c r="H143" s="205">
        <v>0</v>
      </c>
      <c r="I143" s="212">
        <f t="shared" si="10"/>
        <v>26034.5</v>
      </c>
      <c r="J143" s="212">
        <f t="shared" si="9"/>
        <v>20583.240183000002</v>
      </c>
      <c r="K143" s="106" t="s">
        <v>672</v>
      </c>
      <c r="L143" s="106" t="s">
        <v>793</v>
      </c>
      <c r="M143" s="4" t="s">
        <v>794</v>
      </c>
      <c r="N143" s="106" t="s">
        <v>387</v>
      </c>
      <c r="O143" s="146" t="str">
        <f>_xlfn.XLOOKUP(N143,costcategory[Account Code],costcategory[Cost Category],"ERROR")</f>
        <v>Headcount Costs</v>
      </c>
      <c r="P143" s="4" t="s">
        <v>350</v>
      </c>
      <c r="Q143" s="147" t="str">
        <f>_xlfn.XLOOKUP(P143,Table2[Department],Table2[Group],"ERROR")</f>
        <v>General &amp; Administrative</v>
      </c>
      <c r="R143" s="138"/>
      <c r="S143" s="138"/>
      <c r="T143" s="138"/>
      <c r="U143" s="2" t="s">
        <v>1091</v>
      </c>
      <c r="V143" s="138" t="s">
        <v>1214</v>
      </c>
    </row>
    <row r="144" spans="1:22" ht="12.95" customHeight="1" x14ac:dyDescent="0.2">
      <c r="A144" s="2" t="s">
        <v>15</v>
      </c>
      <c r="B144" s="2" t="s">
        <v>1</v>
      </c>
      <c r="C144" s="3">
        <v>46093</v>
      </c>
      <c r="D144" s="3">
        <v>46093</v>
      </c>
      <c r="E144" s="3">
        <v>46093</v>
      </c>
      <c r="F144" s="2" t="s">
        <v>77</v>
      </c>
      <c r="G144" s="212">
        <v>-4100</v>
      </c>
      <c r="H144" s="205">
        <v>0</v>
      </c>
      <c r="I144" s="212">
        <f t="shared" si="10"/>
        <v>-4100</v>
      </c>
      <c r="J144" s="212">
        <f t="shared" si="9"/>
        <v>-3241.5174000000002</v>
      </c>
      <c r="K144" s="106" t="s">
        <v>790</v>
      </c>
      <c r="L144" s="144"/>
      <c r="M144" s="4" t="s">
        <v>795</v>
      </c>
      <c r="N144" s="106" t="s">
        <v>795</v>
      </c>
      <c r="O144" s="146" t="str">
        <f>_xlfn.XLOOKUP(N144,costcategory[Account Code],costcategory[Cost Category],"ERROR")</f>
        <v>Other Income</v>
      </c>
      <c r="P144" s="4" t="s">
        <v>340</v>
      </c>
      <c r="Q144" s="147" t="str">
        <f>_xlfn.XLOOKUP(P144,Table2[Department],Table2[Group],"ERROR")</f>
        <v>General &amp; Administrative</v>
      </c>
      <c r="R144" s="138"/>
      <c r="S144" s="138"/>
      <c r="T144" s="138"/>
      <c r="U144" s="2" t="s">
        <v>1235</v>
      </c>
      <c r="V144" s="138" t="s">
        <v>1214</v>
      </c>
    </row>
    <row r="145" spans="1:22" ht="12.95" customHeight="1" x14ac:dyDescent="0.2">
      <c r="A145" s="2" t="s">
        <v>15</v>
      </c>
      <c r="B145" s="2" t="s">
        <v>1</v>
      </c>
      <c r="C145" s="3">
        <v>46094</v>
      </c>
      <c r="D145" s="3">
        <v>46094</v>
      </c>
      <c r="E145" s="3">
        <v>46094</v>
      </c>
      <c r="F145" s="2" t="s">
        <v>77</v>
      </c>
      <c r="G145" s="212">
        <v>152.6</v>
      </c>
      <c r="H145" s="205">
        <v>0</v>
      </c>
      <c r="I145" s="212">
        <f t="shared" si="10"/>
        <v>152.6</v>
      </c>
      <c r="J145" s="212">
        <f t="shared" si="9"/>
        <v>120.6476964</v>
      </c>
      <c r="K145" s="106" t="s">
        <v>1236</v>
      </c>
      <c r="L145" s="144" t="s">
        <v>796</v>
      </c>
      <c r="M145" s="4" t="s">
        <v>797</v>
      </c>
      <c r="N145" s="106" t="s">
        <v>540</v>
      </c>
      <c r="O145" s="146" t="str">
        <f>_xlfn.XLOOKUP(N145,costcategory[Account Code],costcategory[Cost Category],"ERROR")</f>
        <v>Employee Benefits</v>
      </c>
      <c r="P145" s="4" t="s">
        <v>340</v>
      </c>
      <c r="Q145" s="147" t="str">
        <f>_xlfn.XLOOKUP(P145,Table2[Department],Table2[Group],"ERROR")</f>
        <v>General &amp; Administrative</v>
      </c>
      <c r="R145" s="138"/>
      <c r="S145" s="138"/>
      <c r="T145" s="138"/>
      <c r="U145" s="2" t="s">
        <v>1233</v>
      </c>
      <c r="V145" s="138" t="s">
        <v>1214</v>
      </c>
    </row>
    <row r="146" spans="1:22" ht="12.95" customHeight="1" x14ac:dyDescent="0.2">
      <c r="A146" s="2" t="s">
        <v>15</v>
      </c>
      <c r="B146" s="2" t="s">
        <v>1</v>
      </c>
      <c r="C146" s="3">
        <v>46094</v>
      </c>
      <c r="D146" s="3">
        <v>46094</v>
      </c>
      <c r="E146" s="3">
        <v>46094</v>
      </c>
      <c r="F146" s="2" t="s">
        <v>77</v>
      </c>
      <c r="G146" s="212">
        <v>558.39</v>
      </c>
      <c r="H146" s="205">
        <v>0</v>
      </c>
      <c r="I146" s="227">
        <f t="shared" si="10"/>
        <v>558.39</v>
      </c>
      <c r="J146" s="212">
        <f t="shared" si="9"/>
        <v>441.47095146000004</v>
      </c>
      <c r="K146" s="106" t="s">
        <v>564</v>
      </c>
      <c r="L146" s="144" t="s">
        <v>564</v>
      </c>
      <c r="M146" s="4" t="s">
        <v>474</v>
      </c>
      <c r="N146" s="106" t="s">
        <v>475</v>
      </c>
      <c r="O146" s="146" t="str">
        <f>_xlfn.XLOOKUP(N146,costcategory[Account Code],costcategory[Cost Category],"ERROR")</f>
        <v>Travelling Expenses</v>
      </c>
      <c r="P146" s="4" t="s">
        <v>59</v>
      </c>
      <c r="Q146" s="147" t="str">
        <f>_xlfn.XLOOKUP(P146,Table2[Department],Table2[Group],"ERROR")</f>
        <v>Research &amp; Development</v>
      </c>
      <c r="R146" s="138"/>
      <c r="S146" s="138"/>
      <c r="T146" s="138"/>
      <c r="U146" s="2" t="s">
        <v>1237</v>
      </c>
      <c r="V146" s="138" t="s">
        <v>1214</v>
      </c>
    </row>
    <row r="147" spans="1:22" ht="12.95" customHeight="1" x14ac:dyDescent="0.2">
      <c r="A147" s="2" t="s">
        <v>15</v>
      </c>
      <c r="B147" s="2" t="s">
        <v>1</v>
      </c>
      <c r="C147" s="3">
        <v>46094</v>
      </c>
      <c r="D147" s="3">
        <v>46094</v>
      </c>
      <c r="E147" s="3">
        <v>46094</v>
      </c>
      <c r="F147" s="2" t="s">
        <v>77</v>
      </c>
      <c r="G147" s="212">
        <v>110.43</v>
      </c>
      <c r="H147" s="205">
        <v>0</v>
      </c>
      <c r="I147" s="228">
        <f t="shared" ref="I147" si="15">SUM(G147:H147)</f>
        <v>110.43</v>
      </c>
      <c r="J147" s="212">
        <f t="shared" si="9"/>
        <v>87.30750402000001</v>
      </c>
      <c r="K147" s="106" t="s">
        <v>564</v>
      </c>
      <c r="L147" s="144" t="s">
        <v>564</v>
      </c>
      <c r="M147" s="4" t="s">
        <v>474</v>
      </c>
      <c r="N147" s="106" t="s">
        <v>475</v>
      </c>
      <c r="O147" s="146" t="str">
        <f>_xlfn.XLOOKUP(N147,costcategory[Account Code],costcategory[Cost Category],"ERROR")</f>
        <v>Travelling Expenses</v>
      </c>
      <c r="P147" s="4" t="s">
        <v>438</v>
      </c>
      <c r="Q147" s="147" t="str">
        <f>_xlfn.XLOOKUP(P147,Table2[Department],Table2[Group],"ERROR")</f>
        <v>Sales &amp; Marketing</v>
      </c>
      <c r="R147" s="138"/>
      <c r="S147" s="138"/>
      <c r="T147" s="138"/>
      <c r="U147" s="2" t="s">
        <v>1237</v>
      </c>
      <c r="V147" s="138" t="s">
        <v>1214</v>
      </c>
    </row>
    <row r="148" spans="1:22" ht="12.95" customHeight="1" x14ac:dyDescent="0.2">
      <c r="A148" s="2" t="s">
        <v>15</v>
      </c>
      <c r="B148" s="2" t="s">
        <v>1</v>
      </c>
      <c r="C148" s="3">
        <v>46094</v>
      </c>
      <c r="D148" s="3">
        <v>46094</v>
      </c>
      <c r="E148" s="3">
        <v>46094</v>
      </c>
      <c r="F148" s="2" t="s">
        <v>77</v>
      </c>
      <c r="G148" s="212">
        <v>440</v>
      </c>
      <c r="H148" s="205">
        <v>39.6</v>
      </c>
      <c r="I148" s="228">
        <f t="shared" ref="I148:I177" si="16">SUM(G148:H148)</f>
        <v>479.6</v>
      </c>
      <c r="J148" s="212">
        <f t="shared" si="9"/>
        <v>379.17847440000003</v>
      </c>
      <c r="K148" s="106" t="s">
        <v>564</v>
      </c>
      <c r="L148" s="144" t="s">
        <v>564</v>
      </c>
      <c r="M148" s="4" t="s">
        <v>476</v>
      </c>
      <c r="N148" s="106" t="s">
        <v>339</v>
      </c>
      <c r="O148" s="146" t="str">
        <f>_xlfn.XLOOKUP(N148,costcategory[Account Code],costcategory[Cost Category],"ERROR")</f>
        <v>Travelling Expenses</v>
      </c>
      <c r="P148" s="4" t="s">
        <v>354</v>
      </c>
      <c r="Q148" s="147" t="str">
        <f>_xlfn.XLOOKUP(P148,Table2[Department],Table2[Group],"ERROR")</f>
        <v>Sales &amp; Marketing</v>
      </c>
      <c r="R148" s="138"/>
      <c r="S148" s="138"/>
      <c r="T148" s="138"/>
      <c r="U148" s="2" t="s">
        <v>1237</v>
      </c>
      <c r="V148" s="138" t="s">
        <v>1211</v>
      </c>
    </row>
    <row r="149" spans="1:22" ht="12.95" customHeight="1" x14ac:dyDescent="0.2">
      <c r="A149" s="2" t="s">
        <v>15</v>
      </c>
      <c r="B149" s="2" t="s">
        <v>1</v>
      </c>
      <c r="C149" s="3">
        <v>46094</v>
      </c>
      <c r="D149" s="3">
        <v>46094</v>
      </c>
      <c r="E149" s="3">
        <v>46094</v>
      </c>
      <c r="F149" s="2" t="s">
        <v>77</v>
      </c>
      <c r="G149" s="212">
        <v>1009.79</v>
      </c>
      <c r="H149" s="205">
        <v>90.88</v>
      </c>
      <c r="I149" s="228">
        <f t="shared" ref="I149" si="17">SUM(G149:H149)</f>
        <v>1100.67</v>
      </c>
      <c r="J149" s="212">
        <f t="shared" si="9"/>
        <v>870.20511138000006</v>
      </c>
      <c r="K149" s="106" t="s">
        <v>564</v>
      </c>
      <c r="L149" s="144" t="s">
        <v>564</v>
      </c>
      <c r="M149" s="4" t="s">
        <v>476</v>
      </c>
      <c r="N149" s="106" t="s">
        <v>339</v>
      </c>
      <c r="O149" s="146" t="str">
        <f>_xlfn.XLOOKUP(N149,costcategory[Account Code],costcategory[Cost Category],"ERROR")</f>
        <v>Travelling Expenses</v>
      </c>
      <c r="P149" s="4" t="s">
        <v>438</v>
      </c>
      <c r="Q149" s="147" t="str">
        <f>_xlfn.XLOOKUP(P149,Table2[Department],Table2[Group],"ERROR")</f>
        <v>Sales &amp; Marketing</v>
      </c>
      <c r="R149" s="138"/>
      <c r="S149" s="138"/>
      <c r="T149" s="138"/>
      <c r="U149" s="2" t="s">
        <v>1237</v>
      </c>
      <c r="V149" s="138" t="s">
        <v>1211</v>
      </c>
    </row>
    <row r="150" spans="1:22" ht="12.95" customHeight="1" x14ac:dyDescent="0.2">
      <c r="A150" s="2" t="s">
        <v>15</v>
      </c>
      <c r="B150" s="2" t="s">
        <v>1</v>
      </c>
      <c r="C150" s="3">
        <v>46094</v>
      </c>
      <c r="D150" s="3">
        <v>46094</v>
      </c>
      <c r="E150" s="3">
        <v>46094</v>
      </c>
      <c r="F150" s="2" t="s">
        <v>77</v>
      </c>
      <c r="G150" s="212">
        <v>587.80999999999995</v>
      </c>
      <c r="H150" s="205">
        <v>42.19</v>
      </c>
      <c r="I150" s="228">
        <f t="shared" si="16"/>
        <v>630</v>
      </c>
      <c r="J150" s="212">
        <f t="shared" si="9"/>
        <v>498.08682000000005</v>
      </c>
      <c r="K150" s="106" t="s">
        <v>564</v>
      </c>
      <c r="L150" s="144" t="s">
        <v>564</v>
      </c>
      <c r="M150" s="4" t="s">
        <v>798</v>
      </c>
      <c r="N150" s="106" t="s">
        <v>799</v>
      </c>
      <c r="O150" s="146" t="str">
        <f>_xlfn.XLOOKUP(N150,costcategory[Account Code],costcategory[Cost Category],"ERROR")</f>
        <v>Sales Expenses</v>
      </c>
      <c r="P150" s="4" t="s">
        <v>438</v>
      </c>
      <c r="Q150" s="147" t="str">
        <f>_xlfn.XLOOKUP(P150,Table2[Department],Table2[Group],"ERROR")</f>
        <v>Sales &amp; Marketing</v>
      </c>
      <c r="R150" s="138"/>
      <c r="S150" s="138"/>
      <c r="T150" s="138"/>
      <c r="U150" s="2" t="s">
        <v>1237</v>
      </c>
      <c r="V150" s="138" t="s">
        <v>1211</v>
      </c>
    </row>
    <row r="151" spans="1:22" ht="12.95" customHeight="1" x14ac:dyDescent="0.2">
      <c r="A151" s="2" t="s">
        <v>15</v>
      </c>
      <c r="B151" s="2" t="s">
        <v>1</v>
      </c>
      <c r="C151" s="3">
        <v>46094</v>
      </c>
      <c r="D151" s="3">
        <v>46094</v>
      </c>
      <c r="E151" s="3">
        <v>46094</v>
      </c>
      <c r="F151" s="2" t="s">
        <v>77</v>
      </c>
      <c r="G151" s="212">
        <v>999.75</v>
      </c>
      <c r="H151" s="205">
        <v>0</v>
      </c>
      <c r="I151" s="228">
        <f t="shared" si="16"/>
        <v>999.75</v>
      </c>
      <c r="J151" s="212">
        <f t="shared" si="9"/>
        <v>790.41634650000003</v>
      </c>
      <c r="K151" s="106" t="s">
        <v>564</v>
      </c>
      <c r="L151" s="144" t="s">
        <v>564</v>
      </c>
      <c r="M151" s="4" t="s">
        <v>389</v>
      </c>
      <c r="N151" s="106" t="s">
        <v>684</v>
      </c>
      <c r="O151" s="146" t="str">
        <f>_xlfn.XLOOKUP(N151,costcategory[Account Code],costcategory[Cost Category],"ERROR")</f>
        <v>Sales Expenses</v>
      </c>
      <c r="P151" s="4" t="s">
        <v>523</v>
      </c>
      <c r="Q151" s="147" t="str">
        <f>_xlfn.XLOOKUP(P151,Table2[Department],Table2[Group],"ERROR")</f>
        <v>General &amp; Administrative</v>
      </c>
      <c r="R151" s="138"/>
      <c r="S151" s="138"/>
      <c r="T151" s="138"/>
      <c r="U151" s="2" t="s">
        <v>1237</v>
      </c>
      <c r="V151" s="138" t="s">
        <v>1214</v>
      </c>
    </row>
    <row r="152" spans="1:22" ht="12.95" customHeight="1" x14ac:dyDescent="0.2">
      <c r="A152" s="2" t="s">
        <v>15</v>
      </c>
      <c r="B152" s="2" t="s">
        <v>1</v>
      </c>
      <c r="C152" s="3">
        <v>46094</v>
      </c>
      <c r="D152" s="3">
        <v>46094</v>
      </c>
      <c r="E152" s="3">
        <v>46094</v>
      </c>
      <c r="F152" s="2" t="s">
        <v>77</v>
      </c>
      <c r="G152" s="212">
        <v>623.57000000000005</v>
      </c>
      <c r="H152" s="205">
        <v>53.44</v>
      </c>
      <c r="I152" s="228">
        <f t="shared" si="16"/>
        <v>677.01</v>
      </c>
      <c r="J152" s="212">
        <f t="shared" si="9"/>
        <v>535.25358414000004</v>
      </c>
      <c r="K152" s="106" t="s">
        <v>564</v>
      </c>
      <c r="L152" s="144" t="s">
        <v>564</v>
      </c>
      <c r="M152" s="4" t="s">
        <v>526</v>
      </c>
      <c r="N152" s="106" t="s">
        <v>527</v>
      </c>
      <c r="O152" s="146" t="str">
        <f>_xlfn.XLOOKUP(N152,costcategory[Account Code],costcategory[Cost Category],"ERROR")</f>
        <v>Sales Expenses</v>
      </c>
      <c r="P152" s="4" t="s">
        <v>523</v>
      </c>
      <c r="Q152" s="147" t="str">
        <f>_xlfn.XLOOKUP(P152,Table2[Department],Table2[Group],"ERROR")</f>
        <v>General &amp; Administrative</v>
      </c>
      <c r="R152" s="138"/>
      <c r="S152" s="138"/>
      <c r="T152" s="138"/>
      <c r="U152" s="2" t="s">
        <v>1237</v>
      </c>
      <c r="V152" s="138" t="s">
        <v>1211</v>
      </c>
    </row>
    <row r="153" spans="1:22" ht="12.95" customHeight="1" x14ac:dyDescent="0.2">
      <c r="A153" s="2" t="s">
        <v>15</v>
      </c>
      <c r="B153" s="2" t="s">
        <v>1</v>
      </c>
      <c r="C153" s="3">
        <v>46094</v>
      </c>
      <c r="D153" s="3">
        <v>46094</v>
      </c>
      <c r="E153" s="3">
        <v>46094</v>
      </c>
      <c r="F153" s="2" t="s">
        <v>77</v>
      </c>
      <c r="G153" s="212">
        <v>773.21</v>
      </c>
      <c r="H153" s="205">
        <v>69.58</v>
      </c>
      <c r="I153" s="228">
        <f t="shared" ref="I153" si="18">SUM(G153:H153)</f>
        <v>842.79000000000008</v>
      </c>
      <c r="J153" s="212">
        <f t="shared" ref="J153:J184" si="19">I153*$J$118</f>
        <v>666.32157306000011</v>
      </c>
      <c r="K153" s="106" t="s">
        <v>564</v>
      </c>
      <c r="L153" s="144" t="s">
        <v>564</v>
      </c>
      <c r="M153" s="4" t="s">
        <v>526</v>
      </c>
      <c r="N153" s="106" t="s">
        <v>527</v>
      </c>
      <c r="O153" s="146" t="str">
        <f>_xlfn.XLOOKUP(N153,costcategory[Account Code],costcategory[Cost Category],"ERROR")</f>
        <v>Sales Expenses</v>
      </c>
      <c r="P153" s="4" t="s">
        <v>438</v>
      </c>
      <c r="Q153" s="147" t="str">
        <f>_xlfn.XLOOKUP(P153,Table2[Department],Table2[Group],"ERROR")</f>
        <v>Sales &amp; Marketing</v>
      </c>
      <c r="R153" s="138"/>
      <c r="S153" s="138"/>
      <c r="T153" s="138"/>
      <c r="U153" s="2" t="s">
        <v>1237</v>
      </c>
      <c r="V153" s="138" t="s">
        <v>1211</v>
      </c>
    </row>
    <row r="154" spans="1:22" ht="12.95" customHeight="1" x14ac:dyDescent="0.2">
      <c r="A154" s="2" t="s">
        <v>15</v>
      </c>
      <c r="B154" s="2" t="s">
        <v>1</v>
      </c>
      <c r="C154" s="3">
        <v>46094</v>
      </c>
      <c r="D154" s="3">
        <v>46094</v>
      </c>
      <c r="E154" s="3">
        <v>46094</v>
      </c>
      <c r="F154" s="2" t="s">
        <v>77</v>
      </c>
      <c r="G154" s="212">
        <v>233.71</v>
      </c>
      <c r="H154" s="205">
        <v>0</v>
      </c>
      <c r="I154" s="228">
        <f t="shared" si="16"/>
        <v>233.71</v>
      </c>
      <c r="J154" s="212">
        <f t="shared" si="19"/>
        <v>184.77439794000003</v>
      </c>
      <c r="K154" s="106" t="s">
        <v>564</v>
      </c>
      <c r="L154" s="144" t="s">
        <v>564</v>
      </c>
      <c r="M154" s="4" t="s">
        <v>687</v>
      </c>
      <c r="N154" s="106" t="s">
        <v>688</v>
      </c>
      <c r="O154" s="146" t="str">
        <f>_xlfn.XLOOKUP(N154,costcategory[Account Code],costcategory[Cost Category],"ERROR")</f>
        <v>Sales Expenses</v>
      </c>
      <c r="P154" s="4" t="s">
        <v>523</v>
      </c>
      <c r="Q154" s="147" t="str">
        <f>_xlfn.XLOOKUP(P154,Table2[Department],Table2[Group],"ERROR")</f>
        <v>General &amp; Administrative</v>
      </c>
      <c r="R154" s="138"/>
      <c r="S154" s="138"/>
      <c r="T154" s="138"/>
      <c r="U154" s="2" t="s">
        <v>1237</v>
      </c>
      <c r="V154" s="138" t="s">
        <v>1214</v>
      </c>
    </row>
    <row r="155" spans="1:22" ht="12.95" customHeight="1" x14ac:dyDescent="0.2">
      <c r="A155" s="2" t="s">
        <v>15</v>
      </c>
      <c r="B155" s="2" t="s">
        <v>1</v>
      </c>
      <c r="C155" s="3">
        <v>46094</v>
      </c>
      <c r="D155" s="3">
        <v>46094</v>
      </c>
      <c r="E155" s="3">
        <v>46094</v>
      </c>
      <c r="F155" s="2" t="s">
        <v>77</v>
      </c>
      <c r="G155" s="212">
        <v>225</v>
      </c>
      <c r="H155" s="205">
        <v>0</v>
      </c>
      <c r="I155" s="228">
        <f t="shared" si="16"/>
        <v>225</v>
      </c>
      <c r="J155" s="212">
        <f t="shared" si="19"/>
        <v>177.88815</v>
      </c>
      <c r="K155" s="106" t="s">
        <v>564</v>
      </c>
      <c r="L155" s="144" t="s">
        <v>564</v>
      </c>
      <c r="M155" s="4" t="s">
        <v>925</v>
      </c>
      <c r="N155" s="106" t="s">
        <v>801</v>
      </c>
      <c r="O155" s="146" t="str">
        <f>_xlfn.XLOOKUP(N155,costcategory[Account Code],costcategory[Cost Category],"ERROR")</f>
        <v>Recruitment Related Fees</v>
      </c>
      <c r="P155" s="4" t="s">
        <v>350</v>
      </c>
      <c r="Q155" s="147" t="str">
        <f>_xlfn.XLOOKUP(P155,Table2[Department],Table2[Group],"ERROR")</f>
        <v>General &amp; Administrative</v>
      </c>
      <c r="R155" s="138"/>
      <c r="S155" s="138"/>
      <c r="T155" s="138"/>
      <c r="U155" s="2" t="s">
        <v>1237</v>
      </c>
      <c r="V155" s="138" t="s">
        <v>1214</v>
      </c>
    </row>
    <row r="156" spans="1:22" ht="12.95" customHeight="1" x14ac:dyDescent="0.2">
      <c r="A156" s="2" t="s">
        <v>15</v>
      </c>
      <c r="B156" s="2" t="s">
        <v>1</v>
      </c>
      <c r="C156" s="3">
        <v>46094</v>
      </c>
      <c r="D156" s="3">
        <v>46094</v>
      </c>
      <c r="E156" s="3">
        <v>46094</v>
      </c>
      <c r="F156" s="2" t="s">
        <v>77</v>
      </c>
      <c r="G156" s="212">
        <v>28.59</v>
      </c>
      <c r="H156" s="205">
        <v>0</v>
      </c>
      <c r="I156" s="228">
        <f t="shared" si="16"/>
        <v>28.59</v>
      </c>
      <c r="J156" s="212">
        <f t="shared" si="19"/>
        <v>22.603654260000003</v>
      </c>
      <c r="K156" s="106" t="s">
        <v>564</v>
      </c>
      <c r="L156" s="144" t="s">
        <v>564</v>
      </c>
      <c r="M156" s="4" t="s">
        <v>802</v>
      </c>
      <c r="N156" s="106" t="s">
        <v>68</v>
      </c>
      <c r="O156" s="146" t="str">
        <f>_xlfn.XLOOKUP(N156,costcategory[Account Code],costcategory[Cost Category],"ERROR")</f>
        <v>Marketing Expense</v>
      </c>
      <c r="P156" s="4" t="s">
        <v>658</v>
      </c>
      <c r="Q156" s="147" t="str">
        <f>_xlfn.XLOOKUP(P156,Table2[Department],Table2[Group],"ERROR")</f>
        <v>Sales &amp; Marketing</v>
      </c>
      <c r="R156" s="138"/>
      <c r="S156" s="138"/>
      <c r="T156" s="138"/>
      <c r="U156" s="2" t="s">
        <v>1237</v>
      </c>
      <c r="V156" s="138" t="s">
        <v>1214</v>
      </c>
    </row>
    <row r="157" spans="1:22" ht="12.95" customHeight="1" x14ac:dyDescent="0.2">
      <c r="A157" s="2" t="s">
        <v>15</v>
      </c>
      <c r="B157" s="2" t="s">
        <v>1</v>
      </c>
      <c r="C157" s="3">
        <v>46094</v>
      </c>
      <c r="D157" s="3">
        <v>46094</v>
      </c>
      <c r="E157" s="3">
        <v>46094</v>
      </c>
      <c r="F157" s="2" t="s">
        <v>77</v>
      </c>
      <c r="G157" s="212">
        <v>213.01999999999998</v>
      </c>
      <c r="H157" s="205">
        <v>0</v>
      </c>
      <c r="I157" s="228">
        <f t="shared" si="16"/>
        <v>213.01999999999998</v>
      </c>
      <c r="J157" s="212">
        <f t="shared" si="19"/>
        <v>168.41659428</v>
      </c>
      <c r="K157" s="106" t="s">
        <v>564</v>
      </c>
      <c r="L157" s="144" t="s">
        <v>564</v>
      </c>
      <c r="M157" s="4" t="s">
        <v>352</v>
      </c>
      <c r="N157" s="106" t="s">
        <v>391</v>
      </c>
      <c r="O157" s="146" t="str">
        <f>_xlfn.XLOOKUP(N157,costcategory[Account Code],costcategory[Cost Category],"ERROR")</f>
        <v>Travelling Expenses</v>
      </c>
      <c r="P157" s="4" t="s">
        <v>59</v>
      </c>
      <c r="Q157" s="147" t="str">
        <f>_xlfn.XLOOKUP(P157,Table2[Department],Table2[Group],"ERROR")</f>
        <v>Research &amp; Development</v>
      </c>
      <c r="R157" s="138"/>
      <c r="S157" s="138"/>
      <c r="T157" s="138"/>
      <c r="U157" s="2" t="s">
        <v>1237</v>
      </c>
      <c r="V157" s="138" t="s">
        <v>1214</v>
      </c>
    </row>
    <row r="158" spans="1:22" ht="12.95" customHeight="1" x14ac:dyDescent="0.2">
      <c r="A158" s="2" t="s">
        <v>15</v>
      </c>
      <c r="B158" s="2" t="s">
        <v>1</v>
      </c>
      <c r="C158" s="3">
        <v>46094</v>
      </c>
      <c r="D158" s="3">
        <v>46094</v>
      </c>
      <c r="E158" s="3">
        <v>46094</v>
      </c>
      <c r="F158" s="2" t="s">
        <v>77</v>
      </c>
      <c r="G158" s="212">
        <v>68.45</v>
      </c>
      <c r="H158" s="205">
        <v>0</v>
      </c>
      <c r="I158" s="228">
        <f t="shared" ref="I158" si="20">SUM(G158:H158)</f>
        <v>68.45</v>
      </c>
      <c r="J158" s="212">
        <f t="shared" si="19"/>
        <v>54.117528300000004</v>
      </c>
      <c r="K158" s="106" t="s">
        <v>564</v>
      </c>
      <c r="L158" s="144" t="s">
        <v>564</v>
      </c>
      <c r="M158" s="4" t="s">
        <v>352</v>
      </c>
      <c r="N158" s="106" t="s">
        <v>391</v>
      </c>
      <c r="O158" s="146" t="str">
        <f>_xlfn.XLOOKUP(N158,costcategory[Account Code],costcategory[Cost Category],"ERROR")</f>
        <v>Travelling Expenses</v>
      </c>
      <c r="P158" s="4" t="s">
        <v>523</v>
      </c>
      <c r="Q158" s="147" t="str">
        <f>_xlfn.XLOOKUP(P158,Table2[Department],Table2[Group],"ERROR")</f>
        <v>General &amp; Administrative</v>
      </c>
      <c r="R158" s="138"/>
      <c r="S158" s="138"/>
      <c r="T158" s="138"/>
      <c r="U158" s="2" t="s">
        <v>1237</v>
      </c>
      <c r="V158" s="138" t="s">
        <v>1214</v>
      </c>
    </row>
    <row r="159" spans="1:22" ht="12.95" customHeight="1" x14ac:dyDescent="0.2">
      <c r="A159" s="2" t="s">
        <v>15</v>
      </c>
      <c r="B159" s="2" t="s">
        <v>1</v>
      </c>
      <c r="C159" s="3">
        <v>46094</v>
      </c>
      <c r="D159" s="3">
        <v>46094</v>
      </c>
      <c r="E159" s="3">
        <v>46094</v>
      </c>
      <c r="F159" s="2" t="s">
        <v>77</v>
      </c>
      <c r="G159" s="212">
        <v>8.7200000000000006</v>
      </c>
      <c r="H159" s="205">
        <v>0.78</v>
      </c>
      <c r="I159" s="228">
        <f t="shared" si="16"/>
        <v>9.5</v>
      </c>
      <c r="J159" s="212">
        <f t="shared" si="19"/>
        <v>7.5108330000000008</v>
      </c>
      <c r="K159" s="106" t="s">
        <v>564</v>
      </c>
      <c r="L159" s="144" t="s">
        <v>564</v>
      </c>
      <c r="M159" s="4" t="s">
        <v>355</v>
      </c>
      <c r="N159" s="106" t="s">
        <v>402</v>
      </c>
      <c r="O159" s="146" t="str">
        <f>_xlfn.XLOOKUP(N159,costcategory[Account Code],costcategory[Cost Category],"ERROR")</f>
        <v>Travelling Expenses</v>
      </c>
      <c r="P159" s="4" t="s">
        <v>354</v>
      </c>
      <c r="Q159" s="147" t="str">
        <f>_xlfn.XLOOKUP(P159,Table2[Department],Table2[Group],"ERROR")</f>
        <v>Sales &amp; Marketing</v>
      </c>
      <c r="R159" s="138"/>
      <c r="S159" s="138"/>
      <c r="T159" s="138"/>
      <c r="U159" s="2" t="s">
        <v>1237</v>
      </c>
      <c r="V159" s="138" t="s">
        <v>1211</v>
      </c>
    </row>
    <row r="160" spans="1:22" ht="12.95" customHeight="1" x14ac:dyDescent="0.2">
      <c r="A160" s="2" t="s">
        <v>15</v>
      </c>
      <c r="B160" s="2" t="s">
        <v>1</v>
      </c>
      <c r="C160" s="3">
        <v>46094</v>
      </c>
      <c r="D160" s="3">
        <v>46094</v>
      </c>
      <c r="E160" s="3">
        <v>46094</v>
      </c>
      <c r="F160" s="2" t="s">
        <v>77</v>
      </c>
      <c r="G160" s="212">
        <v>21.89</v>
      </c>
      <c r="H160" s="205">
        <v>1.97</v>
      </c>
      <c r="I160" s="228">
        <f t="shared" ref="I160:I161" si="21">SUM(G160:H160)</f>
        <v>23.86</v>
      </c>
      <c r="J160" s="212">
        <f t="shared" si="19"/>
        <v>18.864050040000002</v>
      </c>
      <c r="K160" s="106" t="s">
        <v>564</v>
      </c>
      <c r="L160" s="144" t="s">
        <v>564</v>
      </c>
      <c r="M160" s="4" t="s">
        <v>355</v>
      </c>
      <c r="N160" s="106" t="s">
        <v>402</v>
      </c>
      <c r="O160" s="146" t="str">
        <f>_xlfn.XLOOKUP(N160,costcategory[Account Code],costcategory[Cost Category],"ERROR")</f>
        <v>Travelling Expenses</v>
      </c>
      <c r="P160" s="4" t="s">
        <v>523</v>
      </c>
      <c r="Q160" s="147" t="str">
        <f>_xlfn.XLOOKUP(P160,Table2[Department],Table2[Group],"ERROR")</f>
        <v>General &amp; Administrative</v>
      </c>
      <c r="R160" s="138"/>
      <c r="S160" s="138"/>
      <c r="T160" s="138"/>
      <c r="U160" s="2" t="s">
        <v>1237</v>
      </c>
      <c r="V160" s="138" t="s">
        <v>1211</v>
      </c>
    </row>
    <row r="161" spans="1:22" ht="12.95" customHeight="1" x14ac:dyDescent="0.2">
      <c r="A161" s="2" t="s">
        <v>15</v>
      </c>
      <c r="B161" s="2" t="s">
        <v>1</v>
      </c>
      <c r="C161" s="3">
        <v>46094</v>
      </c>
      <c r="D161" s="3">
        <v>46094</v>
      </c>
      <c r="E161" s="3">
        <v>46094</v>
      </c>
      <c r="F161" s="2" t="s">
        <v>77</v>
      </c>
      <c r="G161" s="212">
        <v>82.03</v>
      </c>
      <c r="H161" s="205">
        <v>4.7699999999999996</v>
      </c>
      <c r="I161" s="228">
        <f t="shared" si="21"/>
        <v>86.8</v>
      </c>
      <c r="J161" s="212">
        <f t="shared" si="19"/>
        <v>68.625295199999996</v>
      </c>
      <c r="K161" s="106" t="s">
        <v>564</v>
      </c>
      <c r="L161" s="144" t="s">
        <v>564</v>
      </c>
      <c r="M161" s="4" t="s">
        <v>355</v>
      </c>
      <c r="N161" s="106" t="s">
        <v>402</v>
      </c>
      <c r="O161" s="146" t="str">
        <f>_xlfn.XLOOKUP(N161,costcategory[Account Code],costcategory[Cost Category],"ERROR")</f>
        <v>Travelling Expenses</v>
      </c>
      <c r="P161" s="4" t="s">
        <v>438</v>
      </c>
      <c r="Q161" s="147" t="str">
        <f>_xlfn.XLOOKUP(P161,Table2[Department],Table2[Group],"ERROR")</f>
        <v>Sales &amp; Marketing</v>
      </c>
      <c r="R161" s="138"/>
      <c r="S161" s="138"/>
      <c r="T161" s="138"/>
      <c r="U161" s="2" t="s">
        <v>1237</v>
      </c>
      <c r="V161" s="138" t="s">
        <v>1211</v>
      </c>
    </row>
    <row r="162" spans="1:22" ht="12.95" customHeight="1" x14ac:dyDescent="0.2">
      <c r="A162" s="2" t="s">
        <v>15</v>
      </c>
      <c r="B162" s="2" t="s">
        <v>1</v>
      </c>
      <c r="C162" s="3">
        <v>46094</v>
      </c>
      <c r="D162" s="3">
        <v>46094</v>
      </c>
      <c r="E162" s="3">
        <v>46094</v>
      </c>
      <c r="F162" s="2" t="s">
        <v>77</v>
      </c>
      <c r="G162" s="212">
        <v>80</v>
      </c>
      <c r="H162" s="205">
        <v>0</v>
      </c>
      <c r="I162" s="228">
        <f t="shared" si="16"/>
        <v>80</v>
      </c>
      <c r="J162" s="212">
        <f t="shared" si="19"/>
        <v>63.249120000000005</v>
      </c>
      <c r="K162" s="106" t="s">
        <v>564</v>
      </c>
      <c r="L162" s="144" t="s">
        <v>564</v>
      </c>
      <c r="M162" s="4" t="s">
        <v>403</v>
      </c>
      <c r="N162" s="106" t="s">
        <v>367</v>
      </c>
      <c r="O162" s="146" t="str">
        <f>_xlfn.XLOOKUP(N162,costcategory[Account Code],costcategory[Cost Category],"ERROR")</f>
        <v>Professional &amp; Consultancy Fees</v>
      </c>
      <c r="P162" s="4" t="s">
        <v>350</v>
      </c>
      <c r="Q162" s="147" t="str">
        <f>_xlfn.XLOOKUP(P162,Table2[Department],Table2[Group],"ERROR")</f>
        <v>General &amp; Administrative</v>
      </c>
      <c r="R162" s="138"/>
      <c r="S162" s="138"/>
      <c r="T162" s="138"/>
      <c r="U162" s="2" t="s">
        <v>1237</v>
      </c>
      <c r="V162" s="138" t="s">
        <v>1214</v>
      </c>
    </row>
    <row r="163" spans="1:22" ht="12.95" customHeight="1" x14ac:dyDescent="0.2">
      <c r="A163" s="2" t="s">
        <v>15</v>
      </c>
      <c r="B163" s="2" t="s">
        <v>1</v>
      </c>
      <c r="C163" s="3">
        <v>46094</v>
      </c>
      <c r="D163" s="3">
        <v>46094</v>
      </c>
      <c r="E163" s="3">
        <v>46094</v>
      </c>
      <c r="F163" s="2" t="s">
        <v>77</v>
      </c>
      <c r="G163" s="212">
        <v>-0.01</v>
      </c>
      <c r="H163" s="205">
        <v>0</v>
      </c>
      <c r="I163" s="228">
        <f t="shared" si="16"/>
        <v>-0.01</v>
      </c>
      <c r="J163" s="212">
        <f t="shared" si="19"/>
        <v>-7.9061400000000007E-3</v>
      </c>
      <c r="K163" s="106" t="s">
        <v>564</v>
      </c>
      <c r="L163" s="144" t="s">
        <v>564</v>
      </c>
      <c r="M163" s="4" t="s">
        <v>357</v>
      </c>
      <c r="N163" s="106" t="s">
        <v>353</v>
      </c>
      <c r="O163" s="146" t="str">
        <f>_xlfn.XLOOKUP(N163,costcategory[Account Code],costcategory[Cost Category],"ERROR")</f>
        <v>Travelling Expenses</v>
      </c>
      <c r="P163" s="4" t="s">
        <v>59</v>
      </c>
      <c r="Q163" s="147" t="str">
        <f>_xlfn.XLOOKUP(P163,Table2[Department],Table2[Group],"ERROR")</f>
        <v>Research &amp; Development</v>
      </c>
      <c r="R163" s="138"/>
      <c r="S163" s="138"/>
      <c r="T163" s="138"/>
      <c r="U163" s="2" t="s">
        <v>1237</v>
      </c>
      <c r="V163" s="138" t="s">
        <v>1214</v>
      </c>
    </row>
    <row r="164" spans="1:22" ht="12.95" customHeight="1" x14ac:dyDescent="0.2">
      <c r="A164" s="2" t="s">
        <v>15</v>
      </c>
      <c r="B164" s="2" t="s">
        <v>1</v>
      </c>
      <c r="C164" s="3">
        <v>46094</v>
      </c>
      <c r="D164" s="3">
        <v>46094</v>
      </c>
      <c r="E164" s="3">
        <v>46094</v>
      </c>
      <c r="F164" s="2" t="s">
        <v>77</v>
      </c>
      <c r="G164" s="212">
        <v>79.900000000000006</v>
      </c>
      <c r="H164" s="205">
        <v>0</v>
      </c>
      <c r="I164" s="228">
        <f t="shared" si="16"/>
        <v>79.900000000000006</v>
      </c>
      <c r="J164" s="212">
        <f t="shared" si="19"/>
        <v>63.170058600000004</v>
      </c>
      <c r="K164" s="106" t="s">
        <v>564</v>
      </c>
      <c r="L164" s="144" t="s">
        <v>564</v>
      </c>
      <c r="M164" s="4" t="s">
        <v>392</v>
      </c>
      <c r="N164" s="106" t="s">
        <v>393</v>
      </c>
      <c r="O164" s="146" t="str">
        <f>_xlfn.XLOOKUP(N164,costcategory[Account Code],costcategory[Cost Category],"ERROR")</f>
        <v>Employee Benefits</v>
      </c>
      <c r="P164" s="4" t="s">
        <v>350</v>
      </c>
      <c r="Q164" s="147" t="str">
        <f>_xlfn.XLOOKUP(P164,Table2[Department],Table2[Group],"ERROR")</f>
        <v>General &amp; Administrative</v>
      </c>
      <c r="R164" s="138"/>
      <c r="S164" s="138"/>
      <c r="T164" s="138"/>
      <c r="U164" s="2" t="s">
        <v>1237</v>
      </c>
      <c r="V164" s="138" t="s">
        <v>1214</v>
      </c>
    </row>
    <row r="165" spans="1:22" ht="12.95" customHeight="1" x14ac:dyDescent="0.2">
      <c r="A165" s="2" t="s">
        <v>15</v>
      </c>
      <c r="B165" s="2" t="s">
        <v>1</v>
      </c>
      <c r="C165" s="3">
        <v>46094</v>
      </c>
      <c r="D165" s="3">
        <v>46094</v>
      </c>
      <c r="E165" s="3">
        <v>46094</v>
      </c>
      <c r="F165" s="2" t="s">
        <v>77</v>
      </c>
      <c r="G165" s="212">
        <v>155.66</v>
      </c>
      <c r="H165" s="205">
        <v>13.3</v>
      </c>
      <c r="I165" s="228">
        <f t="shared" si="16"/>
        <v>168.96</v>
      </c>
      <c r="J165" s="212">
        <f t="shared" si="19"/>
        <v>133.58214144000002</v>
      </c>
      <c r="K165" s="106" t="s">
        <v>564</v>
      </c>
      <c r="L165" s="144" t="s">
        <v>564</v>
      </c>
      <c r="M165" s="4" t="s">
        <v>416</v>
      </c>
      <c r="N165" s="106" t="s">
        <v>390</v>
      </c>
      <c r="O165" s="146" t="str">
        <f>_xlfn.XLOOKUP(N165,costcategory[Account Code],costcategory[Cost Category],"ERROR")</f>
        <v>Employee Benefits</v>
      </c>
      <c r="P165" s="4" t="s">
        <v>340</v>
      </c>
      <c r="Q165" s="147" t="str">
        <f>_xlfn.XLOOKUP(P165,Table2[Department],Table2[Group],"ERROR")</f>
        <v>General &amp; Administrative</v>
      </c>
      <c r="R165" s="138"/>
      <c r="S165" s="138"/>
      <c r="T165" s="138"/>
      <c r="U165" s="2" t="s">
        <v>1237</v>
      </c>
      <c r="V165" s="138" t="s">
        <v>1211</v>
      </c>
    </row>
    <row r="166" spans="1:22" ht="12.95" customHeight="1" x14ac:dyDescent="0.2">
      <c r="A166" s="2" t="s">
        <v>15</v>
      </c>
      <c r="B166" s="2" t="s">
        <v>1</v>
      </c>
      <c r="C166" s="3">
        <v>46094</v>
      </c>
      <c r="D166" s="3">
        <v>46094</v>
      </c>
      <c r="E166" s="3">
        <v>46094</v>
      </c>
      <c r="F166" s="2" t="s">
        <v>77</v>
      </c>
      <c r="G166" s="212">
        <v>826.75999999999988</v>
      </c>
      <c r="H166" s="205">
        <v>70.92</v>
      </c>
      <c r="I166" s="228">
        <f t="shared" ref="I166" si="22">SUM(G166:H166)</f>
        <v>897.67999999999984</v>
      </c>
      <c r="J166" s="212">
        <f t="shared" si="19"/>
        <v>709.71837551999988</v>
      </c>
      <c r="K166" s="106" t="s">
        <v>564</v>
      </c>
      <c r="L166" s="144" t="s">
        <v>564</v>
      </c>
      <c r="M166" s="4" t="s">
        <v>416</v>
      </c>
      <c r="N166" s="106" t="s">
        <v>390</v>
      </c>
      <c r="O166" s="146" t="str">
        <f>_xlfn.XLOOKUP(N166,costcategory[Account Code],costcategory[Cost Category],"ERROR")</f>
        <v>Employee Benefits</v>
      </c>
      <c r="P166" s="4" t="s">
        <v>523</v>
      </c>
      <c r="Q166" s="147" t="str">
        <f>_xlfn.XLOOKUP(P166,Table2[Department],Table2[Group],"ERROR")</f>
        <v>General &amp; Administrative</v>
      </c>
      <c r="R166" s="138"/>
      <c r="S166" s="138"/>
      <c r="T166" s="138"/>
      <c r="U166" s="2" t="s">
        <v>1237</v>
      </c>
      <c r="V166" s="138" t="s">
        <v>1211</v>
      </c>
    </row>
    <row r="167" spans="1:22" ht="12.95" customHeight="1" x14ac:dyDescent="0.2">
      <c r="A167" s="2" t="s">
        <v>15</v>
      </c>
      <c r="B167" s="2" t="s">
        <v>1</v>
      </c>
      <c r="C167" s="3">
        <v>46094</v>
      </c>
      <c r="D167" s="3">
        <v>46094</v>
      </c>
      <c r="E167" s="3">
        <v>46094</v>
      </c>
      <c r="F167" s="2" t="s">
        <v>77</v>
      </c>
      <c r="G167" s="212">
        <v>75.150000000000006</v>
      </c>
      <c r="H167" s="205">
        <v>0</v>
      </c>
      <c r="I167" s="228">
        <f t="shared" si="16"/>
        <v>75.150000000000006</v>
      </c>
      <c r="J167" s="212">
        <f t="shared" si="19"/>
        <v>59.414642100000009</v>
      </c>
      <c r="K167" s="106" t="s">
        <v>564</v>
      </c>
      <c r="L167" s="144" t="s">
        <v>564</v>
      </c>
      <c r="M167" s="4" t="s">
        <v>358</v>
      </c>
      <c r="N167" s="106" t="s">
        <v>60</v>
      </c>
      <c r="O167" s="146" t="str">
        <f>_xlfn.XLOOKUP(N167,costcategory[Account Code],costcategory[Cost Category],"ERROR")</f>
        <v>Subscription Fee</v>
      </c>
      <c r="P167" s="4" t="s">
        <v>59</v>
      </c>
      <c r="Q167" s="147" t="str">
        <f>_xlfn.XLOOKUP(P167,Table2[Department],Table2[Group],"ERROR")</f>
        <v>Research &amp; Development</v>
      </c>
      <c r="R167" s="138"/>
      <c r="S167" s="138"/>
      <c r="T167" s="138"/>
      <c r="U167" s="2" t="s">
        <v>1237</v>
      </c>
      <c r="V167" s="138" t="s">
        <v>1214</v>
      </c>
    </row>
    <row r="168" spans="1:22" ht="12.95" customHeight="1" x14ac:dyDescent="0.2">
      <c r="A168" s="2" t="s">
        <v>15</v>
      </c>
      <c r="B168" s="2" t="s">
        <v>1</v>
      </c>
      <c r="C168" s="3">
        <v>46094</v>
      </c>
      <c r="D168" s="3">
        <v>46094</v>
      </c>
      <c r="E168" s="3">
        <v>46094</v>
      </c>
      <c r="F168" s="2" t="s">
        <v>77</v>
      </c>
      <c r="G168" s="212">
        <v>87.21</v>
      </c>
      <c r="H168" s="205">
        <v>0</v>
      </c>
      <c r="I168" s="228">
        <f t="shared" ref="I168" si="23">SUM(G168:H168)</f>
        <v>87.21</v>
      </c>
      <c r="J168" s="212">
        <f t="shared" si="19"/>
        <v>68.949446940000001</v>
      </c>
      <c r="K168" s="106" t="s">
        <v>564</v>
      </c>
      <c r="L168" s="144" t="s">
        <v>564</v>
      </c>
      <c r="M168" s="4" t="s">
        <v>358</v>
      </c>
      <c r="N168" s="106" t="s">
        <v>60</v>
      </c>
      <c r="O168" s="146" t="str">
        <f>_xlfn.XLOOKUP(N168,costcategory[Account Code],costcategory[Cost Category],"ERROR")</f>
        <v>Subscription Fee</v>
      </c>
      <c r="P168" s="4" t="s">
        <v>56</v>
      </c>
      <c r="Q168" s="147" t="str">
        <f>_xlfn.XLOOKUP(P168,Table2[Department],Table2[Group],"ERROR")</f>
        <v>Research &amp; Development</v>
      </c>
      <c r="R168" s="138"/>
      <c r="S168" s="138"/>
      <c r="T168" s="138"/>
      <c r="U168" s="2" t="s">
        <v>1237</v>
      </c>
      <c r="V168" s="138" t="s">
        <v>1214</v>
      </c>
    </row>
    <row r="169" spans="1:22" ht="12.95" customHeight="1" x14ac:dyDescent="0.2">
      <c r="A169" s="2" t="s">
        <v>15</v>
      </c>
      <c r="B169" s="2" t="s">
        <v>1</v>
      </c>
      <c r="C169" s="3">
        <v>46094</v>
      </c>
      <c r="D169" s="3">
        <v>46094</v>
      </c>
      <c r="E169" s="3">
        <v>46094</v>
      </c>
      <c r="F169" s="2" t="s">
        <v>77</v>
      </c>
      <c r="G169" s="212">
        <v>267.83999999999997</v>
      </c>
      <c r="H169" s="205">
        <v>0</v>
      </c>
      <c r="I169" s="228">
        <f t="shared" si="16"/>
        <v>267.83999999999997</v>
      </c>
      <c r="J169" s="212">
        <f t="shared" si="19"/>
        <v>211.75805376</v>
      </c>
      <c r="K169" s="106" t="s">
        <v>564</v>
      </c>
      <c r="L169" s="144" t="s">
        <v>564</v>
      </c>
      <c r="M169" s="4" t="s">
        <v>360</v>
      </c>
      <c r="N169" s="106" t="s">
        <v>353</v>
      </c>
      <c r="O169" s="146" t="str">
        <f>_xlfn.XLOOKUP(N169,costcategory[Account Code],costcategory[Cost Category],"ERROR")</f>
        <v>Travelling Expenses</v>
      </c>
      <c r="P169" s="4" t="s">
        <v>354</v>
      </c>
      <c r="Q169" s="147" t="str">
        <f>_xlfn.XLOOKUP(P169,Table2[Department],Table2[Group],"ERROR")</f>
        <v>Sales &amp; Marketing</v>
      </c>
      <c r="R169" s="138"/>
      <c r="S169" s="138"/>
      <c r="T169" s="138"/>
      <c r="U169" s="2" t="s">
        <v>1237</v>
      </c>
      <c r="V169" s="138" t="s">
        <v>1214</v>
      </c>
    </row>
    <row r="170" spans="1:22" ht="12.95" customHeight="1" x14ac:dyDescent="0.2">
      <c r="A170" s="2" t="s">
        <v>15</v>
      </c>
      <c r="B170" s="2" t="s">
        <v>1</v>
      </c>
      <c r="C170" s="3">
        <v>46094</v>
      </c>
      <c r="D170" s="3">
        <v>46094</v>
      </c>
      <c r="E170" s="3">
        <v>46094</v>
      </c>
      <c r="F170" s="2" t="s">
        <v>77</v>
      </c>
      <c r="G170" s="212">
        <v>9310.6999999999989</v>
      </c>
      <c r="H170" s="205">
        <v>0</v>
      </c>
      <c r="I170" s="228">
        <f t="shared" ref="I170:I176" si="24">SUM(G170:H170)</f>
        <v>9310.6999999999989</v>
      </c>
      <c r="J170" s="212">
        <f t="shared" si="19"/>
        <v>7361.1697697999998</v>
      </c>
      <c r="K170" s="106" t="s">
        <v>564</v>
      </c>
      <c r="L170" s="144" t="s">
        <v>564</v>
      </c>
      <c r="M170" s="4" t="s">
        <v>360</v>
      </c>
      <c r="N170" s="106" t="s">
        <v>353</v>
      </c>
      <c r="O170" s="146" t="str">
        <f>_xlfn.XLOOKUP(N170,costcategory[Account Code],costcategory[Cost Category],"ERROR")</f>
        <v>Travelling Expenses</v>
      </c>
      <c r="P170" s="4" t="s">
        <v>523</v>
      </c>
      <c r="Q170" s="147" t="str">
        <f>_xlfn.XLOOKUP(P170,Table2[Department],Table2[Group],"ERROR")</f>
        <v>General &amp; Administrative</v>
      </c>
      <c r="R170" s="138"/>
      <c r="S170" s="138"/>
      <c r="T170" s="138"/>
      <c r="U170" s="2" t="s">
        <v>1237</v>
      </c>
      <c r="V170" s="138" t="s">
        <v>1214</v>
      </c>
    </row>
    <row r="171" spans="1:22" ht="12.95" customHeight="1" x14ac:dyDescent="0.2">
      <c r="A171" s="2" t="s">
        <v>15</v>
      </c>
      <c r="B171" s="2" t="s">
        <v>1</v>
      </c>
      <c r="C171" s="3">
        <v>46094</v>
      </c>
      <c r="D171" s="3">
        <v>46094</v>
      </c>
      <c r="E171" s="3">
        <v>46094</v>
      </c>
      <c r="F171" s="2" t="s">
        <v>77</v>
      </c>
      <c r="G171" s="212">
        <v>3032.41</v>
      </c>
      <c r="H171" s="205">
        <v>0</v>
      </c>
      <c r="I171" s="228">
        <f t="shared" si="24"/>
        <v>3032.41</v>
      </c>
      <c r="J171" s="212">
        <f t="shared" si="19"/>
        <v>2397.46579974</v>
      </c>
      <c r="K171" s="106" t="s">
        <v>564</v>
      </c>
      <c r="L171" s="144" t="s">
        <v>564</v>
      </c>
      <c r="M171" s="4" t="s">
        <v>360</v>
      </c>
      <c r="N171" s="106" t="s">
        <v>353</v>
      </c>
      <c r="O171" s="146" t="str">
        <f>_xlfn.XLOOKUP(N171,costcategory[Account Code],costcategory[Cost Category],"ERROR")</f>
        <v>Travelling Expenses</v>
      </c>
      <c r="P171" s="4" t="s">
        <v>59</v>
      </c>
      <c r="Q171" s="147" t="str">
        <f>_xlfn.XLOOKUP(P171,Table2[Department],Table2[Group],"ERROR")</f>
        <v>Research &amp; Development</v>
      </c>
      <c r="R171" s="138"/>
      <c r="S171" s="138"/>
      <c r="T171" s="138"/>
      <c r="U171" s="2" t="s">
        <v>1237</v>
      </c>
      <c r="V171" s="138" t="s">
        <v>1214</v>
      </c>
    </row>
    <row r="172" spans="1:22" ht="12.95" customHeight="1" x14ac:dyDescent="0.2">
      <c r="A172" s="2" t="s">
        <v>15</v>
      </c>
      <c r="B172" s="2" t="s">
        <v>1</v>
      </c>
      <c r="C172" s="3">
        <v>46094</v>
      </c>
      <c r="D172" s="3">
        <v>46094</v>
      </c>
      <c r="E172" s="3">
        <v>46094</v>
      </c>
      <c r="F172" s="2" t="s">
        <v>77</v>
      </c>
      <c r="G172" s="212">
        <v>598.34</v>
      </c>
      <c r="H172" s="205">
        <v>0</v>
      </c>
      <c r="I172" s="228">
        <f t="shared" si="24"/>
        <v>598.34</v>
      </c>
      <c r="J172" s="212">
        <f t="shared" si="19"/>
        <v>473.05598076000007</v>
      </c>
      <c r="K172" s="106" t="s">
        <v>564</v>
      </c>
      <c r="L172" s="144" t="s">
        <v>564</v>
      </c>
      <c r="M172" s="4" t="s">
        <v>360</v>
      </c>
      <c r="N172" s="106" t="s">
        <v>353</v>
      </c>
      <c r="O172" s="146" t="str">
        <f>_xlfn.XLOOKUP(N172,costcategory[Account Code],costcategory[Cost Category],"ERROR")</f>
        <v>Travelling Expenses</v>
      </c>
      <c r="P172" s="4" t="s">
        <v>438</v>
      </c>
      <c r="Q172" s="147" t="str">
        <f>_xlfn.XLOOKUP(P172,Table2[Department],Table2[Group],"ERROR")</f>
        <v>Sales &amp; Marketing</v>
      </c>
      <c r="R172" s="138"/>
      <c r="S172" s="138"/>
      <c r="T172" s="138"/>
      <c r="U172" s="2" t="s">
        <v>1237</v>
      </c>
      <c r="V172" s="138" t="s">
        <v>1214</v>
      </c>
    </row>
    <row r="173" spans="1:22" ht="12.95" customHeight="1" x14ac:dyDescent="0.2">
      <c r="A173" s="2" t="s">
        <v>15</v>
      </c>
      <c r="B173" s="2" t="s">
        <v>1</v>
      </c>
      <c r="C173" s="3">
        <v>46094</v>
      </c>
      <c r="D173" s="3">
        <v>46094</v>
      </c>
      <c r="E173" s="3">
        <v>46094</v>
      </c>
      <c r="F173" s="2" t="s">
        <v>77</v>
      </c>
      <c r="G173" s="212">
        <v>22.66</v>
      </c>
      <c r="H173" s="205">
        <v>0</v>
      </c>
      <c r="I173" s="228">
        <f t="shared" si="24"/>
        <v>22.66</v>
      </c>
      <c r="J173" s="212">
        <f t="shared" si="19"/>
        <v>17.91531324</v>
      </c>
      <c r="K173" s="106" t="s">
        <v>564</v>
      </c>
      <c r="L173" s="144" t="s">
        <v>564</v>
      </c>
      <c r="M173" s="4" t="s">
        <v>361</v>
      </c>
      <c r="N173" s="106" t="s">
        <v>356</v>
      </c>
      <c r="O173" s="146" t="str">
        <f>_xlfn.XLOOKUP(N173,costcategory[Account Code],costcategory[Cost Category],"ERROR")</f>
        <v>Travelling Expenses</v>
      </c>
      <c r="P173" s="4" t="s">
        <v>354</v>
      </c>
      <c r="Q173" s="147" t="str">
        <f>_xlfn.XLOOKUP(P173,Table2[Department],Table2[Group],"ERROR")</f>
        <v>Sales &amp; Marketing</v>
      </c>
      <c r="R173" s="138"/>
      <c r="S173" s="138"/>
      <c r="T173" s="138"/>
      <c r="U173" s="2" t="s">
        <v>1237</v>
      </c>
      <c r="V173" s="138" t="s">
        <v>1214</v>
      </c>
    </row>
    <row r="174" spans="1:22" ht="12.95" customHeight="1" x14ac:dyDescent="0.2">
      <c r="A174" s="2" t="s">
        <v>15</v>
      </c>
      <c r="B174" s="2" t="s">
        <v>1</v>
      </c>
      <c r="C174" s="3">
        <v>46094</v>
      </c>
      <c r="D174" s="3">
        <v>46094</v>
      </c>
      <c r="E174" s="3">
        <v>46094</v>
      </c>
      <c r="F174" s="2" t="s">
        <v>77</v>
      </c>
      <c r="G174" s="212">
        <v>11.35</v>
      </c>
      <c r="H174" s="205">
        <v>0</v>
      </c>
      <c r="I174" s="228">
        <f t="shared" si="24"/>
        <v>11.35</v>
      </c>
      <c r="J174" s="212">
        <f t="shared" si="19"/>
        <v>8.9734689000000003</v>
      </c>
      <c r="K174" s="106" t="s">
        <v>564</v>
      </c>
      <c r="L174" s="144" t="s">
        <v>564</v>
      </c>
      <c r="M174" s="4" t="s">
        <v>361</v>
      </c>
      <c r="N174" s="106" t="s">
        <v>356</v>
      </c>
      <c r="O174" s="146" t="str">
        <f>_xlfn.XLOOKUP(N174,costcategory[Account Code],costcategory[Cost Category],"ERROR")</f>
        <v>Travelling Expenses</v>
      </c>
      <c r="P174" s="4" t="s">
        <v>376</v>
      </c>
      <c r="Q174" s="147" t="str">
        <f>_xlfn.XLOOKUP(P174,Table2[Department],Table2[Group],"ERROR")</f>
        <v>General &amp; Administrative</v>
      </c>
      <c r="R174" s="138"/>
      <c r="S174" s="138"/>
      <c r="T174" s="138"/>
      <c r="U174" s="2" t="s">
        <v>1237</v>
      </c>
      <c r="V174" s="138" t="s">
        <v>1214</v>
      </c>
    </row>
    <row r="175" spans="1:22" ht="12.95" customHeight="1" x14ac:dyDescent="0.2">
      <c r="A175" s="2" t="s">
        <v>15</v>
      </c>
      <c r="B175" s="2" t="s">
        <v>1</v>
      </c>
      <c r="C175" s="3">
        <v>46094</v>
      </c>
      <c r="D175" s="3">
        <v>46094</v>
      </c>
      <c r="E175" s="3">
        <v>46094</v>
      </c>
      <c r="F175" s="2" t="s">
        <v>77</v>
      </c>
      <c r="G175" s="212">
        <v>19.75</v>
      </c>
      <c r="H175" s="205">
        <v>0</v>
      </c>
      <c r="I175" s="228">
        <f t="shared" si="24"/>
        <v>19.75</v>
      </c>
      <c r="J175" s="212">
        <f t="shared" si="19"/>
        <v>15.6146265</v>
      </c>
      <c r="K175" s="106" t="s">
        <v>564</v>
      </c>
      <c r="L175" s="144" t="s">
        <v>564</v>
      </c>
      <c r="M175" s="4" t="s">
        <v>361</v>
      </c>
      <c r="N175" s="106" t="s">
        <v>356</v>
      </c>
      <c r="O175" s="146" t="str">
        <f>_xlfn.XLOOKUP(N175,costcategory[Account Code],costcategory[Cost Category],"ERROR")</f>
        <v>Travelling Expenses</v>
      </c>
      <c r="P175" s="4" t="s">
        <v>56</v>
      </c>
      <c r="Q175" s="147" t="str">
        <f>_xlfn.XLOOKUP(P175,Table2[Department],Table2[Group],"ERROR")</f>
        <v>Research &amp; Development</v>
      </c>
      <c r="R175" s="138"/>
      <c r="S175" s="138"/>
      <c r="T175" s="138"/>
      <c r="U175" s="2" t="s">
        <v>1237</v>
      </c>
      <c r="V175" s="138" t="s">
        <v>1214</v>
      </c>
    </row>
    <row r="176" spans="1:22" ht="12.95" customHeight="1" x14ac:dyDescent="0.2">
      <c r="A176" s="2" t="s">
        <v>15</v>
      </c>
      <c r="B176" s="2" t="s">
        <v>1</v>
      </c>
      <c r="C176" s="3">
        <v>46094</v>
      </c>
      <c r="D176" s="3">
        <v>46094</v>
      </c>
      <c r="E176" s="3">
        <v>46094</v>
      </c>
      <c r="F176" s="2" t="s">
        <v>77</v>
      </c>
      <c r="G176" s="212">
        <v>225.78999999999996</v>
      </c>
      <c r="H176" s="205">
        <v>0</v>
      </c>
      <c r="I176" s="228">
        <f t="shared" si="24"/>
        <v>225.78999999999996</v>
      </c>
      <c r="J176" s="212">
        <f t="shared" si="19"/>
        <v>178.51273505999998</v>
      </c>
      <c r="K176" s="106" t="s">
        <v>564</v>
      </c>
      <c r="L176" s="144" t="s">
        <v>564</v>
      </c>
      <c r="M176" s="4" t="s">
        <v>361</v>
      </c>
      <c r="N176" s="106" t="s">
        <v>356</v>
      </c>
      <c r="O176" s="146" t="str">
        <f>_xlfn.XLOOKUP(N176,costcategory[Account Code],costcategory[Cost Category],"ERROR")</f>
        <v>Travelling Expenses</v>
      </c>
      <c r="P176" s="4" t="s">
        <v>59</v>
      </c>
      <c r="Q176" s="147" t="str">
        <f>_xlfn.XLOOKUP(P176,Table2[Department],Table2[Group],"ERROR")</f>
        <v>Research &amp; Development</v>
      </c>
      <c r="R176" s="138"/>
      <c r="S176" s="138"/>
      <c r="T176" s="138"/>
      <c r="U176" s="2" t="s">
        <v>1237</v>
      </c>
      <c r="V176" s="138" t="s">
        <v>1214</v>
      </c>
    </row>
    <row r="177" spans="1:22" ht="12.95" customHeight="1" x14ac:dyDescent="0.2">
      <c r="A177" s="2" t="s">
        <v>15</v>
      </c>
      <c r="B177" s="2" t="s">
        <v>1</v>
      </c>
      <c r="C177" s="3">
        <v>46094</v>
      </c>
      <c r="D177" s="3">
        <v>46094</v>
      </c>
      <c r="E177" s="3">
        <v>46094</v>
      </c>
      <c r="F177" s="2" t="s">
        <v>77</v>
      </c>
      <c r="G177" s="212">
        <v>213.69</v>
      </c>
      <c r="H177" s="205">
        <v>6.29</v>
      </c>
      <c r="I177" s="229">
        <f t="shared" si="16"/>
        <v>219.98</v>
      </c>
      <c r="J177" s="212">
        <f t="shared" si="19"/>
        <v>173.91926771999999</v>
      </c>
      <c r="K177" s="106" t="s">
        <v>564</v>
      </c>
      <c r="L177" s="144" t="s">
        <v>564</v>
      </c>
      <c r="M177" s="4" t="s">
        <v>361</v>
      </c>
      <c r="N177" s="106" t="s">
        <v>356</v>
      </c>
      <c r="O177" s="146" t="str">
        <f>_xlfn.XLOOKUP(N177,costcategory[Account Code],costcategory[Cost Category],"ERROR")</f>
        <v>Travelling Expenses</v>
      </c>
      <c r="P177" s="4" t="s">
        <v>438</v>
      </c>
      <c r="Q177" s="147" t="str">
        <f>_xlfn.XLOOKUP(P177,Table2[Department],Table2[Group],"ERROR")</f>
        <v>Sales &amp; Marketing</v>
      </c>
      <c r="R177" s="138"/>
      <c r="S177" s="138"/>
      <c r="T177" s="138"/>
      <c r="U177" s="2" t="s">
        <v>1237</v>
      </c>
      <c r="V177" s="138" t="s">
        <v>1211</v>
      </c>
    </row>
    <row r="178" spans="1:22" ht="12.95" customHeight="1" x14ac:dyDescent="0.2">
      <c r="A178" s="2" t="s">
        <v>15</v>
      </c>
      <c r="B178" s="2" t="s">
        <v>1</v>
      </c>
      <c r="C178" s="3">
        <v>46094</v>
      </c>
      <c r="D178" s="3">
        <v>46094</v>
      </c>
      <c r="E178" s="3">
        <v>46096</v>
      </c>
      <c r="F178" s="2" t="s">
        <v>77</v>
      </c>
      <c r="G178" s="212">
        <v>57</v>
      </c>
      <c r="H178" s="205">
        <v>5.13</v>
      </c>
      <c r="I178" s="212">
        <f t="shared" si="10"/>
        <v>62.13</v>
      </c>
      <c r="J178" s="212">
        <f t="shared" si="19"/>
        <v>49.120847820000002</v>
      </c>
      <c r="K178" s="106" t="s">
        <v>665</v>
      </c>
      <c r="L178" s="144" t="s">
        <v>804</v>
      </c>
      <c r="M178" s="4" t="s">
        <v>1238</v>
      </c>
      <c r="N178" s="106" t="s">
        <v>50</v>
      </c>
      <c r="O178" s="146" t="str">
        <f>_xlfn.XLOOKUP(N178,costcategory[Account Code],costcategory[Cost Category],"ERROR")</f>
        <v>Office Supplies</v>
      </c>
      <c r="P178" s="4" t="s">
        <v>340</v>
      </c>
      <c r="Q178" s="147" t="str">
        <f>_xlfn.XLOOKUP(P178,Table2[Department],Table2[Group],"ERROR")</f>
        <v>General &amp; Administrative</v>
      </c>
      <c r="R178" s="138"/>
      <c r="S178" s="138"/>
      <c r="T178" s="138"/>
      <c r="U178" s="2" t="s">
        <v>1239</v>
      </c>
      <c r="V178" s="138" t="s">
        <v>1211</v>
      </c>
    </row>
    <row r="179" spans="1:22" ht="12.95" customHeight="1" x14ac:dyDescent="0.2">
      <c r="A179" s="2" t="s">
        <v>15</v>
      </c>
      <c r="B179" s="2" t="s">
        <v>1</v>
      </c>
      <c r="C179" s="3">
        <v>46094</v>
      </c>
      <c r="D179" s="3">
        <v>46094</v>
      </c>
      <c r="E179" s="3">
        <v>46096</v>
      </c>
      <c r="F179" s="2" t="s">
        <v>77</v>
      </c>
      <c r="G179" s="212">
        <v>1000</v>
      </c>
      <c r="H179" s="205">
        <v>90</v>
      </c>
      <c r="I179" s="212">
        <f t="shared" si="10"/>
        <v>1090</v>
      </c>
      <c r="J179" s="212">
        <f t="shared" si="19"/>
        <v>861.76926000000003</v>
      </c>
      <c r="K179" s="106" t="s">
        <v>805</v>
      </c>
      <c r="L179" s="144" t="s">
        <v>806</v>
      </c>
      <c r="M179" s="4" t="s">
        <v>807</v>
      </c>
      <c r="N179" s="106" t="s">
        <v>691</v>
      </c>
      <c r="O179" s="146" t="str">
        <f>_xlfn.XLOOKUP(N179,costcategory[Account Code],costcategory[Cost Category],"ERROR")</f>
        <v>Small Value Assets</v>
      </c>
      <c r="P179" s="4" t="s">
        <v>340</v>
      </c>
      <c r="Q179" s="147" t="str">
        <f>_xlfn.XLOOKUP(P179,Table2[Department],Table2[Group],"ERROR")</f>
        <v>General &amp; Administrative</v>
      </c>
      <c r="R179" s="138"/>
      <c r="S179" s="138"/>
      <c r="T179" s="138"/>
      <c r="U179" s="2" t="s">
        <v>1240</v>
      </c>
      <c r="V179" s="138" t="s">
        <v>1211</v>
      </c>
    </row>
    <row r="180" spans="1:22" ht="12.95" customHeight="1" x14ac:dyDescent="0.2">
      <c r="A180" s="2" t="s">
        <v>15</v>
      </c>
      <c r="B180" s="2" t="s">
        <v>1</v>
      </c>
      <c r="C180" s="3">
        <v>46094</v>
      </c>
      <c r="D180" s="3">
        <v>46094</v>
      </c>
      <c r="E180" s="3">
        <v>46094</v>
      </c>
      <c r="F180" s="2" t="s">
        <v>77</v>
      </c>
      <c r="G180" s="212">
        <f>301.97/1.09</f>
        <v>277.0366972477064</v>
      </c>
      <c r="H180" s="205">
        <f>G180*0.09</f>
        <v>24.933302752293574</v>
      </c>
      <c r="I180" s="212">
        <f t="shared" si="10"/>
        <v>301.96999999999997</v>
      </c>
      <c r="J180" s="212">
        <f t="shared" si="19"/>
        <v>238.74170957999999</v>
      </c>
      <c r="K180" s="106" t="s">
        <v>659</v>
      </c>
      <c r="L180" s="144" t="s">
        <v>1241</v>
      </c>
      <c r="M180" s="145" t="s">
        <v>803</v>
      </c>
      <c r="N180" s="106" t="s">
        <v>370</v>
      </c>
      <c r="O180" s="146" t="str">
        <f>_xlfn.XLOOKUP(N180,costcategory[Account Code],costcategory[Cost Category],"ERROR")</f>
        <v>Utilities</v>
      </c>
      <c r="P180" s="4" t="s">
        <v>340</v>
      </c>
      <c r="Q180" s="147" t="str">
        <f>_xlfn.XLOOKUP(P180,Table2[Department],Table2[Group],"ERROR")</f>
        <v>General &amp; Administrative</v>
      </c>
      <c r="R180" s="138"/>
      <c r="S180" s="138"/>
      <c r="T180" s="138"/>
      <c r="V180" s="138" t="s">
        <v>1211</v>
      </c>
    </row>
    <row r="181" spans="1:22" ht="12.95" customHeight="1" x14ac:dyDescent="0.2">
      <c r="A181" s="2" t="s">
        <v>15</v>
      </c>
      <c r="B181" s="2" t="s">
        <v>1</v>
      </c>
      <c r="C181" s="3">
        <v>46094</v>
      </c>
      <c r="D181" s="3">
        <v>46094</v>
      </c>
      <c r="E181" s="3">
        <v>46096</v>
      </c>
      <c r="F181" s="2" t="s">
        <v>77</v>
      </c>
      <c r="G181" s="212">
        <v>600</v>
      </c>
      <c r="H181" s="205">
        <v>0</v>
      </c>
      <c r="I181" s="212">
        <f t="shared" si="10"/>
        <v>600</v>
      </c>
      <c r="J181" s="212">
        <f t="shared" si="19"/>
        <v>474.36840000000001</v>
      </c>
      <c r="K181" s="106" t="s">
        <v>757</v>
      </c>
      <c r="L181" s="144" t="s">
        <v>808</v>
      </c>
      <c r="M181" s="4" t="s">
        <v>809</v>
      </c>
      <c r="N181" s="106" t="s">
        <v>621</v>
      </c>
      <c r="O181" s="146" t="str">
        <f>_xlfn.XLOOKUP(N181,costcategory[Account Code],costcategory[Cost Category],"ERROR")</f>
        <v>Upkeep of Office</v>
      </c>
      <c r="P181" s="4" t="s">
        <v>340</v>
      </c>
      <c r="Q181" s="147" t="str">
        <f>_xlfn.XLOOKUP(P181,Table2[Department],Table2[Group],"ERROR")</f>
        <v>General &amp; Administrative</v>
      </c>
      <c r="R181" s="138"/>
      <c r="S181" s="138"/>
      <c r="T181" s="138"/>
      <c r="V181" s="138" t="s">
        <v>1214</v>
      </c>
    </row>
    <row r="182" spans="1:22" ht="12.95" customHeight="1" x14ac:dyDescent="0.2">
      <c r="A182" s="2" t="s">
        <v>15</v>
      </c>
      <c r="B182" s="2" t="s">
        <v>1</v>
      </c>
      <c r="C182" s="3">
        <v>46098</v>
      </c>
      <c r="D182" s="3">
        <v>46098</v>
      </c>
      <c r="E182" s="3">
        <v>46098</v>
      </c>
      <c r="F182" s="2" t="s">
        <v>77</v>
      </c>
      <c r="G182" s="212">
        <f>584.1+70</f>
        <v>654.1</v>
      </c>
      <c r="H182" s="205">
        <f>G182*0.09</f>
        <v>58.869</v>
      </c>
      <c r="I182" s="227">
        <f t="shared" si="10"/>
        <v>712.96900000000005</v>
      </c>
      <c r="J182" s="212">
        <f t="shared" si="19"/>
        <v>563.68327296600012</v>
      </c>
      <c r="K182" s="106" t="s">
        <v>661</v>
      </c>
      <c r="L182" s="144" t="s">
        <v>812</v>
      </c>
      <c r="M182" s="4" t="s">
        <v>813</v>
      </c>
      <c r="N182" s="106" t="s">
        <v>374</v>
      </c>
      <c r="O182" s="146" t="str">
        <f>_xlfn.XLOOKUP(N182,costcategory[Account Code],costcategory[Cost Category],"ERROR")</f>
        <v>Non-Current Liabilities</v>
      </c>
      <c r="P182" s="4" t="s">
        <v>376</v>
      </c>
      <c r="Q182" s="147" t="str">
        <f>_xlfn.XLOOKUP(P182,Table2[Department],Table2[Group],"ERROR")</f>
        <v>General &amp; Administrative</v>
      </c>
      <c r="R182" s="138"/>
      <c r="S182" s="138"/>
      <c r="T182" s="138"/>
      <c r="V182" s="138" t="s">
        <v>1211</v>
      </c>
    </row>
    <row r="183" spans="1:22" ht="12.95" customHeight="1" x14ac:dyDescent="0.2">
      <c r="A183" s="2" t="s">
        <v>15</v>
      </c>
      <c r="B183" s="2" t="s">
        <v>1</v>
      </c>
      <c r="C183" s="3">
        <v>46098</v>
      </c>
      <c r="D183" s="3">
        <v>46098</v>
      </c>
      <c r="E183" s="3">
        <v>46098</v>
      </c>
      <c r="F183" s="2" t="s">
        <v>77</v>
      </c>
      <c r="G183" s="212">
        <v>446.1</v>
      </c>
      <c r="H183" s="205">
        <v>40.15</v>
      </c>
      <c r="I183" s="228">
        <f>SUM(G183:H183)</f>
        <v>486.25</v>
      </c>
      <c r="J183" s="212">
        <f t="shared" si="19"/>
        <v>384.4360575</v>
      </c>
      <c r="K183" s="106" t="s">
        <v>661</v>
      </c>
      <c r="L183" s="144" t="s">
        <v>814</v>
      </c>
      <c r="M183" s="4" t="s">
        <v>815</v>
      </c>
      <c r="N183" s="106" t="s">
        <v>58</v>
      </c>
      <c r="O183" s="146" t="str">
        <f>_xlfn.XLOOKUP(N183,costcategory[Account Code],costcategory[Cost Category],"ERROR")</f>
        <v>Network &amp; Server</v>
      </c>
      <c r="P183" s="4" t="s">
        <v>56</v>
      </c>
      <c r="Q183" s="147" t="str">
        <f>_xlfn.XLOOKUP(P183,Table2[Department],Table2[Group],"ERROR")</f>
        <v>Research &amp; Development</v>
      </c>
      <c r="R183" s="138"/>
      <c r="S183" s="138"/>
      <c r="T183" s="138"/>
      <c r="V183" s="138" t="s">
        <v>1211</v>
      </c>
    </row>
    <row r="184" spans="1:22" ht="12.95" customHeight="1" x14ac:dyDescent="0.2">
      <c r="A184" s="2" t="s">
        <v>15</v>
      </c>
      <c r="B184" s="2" t="s">
        <v>1</v>
      </c>
      <c r="C184" s="3">
        <v>46098</v>
      </c>
      <c r="D184" s="3">
        <v>46098</v>
      </c>
      <c r="E184" s="3">
        <v>46098</v>
      </c>
      <c r="F184" s="2" t="s">
        <v>77</v>
      </c>
      <c r="G184" s="212">
        <v>679</v>
      </c>
      <c r="H184" s="205">
        <v>61.11</v>
      </c>
      <c r="I184" s="228">
        <f t="shared" ref="I184" si="25">SUM(G184:H184)</f>
        <v>740.11</v>
      </c>
      <c r="J184" s="212">
        <f t="shared" si="19"/>
        <v>585.14132754000002</v>
      </c>
      <c r="K184" s="106" t="s">
        <v>661</v>
      </c>
      <c r="L184" s="144" t="s">
        <v>814</v>
      </c>
      <c r="M184" s="4" t="s">
        <v>815</v>
      </c>
      <c r="N184" s="106" t="s">
        <v>58</v>
      </c>
      <c r="O184" s="146" t="str">
        <f>_xlfn.XLOOKUP(N184,costcategory[Account Code],costcategory[Cost Category],"ERROR")</f>
        <v>Network &amp; Server</v>
      </c>
      <c r="P184" s="4" t="s">
        <v>57</v>
      </c>
      <c r="Q184" s="147" t="str">
        <f>_xlfn.XLOOKUP(P184,Table2[Department],Table2[Group],"ERROR")</f>
        <v>Research &amp; Development</v>
      </c>
      <c r="R184" s="138"/>
      <c r="S184" s="138"/>
      <c r="T184" s="138"/>
      <c r="V184" s="138" t="s">
        <v>1211</v>
      </c>
    </row>
    <row r="185" spans="1:22" ht="12.95" customHeight="1" x14ac:dyDescent="0.2">
      <c r="A185" s="2" t="s">
        <v>15</v>
      </c>
      <c r="B185" s="2" t="s">
        <v>1</v>
      </c>
      <c r="C185" s="3">
        <v>46098</v>
      </c>
      <c r="D185" s="3">
        <v>46098</v>
      </c>
      <c r="E185" s="3">
        <v>46098</v>
      </c>
      <c r="F185" s="2" t="s">
        <v>77</v>
      </c>
      <c r="G185" s="212">
        <v>15198.16</v>
      </c>
      <c r="H185" s="205">
        <v>1367.8344</v>
      </c>
      <c r="I185" s="229">
        <f>SUM(G185:H185)+0.01</f>
        <v>16566.004399999998</v>
      </c>
      <c r="J185" s="212">
        <f t="shared" ref="J185:J214" si="26">I185*$J$118</f>
        <v>13097.3150027016</v>
      </c>
      <c r="K185" s="106" t="s">
        <v>661</v>
      </c>
      <c r="L185" s="144" t="s">
        <v>814</v>
      </c>
      <c r="M185" s="4" t="s">
        <v>815</v>
      </c>
      <c r="N185" s="106" t="s">
        <v>58</v>
      </c>
      <c r="O185" s="146" t="str">
        <f>_xlfn.XLOOKUP(N185,costcategory[Account Code],costcategory[Cost Category],"ERROR")</f>
        <v>Network &amp; Server</v>
      </c>
      <c r="P185" s="4" t="s">
        <v>59</v>
      </c>
      <c r="Q185" s="147" t="str">
        <f>_xlfn.XLOOKUP(P185,Table2[Department],Table2[Group],"ERROR")</f>
        <v>Research &amp; Development</v>
      </c>
      <c r="R185" s="138"/>
      <c r="S185" s="138"/>
      <c r="T185" s="138"/>
      <c r="V185" s="138" t="s">
        <v>1211</v>
      </c>
    </row>
    <row r="186" spans="1:22" ht="12.95" customHeight="1" x14ac:dyDescent="0.2">
      <c r="A186" s="2" t="s">
        <v>15</v>
      </c>
      <c r="B186" s="2" t="s">
        <v>1</v>
      </c>
      <c r="C186" s="3">
        <v>46098</v>
      </c>
      <c r="D186" s="3">
        <v>46098</v>
      </c>
      <c r="E186" s="3">
        <v>46098</v>
      </c>
      <c r="F186" s="2" t="s">
        <v>77</v>
      </c>
      <c r="G186" s="212">
        <v>13902.65</v>
      </c>
      <c r="H186" s="205">
        <v>0</v>
      </c>
      <c r="I186" s="212">
        <f t="shared" si="10"/>
        <v>13902.65</v>
      </c>
      <c r="J186" s="212">
        <f t="shared" si="26"/>
        <v>10991.6297271</v>
      </c>
      <c r="K186" s="106" t="s">
        <v>1216</v>
      </c>
      <c r="L186" s="144" t="s">
        <v>1230</v>
      </c>
      <c r="M186" s="4" t="s">
        <v>788</v>
      </c>
      <c r="N186" s="106" t="s">
        <v>387</v>
      </c>
      <c r="O186" s="146" t="str">
        <f>_xlfn.XLOOKUP(N186,costcategory[Account Code],costcategory[Cost Category],"ERROR")</f>
        <v>Headcount Costs</v>
      </c>
      <c r="P186" s="4" t="s">
        <v>350</v>
      </c>
      <c r="Q186" s="147" t="str">
        <f>_xlfn.XLOOKUP(P186,Table2[Department],Table2[Group],"ERROR")</f>
        <v>General &amp; Administrative</v>
      </c>
      <c r="R186" s="138"/>
      <c r="S186" s="138"/>
      <c r="T186" s="138"/>
      <c r="U186" s="2" t="s">
        <v>1092</v>
      </c>
      <c r="V186" s="138" t="s">
        <v>1214</v>
      </c>
    </row>
    <row r="187" spans="1:22" ht="12.95" customHeight="1" x14ac:dyDescent="0.2">
      <c r="A187" s="2" t="s">
        <v>15</v>
      </c>
      <c r="B187" s="2" t="s">
        <v>1</v>
      </c>
      <c r="C187" s="3">
        <v>46101</v>
      </c>
      <c r="D187" s="3">
        <v>46095</v>
      </c>
      <c r="E187" s="3">
        <v>46096</v>
      </c>
      <c r="F187" s="2" t="s">
        <v>77</v>
      </c>
      <c r="G187" s="212">
        <f>47412.84+1455.16</f>
        <v>48868</v>
      </c>
      <c r="H187" s="205">
        <v>4398.12</v>
      </c>
      <c r="I187" s="212">
        <f t="shared" si="10"/>
        <v>53266.12</v>
      </c>
      <c r="J187" s="212">
        <f t="shared" si="26"/>
        <v>42112.940197680007</v>
      </c>
      <c r="K187" s="106" t="s">
        <v>1025</v>
      </c>
      <c r="L187" s="144" t="s">
        <v>810</v>
      </c>
      <c r="M187" s="4" t="s">
        <v>811</v>
      </c>
      <c r="N187" s="106" t="s">
        <v>356</v>
      </c>
      <c r="O187" s="146" t="str">
        <f>_xlfn.XLOOKUP(N187,costcategory[Account Code],costcategory[Cost Category],"ERROR")</f>
        <v>Travelling Expenses</v>
      </c>
      <c r="P187" s="4" t="s">
        <v>45</v>
      </c>
      <c r="Q187" s="147" t="str">
        <f>_xlfn.XLOOKUP(P187,Table2[Department],Table2[Group],"ERROR")</f>
        <v>DSC</v>
      </c>
      <c r="R187" s="138"/>
      <c r="S187" s="138"/>
      <c r="T187" s="138"/>
      <c r="V187" s="138" t="s">
        <v>1211</v>
      </c>
    </row>
    <row r="188" spans="1:22" ht="12.95" customHeight="1" x14ac:dyDescent="0.2">
      <c r="A188" s="2" t="s">
        <v>15</v>
      </c>
      <c r="B188" s="2" t="s">
        <v>1</v>
      </c>
      <c r="C188" s="3">
        <v>46104</v>
      </c>
      <c r="D188" s="3">
        <v>46104</v>
      </c>
      <c r="E188" s="3">
        <v>46104</v>
      </c>
      <c r="F188" s="2" t="s">
        <v>77</v>
      </c>
      <c r="G188" s="212">
        <v>62.7</v>
      </c>
      <c r="H188" s="205">
        <v>5.6429999999999998</v>
      </c>
      <c r="I188" s="212">
        <f t="shared" si="10"/>
        <v>68.343000000000004</v>
      </c>
      <c r="J188" s="212">
        <f t="shared" si="26"/>
        <v>54.032932602000002</v>
      </c>
      <c r="K188" s="106" t="s">
        <v>823</v>
      </c>
      <c r="L188" s="106" t="s">
        <v>855</v>
      </c>
      <c r="M188" s="4" t="s">
        <v>823</v>
      </c>
      <c r="N188" s="106" t="s">
        <v>390</v>
      </c>
      <c r="O188" s="146" t="str">
        <f>_xlfn.XLOOKUP(N188,costcategory[Account Code],costcategory[Cost Category],"ERROR")</f>
        <v>Employee Benefits</v>
      </c>
      <c r="P188" s="4" t="s">
        <v>523</v>
      </c>
      <c r="Q188" s="147" t="str">
        <f>_xlfn.XLOOKUP(P188,Table2[Department],Table2[Group],"ERROR")</f>
        <v>General &amp; Administrative</v>
      </c>
      <c r="R188" s="138"/>
      <c r="S188" s="138"/>
      <c r="T188" s="138"/>
      <c r="V188" s="138" t="s">
        <v>1211</v>
      </c>
    </row>
    <row r="189" spans="1:22" ht="12.95" customHeight="1" x14ac:dyDescent="0.2">
      <c r="A189" s="2" t="s">
        <v>15</v>
      </c>
      <c r="B189" s="2" t="s">
        <v>1</v>
      </c>
      <c r="C189" s="3">
        <v>46104</v>
      </c>
      <c r="D189" s="3">
        <v>46104</v>
      </c>
      <c r="E189" s="3">
        <v>46104</v>
      </c>
      <c r="F189" s="2" t="s">
        <v>77</v>
      </c>
      <c r="G189" s="212">
        <v>108.46</v>
      </c>
      <c r="H189" s="205">
        <v>9.7613999999999983</v>
      </c>
      <c r="I189" s="212">
        <f t="shared" si="10"/>
        <v>118.22139999999999</v>
      </c>
      <c r="J189" s="212">
        <f t="shared" si="26"/>
        <v>93.46749393959999</v>
      </c>
      <c r="K189" s="106" t="s">
        <v>824</v>
      </c>
      <c r="L189" s="106" t="s">
        <v>855</v>
      </c>
      <c r="M189" s="4" t="s">
        <v>824</v>
      </c>
      <c r="N189" s="106" t="s">
        <v>527</v>
      </c>
      <c r="O189" s="146" t="str">
        <f>_xlfn.XLOOKUP(N189,costcategory[Account Code],costcategory[Cost Category],"ERROR")</f>
        <v>Sales Expenses</v>
      </c>
      <c r="P189" s="4" t="s">
        <v>523</v>
      </c>
      <c r="Q189" s="147" t="str">
        <f>_xlfn.XLOOKUP(P189,Table2[Department],Table2[Group],"ERROR")</f>
        <v>General &amp; Administrative</v>
      </c>
      <c r="R189" s="138"/>
      <c r="S189" s="138"/>
      <c r="T189" s="138"/>
      <c r="V189" s="138" t="s">
        <v>1211</v>
      </c>
    </row>
    <row r="190" spans="1:22" ht="12.95" customHeight="1" x14ac:dyDescent="0.2">
      <c r="A190" s="2" t="s">
        <v>15</v>
      </c>
      <c r="B190" s="2" t="s">
        <v>1</v>
      </c>
      <c r="C190" s="3">
        <v>46104</v>
      </c>
      <c r="D190" s="3">
        <v>46104</v>
      </c>
      <c r="E190" s="3">
        <v>46101</v>
      </c>
      <c r="F190" s="2" t="s">
        <v>77</v>
      </c>
      <c r="G190" s="212">
        <v>2.57</v>
      </c>
      <c r="H190" s="205">
        <v>0.23129999999999998</v>
      </c>
      <c r="I190" s="212">
        <f t="shared" si="10"/>
        <v>2.8012999999999999</v>
      </c>
      <c r="J190" s="212">
        <f t="shared" si="26"/>
        <v>2.2147469981999999</v>
      </c>
      <c r="K190" s="106" t="s">
        <v>816</v>
      </c>
      <c r="L190" s="106" t="s">
        <v>855</v>
      </c>
      <c r="M190" s="4" t="s">
        <v>816</v>
      </c>
      <c r="N190" s="106" t="s">
        <v>402</v>
      </c>
      <c r="O190" s="146" t="str">
        <f>_xlfn.XLOOKUP(N190,costcategory[Account Code],costcategory[Cost Category],"ERROR")</f>
        <v>Travelling Expenses</v>
      </c>
      <c r="P190" s="4" t="s">
        <v>523</v>
      </c>
      <c r="Q190" s="147" t="str">
        <f>_xlfn.XLOOKUP(P190,Table2[Department],Table2[Group],"ERROR")</f>
        <v>General &amp; Administrative</v>
      </c>
      <c r="R190" s="138"/>
      <c r="S190" s="138"/>
      <c r="T190" s="138"/>
      <c r="V190" s="138" t="s">
        <v>1211</v>
      </c>
    </row>
    <row r="191" spans="1:22" ht="12.95" customHeight="1" x14ac:dyDescent="0.2">
      <c r="A191" s="2" t="s">
        <v>15</v>
      </c>
      <c r="B191" s="2" t="s">
        <v>1</v>
      </c>
      <c r="C191" s="3">
        <v>46104</v>
      </c>
      <c r="D191" s="3">
        <v>46104</v>
      </c>
      <c r="E191" s="3">
        <v>46101</v>
      </c>
      <c r="F191" s="2" t="s">
        <v>77</v>
      </c>
      <c r="G191" s="212">
        <v>49.28</v>
      </c>
      <c r="H191" s="205">
        <v>4.4352</v>
      </c>
      <c r="I191" s="212">
        <f t="shared" si="10"/>
        <v>53.715200000000003</v>
      </c>
      <c r="J191" s="212">
        <f t="shared" si="26"/>
        <v>42.467989132800007</v>
      </c>
      <c r="K191" s="106" t="s">
        <v>817</v>
      </c>
      <c r="L191" s="106" t="s">
        <v>855</v>
      </c>
      <c r="M191" s="4" t="s">
        <v>818</v>
      </c>
      <c r="N191" s="106" t="s">
        <v>390</v>
      </c>
      <c r="O191" s="146" t="str">
        <f>_xlfn.XLOOKUP(N191,costcategory[Account Code],costcategory[Cost Category],"ERROR")</f>
        <v>Employee Benefits</v>
      </c>
      <c r="P191" s="4" t="s">
        <v>523</v>
      </c>
      <c r="Q191" s="147" t="str">
        <f>_xlfn.XLOOKUP(P191,Table2[Department],Table2[Group],"ERROR")</f>
        <v>General &amp; Administrative</v>
      </c>
      <c r="R191" s="138"/>
      <c r="S191" s="138"/>
      <c r="T191" s="138"/>
      <c r="V191" s="138" t="s">
        <v>1211</v>
      </c>
    </row>
    <row r="192" spans="1:22" ht="12.95" customHeight="1" x14ac:dyDescent="0.2">
      <c r="A192" s="2" t="s">
        <v>15</v>
      </c>
      <c r="B192" s="2" t="s">
        <v>1</v>
      </c>
      <c r="C192" s="3">
        <v>46105</v>
      </c>
      <c r="D192" s="3">
        <v>46105</v>
      </c>
      <c r="E192" s="3">
        <v>46101</v>
      </c>
      <c r="F192" s="2" t="s">
        <v>77</v>
      </c>
      <c r="G192" s="212">
        <v>91.95</v>
      </c>
      <c r="H192" s="205">
        <v>8.2754999999999992</v>
      </c>
      <c r="I192" s="212">
        <f t="shared" si="10"/>
        <v>100.2255</v>
      </c>
      <c r="J192" s="212">
        <f t="shared" si="26"/>
        <v>79.239683456999998</v>
      </c>
      <c r="K192" s="106" t="s">
        <v>819</v>
      </c>
      <c r="L192" s="106" t="s">
        <v>855</v>
      </c>
      <c r="M192" s="4" t="s">
        <v>820</v>
      </c>
      <c r="N192" s="106" t="s">
        <v>527</v>
      </c>
      <c r="O192" s="146" t="str">
        <f>_xlfn.XLOOKUP(N192,costcategory[Account Code],costcategory[Cost Category],"ERROR")</f>
        <v>Sales Expenses</v>
      </c>
      <c r="P192" s="4" t="s">
        <v>523</v>
      </c>
      <c r="Q192" s="147" t="str">
        <f>_xlfn.XLOOKUP(P192,Table2[Department],Table2[Group],"ERROR")</f>
        <v>General &amp; Administrative</v>
      </c>
      <c r="R192" s="138"/>
      <c r="S192" s="138"/>
      <c r="T192" s="138"/>
      <c r="V192" s="138" t="s">
        <v>1211</v>
      </c>
    </row>
    <row r="193" spans="1:22" ht="12.95" customHeight="1" x14ac:dyDescent="0.2">
      <c r="A193" s="2" t="s">
        <v>15</v>
      </c>
      <c r="B193" s="2" t="s">
        <v>1</v>
      </c>
      <c r="C193" s="3">
        <v>46106</v>
      </c>
      <c r="D193" s="3">
        <v>46106</v>
      </c>
      <c r="E193" s="3">
        <v>46106</v>
      </c>
      <c r="F193" s="2" t="s">
        <v>77</v>
      </c>
      <c r="G193" s="212">
        <v>-126960</v>
      </c>
      <c r="H193" s="205">
        <v>0</v>
      </c>
      <c r="I193" s="212">
        <f t="shared" si="10"/>
        <v>-126960</v>
      </c>
      <c r="J193" s="212">
        <f t="shared" si="26"/>
        <v>-100376.35344000001</v>
      </c>
      <c r="K193" s="106" t="s">
        <v>670</v>
      </c>
      <c r="L193" s="106" t="s">
        <v>528</v>
      </c>
      <c r="M193" s="4" t="s">
        <v>696</v>
      </c>
      <c r="N193" s="106" t="s">
        <v>418</v>
      </c>
      <c r="O193" s="146" t="str">
        <f>_xlfn.XLOOKUP(N193,costcategory[Account Code],costcategory[Cost Category],"ERROR")</f>
        <v>Internal Fund Transfer</v>
      </c>
      <c r="P193" s="4" t="s">
        <v>333</v>
      </c>
      <c r="Q193" s="147" t="str">
        <f>_xlfn.XLOOKUP(P193,Table2[Department],Table2[Group],"ERROR")</f>
        <v>General &amp; Administrative</v>
      </c>
      <c r="R193" s="138"/>
      <c r="S193" s="138"/>
      <c r="T193" s="138"/>
      <c r="U193" s="2" t="s">
        <v>1242</v>
      </c>
      <c r="V193" s="138" t="s">
        <v>1214</v>
      </c>
    </row>
    <row r="194" spans="1:22" ht="12.95" customHeight="1" x14ac:dyDescent="0.2">
      <c r="A194" s="2" t="s">
        <v>15</v>
      </c>
      <c r="B194" s="2" t="s">
        <v>1</v>
      </c>
      <c r="C194" s="3">
        <v>46106</v>
      </c>
      <c r="D194" s="3">
        <v>46106</v>
      </c>
      <c r="E194" s="3">
        <v>46104</v>
      </c>
      <c r="F194" s="2" t="s">
        <v>77</v>
      </c>
      <c r="G194" s="212">
        <v>214.04</v>
      </c>
      <c r="H194" s="205">
        <v>19.260000000000002</v>
      </c>
      <c r="I194" s="212">
        <f t="shared" si="10"/>
        <v>233.29999999999998</v>
      </c>
      <c r="J194" s="212">
        <f t="shared" si="26"/>
        <v>184.45024620000001</v>
      </c>
      <c r="K194" s="106" t="s">
        <v>825</v>
      </c>
      <c r="L194" s="106" t="s">
        <v>855</v>
      </c>
      <c r="M194" s="4" t="s">
        <v>826</v>
      </c>
      <c r="N194" s="106" t="s">
        <v>390</v>
      </c>
      <c r="O194" s="146" t="str">
        <f>_xlfn.XLOOKUP(N194,costcategory[Account Code],costcategory[Cost Category],"ERROR")</f>
        <v>Employee Benefits</v>
      </c>
      <c r="P194" s="4" t="s">
        <v>523</v>
      </c>
      <c r="Q194" s="147" t="str">
        <f>_xlfn.XLOOKUP(P194,Table2[Department],Table2[Group],"ERROR")</f>
        <v>General &amp; Administrative</v>
      </c>
      <c r="R194" s="138"/>
      <c r="S194" s="138"/>
      <c r="T194" s="138"/>
      <c r="V194" s="138" t="s">
        <v>1211</v>
      </c>
    </row>
    <row r="195" spans="1:22" ht="12.95" customHeight="1" x14ac:dyDescent="0.2">
      <c r="A195" s="2" t="s">
        <v>15</v>
      </c>
      <c r="B195" s="2" t="s">
        <v>1</v>
      </c>
      <c r="C195" s="3">
        <v>46107</v>
      </c>
      <c r="D195" s="3">
        <v>46107</v>
      </c>
      <c r="E195" s="3">
        <v>46105</v>
      </c>
      <c r="F195" s="2" t="s">
        <v>77</v>
      </c>
      <c r="G195" s="212">
        <v>112.66</v>
      </c>
      <c r="H195" s="205">
        <v>10.14</v>
      </c>
      <c r="I195" s="212">
        <f t="shared" si="10"/>
        <v>122.8</v>
      </c>
      <c r="J195" s="212">
        <f t="shared" si="26"/>
        <v>97.087399200000007</v>
      </c>
      <c r="K195" s="106" t="s">
        <v>827</v>
      </c>
      <c r="L195" s="106" t="s">
        <v>855</v>
      </c>
      <c r="M195" s="4" t="s">
        <v>828</v>
      </c>
      <c r="N195" s="106" t="s">
        <v>390</v>
      </c>
      <c r="O195" s="146" t="str">
        <f>_xlfn.XLOOKUP(N195,costcategory[Account Code],costcategory[Cost Category],"ERROR")</f>
        <v>Employee Benefits</v>
      </c>
      <c r="P195" s="4" t="s">
        <v>523</v>
      </c>
      <c r="Q195" s="147" t="str">
        <f>_xlfn.XLOOKUP(P195,Table2[Department],Table2[Group],"ERROR")</f>
        <v>General &amp; Administrative</v>
      </c>
      <c r="R195" s="138"/>
      <c r="S195" s="138"/>
      <c r="T195" s="138"/>
      <c r="V195" s="138" t="s">
        <v>1211</v>
      </c>
    </row>
    <row r="196" spans="1:22" ht="12.95" customHeight="1" x14ac:dyDescent="0.2">
      <c r="A196" s="2" t="s">
        <v>15</v>
      </c>
      <c r="B196" s="2" t="s">
        <v>1</v>
      </c>
      <c r="C196" s="3">
        <v>46107</v>
      </c>
      <c r="D196" s="3">
        <v>46107</v>
      </c>
      <c r="E196" s="3">
        <v>46107</v>
      </c>
      <c r="F196" s="2" t="s">
        <v>77</v>
      </c>
      <c r="G196" s="212">
        <v>-3.39</v>
      </c>
      <c r="H196" s="205">
        <v>0</v>
      </c>
      <c r="I196" s="212">
        <f t="shared" si="10"/>
        <v>-3.39</v>
      </c>
      <c r="J196" s="212">
        <f t="shared" si="26"/>
        <v>-2.68018146</v>
      </c>
      <c r="K196" s="106" t="s">
        <v>670</v>
      </c>
      <c r="L196" s="144" t="s">
        <v>1243</v>
      </c>
      <c r="M196" s="4" t="s">
        <v>715</v>
      </c>
      <c r="N196" s="106" t="s">
        <v>384</v>
      </c>
      <c r="O196" s="146" t="str">
        <f>_xlfn.XLOOKUP(N196,costcategory[Account Code],costcategory[Cost Category],"ERROR")</f>
        <v>Other Income</v>
      </c>
      <c r="P196" s="4" t="s">
        <v>333</v>
      </c>
      <c r="Q196" s="147" t="str">
        <f>_xlfn.XLOOKUP(P196,Table2[Department],Table2[Group],"ERROR")</f>
        <v>General &amp; Administrative</v>
      </c>
      <c r="R196" s="138"/>
      <c r="S196" s="138"/>
      <c r="T196" s="138"/>
      <c r="U196" s="2" t="s">
        <v>1244</v>
      </c>
      <c r="V196" s="138" t="s">
        <v>1214</v>
      </c>
    </row>
    <row r="197" spans="1:22" ht="12.95" customHeight="1" x14ac:dyDescent="0.2">
      <c r="A197" s="2" t="s">
        <v>15</v>
      </c>
      <c r="B197" s="2" t="s">
        <v>1</v>
      </c>
      <c r="C197" s="3">
        <v>46108</v>
      </c>
      <c r="D197" s="3">
        <v>46108</v>
      </c>
      <c r="E197" s="3">
        <v>46102</v>
      </c>
      <c r="F197" s="2" t="s">
        <v>77</v>
      </c>
      <c r="G197" s="212">
        <v>203.83</v>
      </c>
      <c r="H197" s="205">
        <v>0</v>
      </c>
      <c r="I197" s="212">
        <f t="shared" si="10"/>
        <v>203.83</v>
      </c>
      <c r="J197" s="212">
        <f t="shared" si="26"/>
        <v>161.15085162000003</v>
      </c>
      <c r="K197" s="106" t="s">
        <v>821</v>
      </c>
      <c r="L197" s="144"/>
      <c r="M197" s="4" t="s">
        <v>822</v>
      </c>
      <c r="N197" s="106" t="s">
        <v>390</v>
      </c>
      <c r="O197" s="146" t="str">
        <f>_xlfn.XLOOKUP(N197,costcategory[Account Code],costcategory[Cost Category],"ERROR")</f>
        <v>Employee Benefits</v>
      </c>
      <c r="P197" s="4" t="s">
        <v>523</v>
      </c>
      <c r="Q197" s="147" t="str">
        <f>_xlfn.XLOOKUP(P197,Table2[Department],Table2[Group],"ERROR")</f>
        <v>General &amp; Administrative</v>
      </c>
      <c r="R197" s="138"/>
      <c r="S197" s="138"/>
      <c r="T197" s="138"/>
      <c r="V197" s="138" t="s">
        <v>1214</v>
      </c>
    </row>
    <row r="198" spans="1:22" ht="12.95" customHeight="1" x14ac:dyDescent="0.2">
      <c r="A198" s="2" t="s">
        <v>15</v>
      </c>
      <c r="B198" s="2" t="s">
        <v>1</v>
      </c>
      <c r="C198" s="3">
        <v>46108</v>
      </c>
      <c r="D198" s="3">
        <v>46108</v>
      </c>
      <c r="E198" s="3">
        <v>46108</v>
      </c>
      <c r="F198" s="2" t="s">
        <v>77</v>
      </c>
      <c r="G198" s="212">
        <v>-9664.67</v>
      </c>
      <c r="H198" s="205">
        <v>0</v>
      </c>
      <c r="I198" s="212">
        <f t="shared" si="10"/>
        <v>-9664.67</v>
      </c>
      <c r="J198" s="212">
        <f t="shared" si="26"/>
        <v>-7641.0234073800002</v>
      </c>
      <c r="K198" s="106" t="s">
        <v>105</v>
      </c>
      <c r="L198" s="106" t="s">
        <v>106</v>
      </c>
      <c r="M198" s="4" t="s">
        <v>829</v>
      </c>
      <c r="N198" s="106" t="s">
        <v>382</v>
      </c>
      <c r="O198" s="146" t="str">
        <f>_xlfn.XLOOKUP(N198,costcategory[Account Code],costcategory[Cost Category],"ERROR")</f>
        <v>Revenue</v>
      </c>
      <c r="P198" s="4" t="s">
        <v>438</v>
      </c>
      <c r="Q198" s="147" t="str">
        <f>_xlfn.XLOOKUP(P198,Table2[Department],Table2[Group],"ERROR")</f>
        <v>Sales &amp; Marketing</v>
      </c>
      <c r="R198" s="138"/>
      <c r="S198" s="138"/>
      <c r="T198" s="138"/>
      <c r="V198" s="138" t="s">
        <v>1214</v>
      </c>
    </row>
    <row r="199" spans="1:22" ht="12.95" customHeight="1" x14ac:dyDescent="0.2">
      <c r="A199" s="2" t="s">
        <v>15</v>
      </c>
      <c r="B199" s="2" t="s">
        <v>1</v>
      </c>
      <c r="C199" s="3">
        <v>46109</v>
      </c>
      <c r="D199" s="3">
        <v>46109</v>
      </c>
      <c r="E199" s="3">
        <v>46109</v>
      </c>
      <c r="F199" s="2" t="s">
        <v>77</v>
      </c>
      <c r="G199" s="212">
        <v>-5000</v>
      </c>
      <c r="H199" s="205">
        <v>0</v>
      </c>
      <c r="I199" s="212">
        <f t="shared" si="10"/>
        <v>-5000</v>
      </c>
      <c r="J199" s="212">
        <f t="shared" si="26"/>
        <v>-3953.07</v>
      </c>
      <c r="K199" s="106" t="s">
        <v>759</v>
      </c>
      <c r="L199" s="106"/>
      <c r="M199" s="4" t="s">
        <v>1245</v>
      </c>
      <c r="N199" s="106" t="s">
        <v>571</v>
      </c>
      <c r="O199" s="146" t="str">
        <f>_xlfn.XLOOKUP(N199,costcategory[Account Code],costcategory[Cost Category],"ERROR")</f>
        <v>Current Asset</v>
      </c>
      <c r="P199" s="4" t="s">
        <v>340</v>
      </c>
      <c r="Q199" s="147" t="str">
        <f>_xlfn.XLOOKUP(P199,Table2[Department],Table2[Group],"ERROR")</f>
        <v>General &amp; Administrative</v>
      </c>
      <c r="R199" s="138"/>
      <c r="S199" s="138"/>
      <c r="T199" s="138"/>
      <c r="V199" s="138" t="s">
        <v>1214</v>
      </c>
    </row>
    <row r="200" spans="1:22" ht="12.95" customHeight="1" x14ac:dyDescent="0.2">
      <c r="A200" s="2" t="s">
        <v>15</v>
      </c>
      <c r="B200" s="2" t="s">
        <v>1</v>
      </c>
      <c r="C200" s="3">
        <v>46111</v>
      </c>
      <c r="D200" s="3">
        <v>46111</v>
      </c>
      <c r="E200" s="3">
        <v>46111</v>
      </c>
      <c r="F200" s="2" t="s">
        <v>77</v>
      </c>
      <c r="G200" s="212">
        <v>1323.04</v>
      </c>
      <c r="H200" s="205">
        <v>0</v>
      </c>
      <c r="I200" s="212">
        <f t="shared" si="10"/>
        <v>1323.04</v>
      </c>
      <c r="J200" s="212">
        <f t="shared" si="26"/>
        <v>1046.01394656</v>
      </c>
      <c r="K200" s="106" t="s">
        <v>830</v>
      </c>
      <c r="L200" s="107" t="s">
        <v>831</v>
      </c>
      <c r="M200" s="4" t="s">
        <v>832</v>
      </c>
      <c r="N200" s="106" t="s">
        <v>68</v>
      </c>
      <c r="O200" s="146" t="str">
        <f>_xlfn.XLOOKUP(N200,costcategory[Account Code],costcategory[Cost Category],"ERROR")</f>
        <v>Marketing Expense</v>
      </c>
      <c r="P200" s="4" t="s">
        <v>658</v>
      </c>
      <c r="Q200" s="147" t="str">
        <f>_xlfn.XLOOKUP(P200,Table2[Department],Table2[Group],"ERROR")</f>
        <v>Sales &amp; Marketing</v>
      </c>
      <c r="R200" s="138"/>
      <c r="S200" s="138"/>
      <c r="T200" s="138"/>
      <c r="V200" s="138" t="s">
        <v>1214</v>
      </c>
    </row>
    <row r="201" spans="1:22" ht="12.95" customHeight="1" x14ac:dyDescent="0.2">
      <c r="A201" s="2" t="s">
        <v>15</v>
      </c>
      <c r="B201" s="2" t="s">
        <v>1</v>
      </c>
      <c r="C201" s="3">
        <v>46111</v>
      </c>
      <c r="D201" s="3">
        <v>46111</v>
      </c>
      <c r="E201" s="3">
        <v>46111</v>
      </c>
      <c r="F201" s="2" t="s">
        <v>77</v>
      </c>
      <c r="G201" s="220">
        <v>137.44999999999999</v>
      </c>
      <c r="H201" s="220">
        <v>0</v>
      </c>
      <c r="I201" s="220">
        <v>137.44999999999999</v>
      </c>
      <c r="J201" s="220">
        <f t="shared" si="26"/>
        <v>108.6698943</v>
      </c>
      <c r="K201" s="105" t="s">
        <v>774</v>
      </c>
      <c r="L201" s="105" t="s">
        <v>833</v>
      </c>
      <c r="M201" s="4" t="s">
        <v>776</v>
      </c>
      <c r="N201" s="106" t="s">
        <v>60</v>
      </c>
      <c r="O201" s="146" t="str">
        <f>_xlfn.XLOOKUP(N201,costcategory[Account Code],costcategory[Cost Category],"ERROR")</f>
        <v>Subscription Fee</v>
      </c>
      <c r="P201" s="4" t="s">
        <v>333</v>
      </c>
      <c r="Q201" s="147" t="str">
        <f>_xlfn.XLOOKUP(P201,Table2[Department],Table2[Group],"ERROR")</f>
        <v>General &amp; Administrative</v>
      </c>
      <c r="R201" s="138"/>
      <c r="S201" s="138"/>
      <c r="T201" s="138"/>
      <c r="V201" s="138" t="s">
        <v>1214</v>
      </c>
    </row>
    <row r="202" spans="1:22" ht="12.95" customHeight="1" x14ac:dyDescent="0.2">
      <c r="A202" s="2" t="s">
        <v>15</v>
      </c>
      <c r="B202" s="2" t="s">
        <v>1</v>
      </c>
      <c r="C202" s="3">
        <v>46111</v>
      </c>
      <c r="D202" s="3">
        <v>46111</v>
      </c>
      <c r="E202" s="3">
        <v>46111</v>
      </c>
      <c r="F202" s="2" t="s">
        <v>77</v>
      </c>
      <c r="G202" s="220">
        <v>74</v>
      </c>
      <c r="H202" s="220">
        <v>0</v>
      </c>
      <c r="I202" s="220">
        <v>74</v>
      </c>
      <c r="J202" s="220">
        <f t="shared" si="26"/>
        <v>58.505436000000003</v>
      </c>
      <c r="K202" s="105" t="s">
        <v>774</v>
      </c>
      <c r="L202" s="105" t="s">
        <v>833</v>
      </c>
      <c r="M202" s="4" t="s">
        <v>776</v>
      </c>
      <c r="N202" s="106" t="s">
        <v>60</v>
      </c>
      <c r="O202" s="146" t="str">
        <f>_xlfn.XLOOKUP(N202,costcategory[Account Code],costcategory[Cost Category],"ERROR")</f>
        <v>Subscription Fee</v>
      </c>
      <c r="P202" s="4" t="s">
        <v>354</v>
      </c>
      <c r="Q202" s="147" t="str">
        <f>_xlfn.XLOOKUP(P202,Table2[Department],Table2[Group],"ERROR")</f>
        <v>Sales &amp; Marketing</v>
      </c>
      <c r="R202" s="138"/>
      <c r="S202" s="138"/>
      <c r="T202" s="138"/>
      <c r="V202" s="138" t="s">
        <v>1214</v>
      </c>
    </row>
    <row r="203" spans="1:22" ht="12.95" customHeight="1" x14ac:dyDescent="0.2">
      <c r="A203" s="2" t="s">
        <v>15</v>
      </c>
      <c r="B203" s="2" t="s">
        <v>1</v>
      </c>
      <c r="C203" s="3">
        <v>46112</v>
      </c>
      <c r="D203" s="3">
        <v>46112</v>
      </c>
      <c r="E203" s="3">
        <v>46112</v>
      </c>
      <c r="F203" s="2" t="s">
        <v>77</v>
      </c>
      <c r="G203" s="220">
        <v>70.5</v>
      </c>
      <c r="H203" s="220">
        <v>0</v>
      </c>
      <c r="I203" s="220">
        <v>70.5</v>
      </c>
      <c r="J203" s="220">
        <f t="shared" si="26"/>
        <v>55.738287</v>
      </c>
      <c r="K203" s="105" t="s">
        <v>834</v>
      </c>
      <c r="L203" s="105" t="s">
        <v>835</v>
      </c>
      <c r="M203" s="4" t="s">
        <v>1246</v>
      </c>
      <c r="N203" s="106" t="s">
        <v>657</v>
      </c>
      <c r="O203" s="146" t="str">
        <f>_xlfn.XLOOKUP(N203,costcategory[Account Code],costcategory[Cost Category],"ERROR")</f>
        <v>Intercompany</v>
      </c>
      <c r="P203" s="4" t="s">
        <v>333</v>
      </c>
      <c r="Q203" s="147" t="str">
        <f>_xlfn.XLOOKUP(P203,Table2[Department],Table2[Group],"ERROR")</f>
        <v>General &amp; Administrative</v>
      </c>
      <c r="R203" s="138"/>
      <c r="S203" s="138"/>
      <c r="T203" s="138"/>
      <c r="V203" s="138" t="s">
        <v>1214</v>
      </c>
    </row>
    <row r="204" spans="1:22" ht="12.95" customHeight="1" x14ac:dyDescent="0.2">
      <c r="A204" s="2" t="s">
        <v>15</v>
      </c>
      <c r="B204" s="2" t="s">
        <v>1</v>
      </c>
      <c r="C204" s="3">
        <v>46112</v>
      </c>
      <c r="D204" s="3">
        <v>46112</v>
      </c>
      <c r="E204" s="3">
        <v>46112</v>
      </c>
      <c r="F204" s="2" t="s">
        <v>77</v>
      </c>
      <c r="G204" s="212">
        <v>209041.44</v>
      </c>
      <c r="H204" s="212">
        <v>0</v>
      </c>
      <c r="I204" s="212">
        <f t="shared" ref="I204:I214" si="27">SUM(G204:H204)</f>
        <v>209041.44</v>
      </c>
      <c r="J204" s="212">
        <f t="shared" si="26"/>
        <v>165271.08904416001</v>
      </c>
      <c r="K204" s="106" t="s">
        <v>1216</v>
      </c>
      <c r="L204" s="144" t="s">
        <v>1230</v>
      </c>
      <c r="M204" s="4" t="s">
        <v>788</v>
      </c>
      <c r="N204" s="106" t="s">
        <v>387</v>
      </c>
      <c r="O204" s="146" t="str">
        <f>_xlfn.XLOOKUP(N204,costcategory[Account Code],costcategory[Cost Category],"ERROR")</f>
        <v>Headcount Costs</v>
      </c>
      <c r="P204" s="4" t="s">
        <v>350</v>
      </c>
      <c r="Q204" s="147" t="str">
        <f>_xlfn.XLOOKUP(P204,Table2[Department],Table2[Group],"ERROR")</f>
        <v>General &amp; Administrative</v>
      </c>
      <c r="R204" s="138"/>
      <c r="S204" s="138"/>
      <c r="T204" s="138"/>
      <c r="U204" s="2" t="s">
        <v>1093</v>
      </c>
      <c r="V204" s="138" t="s">
        <v>1214</v>
      </c>
    </row>
    <row r="205" spans="1:22" ht="12.95" customHeight="1" x14ac:dyDescent="0.2">
      <c r="A205" s="2" t="s">
        <v>15</v>
      </c>
      <c r="B205" s="2" t="s">
        <v>1</v>
      </c>
      <c r="C205" s="3">
        <v>46112</v>
      </c>
      <c r="D205" s="3">
        <v>46112</v>
      </c>
      <c r="E205" s="3">
        <v>46112</v>
      </c>
      <c r="F205" s="2" t="s">
        <v>77</v>
      </c>
      <c r="G205" s="212">
        <v>-186.36</v>
      </c>
      <c r="H205" s="212">
        <v>0</v>
      </c>
      <c r="I205" s="212">
        <f t="shared" si="27"/>
        <v>-186.36</v>
      </c>
      <c r="J205" s="212">
        <f t="shared" si="26"/>
        <v>-147.33882504000002</v>
      </c>
      <c r="K205" s="106" t="s">
        <v>790</v>
      </c>
      <c r="L205" s="106"/>
      <c r="M205" s="4" t="s">
        <v>836</v>
      </c>
      <c r="N205" s="106" t="s">
        <v>364</v>
      </c>
      <c r="O205" s="146" t="str">
        <f>_xlfn.XLOOKUP(N205,costcategory[Account Code],costcategory[Cost Category],"ERROR")</f>
        <v>Headcount Costs</v>
      </c>
      <c r="P205" s="4" t="s">
        <v>350</v>
      </c>
      <c r="Q205" s="147" t="str">
        <f>_xlfn.XLOOKUP(P205,Table2[Department],Table2[Group],"ERROR")</f>
        <v>General &amp; Administrative</v>
      </c>
      <c r="R205" s="138"/>
      <c r="S205" s="138"/>
      <c r="T205" s="138"/>
      <c r="V205" s="138" t="s">
        <v>1214</v>
      </c>
    </row>
    <row r="206" spans="1:22" ht="12.95" customHeight="1" x14ac:dyDescent="0.2">
      <c r="A206" s="2" t="s">
        <v>15</v>
      </c>
      <c r="B206" s="2" t="s">
        <v>1</v>
      </c>
      <c r="C206" s="3">
        <v>46112</v>
      </c>
      <c r="D206" s="3">
        <v>46112</v>
      </c>
      <c r="E206" s="3">
        <v>46112</v>
      </c>
      <c r="F206" s="2" t="s">
        <v>77</v>
      </c>
      <c r="G206" s="212">
        <v>23892</v>
      </c>
      <c r="H206" s="205">
        <v>2150.2799999999997</v>
      </c>
      <c r="I206" s="212">
        <f t="shared" si="27"/>
        <v>26042.28</v>
      </c>
      <c r="J206" s="212">
        <f t="shared" si="26"/>
        <v>20589.39115992</v>
      </c>
      <c r="K206" s="106" t="s">
        <v>759</v>
      </c>
      <c r="L206" s="106" t="s">
        <v>837</v>
      </c>
      <c r="M206" s="4" t="s">
        <v>838</v>
      </c>
      <c r="N206" s="106" t="s">
        <v>409</v>
      </c>
      <c r="O206" s="146" t="str">
        <f>_xlfn.XLOOKUP(N206,costcategory[Account Code],costcategory[Cost Category],"ERROR")</f>
        <v>Rental</v>
      </c>
      <c r="P206" s="4" t="s">
        <v>340</v>
      </c>
      <c r="Q206" s="147" t="str">
        <f>_xlfn.XLOOKUP(P206,Table2[Department],Table2[Group],"ERROR")</f>
        <v>General &amp; Administrative</v>
      </c>
      <c r="R206" s="138"/>
      <c r="S206" s="138"/>
      <c r="T206" s="138"/>
      <c r="V206" s="138" t="s">
        <v>1211</v>
      </c>
    </row>
    <row r="207" spans="1:22" ht="12.95" customHeight="1" x14ac:dyDescent="0.2">
      <c r="A207" s="2" t="s">
        <v>15</v>
      </c>
      <c r="B207" s="2" t="s">
        <v>1</v>
      </c>
      <c r="C207" s="3">
        <v>46112</v>
      </c>
      <c r="D207" s="3">
        <v>46112</v>
      </c>
      <c r="E207" s="3">
        <v>46112</v>
      </c>
      <c r="F207" s="2" t="s">
        <v>77</v>
      </c>
      <c r="G207" s="212">
        <v>84.84</v>
      </c>
      <c r="H207" s="212">
        <v>0</v>
      </c>
      <c r="I207" s="212">
        <f t="shared" si="27"/>
        <v>84.84</v>
      </c>
      <c r="J207" s="212">
        <f t="shared" si="26"/>
        <v>67.075691760000012</v>
      </c>
      <c r="K207" s="106" t="s">
        <v>839</v>
      </c>
      <c r="L207" s="106" t="s">
        <v>840</v>
      </c>
      <c r="M207" s="4" t="s">
        <v>344</v>
      </c>
      <c r="N207" s="106" t="s">
        <v>344</v>
      </c>
      <c r="O207" s="146" t="str">
        <f>_xlfn.XLOOKUP(N207,costcategory[Account Code],costcategory[Cost Category],"ERROR")</f>
        <v>Courier Charges</v>
      </c>
      <c r="P207" s="4" t="s">
        <v>340</v>
      </c>
      <c r="Q207" s="147" t="str">
        <f>_xlfn.XLOOKUP(P207,Table2[Department],Table2[Group],"ERROR")</f>
        <v>General &amp; Administrative</v>
      </c>
      <c r="R207" s="138"/>
      <c r="S207" s="138"/>
      <c r="T207" s="138"/>
      <c r="U207" s="2" t="s">
        <v>1247</v>
      </c>
      <c r="V207" s="138" t="s">
        <v>1214</v>
      </c>
    </row>
    <row r="208" spans="1:22" ht="12.95" customHeight="1" x14ac:dyDescent="0.2">
      <c r="A208" s="2" t="s">
        <v>15</v>
      </c>
      <c r="B208" s="2" t="s">
        <v>1</v>
      </c>
      <c r="C208" s="3">
        <v>46112</v>
      </c>
      <c r="D208" s="3">
        <v>46112</v>
      </c>
      <c r="E208" s="3">
        <v>46112</v>
      </c>
      <c r="F208" s="2" t="s">
        <v>77</v>
      </c>
      <c r="G208" s="212">
        <f>3207-270</f>
        <v>2937</v>
      </c>
      <c r="H208" s="205">
        <v>270</v>
      </c>
      <c r="I208" s="212">
        <f t="shared" si="27"/>
        <v>3207</v>
      </c>
      <c r="J208" s="212">
        <f t="shared" si="26"/>
        <v>2535.4990980000002</v>
      </c>
      <c r="K208" s="106" t="s">
        <v>841</v>
      </c>
      <c r="L208" s="106" t="s">
        <v>842</v>
      </c>
      <c r="M208" s="145" t="s">
        <v>843</v>
      </c>
      <c r="N208" s="106" t="s">
        <v>801</v>
      </c>
      <c r="O208" s="146" t="str">
        <f>_xlfn.XLOOKUP(N208,costcategory[Account Code],costcategory[Cost Category],"ERROR")</f>
        <v>Recruitment Related Fees</v>
      </c>
      <c r="P208" s="4" t="s">
        <v>350</v>
      </c>
      <c r="Q208" s="147" t="str">
        <f>_xlfn.XLOOKUP(P208,Table2[Department],Table2[Group],"ERROR")</f>
        <v>General &amp; Administrative</v>
      </c>
      <c r="R208" s="138"/>
      <c r="S208" s="138"/>
      <c r="T208" s="138"/>
      <c r="V208" s="138" t="s">
        <v>1211</v>
      </c>
    </row>
    <row r="209" spans="1:22" ht="12.95" customHeight="1" x14ac:dyDescent="0.2">
      <c r="A209" s="2" t="s">
        <v>15</v>
      </c>
      <c r="B209" s="2" t="s">
        <v>1</v>
      </c>
      <c r="C209" s="3">
        <v>46112</v>
      </c>
      <c r="D209" s="3">
        <v>46112</v>
      </c>
      <c r="E209" s="3">
        <v>46112</v>
      </c>
      <c r="F209" s="2" t="s">
        <v>77</v>
      </c>
      <c r="G209" s="212">
        <v>1200</v>
      </c>
      <c r="H209" s="212">
        <v>108</v>
      </c>
      <c r="I209" s="227">
        <f t="shared" si="27"/>
        <v>1308</v>
      </c>
      <c r="J209" s="212">
        <f t="shared" si="26"/>
        <v>1034.123112</v>
      </c>
      <c r="K209" s="106" t="s">
        <v>844</v>
      </c>
      <c r="L209" s="106" t="s">
        <v>845</v>
      </c>
      <c r="M209" s="4" t="s">
        <v>846</v>
      </c>
      <c r="N209" s="106" t="s">
        <v>367</v>
      </c>
      <c r="O209" s="146" t="str">
        <f>_xlfn.XLOOKUP(N209,costcategory[Account Code],costcategory[Cost Category],"ERROR")</f>
        <v>Professional &amp; Consultancy Fees</v>
      </c>
      <c r="P209" s="4" t="s">
        <v>333</v>
      </c>
      <c r="Q209" s="147" t="str">
        <f>_xlfn.XLOOKUP(P209,Table2[Department],Table2[Group],"ERROR")</f>
        <v>General &amp; Administrative</v>
      </c>
      <c r="R209" s="138"/>
      <c r="S209" s="138"/>
      <c r="T209" s="138"/>
      <c r="V209" s="138" t="s">
        <v>1211</v>
      </c>
    </row>
    <row r="210" spans="1:22" ht="12.95" customHeight="1" x14ac:dyDescent="0.2">
      <c r="A210" s="2" t="s">
        <v>15</v>
      </c>
      <c r="B210" s="2" t="s">
        <v>1</v>
      </c>
      <c r="C210" s="3">
        <v>46112</v>
      </c>
      <c r="D210" s="3">
        <v>46112</v>
      </c>
      <c r="E210" s="3">
        <v>46112</v>
      </c>
      <c r="F210" s="2" t="s">
        <v>77</v>
      </c>
      <c r="G210" s="212">
        <v>300</v>
      </c>
      <c r="H210" s="212">
        <v>0</v>
      </c>
      <c r="I210" s="229">
        <f t="shared" ref="I210" si="28">SUM(G210:H210)</f>
        <v>300</v>
      </c>
      <c r="J210" s="212">
        <f t="shared" si="26"/>
        <v>237.1842</v>
      </c>
      <c r="K210" s="106" t="s">
        <v>844</v>
      </c>
      <c r="L210" s="106" t="s">
        <v>847</v>
      </c>
      <c r="M210" s="4" t="s">
        <v>848</v>
      </c>
      <c r="N210" s="106" t="s">
        <v>849</v>
      </c>
      <c r="O210" s="146" t="str">
        <f>_xlfn.XLOOKUP(N210,costcategory[Account Code],costcategory[Cost Category],"ERROR")</f>
        <v>Penalty</v>
      </c>
      <c r="P210" s="4" t="s">
        <v>333</v>
      </c>
      <c r="Q210" s="147" t="str">
        <f>_xlfn.XLOOKUP(P210,Table2[Department],Table2[Group],"ERROR")</f>
        <v>General &amp; Administrative</v>
      </c>
      <c r="R210" s="138"/>
      <c r="S210" s="138"/>
      <c r="T210" s="138"/>
      <c r="V210" s="138" t="s">
        <v>1214</v>
      </c>
    </row>
    <row r="211" spans="1:22" ht="12.95" customHeight="1" x14ac:dyDescent="0.2">
      <c r="A211" s="2" t="s">
        <v>15</v>
      </c>
      <c r="B211" s="2" t="s">
        <v>1</v>
      </c>
      <c r="C211" s="3">
        <v>46112</v>
      </c>
      <c r="D211" s="3">
        <v>46112</v>
      </c>
      <c r="E211" s="3">
        <v>46112</v>
      </c>
      <c r="F211" s="2" t="s">
        <v>77</v>
      </c>
      <c r="G211" s="212">
        <v>5731.44</v>
      </c>
      <c r="H211" s="205">
        <v>515.83000000000004</v>
      </c>
      <c r="I211" s="227">
        <f>SUM(G211:H211)-0.01</f>
        <v>6247.2599999999993</v>
      </c>
      <c r="J211" s="212">
        <f t="shared" si="26"/>
        <v>4939.1712176399997</v>
      </c>
      <c r="K211" s="106" t="s">
        <v>661</v>
      </c>
      <c r="L211" s="106" t="s">
        <v>850</v>
      </c>
      <c r="M211" s="4" t="s">
        <v>851</v>
      </c>
      <c r="N211" s="106" t="s">
        <v>58</v>
      </c>
      <c r="O211" s="146" t="str">
        <f>_xlfn.XLOOKUP(N211,costcategory[Account Code],costcategory[Cost Category],"ERROR")</f>
        <v>Network &amp; Server</v>
      </c>
      <c r="P211" s="4" t="s">
        <v>59</v>
      </c>
      <c r="Q211" s="147" t="str">
        <f>_xlfn.XLOOKUP(P211,Table2[Department],Table2[Group],"ERROR")</f>
        <v>Research &amp; Development</v>
      </c>
      <c r="R211" s="138"/>
      <c r="S211" s="138"/>
      <c r="T211" s="138"/>
      <c r="V211" s="138" t="s">
        <v>1211</v>
      </c>
    </row>
    <row r="212" spans="1:22" ht="12.95" customHeight="1" x14ac:dyDescent="0.2">
      <c r="A212" s="2" t="s">
        <v>15</v>
      </c>
      <c r="B212" s="2" t="s">
        <v>1</v>
      </c>
      <c r="C212" s="3">
        <v>46112</v>
      </c>
      <c r="D212" s="3">
        <v>46112</v>
      </c>
      <c r="E212" s="3">
        <v>46112</v>
      </c>
      <c r="F212" s="2" t="s">
        <v>77</v>
      </c>
      <c r="G212" s="212">
        <v>188.52</v>
      </c>
      <c r="H212" s="205">
        <v>16.97</v>
      </c>
      <c r="I212" s="228">
        <f t="shared" ref="I212:I213" si="29">SUM(G212:H212)</f>
        <v>205.49</v>
      </c>
      <c r="J212" s="212">
        <f t="shared" si="26"/>
        <v>162.46327086000002</v>
      </c>
      <c r="K212" s="106" t="s">
        <v>661</v>
      </c>
      <c r="L212" s="106" t="s">
        <v>850</v>
      </c>
      <c r="M212" s="4" t="s">
        <v>851</v>
      </c>
      <c r="N212" s="106" t="s">
        <v>58</v>
      </c>
      <c r="O212" s="146" t="str">
        <f>_xlfn.XLOOKUP(N212,costcategory[Account Code],costcategory[Cost Category],"ERROR")</f>
        <v>Network &amp; Server</v>
      </c>
      <c r="P212" s="4" t="s">
        <v>56</v>
      </c>
      <c r="Q212" s="147" t="str">
        <f>_xlfn.XLOOKUP(P212,Table2[Department],Table2[Group],"ERROR")</f>
        <v>Research &amp; Development</v>
      </c>
      <c r="R212" s="138"/>
      <c r="S212" s="138"/>
      <c r="T212" s="138"/>
      <c r="V212" s="138" t="s">
        <v>1211</v>
      </c>
    </row>
    <row r="213" spans="1:22" ht="12.95" customHeight="1" x14ac:dyDescent="0.2">
      <c r="A213" s="2" t="s">
        <v>15</v>
      </c>
      <c r="B213" s="2" t="s">
        <v>1</v>
      </c>
      <c r="C213" s="3">
        <v>46112</v>
      </c>
      <c r="D213" s="3">
        <v>46112</v>
      </c>
      <c r="E213" s="3">
        <v>46112</v>
      </c>
      <c r="F213" s="2" t="s">
        <v>77</v>
      </c>
      <c r="G213" s="212">
        <v>141.85</v>
      </c>
      <c r="H213" s="205">
        <v>12.77</v>
      </c>
      <c r="I213" s="229">
        <f t="shared" si="29"/>
        <v>154.62</v>
      </c>
      <c r="J213" s="212">
        <f t="shared" si="26"/>
        <v>122.24473668</v>
      </c>
      <c r="K213" s="106" t="s">
        <v>661</v>
      </c>
      <c r="L213" s="106" t="s">
        <v>850</v>
      </c>
      <c r="M213" s="4" t="s">
        <v>851</v>
      </c>
      <c r="N213" s="106" t="s">
        <v>58</v>
      </c>
      <c r="O213" s="146" t="str">
        <f>_xlfn.XLOOKUP(N213,costcategory[Account Code],costcategory[Cost Category],"ERROR")</f>
        <v>Network &amp; Server</v>
      </c>
      <c r="P213" s="4" t="s">
        <v>57</v>
      </c>
      <c r="Q213" s="147" t="str">
        <f>_xlfn.XLOOKUP(P213,Table2[Department],Table2[Group],"ERROR")</f>
        <v>Research &amp; Development</v>
      </c>
      <c r="R213" s="138"/>
      <c r="S213" s="138"/>
      <c r="T213" s="138"/>
      <c r="V213" s="138" t="s">
        <v>1211</v>
      </c>
    </row>
    <row r="214" spans="1:22" ht="12.95" customHeight="1" x14ac:dyDescent="0.2">
      <c r="A214" s="2" t="s">
        <v>15</v>
      </c>
      <c r="B214" s="2" t="s">
        <v>1</v>
      </c>
      <c r="C214" s="3">
        <v>46112</v>
      </c>
      <c r="D214" s="3">
        <v>46112</v>
      </c>
      <c r="E214" s="3">
        <v>46112</v>
      </c>
      <c r="F214" s="2" t="s">
        <v>77</v>
      </c>
      <c r="G214" s="212">
        <v>128.76</v>
      </c>
      <c r="H214" s="205">
        <v>11.59</v>
      </c>
      <c r="I214" s="212">
        <f t="shared" si="27"/>
        <v>140.35</v>
      </c>
      <c r="J214" s="212">
        <f t="shared" si="26"/>
        <v>110.9626749</v>
      </c>
      <c r="K214" s="106" t="s">
        <v>667</v>
      </c>
      <c r="L214" s="106" t="s">
        <v>852</v>
      </c>
      <c r="M214" s="4" t="s">
        <v>853</v>
      </c>
      <c r="N214" s="106" t="s">
        <v>58</v>
      </c>
      <c r="O214" s="146" t="str">
        <f>_xlfn.XLOOKUP(N214,costcategory[Account Code],costcategory[Cost Category],"ERROR")</f>
        <v>Network &amp; Server</v>
      </c>
      <c r="P214" s="4" t="s">
        <v>376</v>
      </c>
      <c r="Q214" s="147" t="str">
        <f>_xlfn.XLOOKUP(P214,Table2[Department],Table2[Group],"ERROR")</f>
        <v>General &amp; Administrative</v>
      </c>
      <c r="R214" s="138"/>
      <c r="S214" s="138"/>
      <c r="T214" s="138"/>
      <c r="U214" s="2" t="s">
        <v>1248</v>
      </c>
      <c r="V214" s="138" t="s">
        <v>1211</v>
      </c>
    </row>
    <row r="215" spans="1:22" ht="12.95" customHeight="1" x14ac:dyDescent="0.2">
      <c r="F215" s="2" t="s">
        <v>77</v>
      </c>
      <c r="G215" s="212"/>
      <c r="H215" s="205"/>
      <c r="I215" s="212">
        <f>SUM(I121:I214)</f>
        <v>-14049.206600000047</v>
      </c>
      <c r="J215" s="212"/>
      <c r="K215" s="106"/>
      <c r="L215" s="106"/>
      <c r="N215" s="106"/>
      <c r="O215" s="106"/>
      <c r="P215" s="106"/>
      <c r="Q215" s="106"/>
      <c r="R215" s="138"/>
      <c r="S215" s="138"/>
      <c r="T215" s="138"/>
      <c r="V215" s="138"/>
    </row>
    <row r="216" spans="1:22" ht="12.95" customHeight="1" x14ac:dyDescent="0.2">
      <c r="A216" s="329" t="s">
        <v>1173</v>
      </c>
      <c r="B216" s="329"/>
      <c r="C216" s="329"/>
      <c r="D216" s="329"/>
      <c r="E216" s="14">
        <v>46112</v>
      </c>
      <c r="F216" s="13" t="s">
        <v>77</v>
      </c>
      <c r="G216" s="211"/>
      <c r="H216" s="226"/>
      <c r="I216" s="208">
        <f>I120-I215</f>
        <v>99091.40660000006</v>
      </c>
      <c r="J216" s="226"/>
      <c r="K216" s="17"/>
      <c r="L216" s="17"/>
      <c r="M216" s="17"/>
      <c r="N216" s="17"/>
      <c r="O216" s="17"/>
      <c r="P216" s="17"/>
      <c r="Q216" s="17"/>
      <c r="R216" s="20"/>
      <c r="S216" s="20"/>
      <c r="T216" s="20"/>
      <c r="U216" s="20"/>
      <c r="V216" s="20"/>
    </row>
    <row r="217" spans="1:22" ht="12.95" customHeight="1" x14ac:dyDescent="0.2"/>
    <row r="218" spans="1:22" ht="12.95" customHeight="1" x14ac:dyDescent="0.2">
      <c r="A218" s="10"/>
      <c r="B218" s="10"/>
      <c r="C218" s="11"/>
      <c r="D218" s="11"/>
      <c r="E218" s="11"/>
      <c r="F218" s="10"/>
      <c r="G218" s="222"/>
      <c r="H218" s="222"/>
      <c r="I218" s="222"/>
      <c r="J218" s="263">
        <f>FOREX!C4</f>
        <v>0.775146</v>
      </c>
      <c r="K218" s="182"/>
      <c r="L218" s="182"/>
      <c r="M218" s="181"/>
      <c r="N218" s="181"/>
      <c r="O218" s="181"/>
      <c r="P218" s="181"/>
      <c r="Q218" s="181"/>
      <c r="R218" s="10"/>
      <c r="S218" s="10"/>
      <c r="T218" s="10"/>
      <c r="U218" s="10"/>
      <c r="V218" s="10"/>
    </row>
    <row r="219" spans="1:22" ht="12.95" customHeight="1" x14ac:dyDescent="0.2">
      <c r="A219" s="7" t="s">
        <v>87</v>
      </c>
      <c r="B219" s="7" t="s">
        <v>43</v>
      </c>
      <c r="C219" s="8" t="s">
        <v>54</v>
      </c>
      <c r="D219" s="8" t="s">
        <v>88</v>
      </c>
      <c r="E219" s="185" t="s">
        <v>1083</v>
      </c>
      <c r="F219" s="7" t="s">
        <v>70</v>
      </c>
      <c r="G219" s="201" t="s">
        <v>90</v>
      </c>
      <c r="H219" s="201" t="s">
        <v>91</v>
      </c>
      <c r="I219" s="201" t="s">
        <v>92</v>
      </c>
      <c r="J219" s="201" t="s">
        <v>72</v>
      </c>
      <c r="K219" s="132" t="s">
        <v>325</v>
      </c>
      <c r="L219" s="132" t="s">
        <v>94</v>
      </c>
      <c r="M219" s="7" t="s">
        <v>95</v>
      </c>
      <c r="N219" s="7" t="s">
        <v>53</v>
      </c>
      <c r="O219" s="7" t="s">
        <v>64</v>
      </c>
      <c r="P219" s="7" t="s">
        <v>67</v>
      </c>
      <c r="Q219" s="7" t="s">
        <v>44</v>
      </c>
      <c r="R219" s="7" t="s">
        <v>326</v>
      </c>
      <c r="S219" s="7" t="s">
        <v>327</v>
      </c>
      <c r="T219" s="7" t="s">
        <v>328</v>
      </c>
      <c r="U219" s="7" t="s">
        <v>98</v>
      </c>
      <c r="V219" s="7" t="s">
        <v>329</v>
      </c>
    </row>
    <row r="220" spans="1:22" s="180" customFormat="1" ht="12.95" customHeight="1" x14ac:dyDescent="0.2">
      <c r="A220" s="329" t="s">
        <v>1172</v>
      </c>
      <c r="B220" s="329"/>
      <c r="C220" s="329"/>
      <c r="D220" s="329"/>
      <c r="E220" s="14">
        <v>46113</v>
      </c>
      <c r="F220" s="13" t="s">
        <v>77</v>
      </c>
      <c r="G220" s="211"/>
      <c r="H220" s="211"/>
      <c r="I220" s="211">
        <f>I216</f>
        <v>99091.40660000006</v>
      </c>
      <c r="J220" s="211"/>
      <c r="K220" s="179"/>
      <c r="L220" s="179"/>
      <c r="M220" s="96"/>
      <c r="N220" s="96"/>
      <c r="O220" s="96"/>
      <c r="P220" s="96"/>
      <c r="Q220" s="96"/>
      <c r="R220" s="13"/>
      <c r="S220" s="13"/>
      <c r="T220" s="13"/>
      <c r="U220" s="13"/>
      <c r="V220" s="13"/>
    </row>
    <row r="221" spans="1:22" ht="12.95" customHeight="1" x14ac:dyDescent="0.2">
      <c r="A221" s="2" t="s">
        <v>15</v>
      </c>
      <c r="B221" s="2" t="s">
        <v>1</v>
      </c>
      <c r="C221" s="3">
        <v>46113</v>
      </c>
      <c r="D221" s="3">
        <v>46112</v>
      </c>
      <c r="E221" s="3">
        <v>46113</v>
      </c>
      <c r="F221" s="2" t="s">
        <v>77</v>
      </c>
      <c r="G221" s="212">
        <v>487.52</v>
      </c>
      <c r="H221" s="212">
        <v>43.88</v>
      </c>
      <c r="I221" s="212">
        <f t="shared" ref="I221" si="30">SUM(G221:H221)</f>
        <v>531.4</v>
      </c>
      <c r="J221" s="212">
        <f t="shared" ref="J221:J252" si="31">I221*$J$218</f>
        <v>411.91258439999996</v>
      </c>
      <c r="K221" s="106" t="s">
        <v>827</v>
      </c>
      <c r="L221" s="106" t="s">
        <v>855</v>
      </c>
      <c r="M221" s="4" t="s">
        <v>859</v>
      </c>
      <c r="N221" s="106" t="s">
        <v>527</v>
      </c>
      <c r="O221" s="146" t="str">
        <f>_xlfn.XLOOKUP(N221,costcategory[Account Code],costcategory[Cost Category],"ERROR")</f>
        <v>Sales Expenses</v>
      </c>
      <c r="P221" s="4" t="s">
        <v>523</v>
      </c>
      <c r="Q221" s="147" t="str">
        <f>_xlfn.XLOOKUP(P221,Table2[Department],Table2[Group],"ERROR")</f>
        <v>General &amp; Administrative</v>
      </c>
      <c r="R221" s="138" t="s">
        <v>459</v>
      </c>
      <c r="S221" s="138"/>
      <c r="T221" s="138"/>
      <c r="V221" s="138" t="s">
        <v>1211</v>
      </c>
    </row>
    <row r="222" spans="1:22" ht="12.95" customHeight="1" x14ac:dyDescent="0.2">
      <c r="A222" s="2" t="s">
        <v>15</v>
      </c>
      <c r="B222" s="2" t="s">
        <v>1</v>
      </c>
      <c r="C222" s="3">
        <v>46114</v>
      </c>
      <c r="D222" s="3">
        <v>46110</v>
      </c>
      <c r="E222" s="3">
        <v>46113</v>
      </c>
      <c r="F222" s="2" t="s">
        <v>77</v>
      </c>
      <c r="G222" s="212">
        <v>142.9</v>
      </c>
      <c r="H222" s="205">
        <v>12.86</v>
      </c>
      <c r="I222" s="212">
        <f t="shared" ref="I222:I257" si="32">SUM(G222:H222)</f>
        <v>155.76</v>
      </c>
      <c r="J222" s="212">
        <f t="shared" si="31"/>
        <v>120.73674095999999</v>
      </c>
      <c r="K222" s="106" t="s">
        <v>854</v>
      </c>
      <c r="L222" s="106" t="s">
        <v>855</v>
      </c>
      <c r="M222" s="4" t="s">
        <v>856</v>
      </c>
      <c r="N222" s="106" t="s">
        <v>527</v>
      </c>
      <c r="O222" s="146" t="str">
        <f>_xlfn.XLOOKUP(N222,costcategory[Account Code],costcategory[Cost Category],"ERROR")</f>
        <v>Sales Expenses</v>
      </c>
      <c r="P222" s="4" t="s">
        <v>523</v>
      </c>
      <c r="Q222" s="147" t="str">
        <f>_xlfn.XLOOKUP(P222,Table2[Department],Table2[Group],"ERROR")</f>
        <v>General &amp; Administrative</v>
      </c>
      <c r="R222" s="138" t="s">
        <v>459</v>
      </c>
      <c r="S222" s="138"/>
      <c r="T222" s="138"/>
      <c r="V222" s="138" t="s">
        <v>1211</v>
      </c>
    </row>
    <row r="223" spans="1:22" ht="12.95" customHeight="1" x14ac:dyDescent="0.2">
      <c r="A223" s="2" t="s">
        <v>15</v>
      </c>
      <c r="B223" s="2" t="s">
        <v>1</v>
      </c>
      <c r="C223" s="3">
        <v>46114</v>
      </c>
      <c r="D223" s="3">
        <v>46110</v>
      </c>
      <c r="E223" s="3">
        <v>46113</v>
      </c>
      <c r="F223" s="2" t="s">
        <v>77</v>
      </c>
      <c r="G223" s="212">
        <v>39.450000000000003</v>
      </c>
      <c r="H223" s="205">
        <v>3.55</v>
      </c>
      <c r="I223" s="212">
        <f t="shared" si="32"/>
        <v>43</v>
      </c>
      <c r="J223" s="212">
        <f t="shared" si="31"/>
        <v>33.331277999999998</v>
      </c>
      <c r="K223" s="106" t="s">
        <v>857</v>
      </c>
      <c r="L223" s="106" t="s">
        <v>855</v>
      </c>
      <c r="M223" s="4" t="s">
        <v>858</v>
      </c>
      <c r="N223" s="106" t="s">
        <v>527</v>
      </c>
      <c r="O223" s="146" t="str">
        <f>_xlfn.XLOOKUP(N223,costcategory[Account Code],costcategory[Cost Category],"ERROR")</f>
        <v>Sales Expenses</v>
      </c>
      <c r="P223" s="4" t="s">
        <v>523</v>
      </c>
      <c r="Q223" s="147" t="str">
        <f>_xlfn.XLOOKUP(P223,Table2[Department],Table2[Group],"ERROR")</f>
        <v>General &amp; Administrative</v>
      </c>
      <c r="R223" s="138" t="s">
        <v>459</v>
      </c>
      <c r="S223" s="138"/>
      <c r="T223" s="138"/>
      <c r="V223" s="138" t="s">
        <v>1211</v>
      </c>
    </row>
    <row r="224" spans="1:22" ht="12.95" customHeight="1" x14ac:dyDescent="0.2">
      <c r="A224" s="2" t="s">
        <v>15</v>
      </c>
      <c r="B224" s="2" t="s">
        <v>1</v>
      </c>
      <c r="C224" s="3">
        <v>46116</v>
      </c>
      <c r="D224" s="3">
        <v>46114</v>
      </c>
      <c r="E224" s="3">
        <v>46116</v>
      </c>
      <c r="F224" s="2" t="s">
        <v>77</v>
      </c>
      <c r="G224" s="212">
        <v>100.21</v>
      </c>
      <c r="H224" s="205">
        <v>9.02</v>
      </c>
      <c r="I224" s="212">
        <f t="shared" si="32"/>
        <v>109.22999999999999</v>
      </c>
      <c r="J224" s="212">
        <f t="shared" si="31"/>
        <v>84.669197579999988</v>
      </c>
      <c r="K224" s="106" t="s">
        <v>823</v>
      </c>
      <c r="L224" s="106" t="s">
        <v>855</v>
      </c>
      <c r="M224" s="4" t="s">
        <v>860</v>
      </c>
      <c r="N224" s="106" t="s">
        <v>527</v>
      </c>
      <c r="O224" s="146" t="str">
        <f>_xlfn.XLOOKUP(N224,costcategory[Account Code],costcategory[Cost Category],"ERROR")</f>
        <v>Sales Expenses</v>
      </c>
      <c r="P224" s="4" t="s">
        <v>523</v>
      </c>
      <c r="Q224" s="147" t="str">
        <f>_xlfn.XLOOKUP(P224,Table2[Department],Table2[Group],"ERROR")</f>
        <v>General &amp; Administrative</v>
      </c>
      <c r="R224" s="138" t="s">
        <v>459</v>
      </c>
      <c r="S224" s="138"/>
      <c r="T224" s="138"/>
      <c r="V224" s="138" t="s">
        <v>1211</v>
      </c>
    </row>
    <row r="225" spans="1:22" ht="12.95" customHeight="1" x14ac:dyDescent="0.2">
      <c r="A225" s="2" t="s">
        <v>15</v>
      </c>
      <c r="B225" s="2" t="s">
        <v>1</v>
      </c>
      <c r="C225" s="3">
        <v>46118</v>
      </c>
      <c r="D225" s="3">
        <v>46118</v>
      </c>
      <c r="E225" s="3">
        <v>46118</v>
      </c>
      <c r="F225" s="2" t="s">
        <v>77</v>
      </c>
      <c r="G225" s="205">
        <v>10</v>
      </c>
      <c r="H225" s="205">
        <v>0</v>
      </c>
      <c r="I225" s="205">
        <f t="shared" si="32"/>
        <v>10</v>
      </c>
      <c r="J225" s="220">
        <f t="shared" si="31"/>
        <v>7.7514599999999998</v>
      </c>
      <c r="K225" s="109" t="s">
        <v>670</v>
      </c>
      <c r="L225" s="109" t="s">
        <v>861</v>
      </c>
      <c r="M225" s="4" t="s">
        <v>332</v>
      </c>
      <c r="N225" s="109" t="s">
        <v>332</v>
      </c>
      <c r="O225" s="146" t="str">
        <f>_xlfn.XLOOKUP(N225,costcategory[Account Code],costcategory[Cost Category],"ERROR")</f>
        <v>Bank Charges</v>
      </c>
      <c r="P225" s="4" t="s">
        <v>333</v>
      </c>
      <c r="Q225" s="147" t="str">
        <f>_xlfn.XLOOKUP(P225,Table2[Department],Table2[Group],"ERROR")</f>
        <v>General &amp; Administrative</v>
      </c>
      <c r="R225" s="136"/>
      <c r="S225" s="136"/>
      <c r="T225" s="136"/>
      <c r="U225" s="2" t="s">
        <v>1249</v>
      </c>
      <c r="V225" s="136" t="s">
        <v>1214</v>
      </c>
    </row>
    <row r="226" spans="1:22" ht="12.95" customHeight="1" x14ac:dyDescent="0.2">
      <c r="A226" s="2" t="s">
        <v>15</v>
      </c>
      <c r="B226" s="2" t="s">
        <v>1</v>
      </c>
      <c r="C226" s="3">
        <v>46120</v>
      </c>
      <c r="D226" s="3">
        <v>46120</v>
      </c>
      <c r="E226" s="3">
        <v>46120</v>
      </c>
      <c r="F226" s="2" t="s">
        <v>77</v>
      </c>
      <c r="G226" s="212">
        <v>33437</v>
      </c>
      <c r="H226" s="205">
        <v>0</v>
      </c>
      <c r="I226" s="212">
        <f t="shared" si="32"/>
        <v>33437</v>
      </c>
      <c r="J226" s="212">
        <f t="shared" si="31"/>
        <v>25918.556801999999</v>
      </c>
      <c r="K226" s="106" t="s">
        <v>672</v>
      </c>
      <c r="L226" s="106" t="s">
        <v>864</v>
      </c>
      <c r="M226" s="4" t="s">
        <v>865</v>
      </c>
      <c r="N226" s="106" t="s">
        <v>387</v>
      </c>
      <c r="O226" s="146" t="str">
        <f>_xlfn.XLOOKUP(N226,costcategory[Account Code],costcategory[Cost Category],"ERROR")</f>
        <v>Headcount Costs</v>
      </c>
      <c r="P226" s="4" t="s">
        <v>350</v>
      </c>
      <c r="Q226" s="147" t="str">
        <f>_xlfn.XLOOKUP(P226,Table2[Department],Table2[Group],"ERROR")</f>
        <v>General &amp; Administrative</v>
      </c>
      <c r="R226" s="138"/>
      <c r="S226" s="138"/>
      <c r="T226" s="138"/>
      <c r="U226" s="2" t="s">
        <v>1094</v>
      </c>
      <c r="V226" s="138" t="s">
        <v>1214</v>
      </c>
    </row>
    <row r="227" spans="1:22" ht="12.95" customHeight="1" x14ac:dyDescent="0.2">
      <c r="A227" s="2" t="s">
        <v>15</v>
      </c>
      <c r="B227" s="2" t="s">
        <v>1</v>
      </c>
      <c r="C227" s="3">
        <v>46120</v>
      </c>
      <c r="D227" s="3">
        <v>46119</v>
      </c>
      <c r="E227" s="3">
        <v>46120</v>
      </c>
      <c r="F227" s="2" t="s">
        <v>77</v>
      </c>
      <c r="G227" s="212">
        <v>109.1</v>
      </c>
      <c r="H227" s="205">
        <v>0</v>
      </c>
      <c r="I227" s="212">
        <f t="shared" si="32"/>
        <v>109.1</v>
      </c>
      <c r="J227" s="212">
        <f t="shared" si="31"/>
        <v>84.56842859999999</v>
      </c>
      <c r="K227" s="106" t="s">
        <v>862</v>
      </c>
      <c r="L227" s="106" t="s">
        <v>855</v>
      </c>
      <c r="M227" s="4" t="s">
        <v>863</v>
      </c>
      <c r="N227" s="106" t="s">
        <v>527</v>
      </c>
      <c r="O227" s="146" t="str">
        <f>_xlfn.XLOOKUP(N227,costcategory[Account Code],costcategory[Cost Category],"ERROR")</f>
        <v>Sales Expenses</v>
      </c>
      <c r="P227" s="4" t="s">
        <v>523</v>
      </c>
      <c r="Q227" s="147" t="str">
        <f>_xlfn.XLOOKUP(P227,Table2[Department],Table2[Group],"ERROR")</f>
        <v>General &amp; Administrative</v>
      </c>
      <c r="R227" s="138" t="s">
        <v>459</v>
      </c>
      <c r="S227" s="138"/>
      <c r="T227" s="138"/>
      <c r="V227" s="138" t="s">
        <v>1214</v>
      </c>
    </row>
    <row r="228" spans="1:22" ht="12.95" customHeight="1" x14ac:dyDescent="0.2">
      <c r="A228" s="2" t="s">
        <v>15</v>
      </c>
      <c r="B228" s="2" t="s">
        <v>1</v>
      </c>
      <c r="C228" s="3">
        <v>46121</v>
      </c>
      <c r="D228" s="3">
        <v>46121</v>
      </c>
      <c r="E228" s="3">
        <v>46121</v>
      </c>
      <c r="F228" s="2" t="s">
        <v>77</v>
      </c>
      <c r="G228" s="212">
        <v>-4650</v>
      </c>
      <c r="H228" s="205">
        <v>0</v>
      </c>
      <c r="I228" s="212">
        <f t="shared" si="32"/>
        <v>-4650</v>
      </c>
      <c r="J228" s="212">
        <f t="shared" si="31"/>
        <v>-3604.4288999999999</v>
      </c>
      <c r="K228" s="106" t="s">
        <v>866</v>
      </c>
      <c r="L228" s="144"/>
      <c r="M228" s="4" t="s">
        <v>867</v>
      </c>
      <c r="N228" s="106" t="s">
        <v>795</v>
      </c>
      <c r="O228" s="146" t="str">
        <f>_xlfn.XLOOKUP(N228,costcategory[Account Code],costcategory[Cost Category],"ERROR")</f>
        <v>Other Income</v>
      </c>
      <c r="P228" s="4" t="s">
        <v>350</v>
      </c>
      <c r="Q228" s="147" t="str">
        <f>_xlfn.XLOOKUP(P228,Table2[Department],Table2[Group],"ERROR")</f>
        <v>General &amp; Administrative</v>
      </c>
      <c r="R228" s="138"/>
      <c r="S228" s="138"/>
      <c r="T228" s="138"/>
      <c r="U228" s="2" t="s">
        <v>1106</v>
      </c>
      <c r="V228" s="138" t="s">
        <v>1214</v>
      </c>
    </row>
    <row r="229" spans="1:22" ht="12.95" customHeight="1" x14ac:dyDescent="0.2">
      <c r="A229" s="2" t="s">
        <v>15</v>
      </c>
      <c r="B229" s="2" t="s">
        <v>1</v>
      </c>
      <c r="C229" s="3">
        <v>46125</v>
      </c>
      <c r="D229" s="3">
        <v>46125</v>
      </c>
      <c r="E229" s="3">
        <v>46122</v>
      </c>
      <c r="F229" s="2" t="s">
        <v>77</v>
      </c>
      <c r="G229" s="212">
        <v>337.97</v>
      </c>
      <c r="H229" s="205">
        <v>0</v>
      </c>
      <c r="I229" s="212">
        <f t="shared" si="32"/>
        <v>337.97</v>
      </c>
      <c r="J229" s="212">
        <f t="shared" si="31"/>
        <v>261.97609362000003</v>
      </c>
      <c r="K229" s="106" t="s">
        <v>869</v>
      </c>
      <c r="L229" s="106" t="s">
        <v>855</v>
      </c>
      <c r="M229" s="4" t="s">
        <v>870</v>
      </c>
      <c r="N229" s="106" t="s">
        <v>684</v>
      </c>
      <c r="O229" s="146" t="str">
        <f>_xlfn.XLOOKUP(N229,costcategory[Account Code],costcategory[Cost Category],"ERROR")</f>
        <v>Sales Expenses</v>
      </c>
      <c r="P229" s="4" t="s">
        <v>523</v>
      </c>
      <c r="Q229" s="147" t="str">
        <f>_xlfn.XLOOKUP(P229,Table2[Department],Table2[Group],"ERROR")</f>
        <v>General &amp; Administrative</v>
      </c>
      <c r="R229" s="138" t="s">
        <v>459</v>
      </c>
      <c r="S229" s="138"/>
      <c r="T229" s="138"/>
      <c r="V229" s="138" t="s">
        <v>1214</v>
      </c>
    </row>
    <row r="230" spans="1:22" ht="12.95" customHeight="1" x14ac:dyDescent="0.2">
      <c r="A230" s="2" t="s">
        <v>15</v>
      </c>
      <c r="B230" s="2" t="s">
        <v>1</v>
      </c>
      <c r="C230" s="3">
        <v>46125</v>
      </c>
      <c r="D230" s="3">
        <v>46125</v>
      </c>
      <c r="E230" s="3">
        <v>46121</v>
      </c>
      <c r="F230" s="2" t="s">
        <v>77</v>
      </c>
      <c r="G230" s="212">
        <v>131.94</v>
      </c>
      <c r="H230" s="205">
        <v>0</v>
      </c>
      <c r="I230" s="212">
        <f t="shared" si="32"/>
        <v>131.94</v>
      </c>
      <c r="J230" s="212">
        <f t="shared" si="31"/>
        <v>102.27276324</v>
      </c>
      <c r="K230" s="106" t="s">
        <v>868</v>
      </c>
      <c r="L230" s="106" t="s">
        <v>855</v>
      </c>
      <c r="M230" s="4" t="s">
        <v>1250</v>
      </c>
      <c r="N230" s="106" t="s">
        <v>684</v>
      </c>
      <c r="O230" s="146" t="str">
        <f>_xlfn.XLOOKUP(N230,costcategory[Account Code],costcategory[Cost Category],"ERROR")</f>
        <v>Sales Expenses</v>
      </c>
      <c r="P230" s="4" t="s">
        <v>523</v>
      </c>
      <c r="Q230" s="147" t="str">
        <f>_xlfn.XLOOKUP(P230,Table2[Department],Table2[Group],"ERROR")</f>
        <v>General &amp; Administrative</v>
      </c>
      <c r="R230" s="138" t="s">
        <v>459</v>
      </c>
      <c r="S230" s="138"/>
      <c r="T230" s="138"/>
      <c r="V230" s="138" t="s">
        <v>1214</v>
      </c>
    </row>
    <row r="231" spans="1:22" ht="12.95" customHeight="1" x14ac:dyDescent="0.2">
      <c r="A231" s="2" t="s">
        <v>15</v>
      </c>
      <c r="B231" s="2" t="s">
        <v>1</v>
      </c>
      <c r="C231" s="3">
        <v>46125</v>
      </c>
      <c r="D231" s="3">
        <v>46125</v>
      </c>
      <c r="E231" s="3">
        <v>46125</v>
      </c>
      <c r="F231" s="2" t="s">
        <v>77</v>
      </c>
      <c r="G231" s="212">
        <v>-26900</v>
      </c>
      <c r="H231" s="205">
        <v>-2421</v>
      </c>
      <c r="I231" s="230">
        <v>-29321</v>
      </c>
      <c r="J231" s="212">
        <f t="shared" si="31"/>
        <v>-22728.055865999999</v>
      </c>
      <c r="K231" s="106" t="s">
        <v>109</v>
      </c>
      <c r="L231" s="107" t="s">
        <v>123</v>
      </c>
      <c r="M231" s="4" t="s">
        <v>871</v>
      </c>
      <c r="N231" s="106" t="s">
        <v>382</v>
      </c>
      <c r="O231" s="146" t="str">
        <f>_xlfn.XLOOKUP(N231,costcategory[Account Code],costcategory[Cost Category],"ERROR")</f>
        <v>Revenue</v>
      </c>
      <c r="P231" s="4" t="s">
        <v>56</v>
      </c>
      <c r="Q231" s="147" t="str">
        <f>_xlfn.XLOOKUP(P231,Table2[Department],Table2[Group],"ERROR")</f>
        <v>Research &amp; Development</v>
      </c>
      <c r="R231" s="138"/>
      <c r="S231" s="138"/>
      <c r="T231" s="138"/>
      <c r="U231" s="2" t="s">
        <v>1251</v>
      </c>
      <c r="V231" s="138" t="s">
        <v>1211</v>
      </c>
    </row>
    <row r="232" spans="1:22" ht="12.95" customHeight="1" x14ac:dyDescent="0.2">
      <c r="A232" s="2" t="s">
        <v>15</v>
      </c>
      <c r="B232" s="2" t="s">
        <v>1</v>
      </c>
      <c r="C232" s="3">
        <v>46125</v>
      </c>
      <c r="D232" s="3">
        <v>46125</v>
      </c>
      <c r="E232" s="3">
        <v>46125</v>
      </c>
      <c r="F232" s="2" t="s">
        <v>77</v>
      </c>
      <c r="G232" s="212">
        <v>-2609.69</v>
      </c>
      <c r="H232" s="205">
        <v>-234.87</v>
      </c>
      <c r="I232" s="224">
        <v>-2844.56</v>
      </c>
      <c r="J232" s="212">
        <f t="shared" si="31"/>
        <v>-2204.9493057599998</v>
      </c>
      <c r="K232" s="106" t="s">
        <v>109</v>
      </c>
      <c r="L232" s="107" t="s">
        <v>126</v>
      </c>
      <c r="M232" s="4" t="s">
        <v>871</v>
      </c>
      <c r="N232" s="106" t="s">
        <v>382</v>
      </c>
      <c r="O232" s="146" t="str">
        <f>_xlfn.XLOOKUP(N232,costcategory[Account Code],costcategory[Cost Category],"ERROR")</f>
        <v>Revenue</v>
      </c>
      <c r="P232" s="4" t="s">
        <v>56</v>
      </c>
      <c r="Q232" s="147" t="str">
        <f>_xlfn.XLOOKUP(P232,Table2[Department],Table2[Group],"ERROR")</f>
        <v>Research &amp; Development</v>
      </c>
      <c r="R232" s="138"/>
      <c r="S232" s="138"/>
      <c r="T232" s="138"/>
      <c r="U232" s="2" t="s">
        <v>1251</v>
      </c>
      <c r="V232" s="138" t="s">
        <v>1211</v>
      </c>
    </row>
    <row r="233" spans="1:22" ht="12.95" customHeight="1" x14ac:dyDescent="0.2">
      <c r="A233" s="2" t="s">
        <v>15</v>
      </c>
      <c r="B233" s="2" t="s">
        <v>1</v>
      </c>
      <c r="C233" s="3">
        <v>46125</v>
      </c>
      <c r="D233" s="3">
        <v>46125</v>
      </c>
      <c r="E233" s="3">
        <v>46125</v>
      </c>
      <c r="F233" s="2" t="s">
        <v>77</v>
      </c>
      <c r="G233" s="212">
        <v>-1948.24</v>
      </c>
      <c r="H233" s="205">
        <v>-175.34</v>
      </c>
      <c r="I233" s="225">
        <v>-2123.58</v>
      </c>
      <c r="J233" s="212">
        <f t="shared" si="31"/>
        <v>-1646.0845426799999</v>
      </c>
      <c r="K233" s="106" t="s">
        <v>109</v>
      </c>
      <c r="L233" s="107" t="s">
        <v>128</v>
      </c>
      <c r="M233" s="4" t="s">
        <v>871</v>
      </c>
      <c r="N233" s="106" t="s">
        <v>382</v>
      </c>
      <c r="O233" s="146" t="str">
        <f>_xlfn.XLOOKUP(N233,costcategory[Account Code],costcategory[Cost Category],"ERROR")</f>
        <v>Revenue</v>
      </c>
      <c r="P233" s="4" t="s">
        <v>56</v>
      </c>
      <c r="Q233" s="147" t="str">
        <f>_xlfn.XLOOKUP(P233,Table2[Department],Table2[Group],"ERROR")</f>
        <v>Research &amp; Development</v>
      </c>
      <c r="R233" s="138"/>
      <c r="S233" s="138"/>
      <c r="T233" s="138"/>
      <c r="U233" s="2" t="s">
        <v>1251</v>
      </c>
      <c r="V233" s="138" t="s">
        <v>1211</v>
      </c>
    </row>
    <row r="234" spans="1:22" ht="12.95" customHeight="1" x14ac:dyDescent="0.2">
      <c r="A234" s="2" t="s">
        <v>15</v>
      </c>
      <c r="B234" s="2" t="s">
        <v>1</v>
      </c>
      <c r="C234" s="3">
        <v>46126</v>
      </c>
      <c r="D234" s="3">
        <v>46125</v>
      </c>
      <c r="E234" s="3">
        <v>46125</v>
      </c>
      <c r="F234" s="2" t="s">
        <v>77</v>
      </c>
      <c r="G234" s="205">
        <v>-1350</v>
      </c>
      <c r="H234" s="205">
        <v>0</v>
      </c>
      <c r="I234" s="205">
        <f t="shared" si="32"/>
        <v>-1350</v>
      </c>
      <c r="J234" s="220">
        <f t="shared" si="31"/>
        <v>-1046.4471000000001</v>
      </c>
      <c r="K234" s="109" t="s">
        <v>872</v>
      </c>
      <c r="L234" s="109"/>
      <c r="M234" s="4" t="s">
        <v>873</v>
      </c>
      <c r="N234" s="109" t="s">
        <v>571</v>
      </c>
      <c r="O234" s="146" t="str">
        <f>_xlfn.XLOOKUP(N234,costcategory[Account Code],costcategory[Cost Category],"ERROR")</f>
        <v>Current Asset</v>
      </c>
      <c r="P234" s="4" t="s">
        <v>340</v>
      </c>
      <c r="Q234" s="147" t="str">
        <f>_xlfn.XLOOKUP(P234,Table2[Department],Table2[Group],"ERROR")</f>
        <v>General &amp; Administrative</v>
      </c>
      <c r="R234" s="136"/>
      <c r="S234" s="136"/>
      <c r="T234" s="136"/>
      <c r="U234" s="2" t="s">
        <v>1107</v>
      </c>
      <c r="V234" s="136" t="s">
        <v>1214</v>
      </c>
    </row>
    <row r="235" spans="1:22" ht="12.95" customHeight="1" x14ac:dyDescent="0.2">
      <c r="A235" s="2" t="s">
        <v>15</v>
      </c>
      <c r="B235" s="2" t="s">
        <v>1</v>
      </c>
      <c r="C235" s="3">
        <v>46127</v>
      </c>
      <c r="D235" s="3">
        <v>46127</v>
      </c>
      <c r="E235" s="3">
        <v>46127</v>
      </c>
      <c r="F235" s="2" t="s">
        <v>77</v>
      </c>
      <c r="G235" s="212">
        <v>384</v>
      </c>
      <c r="H235" s="212">
        <v>0</v>
      </c>
      <c r="I235" s="227">
        <f t="shared" si="32"/>
        <v>384</v>
      </c>
      <c r="J235" s="212">
        <f t="shared" si="31"/>
        <v>297.65606400000001</v>
      </c>
      <c r="K235" s="106" t="s">
        <v>586</v>
      </c>
      <c r="L235" s="106" t="s">
        <v>586</v>
      </c>
      <c r="M235" s="4" t="s">
        <v>474</v>
      </c>
      <c r="N235" s="106" t="s">
        <v>475</v>
      </c>
      <c r="O235" s="146" t="str">
        <f>_xlfn.XLOOKUP(N235,costcategory[Account Code],costcategory[Cost Category],"ERROR")</f>
        <v>Travelling Expenses</v>
      </c>
      <c r="P235" s="4" t="s">
        <v>354</v>
      </c>
      <c r="Q235" s="147" t="str">
        <f>_xlfn.XLOOKUP(P235,Table2[Department],Table2[Group],"ERROR")</f>
        <v>Sales &amp; Marketing</v>
      </c>
      <c r="R235" s="138"/>
      <c r="S235" s="138"/>
      <c r="T235" s="138"/>
      <c r="U235" s="2" t="s">
        <v>1252</v>
      </c>
      <c r="V235" s="138" t="s">
        <v>1214</v>
      </c>
    </row>
    <row r="236" spans="1:22" ht="12.95" customHeight="1" x14ac:dyDescent="0.2">
      <c r="A236" s="2" t="s">
        <v>15</v>
      </c>
      <c r="B236" s="2" t="s">
        <v>1</v>
      </c>
      <c r="C236" s="3">
        <v>46127</v>
      </c>
      <c r="D236" s="3">
        <v>46127</v>
      </c>
      <c r="E236" s="3">
        <v>46127</v>
      </c>
      <c r="F236" s="2" t="s">
        <v>77</v>
      </c>
      <c r="G236" s="205">
        <v>306.64999999999998</v>
      </c>
      <c r="H236" s="205">
        <v>0</v>
      </c>
      <c r="I236" s="228">
        <f t="shared" ref="I236" si="33">SUM(G236:H236)</f>
        <v>306.64999999999998</v>
      </c>
      <c r="J236" s="220">
        <f t="shared" si="31"/>
        <v>237.69852089999998</v>
      </c>
      <c r="K236" s="109" t="s">
        <v>586</v>
      </c>
      <c r="L236" s="109" t="s">
        <v>586</v>
      </c>
      <c r="M236" s="4" t="s">
        <v>474</v>
      </c>
      <c r="N236" s="109" t="s">
        <v>475</v>
      </c>
      <c r="O236" s="146" t="str">
        <f>_xlfn.XLOOKUP(N236,costcategory[Account Code],costcategory[Cost Category],"ERROR")</f>
        <v>Travelling Expenses</v>
      </c>
      <c r="P236" s="4" t="s">
        <v>56</v>
      </c>
      <c r="Q236" s="147" t="str">
        <f>_xlfn.XLOOKUP(P236,Table2[Department],Table2[Group],"ERROR")</f>
        <v>Research &amp; Development</v>
      </c>
      <c r="R236" s="136"/>
      <c r="S236" s="136"/>
      <c r="T236" s="136"/>
      <c r="U236" s="2" t="s">
        <v>1252</v>
      </c>
      <c r="V236" s="136" t="s">
        <v>1214</v>
      </c>
    </row>
    <row r="237" spans="1:22" ht="12.95" customHeight="1" x14ac:dyDescent="0.2">
      <c r="A237" s="2" t="s">
        <v>15</v>
      </c>
      <c r="B237" s="2" t="s">
        <v>1</v>
      </c>
      <c r="C237" s="3">
        <v>46127</v>
      </c>
      <c r="D237" s="3">
        <v>46127</v>
      </c>
      <c r="E237" s="3">
        <v>46127</v>
      </c>
      <c r="F237" s="2" t="s">
        <v>77</v>
      </c>
      <c r="G237" s="212">
        <v>36.83</v>
      </c>
      <c r="H237" s="212">
        <v>0</v>
      </c>
      <c r="I237" s="228">
        <f t="shared" ref="I237:I256" si="34">SUM(G237:H237)</f>
        <v>36.83</v>
      </c>
      <c r="J237" s="212">
        <f t="shared" si="31"/>
        <v>28.54862718</v>
      </c>
      <c r="K237" s="106" t="s">
        <v>586</v>
      </c>
      <c r="L237" s="106" t="s">
        <v>586</v>
      </c>
      <c r="M237" s="4" t="s">
        <v>389</v>
      </c>
      <c r="N237" s="106" t="s">
        <v>684</v>
      </c>
      <c r="O237" s="146" t="str">
        <f>_xlfn.XLOOKUP(N237,costcategory[Account Code],costcategory[Cost Category],"ERROR")</f>
        <v>Sales Expenses</v>
      </c>
      <c r="P237" s="4" t="s">
        <v>56</v>
      </c>
      <c r="Q237" s="147" t="str">
        <f>_xlfn.XLOOKUP(P237,Table2[Department],Table2[Group],"ERROR")</f>
        <v>Research &amp; Development</v>
      </c>
      <c r="R237" s="138"/>
      <c r="S237" s="138"/>
      <c r="T237" s="138"/>
      <c r="U237" s="2" t="s">
        <v>1252</v>
      </c>
      <c r="V237" s="138" t="s">
        <v>1214</v>
      </c>
    </row>
    <row r="238" spans="1:22" ht="12.95" customHeight="1" x14ac:dyDescent="0.2">
      <c r="A238" s="2" t="s">
        <v>15</v>
      </c>
      <c r="B238" s="2" t="s">
        <v>1</v>
      </c>
      <c r="C238" s="3">
        <v>46127</v>
      </c>
      <c r="D238" s="3">
        <v>46127</v>
      </c>
      <c r="E238" s="3">
        <v>46127</v>
      </c>
      <c r="F238" s="2" t="s">
        <v>77</v>
      </c>
      <c r="G238" s="212">
        <v>2395.5299999999997</v>
      </c>
      <c r="H238" s="212">
        <v>204.19999999999996</v>
      </c>
      <c r="I238" s="228">
        <f t="shared" si="34"/>
        <v>2599.7299999999996</v>
      </c>
      <c r="J238" s="212">
        <f t="shared" si="31"/>
        <v>2015.1703105799998</v>
      </c>
      <c r="K238" s="106" t="s">
        <v>586</v>
      </c>
      <c r="L238" s="106" t="s">
        <v>586</v>
      </c>
      <c r="M238" s="4" t="s">
        <v>526</v>
      </c>
      <c r="N238" s="106" t="s">
        <v>527</v>
      </c>
      <c r="O238" s="146" t="str">
        <f>_xlfn.XLOOKUP(N238,costcategory[Account Code],costcategory[Cost Category],"ERROR")</f>
        <v>Sales Expenses</v>
      </c>
      <c r="P238" s="4" t="s">
        <v>523</v>
      </c>
      <c r="Q238" s="147" t="str">
        <f>_xlfn.XLOOKUP(P238,Table2[Department],Table2[Group],"ERROR")</f>
        <v>General &amp; Administrative</v>
      </c>
      <c r="R238" s="138"/>
      <c r="S238" s="138"/>
      <c r="T238" s="138"/>
      <c r="U238" s="2" t="s">
        <v>1252</v>
      </c>
      <c r="V238" s="138" t="s">
        <v>1211</v>
      </c>
    </row>
    <row r="239" spans="1:22" ht="12.95" customHeight="1" x14ac:dyDescent="0.2">
      <c r="A239" s="2" t="s">
        <v>15</v>
      </c>
      <c r="B239" s="2" t="s">
        <v>1</v>
      </c>
      <c r="C239" s="3">
        <v>46127</v>
      </c>
      <c r="D239" s="3">
        <v>46127</v>
      </c>
      <c r="E239" s="3">
        <v>46127</v>
      </c>
      <c r="F239" s="2" t="s">
        <v>77</v>
      </c>
      <c r="G239" s="212">
        <v>5.05</v>
      </c>
      <c r="H239" s="212">
        <v>0.45</v>
      </c>
      <c r="I239" s="228">
        <f t="shared" si="34"/>
        <v>5.5</v>
      </c>
      <c r="J239" s="212">
        <f t="shared" si="31"/>
        <v>4.2633029999999996</v>
      </c>
      <c r="K239" s="106" t="s">
        <v>586</v>
      </c>
      <c r="L239" s="106" t="s">
        <v>586</v>
      </c>
      <c r="M239" s="4" t="s">
        <v>345</v>
      </c>
      <c r="N239" s="106" t="s">
        <v>346</v>
      </c>
      <c r="O239" s="146" t="str">
        <f>_xlfn.XLOOKUP(N239,costcategory[Account Code],costcategory[Cost Category],"ERROR")</f>
        <v>General Expenses</v>
      </c>
      <c r="P239" s="4" t="s">
        <v>333</v>
      </c>
      <c r="Q239" s="147" t="str">
        <f>_xlfn.XLOOKUP(P239,Table2[Department],Table2[Group],"ERROR")</f>
        <v>General &amp; Administrative</v>
      </c>
      <c r="R239" s="138"/>
      <c r="S239" s="138"/>
      <c r="T239" s="138"/>
      <c r="U239" s="2" t="s">
        <v>1252</v>
      </c>
      <c r="V239" s="138" t="s">
        <v>1211</v>
      </c>
    </row>
    <row r="240" spans="1:22" ht="12.95" customHeight="1" x14ac:dyDescent="0.2">
      <c r="A240" s="2" t="s">
        <v>15</v>
      </c>
      <c r="B240" s="2" t="s">
        <v>1</v>
      </c>
      <c r="C240" s="3">
        <v>46127</v>
      </c>
      <c r="D240" s="3">
        <v>46127</v>
      </c>
      <c r="E240" s="3">
        <v>46127</v>
      </c>
      <c r="F240" s="2" t="s">
        <v>77</v>
      </c>
      <c r="G240" s="212">
        <v>2834.2</v>
      </c>
      <c r="H240" s="212">
        <v>0</v>
      </c>
      <c r="I240" s="228">
        <f t="shared" si="34"/>
        <v>2834.2</v>
      </c>
      <c r="J240" s="212">
        <f t="shared" si="31"/>
        <v>2196.9187932</v>
      </c>
      <c r="K240" s="106" t="s">
        <v>586</v>
      </c>
      <c r="L240" s="106" t="s">
        <v>586</v>
      </c>
      <c r="M240" s="4" t="s">
        <v>348</v>
      </c>
      <c r="N240" s="106" t="s">
        <v>349</v>
      </c>
      <c r="O240" s="146" t="str">
        <f>_xlfn.XLOOKUP(N240,costcategory[Account Code],costcategory[Cost Category],"ERROR")</f>
        <v>Employee Benefits</v>
      </c>
      <c r="P240" s="4" t="s">
        <v>523</v>
      </c>
      <c r="Q240" s="147" t="str">
        <f>_xlfn.XLOOKUP(P240,Table2[Department],Table2[Group],"ERROR")</f>
        <v>General &amp; Administrative</v>
      </c>
      <c r="R240" s="138"/>
      <c r="S240" s="138"/>
      <c r="T240" s="138"/>
      <c r="U240" s="2" t="s">
        <v>1252</v>
      </c>
      <c r="V240" s="138" t="s">
        <v>1214</v>
      </c>
    </row>
    <row r="241" spans="1:22" ht="12.95" customHeight="1" x14ac:dyDescent="0.2">
      <c r="A241" s="2" t="s">
        <v>15</v>
      </c>
      <c r="B241" s="2" t="s">
        <v>1</v>
      </c>
      <c r="C241" s="3">
        <v>46127</v>
      </c>
      <c r="D241" s="3">
        <v>46127</v>
      </c>
      <c r="E241" s="3">
        <v>46127</v>
      </c>
      <c r="F241" s="2" t="s">
        <v>77</v>
      </c>
      <c r="G241" s="212">
        <v>9.08</v>
      </c>
      <c r="H241" s="212">
        <v>0.82</v>
      </c>
      <c r="I241" s="228">
        <f t="shared" si="34"/>
        <v>9.9</v>
      </c>
      <c r="J241" s="212">
        <f t="shared" si="31"/>
        <v>7.6739454</v>
      </c>
      <c r="K241" s="106" t="s">
        <v>586</v>
      </c>
      <c r="L241" s="106" t="s">
        <v>586</v>
      </c>
      <c r="M241" s="4" t="s">
        <v>351</v>
      </c>
      <c r="N241" s="106" t="s">
        <v>50</v>
      </c>
      <c r="O241" s="146" t="str">
        <f>_xlfn.XLOOKUP(N241,costcategory[Account Code],costcategory[Cost Category],"ERROR")</f>
        <v>Office Supplies</v>
      </c>
      <c r="P241" s="4" t="s">
        <v>340</v>
      </c>
      <c r="Q241" s="147" t="str">
        <f>_xlfn.XLOOKUP(P241,Table2[Department],Table2[Group],"ERROR")</f>
        <v>General &amp; Administrative</v>
      </c>
      <c r="R241" s="138"/>
      <c r="S241" s="138"/>
      <c r="T241" s="138"/>
      <c r="U241" s="2" t="s">
        <v>1252</v>
      </c>
      <c r="V241" s="138" t="s">
        <v>1211</v>
      </c>
    </row>
    <row r="242" spans="1:22" ht="12.95" customHeight="1" x14ac:dyDescent="0.2">
      <c r="A242" s="2" t="s">
        <v>15</v>
      </c>
      <c r="B242" s="2" t="s">
        <v>1</v>
      </c>
      <c r="C242" s="3">
        <v>46127</v>
      </c>
      <c r="D242" s="3">
        <v>46127</v>
      </c>
      <c r="E242" s="3">
        <v>46127</v>
      </c>
      <c r="F242" s="2" t="s">
        <v>77</v>
      </c>
      <c r="G242" s="212">
        <v>36.56</v>
      </c>
      <c r="H242" s="212">
        <v>0</v>
      </c>
      <c r="I242" s="228">
        <f t="shared" si="34"/>
        <v>36.56</v>
      </c>
      <c r="J242" s="212">
        <f t="shared" si="31"/>
        <v>28.339337760000003</v>
      </c>
      <c r="K242" s="106" t="s">
        <v>586</v>
      </c>
      <c r="L242" s="106" t="s">
        <v>586</v>
      </c>
      <c r="M242" s="4" t="s">
        <v>352</v>
      </c>
      <c r="N242" s="106" t="s">
        <v>391</v>
      </c>
      <c r="O242" s="146" t="str">
        <f>_xlfn.XLOOKUP(N242,costcategory[Account Code],costcategory[Cost Category],"ERROR")</f>
        <v>Travelling Expenses</v>
      </c>
      <c r="P242" s="4" t="s">
        <v>523</v>
      </c>
      <c r="Q242" s="147" t="str">
        <f>_xlfn.XLOOKUP(P242,Table2[Department],Table2[Group],"ERROR")</f>
        <v>General &amp; Administrative</v>
      </c>
      <c r="R242" s="138"/>
      <c r="S242" s="138"/>
      <c r="T242" s="138"/>
      <c r="U242" s="2" t="s">
        <v>1252</v>
      </c>
      <c r="V242" s="138" t="s">
        <v>1214</v>
      </c>
    </row>
    <row r="243" spans="1:22" ht="12.95" customHeight="1" x14ac:dyDescent="0.2">
      <c r="A243" s="2" t="s">
        <v>15</v>
      </c>
      <c r="B243" s="2" t="s">
        <v>1</v>
      </c>
      <c r="C243" s="3">
        <v>46127</v>
      </c>
      <c r="D243" s="3">
        <v>46127</v>
      </c>
      <c r="E243" s="3">
        <v>46127</v>
      </c>
      <c r="F243" s="2" t="s">
        <v>77</v>
      </c>
      <c r="G243" s="212">
        <v>42.56</v>
      </c>
      <c r="H243" s="212">
        <v>3.83</v>
      </c>
      <c r="I243" s="228">
        <f t="shared" si="34"/>
        <v>46.39</v>
      </c>
      <c r="J243" s="212">
        <f t="shared" si="31"/>
        <v>35.959022939999997</v>
      </c>
      <c r="K243" s="106" t="s">
        <v>586</v>
      </c>
      <c r="L243" s="106" t="s">
        <v>586</v>
      </c>
      <c r="M243" s="4" t="s">
        <v>355</v>
      </c>
      <c r="N243" s="106" t="s">
        <v>402</v>
      </c>
      <c r="O243" s="146" t="str">
        <f>_xlfn.XLOOKUP(N243,costcategory[Account Code],costcategory[Cost Category],"ERROR")</f>
        <v>Travelling Expenses</v>
      </c>
      <c r="P243" s="4" t="s">
        <v>523</v>
      </c>
      <c r="Q243" s="147" t="str">
        <f>_xlfn.XLOOKUP(P243,Table2[Department],Table2[Group],"ERROR")</f>
        <v>General &amp; Administrative</v>
      </c>
      <c r="R243" s="138"/>
      <c r="S243" s="138"/>
      <c r="T243" s="138"/>
      <c r="U243" s="2" t="s">
        <v>1252</v>
      </c>
      <c r="V243" s="138" t="s">
        <v>1211</v>
      </c>
    </row>
    <row r="244" spans="1:22" ht="12.95" customHeight="1" x14ac:dyDescent="0.2">
      <c r="A244" s="2" t="s">
        <v>15</v>
      </c>
      <c r="B244" s="2" t="s">
        <v>1</v>
      </c>
      <c r="C244" s="3">
        <v>46127</v>
      </c>
      <c r="D244" s="3">
        <v>46127</v>
      </c>
      <c r="E244" s="3">
        <v>46127</v>
      </c>
      <c r="F244" s="2" t="s">
        <v>77</v>
      </c>
      <c r="G244" s="212">
        <v>2.57</v>
      </c>
      <c r="H244" s="212">
        <v>0</v>
      </c>
      <c r="I244" s="228">
        <f t="shared" si="34"/>
        <v>2.57</v>
      </c>
      <c r="J244" s="212">
        <f t="shared" si="31"/>
        <v>1.9921252199999999</v>
      </c>
      <c r="K244" s="106" t="s">
        <v>586</v>
      </c>
      <c r="L244" s="106" t="s">
        <v>586</v>
      </c>
      <c r="M244" s="4" t="s">
        <v>469</v>
      </c>
      <c r="N244" s="106" t="s">
        <v>470</v>
      </c>
      <c r="O244" s="146" t="str">
        <f>_xlfn.XLOOKUP(N244,costcategory[Account Code],costcategory[Cost Category],"ERROR")</f>
        <v>Office Supplies</v>
      </c>
      <c r="P244" s="4" t="s">
        <v>340</v>
      </c>
      <c r="Q244" s="147" t="str">
        <f>_xlfn.XLOOKUP(P244,Table2[Department],Table2[Group],"ERROR")</f>
        <v>General &amp; Administrative</v>
      </c>
      <c r="R244" s="138"/>
      <c r="S244" s="138"/>
      <c r="T244" s="138"/>
      <c r="U244" s="2" t="s">
        <v>1252</v>
      </c>
      <c r="V244" s="138" t="s">
        <v>1214</v>
      </c>
    </row>
    <row r="245" spans="1:22" ht="12.95" customHeight="1" x14ac:dyDescent="0.2">
      <c r="A245" s="2" t="s">
        <v>15</v>
      </c>
      <c r="B245" s="2" t="s">
        <v>1</v>
      </c>
      <c r="C245" s="3">
        <v>46127</v>
      </c>
      <c r="D245" s="3">
        <v>46127</v>
      </c>
      <c r="E245" s="3">
        <v>46127</v>
      </c>
      <c r="F245" s="2" t="s">
        <v>77</v>
      </c>
      <c r="G245" s="212">
        <v>10000</v>
      </c>
      <c r="H245" s="212">
        <v>0</v>
      </c>
      <c r="I245" s="228">
        <f t="shared" si="34"/>
        <v>10000</v>
      </c>
      <c r="J245" s="212">
        <f t="shared" si="31"/>
        <v>7751.46</v>
      </c>
      <c r="K245" s="106" t="s">
        <v>586</v>
      </c>
      <c r="L245" s="106" t="s">
        <v>586</v>
      </c>
      <c r="M245" s="4" t="s">
        <v>874</v>
      </c>
      <c r="N245" s="106" t="s">
        <v>875</v>
      </c>
      <c r="O245" s="146" t="str">
        <f>_xlfn.XLOOKUP(N245,costcategory[Account Code],costcategory[Cost Category],"ERROR")</f>
        <v>Headcount Costs</v>
      </c>
      <c r="P245" s="4" t="s">
        <v>59</v>
      </c>
      <c r="Q245" s="147" t="str">
        <f>_xlfn.XLOOKUP(P245,Table2[Department],Table2[Group],"ERROR")</f>
        <v>Research &amp; Development</v>
      </c>
      <c r="R245" s="138"/>
      <c r="S245" s="138"/>
      <c r="T245" s="138"/>
      <c r="U245" s="2" t="s">
        <v>1252</v>
      </c>
      <c r="V245" s="138" t="s">
        <v>1214</v>
      </c>
    </row>
    <row r="246" spans="1:22" ht="12.95" customHeight="1" x14ac:dyDescent="0.2">
      <c r="A246" s="2" t="s">
        <v>15</v>
      </c>
      <c r="B246" s="2" t="s">
        <v>1</v>
      </c>
      <c r="C246" s="3">
        <v>46127</v>
      </c>
      <c r="D246" s="3">
        <v>46127</v>
      </c>
      <c r="E246" s="3">
        <v>46127</v>
      </c>
      <c r="F246" s="2" t="s">
        <v>77</v>
      </c>
      <c r="G246" s="212">
        <v>158.66</v>
      </c>
      <c r="H246" s="212">
        <v>14.28</v>
      </c>
      <c r="I246" s="228">
        <f t="shared" si="34"/>
        <v>172.94</v>
      </c>
      <c r="J246" s="212">
        <f t="shared" si="31"/>
        <v>134.05374924</v>
      </c>
      <c r="K246" s="106" t="s">
        <v>586</v>
      </c>
      <c r="L246" s="106" t="s">
        <v>586</v>
      </c>
      <c r="M246" s="4" t="s">
        <v>392</v>
      </c>
      <c r="N246" s="106" t="s">
        <v>393</v>
      </c>
      <c r="O246" s="146" t="str">
        <f>_xlfn.XLOOKUP(N246,costcategory[Account Code],costcategory[Cost Category],"ERROR")</f>
        <v>Employee Benefits</v>
      </c>
      <c r="P246" s="4" t="s">
        <v>350</v>
      </c>
      <c r="Q246" s="147" t="str">
        <f>_xlfn.XLOOKUP(P246,Table2[Department],Table2[Group],"ERROR")</f>
        <v>General &amp; Administrative</v>
      </c>
      <c r="R246" s="138"/>
      <c r="S246" s="138"/>
      <c r="T246" s="138"/>
      <c r="U246" s="2" t="s">
        <v>1252</v>
      </c>
      <c r="V246" s="138" t="s">
        <v>1211</v>
      </c>
    </row>
    <row r="247" spans="1:22" ht="12.95" customHeight="1" x14ac:dyDescent="0.2">
      <c r="A247" s="2" t="s">
        <v>15</v>
      </c>
      <c r="B247" s="2" t="s">
        <v>1</v>
      </c>
      <c r="C247" s="3">
        <v>46127</v>
      </c>
      <c r="D247" s="3">
        <v>46127</v>
      </c>
      <c r="E247" s="3">
        <v>46127</v>
      </c>
      <c r="F247" s="2" t="s">
        <v>77</v>
      </c>
      <c r="G247" s="212">
        <f>1754.43-G248</f>
        <v>1722.8700000000001</v>
      </c>
      <c r="H247" s="212">
        <f>106.51-H248</f>
        <v>103.67</v>
      </c>
      <c r="I247" s="228">
        <f t="shared" si="34"/>
        <v>1826.5400000000002</v>
      </c>
      <c r="J247" s="212">
        <f t="shared" si="31"/>
        <v>1415.8351748400003</v>
      </c>
      <c r="K247" s="106" t="s">
        <v>586</v>
      </c>
      <c r="L247" s="106" t="s">
        <v>586</v>
      </c>
      <c r="M247" s="4" t="s">
        <v>416</v>
      </c>
      <c r="N247" s="106" t="s">
        <v>390</v>
      </c>
      <c r="O247" s="146" t="str">
        <f>_xlfn.XLOOKUP(N247,costcategory[Account Code],costcategory[Cost Category],"ERROR")</f>
        <v>Employee Benefits</v>
      </c>
      <c r="P247" s="4" t="s">
        <v>523</v>
      </c>
      <c r="Q247" s="147" t="str">
        <f>_xlfn.XLOOKUP(P247,Table2[Department],Table2[Group],"ERROR")</f>
        <v>General &amp; Administrative</v>
      </c>
      <c r="R247" s="138"/>
      <c r="S247" s="138"/>
      <c r="T247" s="138"/>
      <c r="U247" s="2" t="s">
        <v>1252</v>
      </c>
      <c r="V247" s="138" t="s">
        <v>1211</v>
      </c>
    </row>
    <row r="248" spans="1:22" ht="12.95" customHeight="1" x14ac:dyDescent="0.2">
      <c r="A248" s="2" t="s">
        <v>15</v>
      </c>
      <c r="B248" s="2" t="s">
        <v>1</v>
      </c>
      <c r="C248" s="3">
        <v>46127</v>
      </c>
      <c r="D248" s="3">
        <v>46127</v>
      </c>
      <c r="E248" s="3">
        <v>46127</v>
      </c>
      <c r="F248" s="2" t="s">
        <v>77</v>
      </c>
      <c r="G248" s="212">
        <v>31.56</v>
      </c>
      <c r="H248" s="212">
        <v>2.84</v>
      </c>
      <c r="I248" s="228">
        <f t="shared" ref="I248" si="35">SUM(G248:H248)</f>
        <v>34.4</v>
      </c>
      <c r="J248" s="212">
        <f t="shared" si="31"/>
        <v>26.665022399999998</v>
      </c>
      <c r="K248" s="106" t="s">
        <v>586</v>
      </c>
      <c r="L248" s="106" t="s">
        <v>586</v>
      </c>
      <c r="M248" s="4" t="s">
        <v>416</v>
      </c>
      <c r="N248" s="106" t="s">
        <v>390</v>
      </c>
      <c r="O248" s="146" t="str">
        <f>_xlfn.XLOOKUP(N248,costcategory[Account Code],costcategory[Cost Category],"ERROR")</f>
        <v>Employee Benefits</v>
      </c>
      <c r="P248" s="4" t="s">
        <v>340</v>
      </c>
      <c r="Q248" s="147" t="str">
        <f>_xlfn.XLOOKUP(P248,Table2[Department],Table2[Group],"ERROR")</f>
        <v>General &amp; Administrative</v>
      </c>
      <c r="R248" s="138"/>
      <c r="S248" s="138"/>
      <c r="T248" s="138"/>
      <c r="U248" s="2" t="s">
        <v>1252</v>
      </c>
      <c r="V248" s="138" t="s">
        <v>1211</v>
      </c>
    </row>
    <row r="249" spans="1:22" ht="12.95" customHeight="1" x14ac:dyDescent="0.2">
      <c r="A249" s="2" t="s">
        <v>15</v>
      </c>
      <c r="B249" s="2" t="s">
        <v>1</v>
      </c>
      <c r="C249" s="3">
        <v>46127</v>
      </c>
      <c r="D249" s="3">
        <v>46127</v>
      </c>
      <c r="E249" s="3">
        <v>46127</v>
      </c>
      <c r="F249" s="2" t="s">
        <v>77</v>
      </c>
      <c r="G249" s="212">
        <f>376.93-G250</f>
        <v>348.04</v>
      </c>
      <c r="H249" s="212">
        <v>9.43</v>
      </c>
      <c r="I249" s="228">
        <f t="shared" si="34"/>
        <v>357.47</v>
      </c>
      <c r="J249" s="212">
        <f t="shared" si="31"/>
        <v>277.09144062000001</v>
      </c>
      <c r="K249" s="106" t="s">
        <v>586</v>
      </c>
      <c r="L249" s="106" t="s">
        <v>586</v>
      </c>
      <c r="M249" s="4" t="s">
        <v>358</v>
      </c>
      <c r="N249" s="106" t="s">
        <v>60</v>
      </c>
      <c r="O249" s="146" t="str">
        <f>_xlfn.XLOOKUP(N249,costcategory[Account Code],costcategory[Cost Category],"ERROR")</f>
        <v>Subscription Fee</v>
      </c>
      <c r="P249" s="4" t="s">
        <v>56</v>
      </c>
      <c r="Q249" s="147" t="str">
        <f>_xlfn.XLOOKUP(P249,Table2[Department],Table2[Group],"ERROR")</f>
        <v>Research &amp; Development</v>
      </c>
      <c r="R249" s="138"/>
      <c r="S249" s="138"/>
      <c r="T249" s="138"/>
      <c r="U249" s="2" t="s">
        <v>1252</v>
      </c>
      <c r="V249" s="138" t="s">
        <v>1211</v>
      </c>
    </row>
    <row r="250" spans="1:22" ht="12.95" customHeight="1" x14ac:dyDescent="0.2">
      <c r="A250" s="2" t="s">
        <v>15</v>
      </c>
      <c r="B250" s="2" t="s">
        <v>1</v>
      </c>
      <c r="C250" s="3">
        <v>46127</v>
      </c>
      <c r="D250" s="3">
        <v>46127</v>
      </c>
      <c r="E250" s="3">
        <v>46127</v>
      </c>
      <c r="F250" s="2" t="s">
        <v>77</v>
      </c>
      <c r="G250" s="212">
        <v>28.89</v>
      </c>
      <c r="H250" s="212">
        <v>0</v>
      </c>
      <c r="I250" s="228">
        <f t="shared" ref="I250" si="36">SUM(G250:H250)</f>
        <v>28.89</v>
      </c>
      <c r="J250" s="212">
        <f t="shared" si="31"/>
        <v>22.39396794</v>
      </c>
      <c r="K250" s="106" t="s">
        <v>586</v>
      </c>
      <c r="L250" s="106" t="s">
        <v>586</v>
      </c>
      <c r="M250" s="4" t="s">
        <v>358</v>
      </c>
      <c r="N250" s="106" t="s">
        <v>60</v>
      </c>
      <c r="O250" s="146" t="str">
        <f>_xlfn.XLOOKUP(N250,costcategory[Account Code],costcategory[Cost Category],"ERROR")</f>
        <v>Subscription Fee</v>
      </c>
      <c r="P250" s="4" t="s">
        <v>658</v>
      </c>
      <c r="Q250" s="147" t="str">
        <f>_xlfn.XLOOKUP(P250,Table2[Department],Table2[Group],"ERROR")</f>
        <v>Sales &amp; Marketing</v>
      </c>
      <c r="R250" s="138"/>
      <c r="S250" s="138"/>
      <c r="T250" s="138"/>
      <c r="U250" s="2" t="s">
        <v>1252</v>
      </c>
      <c r="V250" s="138" t="s">
        <v>1214</v>
      </c>
    </row>
    <row r="251" spans="1:22" ht="12.95" customHeight="1" x14ac:dyDescent="0.2">
      <c r="A251" s="2" t="s">
        <v>15</v>
      </c>
      <c r="B251" s="2" t="s">
        <v>1</v>
      </c>
      <c r="C251" s="3">
        <v>46127</v>
      </c>
      <c r="D251" s="3">
        <v>46127</v>
      </c>
      <c r="E251" s="3">
        <v>46127</v>
      </c>
      <c r="F251" s="2" t="s">
        <v>77</v>
      </c>
      <c r="G251" s="212">
        <v>298.17</v>
      </c>
      <c r="H251" s="212">
        <v>0</v>
      </c>
      <c r="I251" s="228">
        <f t="shared" si="34"/>
        <v>298.17</v>
      </c>
      <c r="J251" s="212">
        <f t="shared" si="31"/>
        <v>231.12528282000002</v>
      </c>
      <c r="K251" s="106" t="s">
        <v>586</v>
      </c>
      <c r="L251" s="106" t="s">
        <v>586</v>
      </c>
      <c r="M251" s="4" t="s">
        <v>360</v>
      </c>
      <c r="N251" s="106" t="s">
        <v>353</v>
      </c>
      <c r="O251" s="146" t="str">
        <f>_xlfn.XLOOKUP(N251,costcategory[Account Code],costcategory[Cost Category],"ERROR")</f>
        <v>Travelling Expenses</v>
      </c>
      <c r="P251" s="4" t="s">
        <v>523</v>
      </c>
      <c r="Q251" s="147" t="str">
        <f>_xlfn.XLOOKUP(P251,Table2[Department],Table2[Group],"ERROR")</f>
        <v>General &amp; Administrative</v>
      </c>
      <c r="R251" s="138"/>
      <c r="S251" s="138"/>
      <c r="T251" s="138"/>
      <c r="U251" s="2" t="s">
        <v>1252</v>
      </c>
      <c r="V251" s="138" t="s">
        <v>1214</v>
      </c>
    </row>
    <row r="252" spans="1:22" ht="12.95" customHeight="1" x14ac:dyDescent="0.2">
      <c r="A252" s="2" t="s">
        <v>15</v>
      </c>
      <c r="B252" s="2" t="s">
        <v>1</v>
      </c>
      <c r="C252" s="3">
        <v>46127</v>
      </c>
      <c r="D252" s="3">
        <v>46127</v>
      </c>
      <c r="E252" s="3">
        <v>46127</v>
      </c>
      <c r="F252" s="2" t="s">
        <v>77</v>
      </c>
      <c r="G252" s="212">
        <v>1087.8800000000001</v>
      </c>
      <c r="H252" s="212">
        <v>0</v>
      </c>
      <c r="I252" s="228">
        <f t="shared" ref="I252:I255" si="37">SUM(G252:H252)</f>
        <v>1087.8800000000001</v>
      </c>
      <c r="J252" s="212">
        <f t="shared" si="31"/>
        <v>843.26583048000009</v>
      </c>
      <c r="K252" s="106" t="s">
        <v>586</v>
      </c>
      <c r="L252" s="106" t="s">
        <v>586</v>
      </c>
      <c r="M252" s="4" t="s">
        <v>360</v>
      </c>
      <c r="N252" s="106" t="s">
        <v>353</v>
      </c>
      <c r="O252" s="146" t="str">
        <f>_xlfn.XLOOKUP(N252,costcategory[Account Code],costcategory[Cost Category],"ERROR")</f>
        <v>Travelling Expenses</v>
      </c>
      <c r="P252" s="4" t="s">
        <v>59</v>
      </c>
      <c r="Q252" s="147" t="str">
        <f>_xlfn.XLOOKUP(P252,Table2[Department],Table2[Group],"ERROR")</f>
        <v>Research &amp; Development</v>
      </c>
      <c r="R252" s="138"/>
      <c r="S252" s="138"/>
      <c r="T252" s="138"/>
      <c r="U252" s="2" t="s">
        <v>1252</v>
      </c>
      <c r="V252" s="138" t="s">
        <v>1214</v>
      </c>
    </row>
    <row r="253" spans="1:22" ht="12.95" customHeight="1" x14ac:dyDescent="0.2">
      <c r="A253" s="2" t="s">
        <v>15</v>
      </c>
      <c r="B253" s="2" t="s">
        <v>1</v>
      </c>
      <c r="C253" s="3">
        <v>46127</v>
      </c>
      <c r="D253" s="3">
        <v>46127</v>
      </c>
      <c r="E253" s="3">
        <v>46127</v>
      </c>
      <c r="F253" s="2" t="s">
        <v>77</v>
      </c>
      <c r="G253" s="212">
        <v>478.34</v>
      </c>
      <c r="H253" s="212">
        <v>0</v>
      </c>
      <c r="I253" s="228">
        <f t="shared" si="37"/>
        <v>478.34</v>
      </c>
      <c r="J253" s="212">
        <f t="shared" ref="J253:J278" si="38">I253*$J$218</f>
        <v>370.78333763999996</v>
      </c>
      <c r="K253" s="106" t="s">
        <v>586</v>
      </c>
      <c r="L253" s="106" t="s">
        <v>586</v>
      </c>
      <c r="M253" s="4" t="s">
        <v>360</v>
      </c>
      <c r="N253" s="106" t="s">
        <v>353</v>
      </c>
      <c r="O253" s="146" t="str">
        <f>_xlfn.XLOOKUP(N253,costcategory[Account Code],costcategory[Cost Category],"ERROR")</f>
        <v>Travelling Expenses</v>
      </c>
      <c r="P253" s="4" t="s">
        <v>56</v>
      </c>
      <c r="Q253" s="147" t="str">
        <f>_xlfn.XLOOKUP(P253,Table2[Department],Table2[Group],"ERROR")</f>
        <v>Research &amp; Development</v>
      </c>
      <c r="R253" s="138"/>
      <c r="S253" s="138"/>
      <c r="T253" s="138"/>
      <c r="U253" s="2" t="s">
        <v>1252</v>
      </c>
      <c r="V253" s="138" t="s">
        <v>1214</v>
      </c>
    </row>
    <row r="254" spans="1:22" ht="12.95" customHeight="1" x14ac:dyDescent="0.2">
      <c r="A254" s="2" t="s">
        <v>15</v>
      </c>
      <c r="B254" s="2" t="s">
        <v>1</v>
      </c>
      <c r="C254" s="3">
        <v>46127</v>
      </c>
      <c r="D254" s="3">
        <v>46127</v>
      </c>
      <c r="E254" s="3">
        <v>46127</v>
      </c>
      <c r="F254" s="2" t="s">
        <v>77</v>
      </c>
      <c r="G254" s="212">
        <v>2119.8900000000003</v>
      </c>
      <c r="H254" s="212">
        <v>0</v>
      </c>
      <c r="I254" s="228">
        <f t="shared" si="37"/>
        <v>2119.8900000000003</v>
      </c>
      <c r="J254" s="212">
        <f t="shared" si="38"/>
        <v>1643.2242539400002</v>
      </c>
      <c r="K254" s="106" t="s">
        <v>586</v>
      </c>
      <c r="L254" s="106" t="s">
        <v>586</v>
      </c>
      <c r="M254" s="4" t="s">
        <v>361</v>
      </c>
      <c r="N254" s="106" t="s">
        <v>356</v>
      </c>
      <c r="O254" s="146" t="str">
        <f>_xlfn.XLOOKUP(N254,costcategory[Account Code],costcategory[Cost Category],"ERROR")</f>
        <v>Travelling Expenses</v>
      </c>
      <c r="P254" s="4" t="s">
        <v>523</v>
      </c>
      <c r="Q254" s="147" t="str">
        <f>_xlfn.XLOOKUP(P254,Table2[Department],Table2[Group],"ERROR")</f>
        <v>General &amp; Administrative</v>
      </c>
      <c r="R254" s="138"/>
      <c r="S254" s="138"/>
      <c r="T254" s="138"/>
      <c r="U254" s="2" t="s">
        <v>1252</v>
      </c>
      <c r="V254" s="138" t="s">
        <v>1214</v>
      </c>
    </row>
    <row r="255" spans="1:22" ht="12.95" customHeight="1" x14ac:dyDescent="0.2">
      <c r="A255" s="2" t="s">
        <v>15</v>
      </c>
      <c r="B255" s="2" t="s">
        <v>1</v>
      </c>
      <c r="C255" s="3">
        <v>46127</v>
      </c>
      <c r="D255" s="3">
        <v>46127</v>
      </c>
      <c r="E255" s="3">
        <v>46127</v>
      </c>
      <c r="F255" s="2" t="s">
        <v>77</v>
      </c>
      <c r="G255" s="212">
        <v>100.72</v>
      </c>
      <c r="H255" s="212">
        <v>0</v>
      </c>
      <c r="I255" s="228">
        <f t="shared" si="37"/>
        <v>100.72</v>
      </c>
      <c r="J255" s="212">
        <f t="shared" si="38"/>
        <v>78.072705119999995</v>
      </c>
      <c r="K255" s="106" t="s">
        <v>586</v>
      </c>
      <c r="L255" s="106" t="s">
        <v>586</v>
      </c>
      <c r="M255" s="4" t="s">
        <v>361</v>
      </c>
      <c r="N255" s="106" t="s">
        <v>356</v>
      </c>
      <c r="O255" s="146" t="str">
        <f>_xlfn.XLOOKUP(N255,costcategory[Account Code],costcategory[Cost Category],"ERROR")</f>
        <v>Travelling Expenses</v>
      </c>
      <c r="P255" s="4" t="s">
        <v>56</v>
      </c>
      <c r="Q255" s="147" t="str">
        <f>_xlfn.XLOOKUP(P255,Table2[Department],Table2[Group],"ERROR")</f>
        <v>Research &amp; Development</v>
      </c>
      <c r="R255" s="138"/>
      <c r="S255" s="138"/>
      <c r="T255" s="138"/>
      <c r="U255" s="2" t="s">
        <v>1252</v>
      </c>
      <c r="V255" s="138" t="s">
        <v>1214</v>
      </c>
    </row>
    <row r="256" spans="1:22" ht="12.95" customHeight="1" x14ac:dyDescent="0.2">
      <c r="A256" s="2" t="s">
        <v>15</v>
      </c>
      <c r="B256" s="2" t="s">
        <v>1</v>
      </c>
      <c r="C256" s="3">
        <v>46127</v>
      </c>
      <c r="D256" s="3">
        <v>46127</v>
      </c>
      <c r="E256" s="3">
        <v>46127</v>
      </c>
      <c r="F256" s="2" t="s">
        <v>77</v>
      </c>
      <c r="G256" s="212">
        <v>38.010000000000005</v>
      </c>
      <c r="H256" s="212">
        <v>0</v>
      </c>
      <c r="I256" s="229">
        <f t="shared" si="34"/>
        <v>38.010000000000005</v>
      </c>
      <c r="J256" s="212">
        <f t="shared" si="38"/>
        <v>29.463299460000005</v>
      </c>
      <c r="K256" s="106" t="s">
        <v>586</v>
      </c>
      <c r="L256" s="106" t="s">
        <v>586</v>
      </c>
      <c r="M256" s="4" t="s">
        <v>361</v>
      </c>
      <c r="N256" s="106" t="s">
        <v>356</v>
      </c>
      <c r="O256" s="146" t="str">
        <f>_xlfn.XLOOKUP(N256,costcategory[Account Code],costcategory[Cost Category],"ERROR")</f>
        <v>Travelling Expenses</v>
      </c>
      <c r="P256" s="4" t="s">
        <v>59</v>
      </c>
      <c r="Q256" s="147" t="str">
        <f>_xlfn.XLOOKUP(P256,Table2[Department],Table2[Group],"ERROR")</f>
        <v>Research &amp; Development</v>
      </c>
      <c r="R256" s="138"/>
      <c r="S256" s="138"/>
      <c r="T256" s="138"/>
      <c r="U256" s="2" t="s">
        <v>1252</v>
      </c>
      <c r="V256" s="138" t="s">
        <v>1214</v>
      </c>
    </row>
    <row r="257" spans="1:23" ht="12.95" customHeight="1" x14ac:dyDescent="0.2">
      <c r="A257" s="2" t="s">
        <v>15</v>
      </c>
      <c r="B257" s="2" t="s">
        <v>1</v>
      </c>
      <c r="C257" s="3">
        <v>46127</v>
      </c>
      <c r="D257" s="3">
        <v>46127</v>
      </c>
      <c r="E257" s="3">
        <v>46127</v>
      </c>
      <c r="F257" s="2" t="s">
        <v>77</v>
      </c>
      <c r="G257" s="212">
        <v>63</v>
      </c>
      <c r="H257" s="205">
        <v>0</v>
      </c>
      <c r="I257" s="212">
        <f t="shared" si="32"/>
        <v>63</v>
      </c>
      <c r="J257" s="212">
        <f t="shared" si="38"/>
        <v>48.834198000000001</v>
      </c>
      <c r="K257" s="106" t="s">
        <v>841</v>
      </c>
      <c r="L257" s="106" t="s">
        <v>842</v>
      </c>
      <c r="M257" s="145" t="s">
        <v>843</v>
      </c>
      <c r="N257" s="106" t="s">
        <v>801</v>
      </c>
      <c r="O257" s="146" t="str">
        <f>_xlfn.XLOOKUP(N257,costcategory[Account Code],costcategory[Cost Category],"ERROR")</f>
        <v>Recruitment Related Fees</v>
      </c>
      <c r="P257" s="4" t="s">
        <v>350</v>
      </c>
      <c r="Q257" s="147" t="str">
        <f>_xlfn.XLOOKUP(P257,Table2[Department],Table2[Group],"ERROR")</f>
        <v>General &amp; Administrative</v>
      </c>
      <c r="R257" s="138"/>
      <c r="S257" s="138"/>
      <c r="T257" s="138"/>
      <c r="U257" s="2" t="s">
        <v>1253</v>
      </c>
      <c r="V257" s="138" t="s">
        <v>1214</v>
      </c>
    </row>
    <row r="258" spans="1:23" ht="12.95" customHeight="1" x14ac:dyDescent="0.2">
      <c r="A258" s="2" t="s">
        <v>15</v>
      </c>
      <c r="B258" s="2" t="s">
        <v>1</v>
      </c>
      <c r="C258" s="3">
        <v>46127</v>
      </c>
      <c r="D258" s="3">
        <v>46127</v>
      </c>
      <c r="E258" s="3">
        <v>46127</v>
      </c>
      <c r="F258" s="2" t="s">
        <v>77</v>
      </c>
      <c r="G258" s="212">
        <v>600</v>
      </c>
      <c r="H258" s="205">
        <v>0</v>
      </c>
      <c r="I258" s="212">
        <f t="shared" ref="I258:I259" si="39">SUM(G258:H258)</f>
        <v>600</v>
      </c>
      <c r="J258" s="212">
        <f t="shared" si="38"/>
        <v>465.08760000000001</v>
      </c>
      <c r="K258" s="106" t="s">
        <v>757</v>
      </c>
      <c r="L258" s="280" t="s">
        <v>1254</v>
      </c>
      <c r="M258" s="4" t="s">
        <v>876</v>
      </c>
      <c r="N258" s="106" t="s">
        <v>621</v>
      </c>
      <c r="O258" s="146" t="str">
        <f>_xlfn.XLOOKUP(N258,costcategory[Account Code],costcategory[Cost Category],"ERROR")</f>
        <v>Upkeep of Office</v>
      </c>
      <c r="P258" s="4" t="s">
        <v>340</v>
      </c>
      <c r="Q258" s="147" t="str">
        <f>_xlfn.XLOOKUP(P258,Table2[Department],Table2[Group],"ERROR")</f>
        <v>General &amp; Administrative</v>
      </c>
      <c r="R258" s="138"/>
      <c r="S258" s="138"/>
      <c r="T258" s="138"/>
      <c r="U258" s="2" t="s">
        <v>1255</v>
      </c>
      <c r="V258" s="138" t="s">
        <v>1214</v>
      </c>
    </row>
    <row r="259" spans="1:23" ht="12.95" customHeight="1" x14ac:dyDescent="0.2">
      <c r="A259" s="2" t="s">
        <v>15</v>
      </c>
      <c r="B259" s="2" t="s">
        <v>1</v>
      </c>
      <c r="C259" s="3">
        <v>46128</v>
      </c>
      <c r="D259" s="3">
        <v>46128</v>
      </c>
      <c r="E259" s="3">
        <v>46128</v>
      </c>
      <c r="F259" s="2" t="s">
        <v>77</v>
      </c>
      <c r="G259" s="212">
        <v>279.45</v>
      </c>
      <c r="H259" s="205">
        <v>0</v>
      </c>
      <c r="I259" s="212">
        <f t="shared" si="39"/>
        <v>279.45</v>
      </c>
      <c r="J259" s="212">
        <f t="shared" si="38"/>
        <v>216.6145497</v>
      </c>
      <c r="K259" s="106" t="s">
        <v>885</v>
      </c>
      <c r="L259" s="106" t="s">
        <v>855</v>
      </c>
      <c r="M259" s="106" t="s">
        <v>1256</v>
      </c>
      <c r="N259" s="106" t="s">
        <v>390</v>
      </c>
      <c r="O259" s="146" t="str">
        <f>_xlfn.XLOOKUP(N259,costcategory[Account Code],costcategory[Cost Category],"ERROR")</f>
        <v>Employee Benefits</v>
      </c>
      <c r="P259" s="4" t="s">
        <v>523</v>
      </c>
      <c r="Q259" s="147" t="str">
        <f>_xlfn.XLOOKUP(P259,Table2[Department],Table2[Group],"ERROR")</f>
        <v>General &amp; Administrative</v>
      </c>
      <c r="R259" s="138"/>
      <c r="S259" s="138"/>
      <c r="T259" s="138"/>
      <c r="V259" s="138" t="s">
        <v>1214</v>
      </c>
    </row>
    <row r="260" spans="1:23" ht="12.95" customHeight="1" x14ac:dyDescent="0.2">
      <c r="A260" s="2" t="s">
        <v>15</v>
      </c>
      <c r="B260" s="2" t="s">
        <v>1</v>
      </c>
      <c r="C260" s="3">
        <v>46132</v>
      </c>
      <c r="D260" s="3">
        <v>46132</v>
      </c>
      <c r="E260" s="3">
        <v>46132</v>
      </c>
      <c r="F260" s="2" t="s">
        <v>77</v>
      </c>
      <c r="G260" s="212">
        <v>196.9</v>
      </c>
      <c r="H260" s="212">
        <v>17.72</v>
      </c>
      <c r="I260" s="212">
        <f t="shared" ref="I260:I261" si="40">SUM(G260:H260)</f>
        <v>214.62</v>
      </c>
      <c r="J260" s="212">
        <f t="shared" si="38"/>
        <v>166.36183452</v>
      </c>
      <c r="K260" s="106" t="s">
        <v>877</v>
      </c>
      <c r="L260" s="106" t="s">
        <v>855</v>
      </c>
      <c r="M260" s="4" t="s">
        <v>878</v>
      </c>
      <c r="N260" s="106" t="s">
        <v>527</v>
      </c>
      <c r="O260" s="146" t="str">
        <f>_xlfn.XLOOKUP(N260,costcategory[Account Code],costcategory[Cost Category],"ERROR")</f>
        <v>Sales Expenses</v>
      </c>
      <c r="P260" s="4" t="s">
        <v>523</v>
      </c>
      <c r="Q260" s="147" t="str">
        <f>_xlfn.XLOOKUP(P260,Table2[Department],Table2[Group],"ERROR")</f>
        <v>General &amp; Administrative</v>
      </c>
      <c r="R260" s="138"/>
      <c r="S260" s="138"/>
      <c r="T260" s="138"/>
      <c r="V260" s="138" t="s">
        <v>1214</v>
      </c>
    </row>
    <row r="261" spans="1:23" ht="12.95" customHeight="1" x14ac:dyDescent="0.2">
      <c r="A261" s="2" t="s">
        <v>15</v>
      </c>
      <c r="B261" s="2" t="s">
        <v>1</v>
      </c>
      <c r="C261" s="3">
        <v>46132</v>
      </c>
      <c r="D261" s="3">
        <v>46132</v>
      </c>
      <c r="E261" s="3">
        <v>46132</v>
      </c>
      <c r="F261" s="2" t="s">
        <v>77</v>
      </c>
      <c r="G261" s="212">
        <v>540.85</v>
      </c>
      <c r="H261" s="212">
        <v>0</v>
      </c>
      <c r="I261" s="212">
        <f t="shared" si="40"/>
        <v>540.85</v>
      </c>
      <c r="J261" s="212">
        <f t="shared" si="38"/>
        <v>419.23771410000001</v>
      </c>
      <c r="K261" s="106" t="s">
        <v>879</v>
      </c>
      <c r="L261" s="106" t="s">
        <v>855</v>
      </c>
      <c r="M261" s="4" t="s">
        <v>880</v>
      </c>
      <c r="N261" s="106" t="s">
        <v>353</v>
      </c>
      <c r="O261" s="146" t="str">
        <f>_xlfn.XLOOKUP(N261,costcategory[Account Code],costcategory[Cost Category],"ERROR")</f>
        <v>Travelling Expenses</v>
      </c>
      <c r="P261" s="4" t="s">
        <v>523</v>
      </c>
      <c r="Q261" s="147" t="str">
        <f>_xlfn.XLOOKUP(P261,Table2[Department],Table2[Group],"ERROR")</f>
        <v>General &amp; Administrative</v>
      </c>
      <c r="R261" s="138"/>
      <c r="S261" s="138"/>
      <c r="T261" s="138"/>
      <c r="V261" s="138" t="s">
        <v>1211</v>
      </c>
    </row>
    <row r="262" spans="1:23" ht="12.95" customHeight="1" x14ac:dyDescent="0.2">
      <c r="A262" s="2" t="s">
        <v>15</v>
      </c>
      <c r="B262" s="2" t="s">
        <v>1</v>
      </c>
      <c r="C262" s="3">
        <v>46135</v>
      </c>
      <c r="D262" s="3">
        <v>46135</v>
      </c>
      <c r="E262" s="3">
        <v>46135</v>
      </c>
      <c r="F262" s="2" t="s">
        <v>77</v>
      </c>
      <c r="G262" s="212">
        <v>-250000</v>
      </c>
      <c r="H262" s="212">
        <v>0</v>
      </c>
      <c r="I262" s="212">
        <v>-250000</v>
      </c>
      <c r="J262" s="212">
        <f t="shared" si="38"/>
        <v>-193786.5</v>
      </c>
      <c r="K262" s="106" t="s">
        <v>659</v>
      </c>
      <c r="L262" s="106" t="s">
        <v>883</v>
      </c>
      <c r="M262" s="4" t="s">
        <v>884</v>
      </c>
      <c r="N262" s="106" t="s">
        <v>418</v>
      </c>
      <c r="O262" s="146" t="str">
        <f>_xlfn.XLOOKUP(N262,costcategory[Account Code],costcategory[Cost Category],"ERROR")</f>
        <v>Internal Fund Transfer</v>
      </c>
      <c r="P262" s="4" t="s">
        <v>66</v>
      </c>
      <c r="Q262" s="147" t="str">
        <f>_xlfn.XLOOKUP(P262,Table2[Department],Table2[Group],"ERROR")</f>
        <v>Others</v>
      </c>
      <c r="R262" s="138"/>
      <c r="S262" s="138"/>
      <c r="T262" s="138"/>
      <c r="V262" s="138" t="s">
        <v>1211</v>
      </c>
    </row>
    <row r="263" spans="1:23" ht="12.95" customHeight="1" x14ac:dyDescent="0.2">
      <c r="A263" s="2" t="s">
        <v>15</v>
      </c>
      <c r="B263" s="2" t="s">
        <v>1</v>
      </c>
      <c r="C263" s="3">
        <v>46139</v>
      </c>
      <c r="D263" s="3">
        <v>46139</v>
      </c>
      <c r="E263" s="3">
        <v>46139</v>
      </c>
      <c r="F263" s="2" t="s">
        <v>77</v>
      </c>
      <c r="G263" s="205">
        <v>4275.6400000000003</v>
      </c>
      <c r="H263" s="205">
        <v>0</v>
      </c>
      <c r="I263" s="205">
        <v>4275.6400000000003</v>
      </c>
      <c r="J263" s="220">
        <f t="shared" si="38"/>
        <v>3314.2452434400002</v>
      </c>
      <c r="K263" s="109" t="s">
        <v>455</v>
      </c>
      <c r="L263" s="109" t="s">
        <v>881</v>
      </c>
      <c r="M263" s="4" t="s">
        <v>882</v>
      </c>
      <c r="N263" s="109" t="s">
        <v>353</v>
      </c>
      <c r="O263" s="146" t="str">
        <f>_xlfn.XLOOKUP(N263,costcategory[Account Code],costcategory[Cost Category],"ERROR")</f>
        <v>Travelling Expenses</v>
      </c>
      <c r="P263" s="4" t="s">
        <v>523</v>
      </c>
      <c r="Q263" s="147" t="str">
        <f>_xlfn.XLOOKUP(P263,Table2[Department],Table2[Group],"ERROR")</f>
        <v>General &amp; Administrative</v>
      </c>
      <c r="R263" s="136"/>
      <c r="S263" s="136"/>
      <c r="T263" s="136"/>
      <c r="U263" s="2" t="s">
        <v>610</v>
      </c>
      <c r="V263" s="136" t="s">
        <v>1214</v>
      </c>
    </row>
    <row r="264" spans="1:23" ht="12.95" customHeight="1" x14ac:dyDescent="0.2">
      <c r="A264" s="2" t="s">
        <v>15</v>
      </c>
      <c r="B264" s="2" t="s">
        <v>1</v>
      </c>
      <c r="C264" s="3">
        <v>46135</v>
      </c>
      <c r="D264" s="3">
        <v>46135</v>
      </c>
      <c r="E264" s="3">
        <v>46135</v>
      </c>
      <c r="F264" s="2" t="s">
        <v>77</v>
      </c>
      <c r="G264" s="212">
        <v>161.76</v>
      </c>
      <c r="H264" s="212">
        <v>0</v>
      </c>
      <c r="I264" s="212">
        <v>161.76</v>
      </c>
      <c r="J264" s="212">
        <f t="shared" si="38"/>
        <v>125.38761695999999</v>
      </c>
      <c r="K264" s="106" t="s">
        <v>885</v>
      </c>
      <c r="L264" s="106" t="s">
        <v>855</v>
      </c>
      <c r="M264" s="4" t="s">
        <v>886</v>
      </c>
      <c r="N264" s="106" t="s">
        <v>370</v>
      </c>
      <c r="O264" s="146" t="str">
        <f>_xlfn.XLOOKUP(N264,costcategory[Account Code],costcategory[Cost Category],"ERROR")</f>
        <v>Utilities</v>
      </c>
      <c r="P264" s="4" t="s">
        <v>340</v>
      </c>
      <c r="Q264" s="147" t="str">
        <f>_xlfn.XLOOKUP(P264,Table2[Department],Table2[Group],"ERROR")</f>
        <v>General &amp; Administrative</v>
      </c>
      <c r="R264" s="138"/>
      <c r="S264" s="138"/>
      <c r="T264" s="138"/>
      <c r="V264" s="138" t="s">
        <v>1214</v>
      </c>
    </row>
    <row r="265" spans="1:23" ht="12.95" customHeight="1" x14ac:dyDescent="0.2">
      <c r="A265" s="2" t="s">
        <v>15</v>
      </c>
      <c r="B265" s="2" t="s">
        <v>1</v>
      </c>
      <c r="C265" s="3">
        <v>46056</v>
      </c>
      <c r="D265" s="3">
        <v>46086</v>
      </c>
      <c r="E265" s="3">
        <v>46140</v>
      </c>
      <c r="F265" s="2" t="s">
        <v>77</v>
      </c>
      <c r="G265" s="212">
        <v>-9664.67</v>
      </c>
      <c r="H265" s="212">
        <v>0</v>
      </c>
      <c r="I265" s="212">
        <f t="shared" ref="I265:I269" si="41">SUM(G265:H265)</f>
        <v>-9664.67</v>
      </c>
      <c r="J265" s="212">
        <f t="shared" si="38"/>
        <v>-7491.5302918200005</v>
      </c>
      <c r="K265" s="106" t="s">
        <v>105</v>
      </c>
      <c r="L265" s="106" t="s">
        <v>117</v>
      </c>
      <c r="M265" s="4" t="s">
        <v>887</v>
      </c>
      <c r="N265" s="105" t="s">
        <v>382</v>
      </c>
      <c r="O265" s="146" t="str">
        <f>_xlfn.XLOOKUP(N265,costcategory[Account Code],costcategory[Cost Category],"ERROR")</f>
        <v>Revenue</v>
      </c>
      <c r="P265" s="4" t="s">
        <v>438</v>
      </c>
      <c r="Q265" s="147" t="str">
        <f>_xlfn.XLOOKUP(P265,Table2[Department],Table2[Group],"ERROR")</f>
        <v>Sales &amp; Marketing</v>
      </c>
      <c r="R265" s="139"/>
      <c r="S265" s="139"/>
      <c r="T265" s="138"/>
      <c r="U265" s="138" t="s">
        <v>1257</v>
      </c>
      <c r="V265" s="2" t="s">
        <v>1211</v>
      </c>
      <c r="W265" s="106"/>
    </row>
    <row r="266" spans="1:23" ht="12.95" customHeight="1" x14ac:dyDescent="0.2">
      <c r="A266" s="2" t="s">
        <v>15</v>
      </c>
      <c r="B266" s="2" t="s">
        <v>1</v>
      </c>
      <c r="C266" s="3">
        <v>46142</v>
      </c>
      <c r="D266" s="3">
        <v>46142</v>
      </c>
      <c r="E266" s="3">
        <v>46142</v>
      </c>
      <c r="F266" s="2" t="s">
        <v>77</v>
      </c>
      <c r="G266" s="212">
        <v>190740.23</v>
      </c>
      <c r="H266" s="212">
        <v>0</v>
      </c>
      <c r="I266" s="212">
        <f t="shared" si="41"/>
        <v>190740.23</v>
      </c>
      <c r="J266" s="212">
        <f t="shared" si="38"/>
        <v>147851.52632358001</v>
      </c>
      <c r="K266" s="106" t="s">
        <v>1216</v>
      </c>
      <c r="L266" s="4" t="s">
        <v>1258</v>
      </c>
      <c r="M266" s="4" t="s">
        <v>1259</v>
      </c>
      <c r="N266" s="106" t="s">
        <v>387</v>
      </c>
      <c r="O266" s="146" t="str">
        <f>_xlfn.XLOOKUP(N266,costcategory[Account Code],costcategory[Cost Category],"ERROR")</f>
        <v>Headcount Costs</v>
      </c>
      <c r="P266" s="4" t="s">
        <v>350</v>
      </c>
      <c r="Q266" s="147" t="str">
        <f>_xlfn.XLOOKUP(P266,Table2[Department],Table2[Group],"ERROR")</f>
        <v>General &amp; Administrative</v>
      </c>
      <c r="R266" s="138"/>
      <c r="S266" s="138"/>
      <c r="T266" s="138"/>
      <c r="U266" s="138" t="s">
        <v>1095</v>
      </c>
      <c r="V266" s="2" t="s">
        <v>1214</v>
      </c>
      <c r="W266" s="106"/>
    </row>
    <row r="267" spans="1:23" ht="12.95" customHeight="1" x14ac:dyDescent="0.2">
      <c r="A267" s="2" t="s">
        <v>15</v>
      </c>
      <c r="B267" s="2" t="s">
        <v>1</v>
      </c>
      <c r="C267" s="3">
        <v>46142</v>
      </c>
      <c r="D267" s="3">
        <v>46142</v>
      </c>
      <c r="E267" s="3">
        <v>46142</v>
      </c>
      <c r="F267" s="2" t="s">
        <v>77</v>
      </c>
      <c r="G267" s="212">
        <v>-8.77</v>
      </c>
      <c r="H267" s="212">
        <v>0</v>
      </c>
      <c r="I267" s="212">
        <f t="shared" si="41"/>
        <v>-8.77</v>
      </c>
      <c r="J267" s="212">
        <f t="shared" si="38"/>
        <v>-6.7980304199999999</v>
      </c>
      <c r="K267" s="106" t="s">
        <v>670</v>
      </c>
      <c r="L267" s="106" t="s">
        <v>608</v>
      </c>
      <c r="M267" s="4" t="s">
        <v>715</v>
      </c>
      <c r="N267" s="106" t="s">
        <v>384</v>
      </c>
      <c r="O267" s="146" t="str">
        <f>_xlfn.XLOOKUP(N267,costcategory[Account Code],costcategory[Cost Category],"ERROR")</f>
        <v>Other Income</v>
      </c>
      <c r="P267" s="4" t="s">
        <v>333</v>
      </c>
      <c r="Q267" s="147" t="str">
        <f>_xlfn.XLOOKUP(P267,Table2[Department],Table2[Group],"ERROR")</f>
        <v>General &amp; Administrative</v>
      </c>
      <c r="R267" s="139"/>
      <c r="S267" s="139"/>
      <c r="T267" s="138"/>
      <c r="U267" s="138" t="s">
        <v>1260</v>
      </c>
      <c r="V267" s="2" t="s">
        <v>1214</v>
      </c>
      <c r="W267" s="106"/>
    </row>
    <row r="268" spans="1:23" ht="12.95" customHeight="1" x14ac:dyDescent="0.2">
      <c r="A268" s="2" t="s">
        <v>15</v>
      </c>
      <c r="B268" s="2" t="s">
        <v>1</v>
      </c>
      <c r="C268" s="3">
        <v>46140</v>
      </c>
      <c r="D268" s="3">
        <v>46140</v>
      </c>
      <c r="E268" s="3">
        <v>46142</v>
      </c>
      <c r="F268" s="2" t="s">
        <v>77</v>
      </c>
      <c r="G268" s="212">
        <f>237.45-G269</f>
        <v>162.21999999999997</v>
      </c>
      <c r="H268" s="212">
        <v>0</v>
      </c>
      <c r="I268" s="227">
        <f t="shared" si="41"/>
        <v>162.21999999999997</v>
      </c>
      <c r="J268" s="212">
        <f t="shared" si="38"/>
        <v>125.74418411999997</v>
      </c>
      <c r="K268" s="106" t="s">
        <v>774</v>
      </c>
      <c r="L268" s="106" t="s">
        <v>890</v>
      </c>
      <c r="M268" s="4" t="s">
        <v>891</v>
      </c>
      <c r="N268" s="106" t="s">
        <v>60</v>
      </c>
      <c r="O268" s="146" t="str">
        <f>_xlfn.XLOOKUP(N268,costcategory[Account Code],costcategory[Cost Category],"ERROR")</f>
        <v>Subscription Fee</v>
      </c>
      <c r="P268" s="4" t="s">
        <v>333</v>
      </c>
      <c r="Q268" s="147" t="str">
        <f>_xlfn.XLOOKUP(P268,Table2[Department],Table2[Group],"ERROR")</f>
        <v>General &amp; Administrative</v>
      </c>
      <c r="R268" s="139"/>
      <c r="S268" s="139"/>
      <c r="T268" s="138"/>
      <c r="U268" s="138" t="s">
        <v>1261</v>
      </c>
      <c r="V268" s="2" t="s">
        <v>1211</v>
      </c>
      <c r="W268" s="106"/>
    </row>
    <row r="269" spans="1:23" ht="12.95" customHeight="1" x14ac:dyDescent="0.2">
      <c r="A269" s="2" t="s">
        <v>15</v>
      </c>
      <c r="B269" s="2" t="s">
        <v>1</v>
      </c>
      <c r="C269" s="3">
        <v>46140</v>
      </c>
      <c r="D269" s="3">
        <v>46140</v>
      </c>
      <c r="E269" s="3">
        <v>46142</v>
      </c>
      <c r="F269" s="2" t="s">
        <v>77</v>
      </c>
      <c r="G269" s="212">
        <f>66.06+9.17</f>
        <v>75.23</v>
      </c>
      <c r="H269" s="212">
        <v>0</v>
      </c>
      <c r="I269" s="229">
        <f t="shared" si="41"/>
        <v>75.23</v>
      </c>
      <c r="J269" s="212">
        <f t="shared" si="38"/>
        <v>58.31423358</v>
      </c>
      <c r="K269" s="106" t="s">
        <v>774</v>
      </c>
      <c r="L269" s="106" t="s">
        <v>890</v>
      </c>
      <c r="M269" s="4" t="s">
        <v>892</v>
      </c>
      <c r="N269" s="106" t="s">
        <v>60</v>
      </c>
      <c r="O269" s="146" t="str">
        <f>_xlfn.XLOOKUP(N269,costcategory[Account Code],costcategory[Cost Category],"ERROR")</f>
        <v>Subscription Fee</v>
      </c>
      <c r="P269" s="4" t="s">
        <v>354</v>
      </c>
      <c r="Q269" s="147" t="str">
        <f>_xlfn.XLOOKUP(P269,Table2[Department],Table2[Group],"ERROR")</f>
        <v>Sales &amp; Marketing</v>
      </c>
      <c r="R269" s="139"/>
      <c r="S269" s="139"/>
      <c r="T269" s="138"/>
      <c r="U269" s="138" t="s">
        <v>1261</v>
      </c>
      <c r="V269" s="2" t="s">
        <v>1211</v>
      </c>
      <c r="W269" s="106"/>
    </row>
    <row r="270" spans="1:23" ht="12.95" customHeight="1" x14ac:dyDescent="0.2">
      <c r="A270" s="2" t="s">
        <v>15</v>
      </c>
      <c r="B270" s="2" t="s">
        <v>1</v>
      </c>
      <c r="C270" s="3">
        <v>46140</v>
      </c>
      <c r="D270" s="3">
        <v>46140</v>
      </c>
      <c r="E270" s="3">
        <v>46142</v>
      </c>
      <c r="F270" s="2" t="s">
        <v>77</v>
      </c>
      <c r="G270" s="212">
        <v>63.32</v>
      </c>
      <c r="H270" s="212">
        <v>0</v>
      </c>
      <c r="I270" s="212">
        <f>SUM(G270:H270)</f>
        <v>63.32</v>
      </c>
      <c r="J270" s="212">
        <f t="shared" si="38"/>
        <v>49.082244719999998</v>
      </c>
      <c r="K270" s="106" t="s">
        <v>893</v>
      </c>
      <c r="L270" s="106" t="s">
        <v>894</v>
      </c>
      <c r="M270" s="106" t="s">
        <v>895</v>
      </c>
      <c r="N270" s="106" t="s">
        <v>657</v>
      </c>
      <c r="O270" s="146" t="str">
        <f>_xlfn.XLOOKUP(N270,costcategory[Account Code],costcategory[Cost Category],"ERROR")</f>
        <v>Intercompany</v>
      </c>
      <c r="P270" s="4" t="s">
        <v>333</v>
      </c>
      <c r="Q270" s="147" t="str">
        <f>_xlfn.XLOOKUP(P270,Table2[Department],Table2[Group],"ERROR")</f>
        <v>General &amp; Administrative</v>
      </c>
      <c r="R270" s="138"/>
      <c r="S270" s="138"/>
      <c r="T270" s="138"/>
      <c r="U270" s="138" t="s">
        <v>1262</v>
      </c>
      <c r="V270" s="2" t="s">
        <v>1214</v>
      </c>
      <c r="W270" s="106"/>
    </row>
    <row r="271" spans="1:23" ht="12.95" customHeight="1" x14ac:dyDescent="0.2">
      <c r="A271" s="2" t="s">
        <v>15</v>
      </c>
      <c r="B271" s="2" t="s">
        <v>1</v>
      </c>
      <c r="C271" s="3">
        <v>46143</v>
      </c>
      <c r="D271" s="3">
        <v>46143</v>
      </c>
      <c r="E271" s="3">
        <v>46142</v>
      </c>
      <c r="F271" s="2" t="s">
        <v>77</v>
      </c>
      <c r="G271" s="212">
        <v>26042.28</v>
      </c>
      <c r="H271" s="212">
        <v>0</v>
      </c>
      <c r="I271" s="212">
        <f t="shared" ref="I271:I278" si="42">SUM(G271:H271)</f>
        <v>26042.28</v>
      </c>
      <c r="J271" s="212">
        <f t="shared" si="38"/>
        <v>20186.569172879997</v>
      </c>
      <c r="K271" s="106" t="s">
        <v>759</v>
      </c>
      <c r="L271" s="106" t="s">
        <v>899</v>
      </c>
      <c r="M271" s="4" t="s">
        <v>900</v>
      </c>
      <c r="N271" s="106" t="s">
        <v>409</v>
      </c>
      <c r="O271" s="146" t="str">
        <f>_xlfn.XLOOKUP(N271,costcategory[Account Code],costcategory[Cost Category],"ERROR")</f>
        <v>Rental</v>
      </c>
      <c r="P271" s="4" t="s">
        <v>340</v>
      </c>
      <c r="Q271" s="147" t="str">
        <f>_xlfn.XLOOKUP(P271,Table2[Department],Table2[Group],"ERROR")</f>
        <v>General &amp; Administrative</v>
      </c>
      <c r="R271" s="139"/>
      <c r="S271" s="138"/>
      <c r="T271" s="138"/>
      <c r="U271" s="138" t="s">
        <v>1263</v>
      </c>
      <c r="V271" s="2" t="s">
        <v>1211</v>
      </c>
      <c r="W271" s="106"/>
    </row>
    <row r="272" spans="1:23" ht="12.95" customHeight="1" x14ac:dyDescent="0.2">
      <c r="A272" s="2" t="s">
        <v>15</v>
      </c>
      <c r="B272" s="2" t="s">
        <v>1</v>
      </c>
      <c r="C272" s="3">
        <v>46129</v>
      </c>
      <c r="D272" s="3">
        <v>46159</v>
      </c>
      <c r="E272" s="3">
        <v>46142</v>
      </c>
      <c r="F272" s="2" t="s">
        <v>77</v>
      </c>
      <c r="G272" s="212">
        <v>287.06</v>
      </c>
      <c r="H272" s="212">
        <v>0</v>
      </c>
      <c r="I272" s="212">
        <f t="shared" si="42"/>
        <v>287.06</v>
      </c>
      <c r="J272" s="212">
        <f t="shared" si="38"/>
        <v>222.51341076</v>
      </c>
      <c r="K272" s="106" t="s">
        <v>903</v>
      </c>
      <c r="L272" s="106" t="s">
        <v>904</v>
      </c>
      <c r="M272" s="4" t="s">
        <v>905</v>
      </c>
      <c r="N272" s="106" t="s">
        <v>349</v>
      </c>
      <c r="O272" s="146" t="str">
        <f>_xlfn.XLOOKUP(N272,costcategory[Account Code],costcategory[Cost Category],"ERROR")</f>
        <v>Employee Benefits</v>
      </c>
      <c r="P272" s="4" t="s">
        <v>340</v>
      </c>
      <c r="Q272" s="147" t="str">
        <f>_xlfn.XLOOKUP(P272,Table2[Department],Table2[Group],"ERROR")</f>
        <v>General &amp; Administrative</v>
      </c>
      <c r="R272" s="139"/>
      <c r="S272" s="138"/>
      <c r="T272" s="138"/>
      <c r="U272" s="138" t="s">
        <v>1264</v>
      </c>
      <c r="V272" s="2" t="s">
        <v>1211</v>
      </c>
      <c r="W272" s="106"/>
    </row>
    <row r="273" spans="1:23" ht="12.95" customHeight="1" x14ac:dyDescent="0.2">
      <c r="A273" s="2" t="s">
        <v>15</v>
      </c>
      <c r="B273" s="2" t="s">
        <v>1</v>
      </c>
      <c r="C273" s="3">
        <v>46106</v>
      </c>
      <c r="D273" s="3">
        <v>46136</v>
      </c>
      <c r="E273" s="3">
        <v>46142</v>
      </c>
      <c r="F273" s="2" t="s">
        <v>77</v>
      </c>
      <c r="G273" s="212">
        <v>5304.13</v>
      </c>
      <c r="H273" s="212">
        <v>477.37</v>
      </c>
      <c r="I273" s="227">
        <f t="shared" si="42"/>
        <v>5781.5</v>
      </c>
      <c r="J273" s="212">
        <f t="shared" si="38"/>
        <v>4481.5065990000003</v>
      </c>
      <c r="K273" s="106" t="s">
        <v>661</v>
      </c>
      <c r="L273" s="106" t="s">
        <v>888</v>
      </c>
      <c r="M273" s="4" t="s">
        <v>889</v>
      </c>
      <c r="N273" s="105" t="s">
        <v>58</v>
      </c>
      <c r="O273" s="146" t="str">
        <f>_xlfn.XLOOKUP(N273,costcategory[Account Code],costcategory[Cost Category],"ERROR")</f>
        <v>Network &amp; Server</v>
      </c>
      <c r="P273" s="4" t="s">
        <v>59</v>
      </c>
      <c r="Q273" s="147" t="str">
        <f>_xlfn.XLOOKUP(P273,Table2[Department],Table2[Group],"ERROR")</f>
        <v>Research &amp; Development</v>
      </c>
      <c r="R273" s="139"/>
      <c r="S273" s="138"/>
      <c r="T273" s="138"/>
      <c r="U273" s="138" t="s">
        <v>1265</v>
      </c>
      <c r="V273" s="2" t="s">
        <v>1211</v>
      </c>
      <c r="W273" s="106"/>
    </row>
    <row r="274" spans="1:23" ht="12.95" customHeight="1" x14ac:dyDescent="0.2">
      <c r="A274" s="2" t="s">
        <v>15</v>
      </c>
      <c r="B274" s="2" t="s">
        <v>1</v>
      </c>
      <c r="C274" s="3">
        <v>46106</v>
      </c>
      <c r="D274" s="3">
        <v>46136</v>
      </c>
      <c r="E274" s="3">
        <v>46142</v>
      </c>
      <c r="F274" s="2" t="s">
        <v>77</v>
      </c>
      <c r="G274" s="212">
        <v>159.63999999999999</v>
      </c>
      <c r="H274" s="212">
        <v>14.37</v>
      </c>
      <c r="I274" s="228">
        <f t="shared" si="42"/>
        <v>174.01</v>
      </c>
      <c r="J274" s="212">
        <f t="shared" si="38"/>
        <v>134.88315545999998</v>
      </c>
      <c r="K274" s="106" t="s">
        <v>661</v>
      </c>
      <c r="L274" s="106" t="s">
        <v>888</v>
      </c>
      <c r="M274" s="4" t="s">
        <v>889</v>
      </c>
      <c r="N274" s="105" t="s">
        <v>58</v>
      </c>
      <c r="O274" s="146" t="str">
        <f>_xlfn.XLOOKUP(N274,costcategory[Account Code],costcategory[Cost Category],"ERROR")</f>
        <v>Network &amp; Server</v>
      </c>
      <c r="P274" s="4" t="s">
        <v>56</v>
      </c>
      <c r="Q274" s="147" t="str">
        <f>_xlfn.XLOOKUP(P274,Table2[Department],Table2[Group],"ERROR")</f>
        <v>Research &amp; Development</v>
      </c>
      <c r="R274" s="139"/>
      <c r="S274" s="138"/>
      <c r="T274" s="138"/>
      <c r="U274" s="138" t="s">
        <v>1265</v>
      </c>
      <c r="V274" s="2" t="s">
        <v>1211</v>
      </c>
      <c r="W274" s="106"/>
    </row>
    <row r="275" spans="1:23" ht="12.95" customHeight="1" x14ac:dyDescent="0.2">
      <c r="A275" s="2" t="s">
        <v>15</v>
      </c>
      <c r="B275" s="2" t="s">
        <v>1</v>
      </c>
      <c r="C275" s="3">
        <v>46106</v>
      </c>
      <c r="D275" s="3">
        <v>46136</v>
      </c>
      <c r="E275" s="3">
        <v>46142</v>
      </c>
      <c r="F275" s="2" t="s">
        <v>77</v>
      </c>
      <c r="G275" s="212">
        <v>131.11000000000001</v>
      </c>
      <c r="H275" s="212">
        <v>11.8</v>
      </c>
      <c r="I275" s="229">
        <f t="shared" si="42"/>
        <v>142.91000000000003</v>
      </c>
      <c r="J275" s="212">
        <f t="shared" si="38"/>
        <v>110.77611486000002</v>
      </c>
      <c r="K275" s="106" t="s">
        <v>661</v>
      </c>
      <c r="L275" s="106" t="s">
        <v>888</v>
      </c>
      <c r="M275" s="4" t="s">
        <v>889</v>
      </c>
      <c r="N275" s="105" t="s">
        <v>58</v>
      </c>
      <c r="O275" s="146" t="str">
        <f>_xlfn.XLOOKUP(N275,costcategory[Account Code],costcategory[Cost Category],"ERROR")</f>
        <v>Network &amp; Server</v>
      </c>
      <c r="P275" s="4" t="s">
        <v>57</v>
      </c>
      <c r="Q275" s="147" t="str">
        <f>_xlfn.XLOOKUP(P275,Table2[Department],Table2[Group],"ERROR")</f>
        <v>Research &amp; Development</v>
      </c>
      <c r="R275" s="139"/>
      <c r="S275" s="138"/>
      <c r="T275" s="138"/>
      <c r="U275" s="138" t="s">
        <v>1265</v>
      </c>
      <c r="V275" s="2" t="s">
        <v>1211</v>
      </c>
      <c r="W275" s="106"/>
    </row>
    <row r="276" spans="1:23" ht="12.95" customHeight="1" x14ac:dyDescent="0.2">
      <c r="A276" s="2" t="s">
        <v>15</v>
      </c>
      <c r="B276" s="2" t="s">
        <v>1</v>
      </c>
      <c r="C276" s="3">
        <v>46142</v>
      </c>
      <c r="D276" s="3">
        <v>46142</v>
      </c>
      <c r="E276" s="3">
        <v>46142</v>
      </c>
      <c r="F276" s="2" t="s">
        <v>77</v>
      </c>
      <c r="G276" s="212">
        <v>600</v>
      </c>
      <c r="H276" s="212">
        <v>0</v>
      </c>
      <c r="I276" s="212">
        <f t="shared" si="42"/>
        <v>600</v>
      </c>
      <c r="J276" s="212">
        <f t="shared" si="38"/>
        <v>465.08760000000001</v>
      </c>
      <c r="K276" s="106" t="s">
        <v>757</v>
      </c>
      <c r="L276" s="280" t="s">
        <v>1266</v>
      </c>
      <c r="M276" s="4" t="s">
        <v>896</v>
      </c>
      <c r="N276" s="105" t="s">
        <v>621</v>
      </c>
      <c r="O276" s="146" t="str">
        <f>_xlfn.XLOOKUP(N276,costcategory[Account Code],costcategory[Cost Category],"ERROR")</f>
        <v>Upkeep of Office</v>
      </c>
      <c r="P276" s="4" t="s">
        <v>340</v>
      </c>
      <c r="Q276" s="147" t="str">
        <f>_xlfn.XLOOKUP(P276,Table2[Department],Table2[Group],"ERROR")</f>
        <v>General &amp; Administrative</v>
      </c>
      <c r="R276" s="139"/>
      <c r="S276" s="138"/>
      <c r="T276" s="138"/>
      <c r="U276" s="138" t="s">
        <v>419</v>
      </c>
      <c r="V276" s="2" t="s">
        <v>1214</v>
      </c>
      <c r="W276" s="106"/>
    </row>
    <row r="277" spans="1:23" ht="12.95" customHeight="1" x14ac:dyDescent="0.2">
      <c r="A277" s="2" t="s">
        <v>15</v>
      </c>
      <c r="B277" s="2" t="s">
        <v>1</v>
      </c>
      <c r="C277" s="3">
        <v>46129</v>
      </c>
      <c r="D277" s="3">
        <v>46144</v>
      </c>
      <c r="E277" s="3">
        <v>46142</v>
      </c>
      <c r="F277" s="2" t="s">
        <v>77</v>
      </c>
      <c r="G277" s="212">
        <v>140.35</v>
      </c>
      <c r="H277" s="212">
        <v>0</v>
      </c>
      <c r="I277" s="212">
        <f t="shared" si="42"/>
        <v>140.35</v>
      </c>
      <c r="J277" s="212">
        <f t="shared" si="38"/>
        <v>108.7917411</v>
      </c>
      <c r="K277" s="106" t="s">
        <v>667</v>
      </c>
      <c r="L277" s="106" t="s">
        <v>901</v>
      </c>
      <c r="M277" s="4" t="s">
        <v>902</v>
      </c>
      <c r="N277" s="106" t="s">
        <v>58</v>
      </c>
      <c r="O277" s="146" t="str">
        <f>_xlfn.XLOOKUP(N277,costcategory[Account Code],costcategory[Cost Category],"ERROR")</f>
        <v>Network &amp; Server</v>
      </c>
      <c r="P277" s="4" t="s">
        <v>376</v>
      </c>
      <c r="Q277" s="147" t="str">
        <f>_xlfn.XLOOKUP(P277,Table2[Department],Table2[Group],"ERROR")</f>
        <v>General &amp; Administrative</v>
      </c>
      <c r="R277" s="139"/>
      <c r="S277" s="138"/>
      <c r="T277" s="138"/>
      <c r="U277" s="138" t="s">
        <v>606</v>
      </c>
      <c r="V277" s="2" t="s">
        <v>1211</v>
      </c>
      <c r="W277" s="106"/>
    </row>
    <row r="278" spans="1:23" ht="12.95" customHeight="1" x14ac:dyDescent="0.2">
      <c r="A278" s="2" t="s">
        <v>15</v>
      </c>
      <c r="B278" s="2" t="s">
        <v>1</v>
      </c>
      <c r="C278" s="3">
        <v>46142</v>
      </c>
      <c r="D278" s="3">
        <v>46142</v>
      </c>
      <c r="E278" s="3">
        <v>46142</v>
      </c>
      <c r="F278" s="2" t="s">
        <v>77</v>
      </c>
      <c r="G278" s="212">
        <v>-10035.68</v>
      </c>
      <c r="H278" s="212">
        <v>0</v>
      </c>
      <c r="I278" s="212">
        <f t="shared" si="42"/>
        <v>-10035.68</v>
      </c>
      <c r="J278" s="212">
        <f t="shared" si="38"/>
        <v>-7779.1172092800007</v>
      </c>
      <c r="K278" s="106" t="s">
        <v>790</v>
      </c>
      <c r="L278" s="106" t="s">
        <v>897</v>
      </c>
      <c r="M278" s="4" t="s">
        <v>898</v>
      </c>
      <c r="N278" s="106" t="s">
        <v>499</v>
      </c>
      <c r="O278" s="146" t="str">
        <f>_xlfn.XLOOKUP(N278,costcategory[Account Code],costcategory[Cost Category],"ERROR")</f>
        <v>Tax Expenses (GST/SST/VAT)</v>
      </c>
      <c r="P278" s="4" t="s">
        <v>333</v>
      </c>
      <c r="Q278" s="147" t="str">
        <f>_xlfn.XLOOKUP(P278,Table2[Department],Table2[Group],"ERROR")</f>
        <v>General &amp; Administrative</v>
      </c>
      <c r="R278" s="139"/>
      <c r="S278" s="138"/>
      <c r="T278" s="138"/>
      <c r="U278" s="138" t="s">
        <v>1267</v>
      </c>
      <c r="V278" s="2" t="s">
        <v>1214</v>
      </c>
      <c r="W278" s="106"/>
    </row>
    <row r="279" spans="1:23" ht="12.95" customHeight="1" x14ac:dyDescent="0.2">
      <c r="F279" s="2" t="s">
        <v>77</v>
      </c>
      <c r="G279" s="212"/>
      <c r="H279" s="212"/>
      <c r="I279" s="212">
        <f>SUM(I221:I278)</f>
        <v>-21982.849999999962</v>
      </c>
      <c r="J279" s="212"/>
      <c r="K279" s="106"/>
      <c r="L279" s="106"/>
      <c r="N279" s="106"/>
      <c r="O279" s="106"/>
      <c r="Q279" s="106"/>
      <c r="R279" s="139"/>
      <c r="S279" s="138"/>
      <c r="T279" s="138"/>
      <c r="U279" s="138"/>
      <c r="W279" s="106"/>
    </row>
    <row r="280" spans="1:23" ht="12.95" customHeight="1" x14ac:dyDescent="0.2">
      <c r="A280" s="329" t="s">
        <v>1173</v>
      </c>
      <c r="B280" s="329"/>
      <c r="C280" s="329"/>
      <c r="D280" s="329"/>
      <c r="E280" s="14">
        <v>46142</v>
      </c>
      <c r="F280" s="13" t="s">
        <v>77</v>
      </c>
      <c r="G280" s="211"/>
      <c r="H280" s="226"/>
      <c r="I280" s="208">
        <f>I220-I279</f>
        <v>121074.25660000002</v>
      </c>
      <c r="J280" s="226"/>
      <c r="K280" s="17"/>
      <c r="L280" s="17"/>
      <c r="M280" s="17"/>
      <c r="N280" s="17"/>
      <c r="O280" s="17"/>
      <c r="P280" s="17"/>
      <c r="Q280" s="17"/>
      <c r="R280" s="20"/>
      <c r="S280" s="20"/>
      <c r="T280" s="20"/>
      <c r="U280" s="20"/>
      <c r="V280" s="20"/>
    </row>
    <row r="281" spans="1:23" ht="12.95" customHeight="1" x14ac:dyDescent="0.2">
      <c r="A281" s="33"/>
      <c r="B281" s="33"/>
      <c r="C281" s="33"/>
      <c r="D281" s="33"/>
      <c r="E281" s="71"/>
      <c r="F281" s="33"/>
      <c r="G281" s="231"/>
      <c r="I281" s="210"/>
    </row>
    <row r="282" spans="1:23" ht="12.95" customHeight="1" x14ac:dyDescent="0.2">
      <c r="J282" s="264">
        <f>FOREX!C5</f>
        <v>0.78487573888297002</v>
      </c>
    </row>
    <row r="283" spans="1:23" ht="12.95" customHeight="1" x14ac:dyDescent="0.2">
      <c r="A283" s="7" t="s">
        <v>87</v>
      </c>
      <c r="B283" s="7" t="s">
        <v>43</v>
      </c>
      <c r="C283" s="8" t="s">
        <v>54</v>
      </c>
      <c r="D283" s="8" t="s">
        <v>88</v>
      </c>
      <c r="E283" s="185" t="s">
        <v>1083</v>
      </c>
      <c r="F283" s="7" t="s">
        <v>70</v>
      </c>
      <c r="G283" s="201" t="s">
        <v>90</v>
      </c>
      <c r="H283" s="201" t="s">
        <v>91</v>
      </c>
      <c r="I283" s="201" t="s">
        <v>92</v>
      </c>
      <c r="J283" s="201" t="s">
        <v>72</v>
      </c>
      <c r="K283" s="132" t="s">
        <v>325</v>
      </c>
      <c r="L283" s="132" t="s">
        <v>94</v>
      </c>
      <c r="M283" s="7" t="s">
        <v>95</v>
      </c>
      <c r="N283" s="7" t="s">
        <v>53</v>
      </c>
      <c r="O283" s="7" t="s">
        <v>64</v>
      </c>
      <c r="P283" s="7" t="s">
        <v>67</v>
      </c>
      <c r="Q283" s="7" t="s">
        <v>44</v>
      </c>
      <c r="R283" s="7" t="s">
        <v>326</v>
      </c>
      <c r="S283" s="7" t="s">
        <v>327</v>
      </c>
      <c r="T283" s="7" t="s">
        <v>328</v>
      </c>
      <c r="U283" s="7" t="s">
        <v>98</v>
      </c>
      <c r="V283" s="7" t="s">
        <v>329</v>
      </c>
      <c r="W283" s="2"/>
    </row>
    <row r="284" spans="1:23" s="180" customFormat="1" ht="12.95" customHeight="1" x14ac:dyDescent="0.2">
      <c r="A284" s="329" t="s">
        <v>1172</v>
      </c>
      <c r="B284" s="329"/>
      <c r="C284" s="329"/>
      <c r="D284" s="329"/>
      <c r="E284" s="14">
        <v>46143</v>
      </c>
      <c r="F284" s="13" t="s">
        <v>77</v>
      </c>
      <c r="G284" s="211"/>
      <c r="H284" s="211"/>
      <c r="I284" s="211">
        <f>I280</f>
        <v>121074.25660000002</v>
      </c>
      <c r="J284" s="211"/>
      <c r="K284" s="179"/>
      <c r="L284" s="179"/>
      <c r="M284" s="96"/>
      <c r="N284" s="96"/>
      <c r="O284" s="96"/>
      <c r="P284" s="96"/>
      <c r="Q284" s="96"/>
      <c r="R284" s="13"/>
      <c r="S284" s="13"/>
      <c r="T284" s="13"/>
      <c r="U284" s="13"/>
      <c r="V284" s="13"/>
    </row>
    <row r="285" spans="1:23" ht="12.95" customHeight="1" x14ac:dyDescent="0.2">
      <c r="A285" s="2" t="s">
        <v>15</v>
      </c>
      <c r="B285" s="2" t="s">
        <v>1</v>
      </c>
      <c r="C285" s="3">
        <v>46146</v>
      </c>
      <c r="D285" s="3">
        <v>46146</v>
      </c>
      <c r="E285" s="3">
        <v>46146</v>
      </c>
      <c r="F285" s="2" t="s">
        <v>77</v>
      </c>
      <c r="G285" s="220">
        <v>10</v>
      </c>
      <c r="H285" s="220">
        <v>0</v>
      </c>
      <c r="I285" s="212">
        <f>SUM(G285:H285)</f>
        <v>10</v>
      </c>
      <c r="J285" s="212">
        <f>I285*$J$282</f>
        <v>7.8487573888297</v>
      </c>
      <c r="K285" s="105" t="s">
        <v>670</v>
      </c>
      <c r="L285" s="106" t="s">
        <v>906</v>
      </c>
      <c r="M285" s="4" t="s">
        <v>332</v>
      </c>
      <c r="N285" s="105" t="s">
        <v>332</v>
      </c>
      <c r="O285" s="146" t="str">
        <f>_xlfn.XLOOKUP(N285,costcategory[Account Code],costcategory[Cost Category],"ERROR")</f>
        <v>Bank Charges</v>
      </c>
      <c r="P285" s="4" t="s">
        <v>333</v>
      </c>
      <c r="Q285" s="147" t="str">
        <f>_xlfn.XLOOKUP(P285,Table2[Department],Table2[Group],"ERROR")</f>
        <v>General &amp; Administrative</v>
      </c>
      <c r="R285" s="139"/>
      <c r="S285" s="139"/>
      <c r="T285" s="138"/>
      <c r="U285" s="138" t="s">
        <v>421</v>
      </c>
      <c r="V285" s="2" t="s">
        <v>1214</v>
      </c>
      <c r="W285" s="106"/>
    </row>
    <row r="286" spans="1:23" ht="12.95" customHeight="1" x14ac:dyDescent="0.2">
      <c r="A286" s="2" t="s">
        <v>15</v>
      </c>
      <c r="B286" s="2" t="s">
        <v>1</v>
      </c>
      <c r="C286" s="3">
        <v>46142</v>
      </c>
      <c r="D286" s="3">
        <v>46148</v>
      </c>
      <c r="E286" s="3">
        <v>46148</v>
      </c>
      <c r="F286" s="2" t="s">
        <v>77</v>
      </c>
      <c r="G286" s="212">
        <v>30241.5</v>
      </c>
      <c r="H286" s="220">
        <v>0</v>
      </c>
      <c r="I286" s="212">
        <f t="shared" ref="I286:I292" si="43">SUM(G286:H286)</f>
        <v>30241.5</v>
      </c>
      <c r="J286" s="212">
        <f t="shared" ref="J286:J359" si="44">I286*$J$282</f>
        <v>23735.819657429336</v>
      </c>
      <c r="K286" s="106" t="s">
        <v>672</v>
      </c>
      <c r="L286" s="106" t="s">
        <v>907</v>
      </c>
      <c r="M286" s="4" t="s">
        <v>908</v>
      </c>
      <c r="N286" s="106" t="s">
        <v>387</v>
      </c>
      <c r="O286" s="146" t="str">
        <f>_xlfn.XLOOKUP(N286,costcategory[Account Code],costcategory[Cost Category],"ERROR")</f>
        <v>Headcount Costs</v>
      </c>
      <c r="P286" s="4" t="s">
        <v>350</v>
      </c>
      <c r="Q286" s="147" t="str">
        <f>_xlfn.XLOOKUP(P286,Table2[Department],Table2[Group],"ERROR")</f>
        <v>General &amp; Administrative</v>
      </c>
      <c r="R286" s="138"/>
      <c r="S286" s="139"/>
      <c r="T286" s="138"/>
      <c r="U286" s="138" t="s">
        <v>1096</v>
      </c>
      <c r="V286" s="2" t="s">
        <v>1214</v>
      </c>
      <c r="W286" s="106"/>
    </row>
    <row r="287" spans="1:23" ht="12.95" customHeight="1" x14ac:dyDescent="0.2">
      <c r="A287" s="2" t="s">
        <v>15</v>
      </c>
      <c r="B287" s="2" t="s">
        <v>1</v>
      </c>
      <c r="C287" s="3">
        <v>46084</v>
      </c>
      <c r="D287" s="3">
        <v>46114</v>
      </c>
      <c r="E287" s="3">
        <v>46149</v>
      </c>
      <c r="F287" s="2" t="s">
        <v>77</v>
      </c>
      <c r="G287" s="220">
        <v>-8866.67</v>
      </c>
      <c r="H287" s="220">
        <v>-798</v>
      </c>
      <c r="I287" s="212">
        <f t="shared" si="43"/>
        <v>-9664.67</v>
      </c>
      <c r="J287" s="212">
        <f t="shared" si="44"/>
        <v>-7585.5650073100742</v>
      </c>
      <c r="K287" s="106" t="s">
        <v>105</v>
      </c>
      <c r="L287" s="106" t="s">
        <v>132</v>
      </c>
      <c r="M287" s="4" t="s">
        <v>909</v>
      </c>
      <c r="N287" s="106" t="s">
        <v>382</v>
      </c>
      <c r="O287" s="146" t="str">
        <f>_xlfn.XLOOKUP(N287,costcategory[Account Code],costcategory[Cost Category],"ERROR")</f>
        <v>Revenue</v>
      </c>
      <c r="P287" s="4" t="s">
        <v>438</v>
      </c>
      <c r="Q287" s="147" t="str">
        <f>_xlfn.XLOOKUP(P287,Table2[Department],Table2[Group],"ERROR")</f>
        <v>Sales &amp; Marketing</v>
      </c>
      <c r="R287" s="138"/>
      <c r="S287" s="139"/>
      <c r="T287" s="138"/>
      <c r="U287" s="138" t="s">
        <v>424</v>
      </c>
      <c r="V287" s="2" t="s">
        <v>1211</v>
      </c>
      <c r="W287" s="106"/>
    </row>
    <row r="288" spans="1:23" ht="12.95" customHeight="1" x14ac:dyDescent="0.2">
      <c r="A288" s="2" t="s">
        <v>15</v>
      </c>
      <c r="B288" s="2" t="s">
        <v>1</v>
      </c>
      <c r="C288" s="3">
        <v>46150</v>
      </c>
      <c r="D288" s="3">
        <v>46150</v>
      </c>
      <c r="E288" s="3">
        <v>46150</v>
      </c>
      <c r="F288" s="2" t="s">
        <v>77</v>
      </c>
      <c r="G288" s="212">
        <v>2532.83</v>
      </c>
      <c r="H288" s="220">
        <v>0</v>
      </c>
      <c r="I288" s="212">
        <f t="shared" si="43"/>
        <v>2532.83</v>
      </c>
      <c r="J288" s="212">
        <f t="shared" si="44"/>
        <v>1987.9568177149529</v>
      </c>
      <c r="K288" s="106" t="s">
        <v>1097</v>
      </c>
      <c r="L288" s="4" t="s">
        <v>945</v>
      </c>
      <c r="M288" s="4" t="s">
        <v>946</v>
      </c>
      <c r="N288" s="106" t="s">
        <v>387</v>
      </c>
      <c r="O288" s="146" t="str">
        <f>_xlfn.XLOOKUP(N288,costcategory[Account Code],costcategory[Cost Category],"ERROR")</f>
        <v>Headcount Costs</v>
      </c>
      <c r="P288" s="4" t="s">
        <v>350</v>
      </c>
      <c r="Q288" s="147" t="str">
        <f>_xlfn.XLOOKUP(P288,Table2[Department],Table2[Group],"ERROR")</f>
        <v>General &amp; Administrative</v>
      </c>
      <c r="R288" s="138"/>
      <c r="S288" s="139"/>
      <c r="T288" s="138"/>
      <c r="U288" s="138" t="s">
        <v>1098</v>
      </c>
      <c r="V288" s="2" t="s">
        <v>1214</v>
      </c>
      <c r="W288" s="106"/>
    </row>
    <row r="289" spans="1:23" ht="12.95" customHeight="1" x14ac:dyDescent="0.2">
      <c r="A289" s="2" t="s">
        <v>15</v>
      </c>
      <c r="B289" s="2" t="s">
        <v>1</v>
      </c>
      <c r="C289" s="3">
        <v>46147</v>
      </c>
      <c r="D289" s="3">
        <v>46147</v>
      </c>
      <c r="E289" s="3">
        <v>46150</v>
      </c>
      <c r="F289" s="2" t="s">
        <v>77</v>
      </c>
      <c r="G289" s="212">
        <v>225.75</v>
      </c>
      <c r="H289" s="220">
        <v>0</v>
      </c>
      <c r="I289" s="212">
        <f t="shared" si="43"/>
        <v>225.75</v>
      </c>
      <c r="J289" s="212">
        <f t="shared" si="44"/>
        <v>177.18569805283047</v>
      </c>
      <c r="K289" s="106" t="s">
        <v>910</v>
      </c>
      <c r="L289" s="4" t="s">
        <v>855</v>
      </c>
      <c r="M289" s="4" t="s">
        <v>910</v>
      </c>
      <c r="N289" s="105" t="s">
        <v>390</v>
      </c>
      <c r="O289" s="146" t="str">
        <f>_xlfn.XLOOKUP(N289,costcategory[Account Code],costcategory[Cost Category],"ERROR")</f>
        <v>Employee Benefits</v>
      </c>
      <c r="P289" s="4" t="s">
        <v>523</v>
      </c>
      <c r="Q289" s="147" t="str">
        <f>_xlfn.XLOOKUP(P289,Table2[Department],Table2[Group],"ERROR")</f>
        <v>General &amp; Administrative</v>
      </c>
      <c r="R289" s="138"/>
      <c r="S289" s="138"/>
      <c r="T289" s="138"/>
      <c r="U289" s="138"/>
      <c r="V289" s="2" t="s">
        <v>1214</v>
      </c>
      <c r="W289" s="106"/>
    </row>
    <row r="290" spans="1:23" ht="12.95" customHeight="1" x14ac:dyDescent="0.2">
      <c r="A290" s="2" t="s">
        <v>15</v>
      </c>
      <c r="B290" s="2" t="s">
        <v>1</v>
      </c>
      <c r="C290" s="3">
        <v>46148</v>
      </c>
      <c r="D290" s="3">
        <v>46148</v>
      </c>
      <c r="E290" s="3">
        <v>46151</v>
      </c>
      <c r="F290" s="2" t="s">
        <v>77</v>
      </c>
      <c r="G290" s="212">
        <v>170.72</v>
      </c>
      <c r="H290" s="220">
        <v>15.36</v>
      </c>
      <c r="I290" s="212">
        <f t="shared" si="43"/>
        <v>186.07999999999998</v>
      </c>
      <c r="J290" s="212">
        <f t="shared" si="44"/>
        <v>146.04967749134306</v>
      </c>
      <c r="K290" s="106" t="s">
        <v>911</v>
      </c>
      <c r="L290" s="4" t="s">
        <v>855</v>
      </c>
      <c r="M290" s="4" t="s">
        <v>912</v>
      </c>
      <c r="N290" s="105" t="s">
        <v>527</v>
      </c>
      <c r="O290" s="146" t="str">
        <f>_xlfn.XLOOKUP(N290,costcategory[Account Code],costcategory[Cost Category],"ERROR")</f>
        <v>Sales Expenses</v>
      </c>
      <c r="P290" s="4" t="s">
        <v>523</v>
      </c>
      <c r="Q290" s="147" t="str">
        <f>_xlfn.XLOOKUP(P290,Table2[Department],Table2[Group],"ERROR")</f>
        <v>General &amp; Administrative</v>
      </c>
      <c r="R290" s="138"/>
      <c r="S290" s="138"/>
      <c r="T290" s="138"/>
      <c r="U290" s="138"/>
      <c r="V290" s="2" t="s">
        <v>1214</v>
      </c>
      <c r="W290" s="106"/>
    </row>
    <row r="291" spans="1:23" ht="12.95" customHeight="1" x14ac:dyDescent="0.2">
      <c r="A291" s="2" t="s">
        <v>15</v>
      </c>
      <c r="B291" s="2" t="s">
        <v>1</v>
      </c>
      <c r="C291" s="3">
        <v>46149</v>
      </c>
      <c r="D291" s="3">
        <v>46149</v>
      </c>
      <c r="E291" s="3">
        <v>46151</v>
      </c>
      <c r="F291" s="2" t="s">
        <v>77</v>
      </c>
      <c r="G291" s="212">
        <v>1172.6400000000001</v>
      </c>
      <c r="H291" s="212">
        <v>0</v>
      </c>
      <c r="I291" s="212">
        <f t="shared" si="43"/>
        <v>1172.6400000000001</v>
      </c>
      <c r="J291" s="212">
        <f t="shared" si="44"/>
        <v>920.37668644372604</v>
      </c>
      <c r="K291" s="106" t="s">
        <v>913</v>
      </c>
      <c r="L291" s="106" t="s">
        <v>914</v>
      </c>
      <c r="M291" s="4" t="s">
        <v>915</v>
      </c>
      <c r="N291" s="106" t="s">
        <v>751</v>
      </c>
      <c r="O291" s="146" t="str">
        <f>_xlfn.XLOOKUP(N291,costcategory[Account Code],costcategory[Cost Category],"ERROR")</f>
        <v>Employee Benefits</v>
      </c>
      <c r="P291" s="4" t="s">
        <v>350</v>
      </c>
      <c r="Q291" s="147" t="str">
        <f>_xlfn.XLOOKUP(P291,Table2[Department],Table2[Group],"ERROR")</f>
        <v>General &amp; Administrative</v>
      </c>
      <c r="R291" s="138"/>
      <c r="S291" s="138"/>
      <c r="T291" s="138"/>
      <c r="U291" s="138" t="s">
        <v>1268</v>
      </c>
      <c r="V291" s="2" t="s">
        <v>1211</v>
      </c>
      <c r="W291" s="106"/>
    </row>
    <row r="292" spans="1:23" ht="12.95" customHeight="1" x14ac:dyDescent="0.2">
      <c r="A292" s="2" t="s">
        <v>15</v>
      </c>
      <c r="B292" s="2" t="s">
        <v>1</v>
      </c>
      <c r="C292" s="3">
        <v>46150</v>
      </c>
      <c r="D292" s="3">
        <v>46150</v>
      </c>
      <c r="E292" s="3">
        <v>46153</v>
      </c>
      <c r="F292" s="2" t="s">
        <v>77</v>
      </c>
      <c r="G292" s="212">
        <v>288.70999999999998</v>
      </c>
      <c r="H292" s="220">
        <v>0</v>
      </c>
      <c r="I292" s="212">
        <f t="shared" si="43"/>
        <v>288.70999999999998</v>
      </c>
      <c r="J292" s="212">
        <f t="shared" si="44"/>
        <v>226.60147457290225</v>
      </c>
      <c r="K292" s="106" t="s">
        <v>918</v>
      </c>
      <c r="L292" s="4" t="s">
        <v>855</v>
      </c>
      <c r="M292" s="106" t="s">
        <v>918</v>
      </c>
      <c r="N292" s="105" t="s">
        <v>390</v>
      </c>
      <c r="O292" s="146" t="str">
        <f>_xlfn.XLOOKUP(N292,costcategory[Account Code],costcategory[Cost Category],"ERROR")</f>
        <v>Employee Benefits</v>
      </c>
      <c r="P292" s="4" t="s">
        <v>523</v>
      </c>
      <c r="Q292" s="147" t="str">
        <f>_xlfn.XLOOKUP(P292,Table2[Department],Table2[Group],"ERROR")</f>
        <v>General &amp; Administrative</v>
      </c>
      <c r="R292" s="138"/>
      <c r="S292" s="138"/>
      <c r="T292" s="138"/>
      <c r="U292" s="138"/>
      <c r="V292" s="2" t="s">
        <v>1214</v>
      </c>
      <c r="W292" s="106"/>
    </row>
    <row r="293" spans="1:23" ht="12.95" customHeight="1" x14ac:dyDescent="0.2">
      <c r="A293" s="2" t="s">
        <v>15</v>
      </c>
      <c r="B293" s="2" t="s">
        <v>1</v>
      </c>
      <c r="C293" s="3">
        <v>46208</v>
      </c>
      <c r="D293" s="3">
        <v>46208</v>
      </c>
      <c r="E293" s="3">
        <v>46331</v>
      </c>
      <c r="F293" s="2" t="s">
        <v>77</v>
      </c>
      <c r="G293" s="212">
        <v>46.2</v>
      </c>
      <c r="H293" s="212">
        <v>4.16</v>
      </c>
      <c r="I293" s="212">
        <v>50.36</v>
      </c>
      <c r="J293" s="212">
        <v>39.04</v>
      </c>
      <c r="K293" s="106" t="s">
        <v>916</v>
      </c>
      <c r="L293" s="4" t="s">
        <v>855</v>
      </c>
      <c r="M293" s="4" t="s">
        <v>917</v>
      </c>
      <c r="N293" s="106" t="s">
        <v>527</v>
      </c>
      <c r="O293" s="146" t="str">
        <f>_xlfn.XLOOKUP(N293,costcategory[Account Code],costcategory[Cost Category],"ERROR")</f>
        <v>Sales Expenses</v>
      </c>
      <c r="P293" s="4" t="s">
        <v>523</v>
      </c>
      <c r="Q293" s="147" t="str">
        <f>_xlfn.XLOOKUP(P293,Table2[Department],Table2[Group],"ERROR")</f>
        <v>General &amp; Administrative</v>
      </c>
      <c r="R293" s="138"/>
      <c r="S293" s="138"/>
      <c r="T293" s="138"/>
      <c r="U293" s="138"/>
      <c r="V293" s="138" t="s">
        <v>113</v>
      </c>
      <c r="W293" s="106"/>
    </row>
    <row r="294" spans="1:23" ht="12.95" customHeight="1" x14ac:dyDescent="0.2">
      <c r="A294" s="2" t="s">
        <v>15</v>
      </c>
      <c r="B294" s="2" t="s">
        <v>1</v>
      </c>
      <c r="C294" s="3">
        <v>46153</v>
      </c>
      <c r="D294" s="3">
        <v>46153</v>
      </c>
      <c r="E294" s="3">
        <v>46153</v>
      </c>
      <c r="F294" s="2" t="s">
        <v>77</v>
      </c>
      <c r="G294" s="198">
        <v>-585.13</v>
      </c>
      <c r="H294" s="198">
        <v>-52.66</v>
      </c>
      <c r="I294" s="223">
        <v>-637.79</v>
      </c>
      <c r="J294" s="212">
        <f t="shared" si="44"/>
        <v>-500.58589750216942</v>
      </c>
      <c r="K294" s="4" t="s">
        <v>109</v>
      </c>
      <c r="L294" s="4" t="s">
        <v>130</v>
      </c>
      <c r="M294" s="4" t="s">
        <v>131</v>
      </c>
      <c r="N294" s="4" t="s">
        <v>382</v>
      </c>
      <c r="O294" s="146" t="str">
        <f>_xlfn.XLOOKUP(N294,costcategory[Account Code],costcategory[Cost Category],"ERROR")</f>
        <v>Revenue</v>
      </c>
      <c r="P294" s="4" t="s">
        <v>438</v>
      </c>
      <c r="Q294" s="147" t="str">
        <f>_xlfn.XLOOKUP(P294,Table2[Department],Table2[Group],"ERROR")</f>
        <v>Sales &amp; Marketing</v>
      </c>
      <c r="U294" s="2" t="s">
        <v>425</v>
      </c>
      <c r="V294" s="2" t="s">
        <v>1211</v>
      </c>
    </row>
    <row r="295" spans="1:23" ht="12.95" customHeight="1" x14ac:dyDescent="0.2">
      <c r="A295" s="2" t="s">
        <v>15</v>
      </c>
      <c r="B295" s="2" t="s">
        <v>1</v>
      </c>
      <c r="C295" s="3">
        <v>46153</v>
      </c>
      <c r="D295" s="3">
        <v>46153</v>
      </c>
      <c r="E295" s="3">
        <v>46153</v>
      </c>
      <c r="F295" s="2" t="s">
        <v>77</v>
      </c>
      <c r="G295" s="198">
        <v>-46400</v>
      </c>
      <c r="H295" s="198">
        <v>-4176</v>
      </c>
      <c r="I295" s="232">
        <v>-50576</v>
      </c>
      <c r="J295" s="212">
        <f t="shared" si="44"/>
        <v>-39695.875369745088</v>
      </c>
      <c r="K295" s="4" t="s">
        <v>109</v>
      </c>
      <c r="L295" s="4" t="s">
        <v>142</v>
      </c>
      <c r="M295" s="4" t="s">
        <v>143</v>
      </c>
      <c r="N295" s="4" t="s">
        <v>382</v>
      </c>
      <c r="O295" s="146" t="str">
        <f>_xlfn.XLOOKUP(N295,costcategory[Account Code],costcategory[Cost Category],"ERROR")</f>
        <v>Revenue</v>
      </c>
      <c r="P295" s="4" t="s">
        <v>438</v>
      </c>
      <c r="Q295" s="147" t="str">
        <f>_xlfn.XLOOKUP(P295,Table2[Department],Table2[Group],"ERROR")</f>
        <v>Sales &amp; Marketing</v>
      </c>
      <c r="U295" s="2" t="s">
        <v>425</v>
      </c>
      <c r="V295" s="2" t="s">
        <v>1211</v>
      </c>
    </row>
    <row r="296" spans="1:23" ht="12.95" customHeight="1" x14ac:dyDescent="0.2">
      <c r="A296" s="2" t="s">
        <v>15</v>
      </c>
      <c r="B296" s="2" t="s">
        <v>1</v>
      </c>
      <c r="C296" s="3">
        <v>46153</v>
      </c>
      <c r="D296" s="3">
        <v>46153</v>
      </c>
      <c r="E296" s="3">
        <v>46153</v>
      </c>
      <c r="F296" s="2" t="s">
        <v>77</v>
      </c>
      <c r="G296" s="198">
        <v>-107.91</v>
      </c>
      <c r="H296" s="198">
        <v>0</v>
      </c>
      <c r="I296" s="198">
        <v>-107.91</v>
      </c>
      <c r="J296" s="212">
        <f t="shared" si="44"/>
        <v>-84.695940982861288</v>
      </c>
      <c r="K296" s="4" t="s">
        <v>138</v>
      </c>
      <c r="L296" s="4" t="s">
        <v>165</v>
      </c>
      <c r="M296" s="4" t="s">
        <v>919</v>
      </c>
      <c r="N296" s="4" t="s">
        <v>382</v>
      </c>
      <c r="O296" s="146" t="str">
        <f>_xlfn.XLOOKUP(N296,costcategory[Account Code],costcategory[Cost Category],"ERROR")</f>
        <v>Revenue</v>
      </c>
      <c r="P296" s="4" t="s">
        <v>438</v>
      </c>
      <c r="Q296" s="147" t="str">
        <f>_xlfn.XLOOKUP(P296,Table2[Department],Table2[Group],"ERROR")</f>
        <v>Sales &amp; Marketing</v>
      </c>
      <c r="U296" s="2" t="s">
        <v>439</v>
      </c>
      <c r="V296" s="2" t="s">
        <v>1211</v>
      </c>
    </row>
    <row r="297" spans="1:23" ht="12.95" customHeight="1" x14ac:dyDescent="0.2">
      <c r="A297" s="2" t="s">
        <v>15</v>
      </c>
      <c r="B297" s="2" t="s">
        <v>1</v>
      </c>
      <c r="C297" s="3">
        <v>46126</v>
      </c>
      <c r="D297" s="3">
        <v>46156</v>
      </c>
      <c r="E297" s="3">
        <v>46155</v>
      </c>
      <c r="F297" s="2" t="s">
        <v>77</v>
      </c>
      <c r="G297" s="198">
        <v>-1318.69</v>
      </c>
      <c r="H297" s="198">
        <v>0</v>
      </c>
      <c r="I297" s="198">
        <v>-1318.69</v>
      </c>
      <c r="J297" s="212">
        <f t="shared" si="44"/>
        <v>-1035.0077881075838</v>
      </c>
      <c r="K297" s="4" t="s">
        <v>145</v>
      </c>
      <c r="L297" s="4" t="s">
        <v>168</v>
      </c>
      <c r="M297" s="145" t="s">
        <v>169</v>
      </c>
      <c r="N297" s="4" t="s">
        <v>382</v>
      </c>
      <c r="O297" s="146" t="str">
        <f>_xlfn.XLOOKUP(N297,costcategory[Account Code],costcategory[Cost Category],"ERROR")</f>
        <v>Revenue</v>
      </c>
      <c r="P297" s="4" t="s">
        <v>438</v>
      </c>
      <c r="Q297" s="147" t="str">
        <f>_xlfn.XLOOKUP(P297,Table2[Department],Table2[Group],"ERROR")</f>
        <v>Sales &amp; Marketing</v>
      </c>
      <c r="U297" s="2" t="s">
        <v>442</v>
      </c>
      <c r="V297" s="2" t="s">
        <v>1211</v>
      </c>
    </row>
    <row r="298" spans="1:23" ht="12.95" customHeight="1" x14ac:dyDescent="0.2">
      <c r="A298" s="2" t="s">
        <v>15</v>
      </c>
      <c r="B298" s="2" t="s">
        <v>1</v>
      </c>
      <c r="C298" s="3">
        <v>46155</v>
      </c>
      <c r="D298" s="3">
        <v>46155</v>
      </c>
      <c r="E298" s="3">
        <v>46155</v>
      </c>
      <c r="F298" s="2" t="s">
        <v>77</v>
      </c>
      <c r="G298" s="198">
        <v>79.09</v>
      </c>
      <c r="H298" s="198">
        <v>7.12</v>
      </c>
      <c r="I298" s="198">
        <v>86.210000000000008</v>
      </c>
      <c r="J298" s="212">
        <f t="shared" si="44"/>
        <v>67.664137449100849</v>
      </c>
      <c r="K298" s="4" t="s">
        <v>860</v>
      </c>
      <c r="L298" s="4" t="s">
        <v>855</v>
      </c>
      <c r="M298" s="4" t="s">
        <v>860</v>
      </c>
      <c r="N298" s="4" t="s">
        <v>527</v>
      </c>
      <c r="O298" s="146" t="str">
        <f>_xlfn.XLOOKUP(N298,costcategory[Account Code],costcategory[Cost Category],"ERROR")</f>
        <v>Sales Expenses</v>
      </c>
      <c r="P298" s="4" t="s">
        <v>523</v>
      </c>
      <c r="Q298" s="147" t="str">
        <f>_xlfn.XLOOKUP(P298,Table2[Department],Table2[Group],"ERROR")</f>
        <v>General &amp; Administrative</v>
      </c>
      <c r="V298" s="2" t="s">
        <v>1211</v>
      </c>
    </row>
    <row r="299" spans="1:23" ht="12.95" customHeight="1" x14ac:dyDescent="0.2">
      <c r="A299" s="2" t="s">
        <v>15</v>
      </c>
      <c r="B299" s="2" t="s">
        <v>1</v>
      </c>
      <c r="C299" s="3">
        <v>46157</v>
      </c>
      <c r="D299" s="3">
        <v>46157</v>
      </c>
      <c r="E299" s="3">
        <v>46157</v>
      </c>
      <c r="F299" s="2" t="s">
        <v>77</v>
      </c>
      <c r="G299" s="212">
        <v>139.47</v>
      </c>
      <c r="H299" s="220">
        <v>0</v>
      </c>
      <c r="I299" s="223">
        <f>G299+H299</f>
        <v>139.47</v>
      </c>
      <c r="J299" s="212">
        <f t="shared" si="44"/>
        <v>109.46661930200783</v>
      </c>
      <c r="K299" s="4" t="s">
        <v>626</v>
      </c>
      <c r="L299" s="4" t="s">
        <v>626</v>
      </c>
      <c r="M299" s="4" t="s">
        <v>474</v>
      </c>
      <c r="N299" s="4" t="s">
        <v>475</v>
      </c>
      <c r="O299" s="146" t="str">
        <f>_xlfn.XLOOKUP(N299,costcategory[Account Code],costcategory[Cost Category],"ERROR")</f>
        <v>Travelling Expenses</v>
      </c>
      <c r="P299" s="4" t="s">
        <v>350</v>
      </c>
      <c r="Q299" s="147" t="str">
        <f>_xlfn.XLOOKUP(P299,Table2[Department],Table2[Group],"ERROR")</f>
        <v>General &amp; Administrative</v>
      </c>
      <c r="U299" s="2" t="s">
        <v>1269</v>
      </c>
      <c r="V299" s="2" t="s">
        <v>1214</v>
      </c>
    </row>
    <row r="300" spans="1:23" ht="12.95" customHeight="1" x14ac:dyDescent="0.2">
      <c r="A300" s="2" t="s">
        <v>15</v>
      </c>
      <c r="B300" s="2" t="s">
        <v>1</v>
      </c>
      <c r="C300" s="3">
        <v>46157</v>
      </c>
      <c r="D300" s="3">
        <v>46157</v>
      </c>
      <c r="E300" s="3">
        <v>46157</v>
      </c>
      <c r="F300" s="2" t="s">
        <v>77</v>
      </c>
      <c r="G300" s="212">
        <v>918.96</v>
      </c>
      <c r="H300" s="220">
        <v>0</v>
      </c>
      <c r="I300" s="233">
        <f t="shared" ref="I300:I344" si="45">G300+H300</f>
        <v>918.96</v>
      </c>
      <c r="J300" s="212">
        <f t="shared" si="44"/>
        <v>721.26940900389411</v>
      </c>
      <c r="K300" s="4" t="s">
        <v>626</v>
      </c>
      <c r="L300" s="4" t="s">
        <v>626</v>
      </c>
      <c r="M300" s="4" t="s">
        <v>474</v>
      </c>
      <c r="N300" s="4" t="s">
        <v>475</v>
      </c>
      <c r="O300" s="146" t="str">
        <f>_xlfn.XLOOKUP(N300,costcategory[Account Code],costcategory[Cost Category],"ERROR")</f>
        <v>Travelling Expenses</v>
      </c>
      <c r="P300" s="4" t="s">
        <v>523</v>
      </c>
      <c r="Q300" s="147" t="str">
        <f>_xlfn.XLOOKUP(P300,Table2[Department],Table2[Group],"ERROR")</f>
        <v>General &amp; Administrative</v>
      </c>
      <c r="U300" s="2" t="s">
        <v>1269</v>
      </c>
      <c r="V300" s="2" t="s">
        <v>1214</v>
      </c>
    </row>
    <row r="301" spans="1:23" ht="12.95" customHeight="1" x14ac:dyDescent="0.2">
      <c r="A301" s="2" t="s">
        <v>15</v>
      </c>
      <c r="B301" s="2" t="s">
        <v>1</v>
      </c>
      <c r="C301" s="3">
        <v>46157</v>
      </c>
      <c r="D301" s="3">
        <v>46157</v>
      </c>
      <c r="E301" s="3">
        <v>46157</v>
      </c>
      <c r="F301" s="2" t="s">
        <v>77</v>
      </c>
      <c r="G301" s="212">
        <v>371.57</v>
      </c>
      <c r="H301" s="220">
        <v>0</v>
      </c>
      <c r="I301" s="233">
        <f t="shared" si="45"/>
        <v>371.57</v>
      </c>
      <c r="J301" s="212">
        <f t="shared" si="44"/>
        <v>291.63627829674516</v>
      </c>
      <c r="K301" s="4" t="s">
        <v>626</v>
      </c>
      <c r="L301" s="4" t="s">
        <v>626</v>
      </c>
      <c r="M301" s="4" t="s">
        <v>474</v>
      </c>
      <c r="N301" s="4" t="s">
        <v>475</v>
      </c>
      <c r="O301" s="146" t="str">
        <f>_xlfn.XLOOKUP(N301,costcategory[Account Code],costcategory[Cost Category],"ERROR")</f>
        <v>Travelling Expenses</v>
      </c>
      <c r="P301" s="4" t="s">
        <v>658</v>
      </c>
      <c r="Q301" s="147" t="str">
        <f>_xlfn.XLOOKUP(P301,Table2[Department],Table2[Group],"ERROR")</f>
        <v>Sales &amp; Marketing</v>
      </c>
      <c r="U301" s="2" t="s">
        <v>1269</v>
      </c>
      <c r="V301" s="2" t="s">
        <v>1214</v>
      </c>
    </row>
    <row r="302" spans="1:23" ht="12.95" customHeight="1" x14ac:dyDescent="0.2">
      <c r="A302" s="2" t="s">
        <v>15</v>
      </c>
      <c r="B302" s="2" t="s">
        <v>1</v>
      </c>
      <c r="C302" s="3">
        <v>46157</v>
      </c>
      <c r="D302" s="3">
        <v>46157</v>
      </c>
      <c r="E302" s="3">
        <v>46157</v>
      </c>
      <c r="F302" s="2" t="s">
        <v>77</v>
      </c>
      <c r="G302" s="212">
        <v>943.02</v>
      </c>
      <c r="H302" s="220">
        <v>0</v>
      </c>
      <c r="I302" s="233">
        <f t="shared" si="45"/>
        <v>943.02</v>
      </c>
      <c r="J302" s="212">
        <f t="shared" si="44"/>
        <v>740.15351928141843</v>
      </c>
      <c r="K302" s="4" t="s">
        <v>626</v>
      </c>
      <c r="L302" s="4" t="s">
        <v>626</v>
      </c>
      <c r="M302" s="4" t="s">
        <v>474</v>
      </c>
      <c r="N302" s="4" t="s">
        <v>475</v>
      </c>
      <c r="O302" s="146" t="str">
        <f>_xlfn.XLOOKUP(N302,costcategory[Account Code],costcategory[Cost Category],"ERROR")</f>
        <v>Travelling Expenses</v>
      </c>
      <c r="P302" s="4" t="s">
        <v>56</v>
      </c>
      <c r="Q302" s="147" t="str">
        <f>_xlfn.XLOOKUP(P302,Table2[Department],Table2[Group],"ERROR")</f>
        <v>Research &amp; Development</v>
      </c>
      <c r="U302" s="2" t="s">
        <v>1269</v>
      </c>
      <c r="V302" s="2" t="s">
        <v>1214</v>
      </c>
    </row>
    <row r="303" spans="1:23" ht="12.95" customHeight="1" x14ac:dyDescent="0.2">
      <c r="A303" s="2" t="s">
        <v>15</v>
      </c>
      <c r="B303" s="2" t="s">
        <v>1</v>
      </c>
      <c r="C303" s="3">
        <v>46157</v>
      </c>
      <c r="D303" s="3">
        <v>46157</v>
      </c>
      <c r="E303" s="3">
        <v>46157</v>
      </c>
      <c r="F303" s="2" t="s">
        <v>77</v>
      </c>
      <c r="G303" s="212">
        <v>30.53</v>
      </c>
      <c r="H303" s="220">
        <v>2.75</v>
      </c>
      <c r="I303" s="233">
        <f t="shared" si="45"/>
        <v>33.28</v>
      </c>
      <c r="J303" s="212">
        <f t="shared" si="44"/>
        <v>26.120664590025243</v>
      </c>
      <c r="K303" s="4" t="s">
        <v>626</v>
      </c>
      <c r="L303" s="4" t="s">
        <v>626</v>
      </c>
      <c r="M303" s="4" t="s">
        <v>798</v>
      </c>
      <c r="N303" s="4" t="s">
        <v>799</v>
      </c>
      <c r="O303" s="146" t="str">
        <f>_xlfn.XLOOKUP(N303,costcategory[Account Code],costcategory[Cost Category],"ERROR")</f>
        <v>Sales Expenses</v>
      </c>
      <c r="P303" s="4" t="s">
        <v>438</v>
      </c>
      <c r="Q303" s="147" t="str">
        <f>_xlfn.XLOOKUP(P303,Table2[Department],Table2[Group],"ERROR")</f>
        <v>Sales &amp; Marketing</v>
      </c>
      <c r="U303" s="2" t="s">
        <v>1269</v>
      </c>
      <c r="V303" s="2" t="s">
        <v>1211</v>
      </c>
    </row>
    <row r="304" spans="1:23" ht="12.95" customHeight="1" x14ac:dyDescent="0.2">
      <c r="A304" s="2" t="s">
        <v>15</v>
      </c>
      <c r="B304" s="2" t="s">
        <v>1</v>
      </c>
      <c r="C304" s="3">
        <v>46157</v>
      </c>
      <c r="D304" s="3">
        <v>46157</v>
      </c>
      <c r="E304" s="3">
        <v>46157</v>
      </c>
      <c r="F304" s="2" t="s">
        <v>77</v>
      </c>
      <c r="G304" s="212">
        <v>185.02</v>
      </c>
      <c r="H304" s="220">
        <v>0</v>
      </c>
      <c r="I304" s="233">
        <f t="shared" si="45"/>
        <v>185.02</v>
      </c>
      <c r="J304" s="212">
        <f t="shared" si="44"/>
        <v>145.21770920812713</v>
      </c>
      <c r="K304" s="4" t="s">
        <v>626</v>
      </c>
      <c r="L304" s="4" t="s">
        <v>626</v>
      </c>
      <c r="M304" s="4" t="s">
        <v>389</v>
      </c>
      <c r="N304" s="4" t="s">
        <v>684</v>
      </c>
      <c r="O304" s="146" t="str">
        <f>_xlfn.XLOOKUP(N304,costcategory[Account Code],costcategory[Cost Category],"ERROR")</f>
        <v>Sales Expenses</v>
      </c>
      <c r="P304" s="4" t="s">
        <v>523</v>
      </c>
      <c r="Q304" s="147" t="str">
        <f>_xlfn.XLOOKUP(P304,Table2[Department],Table2[Group],"ERROR")</f>
        <v>General &amp; Administrative</v>
      </c>
      <c r="U304" s="2" t="s">
        <v>1269</v>
      </c>
      <c r="V304" s="2" t="s">
        <v>1214</v>
      </c>
    </row>
    <row r="305" spans="1:22" ht="12.95" customHeight="1" x14ac:dyDescent="0.2">
      <c r="A305" s="2" t="s">
        <v>15</v>
      </c>
      <c r="B305" s="2" t="s">
        <v>1</v>
      </c>
      <c r="C305" s="3">
        <v>46157</v>
      </c>
      <c r="D305" s="3">
        <v>46157</v>
      </c>
      <c r="E305" s="3">
        <v>46157</v>
      </c>
      <c r="F305" s="2" t="s">
        <v>77</v>
      </c>
      <c r="G305" s="212">
        <v>19.88</v>
      </c>
      <c r="H305" s="220">
        <v>0</v>
      </c>
      <c r="I305" s="233">
        <f t="shared" si="45"/>
        <v>19.88</v>
      </c>
      <c r="J305" s="212">
        <f t="shared" si="44"/>
        <v>15.603329688993444</v>
      </c>
      <c r="K305" s="4" t="s">
        <v>626</v>
      </c>
      <c r="L305" s="4" t="s">
        <v>626</v>
      </c>
      <c r="M305" s="4" t="s">
        <v>389</v>
      </c>
      <c r="N305" s="4" t="s">
        <v>684</v>
      </c>
      <c r="O305" s="146" t="str">
        <f>_xlfn.XLOOKUP(N305,costcategory[Account Code],costcategory[Cost Category],"ERROR")</f>
        <v>Sales Expenses</v>
      </c>
      <c r="P305" s="4" t="s">
        <v>56</v>
      </c>
      <c r="Q305" s="147" t="str">
        <f>_xlfn.XLOOKUP(P305,Table2[Department],Table2[Group],"ERROR")</f>
        <v>Research &amp; Development</v>
      </c>
      <c r="U305" s="2" t="s">
        <v>1269</v>
      </c>
      <c r="V305" s="2" t="s">
        <v>1214</v>
      </c>
    </row>
    <row r="306" spans="1:22" ht="12.95" customHeight="1" x14ac:dyDescent="0.2">
      <c r="A306" s="2" t="s">
        <v>15</v>
      </c>
      <c r="B306" s="2" t="s">
        <v>1</v>
      </c>
      <c r="C306" s="3">
        <v>46157</v>
      </c>
      <c r="D306" s="3">
        <v>46157</v>
      </c>
      <c r="E306" s="3">
        <v>46157</v>
      </c>
      <c r="F306" s="2" t="s">
        <v>77</v>
      </c>
      <c r="G306" s="212">
        <v>74.28</v>
      </c>
      <c r="H306" s="220">
        <v>0</v>
      </c>
      <c r="I306" s="233">
        <f t="shared" si="45"/>
        <v>74.28</v>
      </c>
      <c r="J306" s="212">
        <f t="shared" si="44"/>
        <v>58.300569884227016</v>
      </c>
      <c r="K306" s="4" t="s">
        <v>626</v>
      </c>
      <c r="L306" s="4" t="s">
        <v>626</v>
      </c>
      <c r="M306" s="4" t="s">
        <v>389</v>
      </c>
      <c r="N306" s="4" t="s">
        <v>684</v>
      </c>
      <c r="O306" s="146" t="str">
        <f>_xlfn.XLOOKUP(N306,costcategory[Account Code],costcategory[Cost Category],"ERROR")</f>
        <v>Sales Expenses</v>
      </c>
      <c r="P306" s="4" t="s">
        <v>658</v>
      </c>
      <c r="Q306" s="147" t="str">
        <f>_xlfn.XLOOKUP(P306,Table2[Department],Table2[Group],"ERROR")</f>
        <v>Sales &amp; Marketing</v>
      </c>
      <c r="U306" s="2" t="s">
        <v>1269</v>
      </c>
      <c r="V306" s="2" t="s">
        <v>1214</v>
      </c>
    </row>
    <row r="307" spans="1:22" ht="12.95" customHeight="1" x14ac:dyDescent="0.2">
      <c r="A307" s="2" t="s">
        <v>15</v>
      </c>
      <c r="B307" s="2" t="s">
        <v>1</v>
      </c>
      <c r="C307" s="3">
        <v>46157</v>
      </c>
      <c r="D307" s="3">
        <v>46157</v>
      </c>
      <c r="E307" s="3">
        <v>46157</v>
      </c>
      <c r="F307" s="2" t="s">
        <v>77</v>
      </c>
      <c r="G307" s="212">
        <v>1780.8700000000001</v>
      </c>
      <c r="H307" s="220">
        <v>152.28</v>
      </c>
      <c r="I307" s="233">
        <f t="shared" si="45"/>
        <v>1933.15</v>
      </c>
      <c r="J307" s="212">
        <f t="shared" si="44"/>
        <v>1517.2825346216136</v>
      </c>
      <c r="K307" s="4" t="s">
        <v>626</v>
      </c>
      <c r="L307" s="4" t="s">
        <v>626</v>
      </c>
      <c r="M307" s="4" t="s">
        <v>526</v>
      </c>
      <c r="N307" s="4" t="s">
        <v>527</v>
      </c>
      <c r="O307" s="146" t="str">
        <f>_xlfn.XLOOKUP(N307,costcategory[Account Code],costcategory[Cost Category],"ERROR")</f>
        <v>Sales Expenses</v>
      </c>
      <c r="P307" s="4" t="s">
        <v>523</v>
      </c>
      <c r="Q307" s="147" t="str">
        <f>_xlfn.XLOOKUP(P307,Table2[Department],Table2[Group],"ERROR")</f>
        <v>General &amp; Administrative</v>
      </c>
      <c r="U307" s="2" t="s">
        <v>1269</v>
      </c>
      <c r="V307" s="2" t="s">
        <v>1211</v>
      </c>
    </row>
    <row r="308" spans="1:22" ht="12.95" customHeight="1" x14ac:dyDescent="0.2">
      <c r="A308" s="2" t="s">
        <v>15</v>
      </c>
      <c r="B308" s="2" t="s">
        <v>1</v>
      </c>
      <c r="C308" s="3">
        <v>46157</v>
      </c>
      <c r="D308" s="3">
        <v>46157</v>
      </c>
      <c r="E308" s="3">
        <v>46157</v>
      </c>
      <c r="F308" s="2" t="s">
        <v>77</v>
      </c>
      <c r="G308" s="212">
        <v>29.8</v>
      </c>
      <c r="H308" s="220">
        <v>2.68</v>
      </c>
      <c r="I308" s="233">
        <f t="shared" si="45"/>
        <v>32.480000000000004</v>
      </c>
      <c r="J308" s="212">
        <f t="shared" si="44"/>
        <v>25.492763998918868</v>
      </c>
      <c r="K308" s="4" t="s">
        <v>626</v>
      </c>
      <c r="L308" s="4" t="s">
        <v>626</v>
      </c>
      <c r="M308" s="4" t="s">
        <v>526</v>
      </c>
      <c r="N308" s="4" t="s">
        <v>527</v>
      </c>
      <c r="O308" s="146" t="str">
        <f>_xlfn.XLOOKUP(N308,costcategory[Account Code],costcategory[Cost Category],"ERROR")</f>
        <v>Sales Expenses</v>
      </c>
      <c r="P308" s="4" t="s">
        <v>658</v>
      </c>
      <c r="Q308" s="147" t="str">
        <f>_xlfn.XLOOKUP(P308,Table2[Department],Table2[Group],"ERROR")</f>
        <v>Sales &amp; Marketing</v>
      </c>
      <c r="U308" s="2" t="s">
        <v>1269</v>
      </c>
      <c r="V308" s="2" t="s">
        <v>1211</v>
      </c>
    </row>
    <row r="309" spans="1:22" ht="12.95" customHeight="1" x14ac:dyDescent="0.2">
      <c r="A309" s="2" t="s">
        <v>15</v>
      </c>
      <c r="B309" s="2" t="s">
        <v>1</v>
      </c>
      <c r="C309" s="3">
        <v>46157</v>
      </c>
      <c r="D309" s="3">
        <v>46157</v>
      </c>
      <c r="E309" s="3">
        <v>46157</v>
      </c>
      <c r="F309" s="2" t="s">
        <v>77</v>
      </c>
      <c r="G309" s="212">
        <v>55.5</v>
      </c>
      <c r="H309" s="220">
        <v>0</v>
      </c>
      <c r="I309" s="233">
        <f t="shared" si="45"/>
        <v>55.5</v>
      </c>
      <c r="J309" s="212">
        <f t="shared" si="44"/>
        <v>43.560603508004839</v>
      </c>
      <c r="K309" s="4" t="s">
        <v>626</v>
      </c>
      <c r="L309" s="4" t="s">
        <v>626</v>
      </c>
      <c r="M309" s="4" t="s">
        <v>345</v>
      </c>
      <c r="N309" s="4" t="s">
        <v>346</v>
      </c>
      <c r="O309" s="146" t="str">
        <f>_xlfn.XLOOKUP(N309,costcategory[Account Code],costcategory[Cost Category],"ERROR")</f>
        <v>General Expenses</v>
      </c>
      <c r="P309" s="4" t="s">
        <v>340</v>
      </c>
      <c r="Q309" s="147" t="str">
        <f>_xlfn.XLOOKUP(P309,Table2[Department],Table2[Group],"ERROR")</f>
        <v>General &amp; Administrative</v>
      </c>
      <c r="U309" s="2" t="s">
        <v>1269</v>
      </c>
      <c r="V309" s="2" t="s">
        <v>1214</v>
      </c>
    </row>
    <row r="310" spans="1:22" ht="12.95" customHeight="1" x14ac:dyDescent="0.2">
      <c r="A310" s="2" t="s">
        <v>15</v>
      </c>
      <c r="B310" s="2" t="s">
        <v>1</v>
      </c>
      <c r="C310" s="3">
        <v>46157</v>
      </c>
      <c r="D310" s="3">
        <v>46157</v>
      </c>
      <c r="E310" s="3">
        <v>46157</v>
      </c>
      <c r="F310" s="2" t="s">
        <v>77</v>
      </c>
      <c r="G310" s="212">
        <v>1437.79</v>
      </c>
      <c r="H310" s="220">
        <v>0</v>
      </c>
      <c r="I310" s="233">
        <f t="shared" si="45"/>
        <v>1437.79</v>
      </c>
      <c r="J310" s="212">
        <f t="shared" si="44"/>
        <v>1128.4864886085454</v>
      </c>
      <c r="K310" s="4" t="s">
        <v>626</v>
      </c>
      <c r="L310" s="4" t="s">
        <v>626</v>
      </c>
      <c r="M310" s="4" t="s">
        <v>348</v>
      </c>
      <c r="N310" s="4" t="s">
        <v>349</v>
      </c>
      <c r="O310" s="146" t="str">
        <f>_xlfn.XLOOKUP(N310,costcategory[Account Code],costcategory[Cost Category],"ERROR")</f>
        <v>Employee Benefits</v>
      </c>
      <c r="P310" s="4" t="s">
        <v>523</v>
      </c>
      <c r="Q310" s="147" t="str">
        <f>_xlfn.XLOOKUP(P310,Table2[Department],Table2[Group],"ERROR")</f>
        <v>General &amp; Administrative</v>
      </c>
      <c r="U310" s="2" t="s">
        <v>1269</v>
      </c>
      <c r="V310" s="2" t="s">
        <v>1214</v>
      </c>
    </row>
    <row r="311" spans="1:22" ht="12.95" customHeight="1" x14ac:dyDescent="0.2">
      <c r="A311" s="2" t="s">
        <v>15</v>
      </c>
      <c r="B311" s="2" t="s">
        <v>1</v>
      </c>
      <c r="C311" s="3">
        <v>46157</v>
      </c>
      <c r="D311" s="3">
        <v>46157</v>
      </c>
      <c r="E311" s="3">
        <v>46157</v>
      </c>
      <c r="F311" s="2" t="s">
        <v>77</v>
      </c>
      <c r="G311" s="212">
        <v>399</v>
      </c>
      <c r="H311" s="220">
        <v>0</v>
      </c>
      <c r="I311" s="233">
        <f t="shared" si="45"/>
        <v>399</v>
      </c>
      <c r="J311" s="212">
        <f t="shared" si="44"/>
        <v>313.16541981430504</v>
      </c>
      <c r="K311" s="4" t="s">
        <v>626</v>
      </c>
      <c r="L311" s="4" t="s">
        <v>626</v>
      </c>
      <c r="M311" s="4" t="s">
        <v>800</v>
      </c>
      <c r="N311" s="4" t="s">
        <v>924</v>
      </c>
      <c r="O311" s="146" t="str">
        <f>_xlfn.XLOOKUP(N311,costcategory[Account Code],costcategory[Cost Category],"ERROR")</f>
        <v>License Fee</v>
      </c>
      <c r="P311" s="4" t="s">
        <v>376</v>
      </c>
      <c r="Q311" s="147" t="str">
        <f>_xlfn.XLOOKUP(P311,Table2[Department],Table2[Group],"ERROR")</f>
        <v>General &amp; Administrative</v>
      </c>
      <c r="U311" s="2" t="s">
        <v>1269</v>
      </c>
      <c r="V311" s="2" t="s">
        <v>1214</v>
      </c>
    </row>
    <row r="312" spans="1:22" ht="12.95" customHeight="1" x14ac:dyDescent="0.2">
      <c r="A312" s="2" t="s">
        <v>15</v>
      </c>
      <c r="B312" s="2" t="s">
        <v>1</v>
      </c>
      <c r="C312" s="3">
        <v>46157</v>
      </c>
      <c r="D312" s="3">
        <v>46157</v>
      </c>
      <c r="E312" s="3">
        <v>46157</v>
      </c>
      <c r="F312" s="2" t="s">
        <v>77</v>
      </c>
      <c r="G312" s="212">
        <v>210</v>
      </c>
      <c r="H312" s="220">
        <v>18.899999999999999</v>
      </c>
      <c r="I312" s="233">
        <f t="shared" si="45"/>
        <v>228.9</v>
      </c>
      <c r="J312" s="212">
        <f t="shared" si="44"/>
        <v>179.65805663031185</v>
      </c>
      <c r="K312" s="4" t="s">
        <v>626</v>
      </c>
      <c r="L312" s="4" t="s">
        <v>626</v>
      </c>
      <c r="M312" s="4" t="s">
        <v>802</v>
      </c>
      <c r="N312" s="4" t="s">
        <v>68</v>
      </c>
      <c r="O312" s="146" t="str">
        <f>_xlfn.XLOOKUP(N312,costcategory[Account Code],costcategory[Cost Category],"ERROR")</f>
        <v>Marketing Expense</v>
      </c>
      <c r="P312" s="4" t="s">
        <v>658</v>
      </c>
      <c r="Q312" s="147" t="str">
        <f>_xlfn.XLOOKUP(P312,Table2[Department],Table2[Group],"ERROR")</f>
        <v>Sales &amp; Marketing</v>
      </c>
      <c r="U312" s="2" t="s">
        <v>1269</v>
      </c>
      <c r="V312" s="2" t="s">
        <v>1211</v>
      </c>
    </row>
    <row r="313" spans="1:22" ht="12.95" customHeight="1" x14ac:dyDescent="0.2">
      <c r="A313" s="2" t="s">
        <v>15</v>
      </c>
      <c r="B313" s="2" t="s">
        <v>1</v>
      </c>
      <c r="C313" s="3">
        <v>46157</v>
      </c>
      <c r="D313" s="3">
        <v>46157</v>
      </c>
      <c r="E313" s="3">
        <v>46157</v>
      </c>
      <c r="F313" s="2" t="s">
        <v>77</v>
      </c>
      <c r="G313" s="212">
        <v>45.87</v>
      </c>
      <c r="H313" s="220">
        <v>4.13</v>
      </c>
      <c r="I313" s="233">
        <f t="shared" si="45"/>
        <v>50</v>
      </c>
      <c r="J313" s="212">
        <f t="shared" si="44"/>
        <v>39.243786944148503</v>
      </c>
      <c r="K313" s="4" t="s">
        <v>626</v>
      </c>
      <c r="L313" s="4" t="s">
        <v>626</v>
      </c>
      <c r="M313" s="4" t="s">
        <v>351</v>
      </c>
      <c r="N313" s="4" t="s">
        <v>50</v>
      </c>
      <c r="O313" s="146" t="str">
        <f>_xlfn.XLOOKUP(N313,costcategory[Account Code],costcategory[Cost Category],"ERROR")</f>
        <v>Office Supplies</v>
      </c>
      <c r="P313" s="4" t="s">
        <v>340</v>
      </c>
      <c r="Q313" s="147" t="str">
        <f>_xlfn.XLOOKUP(P313,Table2[Department],Table2[Group],"ERROR")</f>
        <v>General &amp; Administrative</v>
      </c>
      <c r="U313" s="2" t="s">
        <v>1269</v>
      </c>
      <c r="V313" s="2" t="s">
        <v>1211</v>
      </c>
    </row>
    <row r="314" spans="1:22" ht="12.95" customHeight="1" x14ac:dyDescent="0.2">
      <c r="A314" s="2" t="s">
        <v>15</v>
      </c>
      <c r="B314" s="2" t="s">
        <v>1</v>
      </c>
      <c r="C314" s="3">
        <v>46157</v>
      </c>
      <c r="D314" s="3">
        <v>46157</v>
      </c>
      <c r="E314" s="3">
        <v>46157</v>
      </c>
      <c r="F314" s="2" t="s">
        <v>77</v>
      </c>
      <c r="G314" s="212">
        <v>109.16</v>
      </c>
      <c r="H314" s="220">
        <v>0</v>
      </c>
      <c r="I314" s="233">
        <f t="shared" si="45"/>
        <v>109.16</v>
      </c>
      <c r="J314" s="212">
        <f t="shared" si="44"/>
        <v>85.677035656465009</v>
      </c>
      <c r="K314" s="4" t="s">
        <v>626</v>
      </c>
      <c r="L314" s="4" t="s">
        <v>626</v>
      </c>
      <c r="M314" s="4" t="s">
        <v>351</v>
      </c>
      <c r="N314" s="4" t="s">
        <v>50</v>
      </c>
      <c r="O314" s="146" t="str">
        <f>_xlfn.XLOOKUP(N314,costcategory[Account Code],costcategory[Cost Category],"ERROR")</f>
        <v>Office Supplies</v>
      </c>
      <c r="P314" s="4" t="s">
        <v>56</v>
      </c>
      <c r="Q314" s="147" t="str">
        <f>_xlfn.XLOOKUP(P314,Table2[Department],Table2[Group],"ERROR")</f>
        <v>Research &amp; Development</v>
      </c>
      <c r="U314" s="2" t="s">
        <v>1269</v>
      </c>
      <c r="V314" s="2" t="s">
        <v>1214</v>
      </c>
    </row>
    <row r="315" spans="1:22" ht="12.95" customHeight="1" x14ac:dyDescent="0.2">
      <c r="A315" s="2" t="s">
        <v>15</v>
      </c>
      <c r="B315" s="2" t="s">
        <v>1</v>
      </c>
      <c r="C315" s="3">
        <v>46157</v>
      </c>
      <c r="D315" s="3">
        <v>46157</v>
      </c>
      <c r="E315" s="3">
        <v>46157</v>
      </c>
      <c r="F315" s="2" t="s">
        <v>77</v>
      </c>
      <c r="G315" s="212">
        <v>5.7</v>
      </c>
      <c r="H315" s="220">
        <v>0</v>
      </c>
      <c r="I315" s="233">
        <f t="shared" si="45"/>
        <v>5.7</v>
      </c>
      <c r="J315" s="212">
        <f t="shared" si="44"/>
        <v>4.4737917116329289</v>
      </c>
      <c r="K315" s="4" t="s">
        <v>626</v>
      </c>
      <c r="L315" s="4" t="s">
        <v>626</v>
      </c>
      <c r="M315" s="4" t="s">
        <v>351</v>
      </c>
      <c r="N315" s="4" t="s">
        <v>50</v>
      </c>
      <c r="O315" s="146" t="str">
        <f>_xlfn.XLOOKUP(N315,costcategory[Account Code],costcategory[Cost Category],"ERROR")</f>
        <v>Office Supplies</v>
      </c>
      <c r="P315" s="4" t="s">
        <v>376</v>
      </c>
      <c r="Q315" s="147" t="str">
        <f>_xlfn.XLOOKUP(P315,Table2[Department],Table2[Group],"ERROR")</f>
        <v>General &amp; Administrative</v>
      </c>
      <c r="U315" s="2" t="s">
        <v>1269</v>
      </c>
      <c r="V315" s="2" t="s">
        <v>1214</v>
      </c>
    </row>
    <row r="316" spans="1:22" ht="12.95" customHeight="1" x14ac:dyDescent="0.2">
      <c r="A316" s="2" t="s">
        <v>15</v>
      </c>
      <c r="B316" s="2" t="s">
        <v>1</v>
      </c>
      <c r="C316" s="3">
        <v>46157</v>
      </c>
      <c r="D316" s="3">
        <v>46157</v>
      </c>
      <c r="E316" s="3">
        <v>46157</v>
      </c>
      <c r="F316" s="2" t="s">
        <v>77</v>
      </c>
      <c r="G316" s="212">
        <v>6.76</v>
      </c>
      <c r="H316" s="220">
        <v>0</v>
      </c>
      <c r="I316" s="233">
        <f t="shared" si="45"/>
        <v>6.76</v>
      </c>
      <c r="J316" s="212">
        <f t="shared" si="44"/>
        <v>5.3057599948488772</v>
      </c>
      <c r="K316" s="4" t="s">
        <v>626</v>
      </c>
      <c r="L316" s="4" t="s">
        <v>626</v>
      </c>
      <c r="M316" s="4" t="s">
        <v>352</v>
      </c>
      <c r="N316" s="4" t="s">
        <v>391</v>
      </c>
      <c r="O316" s="146" t="str">
        <f>_xlfn.XLOOKUP(N316,costcategory[Account Code],costcategory[Cost Category],"ERROR")</f>
        <v>Travelling Expenses</v>
      </c>
      <c r="P316" s="4" t="s">
        <v>523</v>
      </c>
      <c r="Q316" s="147" t="str">
        <f>_xlfn.XLOOKUP(P316,Table2[Department],Table2[Group],"ERROR")</f>
        <v>General &amp; Administrative</v>
      </c>
      <c r="U316" s="2" t="s">
        <v>1269</v>
      </c>
      <c r="V316" s="2" t="s">
        <v>1214</v>
      </c>
    </row>
    <row r="317" spans="1:22" ht="12.95" customHeight="1" x14ac:dyDescent="0.2">
      <c r="A317" s="2" t="s">
        <v>15</v>
      </c>
      <c r="B317" s="2" t="s">
        <v>1</v>
      </c>
      <c r="C317" s="3">
        <v>46157</v>
      </c>
      <c r="D317" s="3">
        <v>46157</v>
      </c>
      <c r="E317" s="3">
        <v>46157</v>
      </c>
      <c r="F317" s="2" t="s">
        <v>77</v>
      </c>
      <c r="G317" s="212">
        <v>198.72</v>
      </c>
      <c r="H317" s="220">
        <v>0</v>
      </c>
      <c r="I317" s="233">
        <f t="shared" si="45"/>
        <v>198.72</v>
      </c>
      <c r="J317" s="212">
        <f t="shared" si="44"/>
        <v>155.97050683082381</v>
      </c>
      <c r="K317" s="4" t="s">
        <v>626</v>
      </c>
      <c r="L317" s="4" t="s">
        <v>626</v>
      </c>
      <c r="M317" s="4" t="s">
        <v>352</v>
      </c>
      <c r="N317" s="4" t="s">
        <v>391</v>
      </c>
      <c r="O317" s="146" t="str">
        <f>_xlfn.XLOOKUP(N317,costcategory[Account Code],costcategory[Cost Category],"ERROR")</f>
        <v>Travelling Expenses</v>
      </c>
      <c r="P317" s="4" t="s">
        <v>56</v>
      </c>
      <c r="Q317" s="147" t="str">
        <f>_xlfn.XLOOKUP(P317,Table2[Department],Table2[Group],"ERROR")</f>
        <v>Research &amp; Development</v>
      </c>
      <c r="U317" s="2" t="s">
        <v>1269</v>
      </c>
      <c r="V317" s="2" t="s">
        <v>1214</v>
      </c>
    </row>
    <row r="318" spans="1:22" ht="12.95" customHeight="1" x14ac:dyDescent="0.2">
      <c r="A318" s="2" t="s">
        <v>15</v>
      </c>
      <c r="B318" s="2" t="s">
        <v>1</v>
      </c>
      <c r="C318" s="3">
        <v>46157</v>
      </c>
      <c r="D318" s="3">
        <v>46157</v>
      </c>
      <c r="E318" s="3">
        <v>46157</v>
      </c>
      <c r="F318" s="2" t="s">
        <v>77</v>
      </c>
      <c r="G318" s="212">
        <v>10.09</v>
      </c>
      <c r="H318" s="220">
        <v>0</v>
      </c>
      <c r="I318" s="233">
        <f t="shared" si="45"/>
        <v>10.09</v>
      </c>
      <c r="J318" s="212">
        <f t="shared" si="44"/>
        <v>7.9193962053291678</v>
      </c>
      <c r="K318" s="4" t="s">
        <v>626</v>
      </c>
      <c r="L318" s="4" t="s">
        <v>626</v>
      </c>
      <c r="M318" s="4" t="s">
        <v>352</v>
      </c>
      <c r="N318" s="4" t="s">
        <v>391</v>
      </c>
      <c r="O318" s="146" t="str">
        <f>_xlfn.XLOOKUP(N318,costcategory[Account Code],costcategory[Cost Category],"ERROR")</f>
        <v>Travelling Expenses</v>
      </c>
      <c r="P318" s="4" t="s">
        <v>658</v>
      </c>
      <c r="Q318" s="147" t="str">
        <f>_xlfn.XLOOKUP(P318,Table2[Department],Table2[Group],"ERROR")</f>
        <v>Sales &amp; Marketing</v>
      </c>
      <c r="U318" s="2" t="s">
        <v>1269</v>
      </c>
      <c r="V318" s="2" t="s">
        <v>1214</v>
      </c>
    </row>
    <row r="319" spans="1:22" ht="12.95" customHeight="1" x14ac:dyDescent="0.2">
      <c r="A319" s="2" t="s">
        <v>15</v>
      </c>
      <c r="B319" s="2" t="s">
        <v>1</v>
      </c>
      <c r="C319" s="3">
        <v>46157</v>
      </c>
      <c r="D319" s="3">
        <v>46157</v>
      </c>
      <c r="E319" s="3">
        <v>46157</v>
      </c>
      <c r="F319" s="2" t="s">
        <v>77</v>
      </c>
      <c r="G319" s="212">
        <v>16.84</v>
      </c>
      <c r="H319" s="220">
        <v>1.5099999999999998</v>
      </c>
      <c r="I319" s="233">
        <f t="shared" si="45"/>
        <v>18.350000000000001</v>
      </c>
      <c r="J319" s="212">
        <f t="shared" si="44"/>
        <v>14.4024698085025</v>
      </c>
      <c r="K319" s="4" t="s">
        <v>626</v>
      </c>
      <c r="L319" s="4" t="s">
        <v>626</v>
      </c>
      <c r="M319" s="4" t="s">
        <v>355</v>
      </c>
      <c r="N319" s="4" t="s">
        <v>402</v>
      </c>
      <c r="O319" s="146" t="str">
        <f>_xlfn.XLOOKUP(N319,costcategory[Account Code],costcategory[Cost Category],"ERROR")</f>
        <v>Travelling Expenses</v>
      </c>
      <c r="P319" s="4" t="s">
        <v>523</v>
      </c>
      <c r="Q319" s="147" t="str">
        <f>_xlfn.XLOOKUP(P319,Table2[Department],Table2[Group],"ERROR")</f>
        <v>General &amp; Administrative</v>
      </c>
      <c r="U319" s="2" t="s">
        <v>1269</v>
      </c>
      <c r="V319" s="2" t="s">
        <v>1211</v>
      </c>
    </row>
    <row r="320" spans="1:22" ht="12.95" customHeight="1" x14ac:dyDescent="0.2">
      <c r="A320" s="2" t="s">
        <v>15</v>
      </c>
      <c r="B320" s="2" t="s">
        <v>1</v>
      </c>
      <c r="C320" s="3">
        <v>46157</v>
      </c>
      <c r="D320" s="3">
        <v>46157</v>
      </c>
      <c r="E320" s="3">
        <v>46157</v>
      </c>
      <c r="F320" s="2" t="s">
        <v>77</v>
      </c>
      <c r="G320" s="212">
        <v>109.31</v>
      </c>
      <c r="H320" s="220">
        <v>8.74</v>
      </c>
      <c r="I320" s="233">
        <f t="shared" si="45"/>
        <v>118.05</v>
      </c>
      <c r="J320" s="212">
        <f t="shared" si="44"/>
        <v>92.654580975134607</v>
      </c>
      <c r="K320" s="4" t="s">
        <v>626</v>
      </c>
      <c r="L320" s="4" t="s">
        <v>626</v>
      </c>
      <c r="M320" s="4" t="s">
        <v>469</v>
      </c>
      <c r="N320" s="4" t="s">
        <v>470</v>
      </c>
      <c r="O320" s="146" t="str">
        <f>_xlfn.XLOOKUP(N320,costcategory[Account Code],costcategory[Cost Category],"ERROR")</f>
        <v>Office Supplies</v>
      </c>
      <c r="P320" s="4" t="s">
        <v>340</v>
      </c>
      <c r="Q320" s="147" t="str">
        <f>_xlfn.XLOOKUP(P320,Table2[Department],Table2[Group],"ERROR")</f>
        <v>General &amp; Administrative</v>
      </c>
      <c r="U320" s="2" t="s">
        <v>1269</v>
      </c>
      <c r="V320" s="2" t="s">
        <v>1211</v>
      </c>
    </row>
    <row r="321" spans="1:22" ht="12.95" customHeight="1" x14ac:dyDescent="0.2">
      <c r="A321" s="2" t="s">
        <v>15</v>
      </c>
      <c r="B321" s="2" t="s">
        <v>1</v>
      </c>
      <c r="C321" s="3">
        <v>46157</v>
      </c>
      <c r="D321" s="3">
        <v>46157</v>
      </c>
      <c r="E321" s="3">
        <v>46157</v>
      </c>
      <c r="F321" s="2" t="s">
        <v>77</v>
      </c>
      <c r="G321" s="212">
        <v>255</v>
      </c>
      <c r="H321" s="220">
        <v>0</v>
      </c>
      <c r="I321" s="233">
        <f t="shared" si="45"/>
        <v>255</v>
      </c>
      <c r="J321" s="212">
        <f t="shared" si="44"/>
        <v>200.14331341515737</v>
      </c>
      <c r="K321" s="4" t="s">
        <v>626</v>
      </c>
      <c r="L321" s="4" t="s">
        <v>626</v>
      </c>
      <c r="M321" s="4" t="s">
        <v>925</v>
      </c>
      <c r="N321" s="4" t="s">
        <v>801</v>
      </c>
      <c r="O321" s="146" t="str">
        <f>_xlfn.XLOOKUP(N321,costcategory[Account Code],costcategory[Cost Category],"ERROR")</f>
        <v>Recruitment Related Fees</v>
      </c>
      <c r="P321" s="4" t="s">
        <v>350</v>
      </c>
      <c r="Q321" s="147" t="str">
        <f>_xlfn.XLOOKUP(P321,Table2[Department],Table2[Group],"ERROR")</f>
        <v>General &amp; Administrative</v>
      </c>
      <c r="U321" s="2" t="s">
        <v>1269</v>
      </c>
      <c r="V321" s="2" t="s">
        <v>1214</v>
      </c>
    </row>
    <row r="322" spans="1:22" ht="12.95" customHeight="1" x14ac:dyDescent="0.2">
      <c r="A322" s="2" t="s">
        <v>15</v>
      </c>
      <c r="B322" s="2" t="s">
        <v>1</v>
      </c>
      <c r="C322" s="3">
        <v>46157</v>
      </c>
      <c r="D322" s="3">
        <v>46157</v>
      </c>
      <c r="E322" s="3">
        <v>46157</v>
      </c>
      <c r="F322" s="2" t="s">
        <v>77</v>
      </c>
      <c r="G322" s="212">
        <v>63.67</v>
      </c>
      <c r="H322" s="220">
        <v>0</v>
      </c>
      <c r="I322" s="233">
        <f t="shared" si="45"/>
        <v>63.67</v>
      </c>
      <c r="J322" s="212">
        <f t="shared" si="44"/>
        <v>49.973038294678702</v>
      </c>
      <c r="K322" s="4" t="s">
        <v>626</v>
      </c>
      <c r="L322" s="4" t="s">
        <v>626</v>
      </c>
      <c r="M322" s="4" t="s">
        <v>392</v>
      </c>
      <c r="N322" s="4" t="s">
        <v>393</v>
      </c>
      <c r="O322" s="146" t="str">
        <f>_xlfn.XLOOKUP(N322,costcategory[Account Code],costcategory[Cost Category],"ERROR")</f>
        <v>Employee Benefits</v>
      </c>
      <c r="P322" s="4" t="s">
        <v>45</v>
      </c>
      <c r="Q322" s="147" t="str">
        <f>_xlfn.XLOOKUP(P322,Table2[Department],Table2[Group],"ERROR")</f>
        <v>DSC</v>
      </c>
      <c r="U322" s="2" t="s">
        <v>1269</v>
      </c>
      <c r="V322" s="2" t="s">
        <v>1214</v>
      </c>
    </row>
    <row r="323" spans="1:22" ht="12.95" customHeight="1" x14ac:dyDescent="0.2">
      <c r="A323" s="2" t="s">
        <v>15</v>
      </c>
      <c r="B323" s="2" t="s">
        <v>1</v>
      </c>
      <c r="C323" s="3">
        <v>46157</v>
      </c>
      <c r="D323" s="3">
        <v>46157</v>
      </c>
      <c r="E323" s="3">
        <v>46157</v>
      </c>
      <c r="F323" s="2" t="s">
        <v>77</v>
      </c>
      <c r="G323" s="212">
        <v>63.33</v>
      </c>
      <c r="H323" s="220">
        <v>0</v>
      </c>
      <c r="I323" s="233">
        <f t="shared" si="45"/>
        <v>63.33</v>
      </c>
      <c r="J323" s="212">
        <f t="shared" si="44"/>
        <v>49.706180543458487</v>
      </c>
      <c r="K323" s="4" t="s">
        <v>626</v>
      </c>
      <c r="L323" s="4" t="s">
        <v>626</v>
      </c>
      <c r="M323" s="4" t="s">
        <v>392</v>
      </c>
      <c r="N323" s="4" t="s">
        <v>393</v>
      </c>
      <c r="O323" s="146" t="str">
        <f>_xlfn.XLOOKUP(N323,costcategory[Account Code],costcategory[Cost Category],"ERROR")</f>
        <v>Employee Benefits</v>
      </c>
      <c r="P323" s="4" t="s">
        <v>350</v>
      </c>
      <c r="Q323" s="147" t="str">
        <f>_xlfn.XLOOKUP(P323,Table2[Department],Table2[Group],"ERROR")</f>
        <v>General &amp; Administrative</v>
      </c>
      <c r="U323" s="2" t="s">
        <v>1269</v>
      </c>
      <c r="V323" s="2" t="s">
        <v>1214</v>
      </c>
    </row>
    <row r="324" spans="1:22" ht="12.95" customHeight="1" x14ac:dyDescent="0.2">
      <c r="A324" s="2" t="s">
        <v>15</v>
      </c>
      <c r="B324" s="2" t="s">
        <v>1</v>
      </c>
      <c r="C324" s="3">
        <v>46157</v>
      </c>
      <c r="D324" s="3">
        <v>46157</v>
      </c>
      <c r="E324" s="3">
        <v>46157</v>
      </c>
      <c r="F324" s="2" t="s">
        <v>77</v>
      </c>
      <c r="G324" s="212">
        <v>981.7399999999999</v>
      </c>
      <c r="H324" s="220">
        <v>40.46</v>
      </c>
      <c r="I324" s="233">
        <f t="shared" si="45"/>
        <v>1022.1999999999999</v>
      </c>
      <c r="J324" s="212">
        <f t="shared" si="44"/>
        <v>802.29998028617194</v>
      </c>
      <c r="K324" s="4" t="s">
        <v>626</v>
      </c>
      <c r="L324" s="4" t="s">
        <v>626</v>
      </c>
      <c r="M324" s="4" t="s">
        <v>416</v>
      </c>
      <c r="N324" s="4" t="s">
        <v>390</v>
      </c>
      <c r="O324" s="146" t="str">
        <f>_xlfn.XLOOKUP(N324,costcategory[Account Code],costcategory[Cost Category],"ERROR")</f>
        <v>Employee Benefits</v>
      </c>
      <c r="P324" s="4" t="s">
        <v>523</v>
      </c>
      <c r="Q324" s="147" t="str">
        <f>_xlfn.XLOOKUP(P324,Table2[Department],Table2[Group],"ERROR")</f>
        <v>General &amp; Administrative</v>
      </c>
      <c r="U324" s="2" t="s">
        <v>1269</v>
      </c>
      <c r="V324" s="2" t="s">
        <v>1211</v>
      </c>
    </row>
    <row r="325" spans="1:22" ht="12.95" customHeight="1" x14ac:dyDescent="0.2">
      <c r="A325" s="2" t="s">
        <v>15</v>
      </c>
      <c r="B325" s="2" t="s">
        <v>1</v>
      </c>
      <c r="C325" s="3">
        <v>46157</v>
      </c>
      <c r="D325" s="3">
        <v>46157</v>
      </c>
      <c r="E325" s="3">
        <v>46157</v>
      </c>
      <c r="F325" s="2" t="s">
        <v>77</v>
      </c>
      <c r="G325" s="212">
        <v>77.87</v>
      </c>
      <c r="H325" s="220">
        <v>7.01</v>
      </c>
      <c r="I325" s="233">
        <f t="shared" si="45"/>
        <v>84.88000000000001</v>
      </c>
      <c r="J325" s="212">
        <f t="shared" si="44"/>
        <v>66.620252716386503</v>
      </c>
      <c r="K325" s="4" t="s">
        <v>626</v>
      </c>
      <c r="L325" s="4" t="s">
        <v>626</v>
      </c>
      <c r="M325" s="4" t="s">
        <v>416</v>
      </c>
      <c r="N325" s="4" t="s">
        <v>390</v>
      </c>
      <c r="O325" s="146" t="str">
        <f>_xlfn.XLOOKUP(N325,costcategory[Account Code],costcategory[Cost Category],"ERROR")</f>
        <v>Employee Benefits</v>
      </c>
      <c r="P325" s="4" t="s">
        <v>340</v>
      </c>
      <c r="Q325" s="147" t="str">
        <f>_xlfn.XLOOKUP(P325,Table2[Department],Table2[Group],"ERROR")</f>
        <v>General &amp; Administrative</v>
      </c>
      <c r="U325" s="2" t="s">
        <v>1269</v>
      </c>
      <c r="V325" s="2" t="s">
        <v>1211</v>
      </c>
    </row>
    <row r="326" spans="1:22" ht="12.95" customHeight="1" x14ac:dyDescent="0.2">
      <c r="A326" s="2" t="s">
        <v>15</v>
      </c>
      <c r="B326" s="2" t="s">
        <v>1</v>
      </c>
      <c r="C326" s="3">
        <v>46157</v>
      </c>
      <c r="D326" s="3">
        <v>46157</v>
      </c>
      <c r="E326" s="3">
        <v>46157</v>
      </c>
      <c r="F326" s="2" t="s">
        <v>77</v>
      </c>
      <c r="G326" s="212">
        <v>136.5</v>
      </c>
      <c r="H326" s="220">
        <v>0</v>
      </c>
      <c r="I326" s="233">
        <f t="shared" si="45"/>
        <v>136.5</v>
      </c>
      <c r="J326" s="212">
        <f t="shared" si="44"/>
        <v>107.13553835752541</v>
      </c>
      <c r="K326" s="4" t="s">
        <v>626</v>
      </c>
      <c r="L326" s="4" t="s">
        <v>626</v>
      </c>
      <c r="M326" s="4" t="s">
        <v>750</v>
      </c>
      <c r="N326" s="4" t="s">
        <v>751</v>
      </c>
      <c r="O326" s="146" t="str">
        <f>_xlfn.XLOOKUP(N326,costcategory[Account Code],costcategory[Cost Category],"ERROR")</f>
        <v>Employee Benefits</v>
      </c>
      <c r="P326" s="4" t="s">
        <v>350</v>
      </c>
      <c r="Q326" s="147" t="str">
        <f>_xlfn.XLOOKUP(P326,Table2[Department],Table2[Group],"ERROR")</f>
        <v>General &amp; Administrative</v>
      </c>
      <c r="U326" s="2" t="s">
        <v>1269</v>
      </c>
      <c r="V326" s="2" t="s">
        <v>1214</v>
      </c>
    </row>
    <row r="327" spans="1:22" ht="12.95" customHeight="1" x14ac:dyDescent="0.2">
      <c r="A327" s="2" t="s">
        <v>15</v>
      </c>
      <c r="B327" s="2" t="s">
        <v>1</v>
      </c>
      <c r="C327" s="3">
        <v>46157</v>
      </c>
      <c r="D327" s="3">
        <v>46157</v>
      </c>
      <c r="E327" s="3">
        <v>46157</v>
      </c>
      <c r="F327" s="2" t="s">
        <v>77</v>
      </c>
      <c r="G327" s="212">
        <v>177.74</v>
      </c>
      <c r="H327" s="220">
        <v>15.989999999999998</v>
      </c>
      <c r="I327" s="233">
        <f t="shared" si="45"/>
        <v>193.73000000000002</v>
      </c>
      <c r="J327" s="212">
        <f t="shared" si="44"/>
        <v>152.0539768937978</v>
      </c>
      <c r="K327" s="4" t="s">
        <v>626</v>
      </c>
      <c r="L327" s="4" t="s">
        <v>626</v>
      </c>
      <c r="M327" s="4" t="s">
        <v>358</v>
      </c>
      <c r="N327" s="4" t="s">
        <v>60</v>
      </c>
      <c r="O327" s="146" t="str">
        <f>_xlfn.XLOOKUP(N327,costcategory[Account Code],costcategory[Cost Category],"ERROR")</f>
        <v>Subscription Fee</v>
      </c>
      <c r="P327" s="4" t="s">
        <v>658</v>
      </c>
      <c r="Q327" s="147" t="str">
        <f>_xlfn.XLOOKUP(P327,Table2[Department],Table2[Group],"ERROR")</f>
        <v>Sales &amp; Marketing</v>
      </c>
      <c r="U327" s="2" t="s">
        <v>1269</v>
      </c>
      <c r="V327" s="2" t="s">
        <v>1211</v>
      </c>
    </row>
    <row r="328" spans="1:22" ht="12.95" customHeight="1" x14ac:dyDescent="0.2">
      <c r="A328" s="2" t="s">
        <v>15</v>
      </c>
      <c r="B328" s="2" t="s">
        <v>1</v>
      </c>
      <c r="C328" s="3">
        <v>46157</v>
      </c>
      <c r="D328" s="3">
        <v>46157</v>
      </c>
      <c r="E328" s="3">
        <v>46157</v>
      </c>
      <c r="F328" s="2" t="s">
        <v>77</v>
      </c>
      <c r="G328" s="212">
        <v>64.849999999999994</v>
      </c>
      <c r="H328" s="220">
        <v>0</v>
      </c>
      <c r="I328" s="233">
        <f t="shared" si="45"/>
        <v>64.849999999999994</v>
      </c>
      <c r="J328" s="212">
        <f t="shared" si="44"/>
        <v>50.899191666560604</v>
      </c>
      <c r="K328" s="4" t="s">
        <v>626</v>
      </c>
      <c r="L328" s="4" t="s">
        <v>626</v>
      </c>
      <c r="M328" s="4" t="s">
        <v>358</v>
      </c>
      <c r="N328" s="4" t="s">
        <v>60</v>
      </c>
      <c r="O328" s="146" t="str">
        <f>_xlfn.XLOOKUP(N328,costcategory[Account Code],costcategory[Cost Category],"ERROR")</f>
        <v>Subscription Fee</v>
      </c>
      <c r="P328" s="4" t="s">
        <v>523</v>
      </c>
      <c r="Q328" s="147" t="str">
        <f>_xlfn.XLOOKUP(P328,Table2[Department],Table2[Group],"ERROR")</f>
        <v>General &amp; Administrative</v>
      </c>
      <c r="U328" s="2" t="s">
        <v>1269</v>
      </c>
      <c r="V328" s="2" t="s">
        <v>1214</v>
      </c>
    </row>
    <row r="329" spans="1:22" ht="12.95" customHeight="1" x14ac:dyDescent="0.2">
      <c r="A329" s="2" t="s">
        <v>15</v>
      </c>
      <c r="B329" s="2" t="s">
        <v>1</v>
      </c>
      <c r="C329" s="3">
        <v>46157</v>
      </c>
      <c r="D329" s="3">
        <v>46157</v>
      </c>
      <c r="E329" s="3">
        <v>46157</v>
      </c>
      <c r="F329" s="2" t="s">
        <v>77</v>
      </c>
      <c r="G329" s="212">
        <v>213.76</v>
      </c>
      <c r="H329" s="220">
        <v>9.490000000000002</v>
      </c>
      <c r="I329" s="233">
        <f t="shared" si="45"/>
        <v>223.25</v>
      </c>
      <c r="J329" s="212">
        <f t="shared" si="44"/>
        <v>175.22350870562306</v>
      </c>
      <c r="K329" s="4" t="s">
        <v>626</v>
      </c>
      <c r="L329" s="4" t="s">
        <v>626</v>
      </c>
      <c r="M329" s="4" t="s">
        <v>358</v>
      </c>
      <c r="N329" s="4" t="s">
        <v>60</v>
      </c>
      <c r="O329" s="146" t="str">
        <f>_xlfn.XLOOKUP(N329,costcategory[Account Code],costcategory[Cost Category],"ERROR")</f>
        <v>Subscription Fee</v>
      </c>
      <c r="P329" s="4" t="s">
        <v>56</v>
      </c>
      <c r="Q329" s="147" t="str">
        <f>_xlfn.XLOOKUP(P329,Table2[Department],Table2[Group],"ERROR")</f>
        <v>Research &amp; Development</v>
      </c>
      <c r="U329" s="2" t="s">
        <v>1269</v>
      </c>
      <c r="V329" s="2" t="s">
        <v>1211</v>
      </c>
    </row>
    <row r="330" spans="1:22" ht="12.95" customHeight="1" x14ac:dyDescent="0.2">
      <c r="A330" s="2" t="s">
        <v>15</v>
      </c>
      <c r="B330" s="2" t="s">
        <v>1</v>
      </c>
      <c r="C330" s="3">
        <v>46157</v>
      </c>
      <c r="D330" s="3">
        <v>46157</v>
      </c>
      <c r="E330" s="3">
        <v>46157</v>
      </c>
      <c r="F330" s="2" t="s">
        <v>77</v>
      </c>
      <c r="G330" s="212">
        <v>221.7</v>
      </c>
      <c r="H330" s="220">
        <v>0</v>
      </c>
      <c r="I330" s="233">
        <f t="shared" si="45"/>
        <v>221.7</v>
      </c>
      <c r="J330" s="212">
        <f t="shared" si="44"/>
        <v>174.00695131035445</v>
      </c>
      <c r="K330" s="4" t="s">
        <v>626</v>
      </c>
      <c r="L330" s="4" t="s">
        <v>626</v>
      </c>
      <c r="M330" s="4" t="s">
        <v>360</v>
      </c>
      <c r="N330" s="4" t="s">
        <v>353</v>
      </c>
      <c r="O330" s="146" t="str">
        <f>_xlfn.XLOOKUP(N330,costcategory[Account Code],costcategory[Cost Category],"ERROR")</f>
        <v>Travelling Expenses</v>
      </c>
      <c r="P330" s="4" t="s">
        <v>658</v>
      </c>
      <c r="Q330" s="147" t="str">
        <f>_xlfn.XLOOKUP(P330,Table2[Department],Table2[Group],"ERROR")</f>
        <v>Sales &amp; Marketing</v>
      </c>
      <c r="U330" s="2" t="s">
        <v>1269</v>
      </c>
      <c r="V330" s="2" t="s">
        <v>1214</v>
      </c>
    </row>
    <row r="331" spans="1:22" ht="12.95" customHeight="1" x14ac:dyDescent="0.2">
      <c r="A331" s="2" t="s">
        <v>15</v>
      </c>
      <c r="B331" s="2" t="s">
        <v>1</v>
      </c>
      <c r="C331" s="3">
        <v>46157</v>
      </c>
      <c r="D331" s="3">
        <v>46157</v>
      </c>
      <c r="E331" s="3">
        <v>46157</v>
      </c>
      <c r="F331" s="2" t="s">
        <v>77</v>
      </c>
      <c r="G331" s="212">
        <v>2160.86</v>
      </c>
      <c r="H331" s="220">
        <v>0</v>
      </c>
      <c r="I331" s="233">
        <f t="shared" si="45"/>
        <v>2160.86</v>
      </c>
      <c r="J331" s="212">
        <f t="shared" si="44"/>
        <v>1696.0065891226548</v>
      </c>
      <c r="K331" s="4" t="s">
        <v>626</v>
      </c>
      <c r="L331" s="4" t="s">
        <v>626</v>
      </c>
      <c r="M331" s="4" t="s">
        <v>360</v>
      </c>
      <c r="N331" s="4" t="s">
        <v>353</v>
      </c>
      <c r="O331" s="146" t="str">
        <f>_xlfn.XLOOKUP(N331,costcategory[Account Code],costcategory[Cost Category],"ERROR")</f>
        <v>Travelling Expenses</v>
      </c>
      <c r="P331" s="4" t="s">
        <v>523</v>
      </c>
      <c r="Q331" s="147" t="str">
        <f>_xlfn.XLOOKUP(P331,Table2[Department],Table2[Group],"ERROR")</f>
        <v>General &amp; Administrative</v>
      </c>
      <c r="U331" s="2" t="s">
        <v>1269</v>
      </c>
      <c r="V331" s="2" t="s">
        <v>1214</v>
      </c>
    </row>
    <row r="332" spans="1:22" ht="12.95" customHeight="1" x14ac:dyDescent="0.2">
      <c r="A332" s="2" t="s">
        <v>15</v>
      </c>
      <c r="B332" s="2" t="s">
        <v>1</v>
      </c>
      <c r="C332" s="3">
        <v>46157</v>
      </c>
      <c r="D332" s="3">
        <v>46157</v>
      </c>
      <c r="E332" s="3">
        <v>46157</v>
      </c>
      <c r="F332" s="2" t="s">
        <v>77</v>
      </c>
      <c r="G332" s="212">
        <v>500.57</v>
      </c>
      <c r="H332" s="220">
        <v>0</v>
      </c>
      <c r="I332" s="233">
        <f t="shared" si="45"/>
        <v>500.57</v>
      </c>
      <c r="J332" s="212">
        <f t="shared" si="44"/>
        <v>392.8852486126483</v>
      </c>
      <c r="K332" s="4" t="s">
        <v>626</v>
      </c>
      <c r="L332" s="4" t="s">
        <v>626</v>
      </c>
      <c r="M332" s="4" t="s">
        <v>360</v>
      </c>
      <c r="N332" s="4" t="s">
        <v>353</v>
      </c>
      <c r="O332" s="146" t="str">
        <f>_xlfn.XLOOKUP(N332,costcategory[Account Code],costcategory[Cost Category],"ERROR")</f>
        <v>Travelling Expenses</v>
      </c>
      <c r="P332" s="4" t="s">
        <v>56</v>
      </c>
      <c r="Q332" s="147" t="str">
        <f>_xlfn.XLOOKUP(P332,Table2[Department],Table2[Group],"ERROR")</f>
        <v>Research &amp; Development</v>
      </c>
      <c r="U332" s="2" t="s">
        <v>1269</v>
      </c>
      <c r="V332" s="2" t="s">
        <v>1214</v>
      </c>
    </row>
    <row r="333" spans="1:22" ht="12.95" customHeight="1" x14ac:dyDescent="0.2">
      <c r="A333" s="2" t="s">
        <v>15</v>
      </c>
      <c r="B333" s="2" t="s">
        <v>1</v>
      </c>
      <c r="C333" s="3">
        <v>46157</v>
      </c>
      <c r="D333" s="3">
        <v>46157</v>
      </c>
      <c r="E333" s="3">
        <v>46157</v>
      </c>
      <c r="F333" s="2" t="s">
        <v>77</v>
      </c>
      <c r="G333" s="212">
        <v>76.33</v>
      </c>
      <c r="H333" s="220">
        <v>0</v>
      </c>
      <c r="I333" s="233">
        <f t="shared" si="45"/>
        <v>76.33</v>
      </c>
      <c r="J333" s="212">
        <f t="shared" si="44"/>
        <v>59.909565148937098</v>
      </c>
      <c r="K333" s="4" t="s">
        <v>626</v>
      </c>
      <c r="L333" s="4" t="s">
        <v>626</v>
      </c>
      <c r="M333" s="4" t="s">
        <v>361</v>
      </c>
      <c r="N333" s="4" t="s">
        <v>356</v>
      </c>
      <c r="O333" s="146" t="str">
        <f>_xlfn.XLOOKUP(N333,costcategory[Account Code],costcategory[Cost Category],"ERROR")</f>
        <v>Travelling Expenses</v>
      </c>
      <c r="P333" s="4" t="s">
        <v>658</v>
      </c>
      <c r="Q333" s="147" t="str">
        <f>_xlfn.XLOOKUP(P333,Table2[Department],Table2[Group],"ERROR")</f>
        <v>Sales &amp; Marketing</v>
      </c>
      <c r="U333" s="2" t="s">
        <v>1269</v>
      </c>
      <c r="V333" s="2" t="s">
        <v>1214</v>
      </c>
    </row>
    <row r="334" spans="1:22" ht="12.95" customHeight="1" x14ac:dyDescent="0.2">
      <c r="A334" s="2" t="s">
        <v>15</v>
      </c>
      <c r="B334" s="2" t="s">
        <v>1</v>
      </c>
      <c r="C334" s="3">
        <v>46157</v>
      </c>
      <c r="D334" s="3">
        <v>46157</v>
      </c>
      <c r="E334" s="3">
        <v>46157</v>
      </c>
      <c r="F334" s="2" t="s">
        <v>77</v>
      </c>
      <c r="G334" s="212">
        <v>31.7</v>
      </c>
      <c r="H334" s="220">
        <v>0</v>
      </c>
      <c r="I334" s="233">
        <f t="shared" si="45"/>
        <v>31.7</v>
      </c>
      <c r="J334" s="212">
        <f t="shared" si="44"/>
        <v>24.880560922590149</v>
      </c>
      <c r="K334" s="4" t="s">
        <v>626</v>
      </c>
      <c r="L334" s="4" t="s">
        <v>626</v>
      </c>
      <c r="M334" s="4" t="s">
        <v>361</v>
      </c>
      <c r="N334" s="4" t="s">
        <v>356</v>
      </c>
      <c r="O334" s="146" t="str">
        <f>_xlfn.XLOOKUP(N334,costcategory[Account Code],costcategory[Cost Category],"ERROR")</f>
        <v>Travelling Expenses</v>
      </c>
      <c r="P334" s="4" t="s">
        <v>523</v>
      </c>
      <c r="Q334" s="147" t="str">
        <f>_xlfn.XLOOKUP(P334,Table2[Department],Table2[Group],"ERROR")</f>
        <v>General &amp; Administrative</v>
      </c>
      <c r="U334" s="2" t="s">
        <v>1269</v>
      </c>
      <c r="V334" s="2" t="s">
        <v>1214</v>
      </c>
    </row>
    <row r="335" spans="1:22" ht="12.95" customHeight="1" x14ac:dyDescent="0.2">
      <c r="A335" s="2" t="s">
        <v>15</v>
      </c>
      <c r="B335" s="2" t="s">
        <v>1</v>
      </c>
      <c r="C335" s="3">
        <v>46157</v>
      </c>
      <c r="D335" s="3">
        <v>46157</v>
      </c>
      <c r="E335" s="3">
        <v>46157</v>
      </c>
      <c r="F335" s="2" t="s">
        <v>77</v>
      </c>
      <c r="G335" s="212">
        <v>111.46</v>
      </c>
      <c r="H335" s="220">
        <v>0</v>
      </c>
      <c r="I335" s="233">
        <f t="shared" si="45"/>
        <v>111.46</v>
      </c>
      <c r="J335" s="212">
        <f t="shared" si="44"/>
        <v>87.48224985589583</v>
      </c>
      <c r="K335" s="4" t="s">
        <v>626</v>
      </c>
      <c r="L335" s="4" t="s">
        <v>626</v>
      </c>
      <c r="M335" s="4" t="s">
        <v>361</v>
      </c>
      <c r="N335" s="4" t="s">
        <v>356</v>
      </c>
      <c r="O335" s="146" t="str">
        <f>_xlfn.XLOOKUP(N335,costcategory[Account Code],costcategory[Cost Category],"ERROR")</f>
        <v>Travelling Expenses</v>
      </c>
      <c r="P335" s="4" t="s">
        <v>56</v>
      </c>
      <c r="Q335" s="147" t="str">
        <f>_xlfn.XLOOKUP(P335,Table2[Department],Table2[Group],"ERROR")</f>
        <v>Research &amp; Development</v>
      </c>
      <c r="U335" s="2" t="s">
        <v>1269</v>
      </c>
      <c r="V335" s="2" t="s">
        <v>1214</v>
      </c>
    </row>
    <row r="336" spans="1:22" ht="12.95" customHeight="1" x14ac:dyDescent="0.2">
      <c r="A336" s="2" t="s">
        <v>15</v>
      </c>
      <c r="B336" s="2" t="s">
        <v>1</v>
      </c>
      <c r="C336" s="3">
        <v>46157</v>
      </c>
      <c r="D336" s="3">
        <v>46157</v>
      </c>
      <c r="E336" s="3">
        <v>46157</v>
      </c>
      <c r="F336" s="2" t="s">
        <v>77</v>
      </c>
      <c r="G336" s="212">
        <v>11.3</v>
      </c>
      <c r="H336" s="220">
        <v>0</v>
      </c>
      <c r="I336" s="233">
        <f t="shared" si="45"/>
        <v>11.3</v>
      </c>
      <c r="J336" s="212">
        <f t="shared" si="44"/>
        <v>8.8690958493775618</v>
      </c>
      <c r="K336" s="4" t="s">
        <v>626</v>
      </c>
      <c r="L336" s="4" t="s">
        <v>626</v>
      </c>
      <c r="M336" s="4" t="s">
        <v>361</v>
      </c>
      <c r="N336" s="4" t="s">
        <v>356</v>
      </c>
      <c r="O336" s="146" t="str">
        <f>_xlfn.XLOOKUP(N336,costcategory[Account Code],costcategory[Cost Category],"ERROR")</f>
        <v>Travelling Expenses</v>
      </c>
      <c r="P336" s="4" t="s">
        <v>438</v>
      </c>
      <c r="Q336" s="147" t="str">
        <f>_xlfn.XLOOKUP(P336,Table2[Department],Table2[Group],"ERROR")</f>
        <v>Sales &amp; Marketing</v>
      </c>
      <c r="U336" s="2" t="s">
        <v>1269</v>
      </c>
      <c r="V336" s="2" t="s">
        <v>1214</v>
      </c>
    </row>
    <row r="337" spans="1:23" ht="12.95" customHeight="1" x14ac:dyDescent="0.2">
      <c r="A337" s="2" t="s">
        <v>15</v>
      </c>
      <c r="B337" s="2" t="s">
        <v>1</v>
      </c>
      <c r="C337" s="3">
        <v>46157</v>
      </c>
      <c r="D337" s="3">
        <v>46157</v>
      </c>
      <c r="E337" s="3">
        <v>46157</v>
      </c>
      <c r="F337" s="2" t="s">
        <v>77</v>
      </c>
      <c r="G337" s="212">
        <v>40.14</v>
      </c>
      <c r="H337" s="220">
        <v>0</v>
      </c>
      <c r="I337" s="233">
        <f t="shared" si="45"/>
        <v>40.14</v>
      </c>
      <c r="J337" s="212">
        <f t="shared" si="44"/>
        <v>31.504912158762416</v>
      </c>
      <c r="K337" s="4" t="s">
        <v>626</v>
      </c>
      <c r="L337" s="4" t="s">
        <v>626</v>
      </c>
      <c r="M337" s="4" t="s">
        <v>361</v>
      </c>
      <c r="N337" s="4" t="s">
        <v>356</v>
      </c>
      <c r="O337" s="146" t="str">
        <f>_xlfn.XLOOKUP(N337,costcategory[Account Code],costcategory[Cost Category],"ERROR")</f>
        <v>Travelling Expenses</v>
      </c>
      <c r="P337" s="4" t="s">
        <v>350</v>
      </c>
      <c r="Q337" s="147" t="str">
        <f>_xlfn.XLOOKUP(P337,Table2[Department],Table2[Group],"ERROR")</f>
        <v>General &amp; Administrative</v>
      </c>
      <c r="U337" s="2" t="s">
        <v>1269</v>
      </c>
      <c r="V337" s="2" t="s">
        <v>1214</v>
      </c>
    </row>
    <row r="338" spans="1:23" ht="12.95" customHeight="1" x14ac:dyDescent="0.2">
      <c r="A338" s="2" t="s">
        <v>15</v>
      </c>
      <c r="B338" s="2" t="s">
        <v>1</v>
      </c>
      <c r="C338" s="3">
        <v>46135</v>
      </c>
      <c r="D338" s="3">
        <v>46165</v>
      </c>
      <c r="E338" s="3">
        <v>46157</v>
      </c>
      <c r="F338" s="2" t="s">
        <v>77</v>
      </c>
      <c r="G338" s="212">
        <v>66.5</v>
      </c>
      <c r="H338" s="220">
        <v>5.99</v>
      </c>
      <c r="I338" s="223">
        <f t="shared" si="45"/>
        <v>72.489999999999995</v>
      </c>
      <c r="J338" s="212">
        <f t="shared" si="44"/>
        <v>56.895642311626496</v>
      </c>
      <c r="K338" s="4" t="s">
        <v>665</v>
      </c>
      <c r="L338" s="4" t="s">
        <v>926</v>
      </c>
      <c r="M338" s="4" t="s">
        <v>666</v>
      </c>
      <c r="N338" s="4" t="s">
        <v>50</v>
      </c>
      <c r="O338" s="146" t="str">
        <f>_xlfn.XLOOKUP(N338,costcategory[Account Code],costcategory[Cost Category],"ERROR")</f>
        <v>Office Supplies</v>
      </c>
      <c r="P338" s="4" t="s">
        <v>340</v>
      </c>
      <c r="Q338" s="147" t="str">
        <f>_xlfn.XLOOKUP(P338,Table2[Department],Table2[Group],"ERROR")</f>
        <v>General &amp; Administrative</v>
      </c>
      <c r="U338" s="2" t="s">
        <v>1270</v>
      </c>
      <c r="V338" s="2" t="s">
        <v>1211</v>
      </c>
    </row>
    <row r="339" spans="1:23" ht="12.95" customHeight="1" x14ac:dyDescent="0.2">
      <c r="A339" s="2" t="s">
        <v>15</v>
      </c>
      <c r="B339" s="2" t="s">
        <v>1</v>
      </c>
      <c r="C339" s="3">
        <v>46149</v>
      </c>
      <c r="D339" s="3">
        <v>46165</v>
      </c>
      <c r="E339" s="3">
        <v>46157</v>
      </c>
      <c r="F339" s="2" t="s">
        <v>77</v>
      </c>
      <c r="G339" s="212">
        <v>57</v>
      </c>
      <c r="H339" s="220">
        <v>5.13</v>
      </c>
      <c r="I339" s="232">
        <f t="shared" si="45"/>
        <v>62.13</v>
      </c>
      <c r="J339" s="212">
        <f t="shared" si="44"/>
        <v>48.764329656798928</v>
      </c>
      <c r="K339" s="4" t="s">
        <v>665</v>
      </c>
      <c r="L339" s="4" t="s">
        <v>927</v>
      </c>
      <c r="M339" s="4" t="s">
        <v>666</v>
      </c>
      <c r="N339" s="4" t="s">
        <v>50</v>
      </c>
      <c r="O339" s="146" t="str">
        <f>_xlfn.XLOOKUP(N339,costcategory[Account Code],costcategory[Cost Category],"ERROR")</f>
        <v>Office Supplies</v>
      </c>
      <c r="P339" s="4" t="s">
        <v>340</v>
      </c>
      <c r="Q339" s="147" t="str">
        <f>_xlfn.XLOOKUP(P339,Table2[Department],Table2[Group],"ERROR")</f>
        <v>General &amp; Administrative</v>
      </c>
      <c r="U339" s="2" t="s">
        <v>1270</v>
      </c>
      <c r="V339" s="2" t="s">
        <v>1211</v>
      </c>
    </row>
    <row r="340" spans="1:23" ht="12.95" customHeight="1" x14ac:dyDescent="0.2">
      <c r="A340" s="2" t="s">
        <v>15</v>
      </c>
      <c r="B340" s="2" t="s">
        <v>1</v>
      </c>
      <c r="C340" s="3">
        <v>46112</v>
      </c>
      <c r="D340" s="3">
        <v>46142</v>
      </c>
      <c r="E340" s="3">
        <v>46157</v>
      </c>
      <c r="F340" s="2" t="s">
        <v>77</v>
      </c>
      <c r="G340" s="212">
        <v>47.85</v>
      </c>
      <c r="H340" s="220">
        <v>0</v>
      </c>
      <c r="I340" s="233">
        <f t="shared" si="45"/>
        <v>47.85</v>
      </c>
      <c r="J340" s="212">
        <f t="shared" si="44"/>
        <v>37.556304105550119</v>
      </c>
      <c r="K340" s="4" t="s">
        <v>839</v>
      </c>
      <c r="L340" s="4" t="s">
        <v>920</v>
      </c>
      <c r="M340" s="4" t="s">
        <v>921</v>
      </c>
      <c r="N340" s="4" t="s">
        <v>344</v>
      </c>
      <c r="O340" s="146" t="str">
        <f>_xlfn.XLOOKUP(N340,costcategory[Account Code],costcategory[Cost Category],"ERROR")</f>
        <v>Courier Charges</v>
      </c>
      <c r="P340" s="4" t="s">
        <v>340</v>
      </c>
      <c r="Q340" s="147" t="str">
        <f>_xlfn.XLOOKUP(P340,Table2[Department],Table2[Group],"ERROR")</f>
        <v>General &amp; Administrative</v>
      </c>
      <c r="U340" s="2" t="s">
        <v>1271</v>
      </c>
      <c r="V340" s="2" t="s">
        <v>1214</v>
      </c>
    </row>
    <row r="341" spans="1:23" ht="12.95" customHeight="1" x14ac:dyDescent="0.2">
      <c r="A341" s="2" t="s">
        <v>15</v>
      </c>
      <c r="B341" s="2" t="s">
        <v>1</v>
      </c>
      <c r="C341" s="3">
        <v>46122</v>
      </c>
      <c r="D341" s="3">
        <v>46152</v>
      </c>
      <c r="E341" s="3">
        <v>46157</v>
      </c>
      <c r="F341" s="2" t="s">
        <v>77</v>
      </c>
      <c r="G341" s="212">
        <v>21.4</v>
      </c>
      <c r="H341" s="220">
        <v>1.93</v>
      </c>
      <c r="I341" s="232">
        <f t="shared" si="45"/>
        <v>23.33</v>
      </c>
      <c r="J341" s="212">
        <f t="shared" si="44"/>
        <v>18.311150988139691</v>
      </c>
      <c r="K341" s="4" t="s">
        <v>839</v>
      </c>
      <c r="L341" s="4" t="s">
        <v>922</v>
      </c>
      <c r="M341" s="4" t="s">
        <v>923</v>
      </c>
      <c r="N341" s="4" t="s">
        <v>344</v>
      </c>
      <c r="O341" s="146" t="str">
        <f>_xlfn.XLOOKUP(N341,costcategory[Account Code],costcategory[Cost Category],"ERROR")</f>
        <v>Courier Charges</v>
      </c>
      <c r="P341" s="4" t="s">
        <v>340</v>
      </c>
      <c r="Q341" s="147" t="str">
        <f>_xlfn.XLOOKUP(P341,Table2[Department],Table2[Group],"ERROR")</f>
        <v>General &amp; Administrative</v>
      </c>
      <c r="U341" s="2" t="s">
        <v>1271</v>
      </c>
      <c r="V341" s="2" t="s">
        <v>1211</v>
      </c>
    </row>
    <row r="342" spans="1:23" ht="12.95" customHeight="1" x14ac:dyDescent="0.2">
      <c r="A342" s="2" t="s">
        <v>15</v>
      </c>
      <c r="B342" s="2" t="s">
        <v>1</v>
      </c>
      <c r="C342" s="3">
        <v>46155</v>
      </c>
      <c r="D342" s="3">
        <v>46155</v>
      </c>
      <c r="E342" s="3">
        <v>46158</v>
      </c>
      <c r="F342" s="2" t="s">
        <v>77</v>
      </c>
      <c r="G342" s="212">
        <v>466.84</v>
      </c>
      <c r="H342" s="220">
        <v>0</v>
      </c>
      <c r="I342" s="198">
        <f t="shared" si="45"/>
        <v>466.84</v>
      </c>
      <c r="J342" s="212">
        <f t="shared" si="44"/>
        <v>366.41138994012573</v>
      </c>
      <c r="K342" s="4" t="s">
        <v>928</v>
      </c>
      <c r="L342" s="4" t="s">
        <v>855</v>
      </c>
      <c r="M342" s="4" t="s">
        <v>929</v>
      </c>
      <c r="N342" s="4" t="s">
        <v>527</v>
      </c>
      <c r="O342" s="146" t="str">
        <f>_xlfn.XLOOKUP(N342,costcategory[Account Code],costcategory[Cost Category],"ERROR")</f>
        <v>Sales Expenses</v>
      </c>
      <c r="P342" s="4" t="s">
        <v>523</v>
      </c>
      <c r="Q342" s="147" t="str">
        <f>_xlfn.XLOOKUP(P342,Table2[Department],Table2[Group],"ERROR")</f>
        <v>General &amp; Administrative</v>
      </c>
      <c r="V342" s="2" t="s">
        <v>1214</v>
      </c>
    </row>
    <row r="343" spans="1:23" ht="12.95" customHeight="1" x14ac:dyDescent="0.2">
      <c r="A343" s="2" t="s">
        <v>15</v>
      </c>
      <c r="B343" s="2" t="s">
        <v>1</v>
      </c>
      <c r="C343" s="3">
        <v>46160</v>
      </c>
      <c r="D343" s="3">
        <v>46160</v>
      </c>
      <c r="E343" s="3">
        <v>46160</v>
      </c>
      <c r="F343" s="2" t="s">
        <v>77</v>
      </c>
      <c r="G343" s="212">
        <v>-230000</v>
      </c>
      <c r="H343" s="220">
        <v>0</v>
      </c>
      <c r="I343" s="198">
        <f t="shared" si="45"/>
        <v>-230000</v>
      </c>
      <c r="J343" s="212">
        <f t="shared" si="44"/>
        <v>-180521.41994308311</v>
      </c>
      <c r="K343" s="4" t="s">
        <v>455</v>
      </c>
      <c r="L343" s="4" t="s">
        <v>881</v>
      </c>
      <c r="M343" s="4" t="s">
        <v>882</v>
      </c>
      <c r="N343" s="4" t="s">
        <v>930</v>
      </c>
      <c r="O343" s="146" t="str">
        <f>_xlfn.XLOOKUP(N343,costcategory[Account Code],costcategory[Cost Category],"ERROR")</f>
        <v>Bank</v>
      </c>
      <c r="P343" s="4" t="s">
        <v>333</v>
      </c>
      <c r="Q343" s="147" t="str">
        <f>_xlfn.XLOOKUP(P343,Table2[Department],Table2[Group],"ERROR")</f>
        <v>General &amp; Administrative</v>
      </c>
      <c r="U343" s="2" t="s">
        <v>1272</v>
      </c>
      <c r="V343" s="2" t="s">
        <v>1214</v>
      </c>
    </row>
    <row r="344" spans="1:23" ht="12.95" customHeight="1" x14ac:dyDescent="0.2">
      <c r="A344" s="2" t="s">
        <v>15</v>
      </c>
      <c r="B344" s="2" t="s">
        <v>1</v>
      </c>
      <c r="C344" s="3">
        <v>46148</v>
      </c>
      <c r="D344" s="3">
        <v>46160</v>
      </c>
      <c r="E344" s="3">
        <v>46160</v>
      </c>
      <c r="F344" s="2" t="s">
        <v>77</v>
      </c>
      <c r="G344" s="212">
        <v>9164.7999999999993</v>
      </c>
      <c r="H344" s="220">
        <v>0</v>
      </c>
      <c r="I344" s="198">
        <f t="shared" si="45"/>
        <v>9164.7999999999993</v>
      </c>
      <c r="J344" s="212">
        <f t="shared" si="44"/>
        <v>7193.2291717146427</v>
      </c>
      <c r="K344" s="4" t="s">
        <v>931</v>
      </c>
      <c r="L344" s="4" t="s">
        <v>932</v>
      </c>
      <c r="M344" s="4" t="s">
        <v>933</v>
      </c>
      <c r="N344" s="4" t="s">
        <v>447</v>
      </c>
      <c r="O344" s="146" t="str">
        <f>_xlfn.XLOOKUP(N344,costcategory[Account Code],costcategory[Cost Category],"ERROR")</f>
        <v>Accrual</v>
      </c>
      <c r="P344" s="4" t="s">
        <v>350</v>
      </c>
      <c r="Q344" s="147" t="str">
        <f>_xlfn.XLOOKUP(P344,Table2[Department],Table2[Group],"ERROR")</f>
        <v>General &amp; Administrative</v>
      </c>
      <c r="U344" s="2" t="s">
        <v>1273</v>
      </c>
      <c r="V344" s="2" t="s">
        <v>1214</v>
      </c>
    </row>
    <row r="345" spans="1:23" ht="12.95" customHeight="1" x14ac:dyDescent="0.2">
      <c r="A345" s="2" t="s">
        <v>15</v>
      </c>
      <c r="B345" s="2" t="s">
        <v>1</v>
      </c>
      <c r="C345" s="3" t="s">
        <v>664</v>
      </c>
      <c r="D345" s="3" t="s">
        <v>664</v>
      </c>
      <c r="E345" s="3" t="s">
        <v>664</v>
      </c>
      <c r="F345" s="2" t="s">
        <v>77</v>
      </c>
      <c r="G345" s="198">
        <v>-2000</v>
      </c>
      <c r="H345" s="220">
        <v>0</v>
      </c>
      <c r="I345" s="198">
        <f>G345+H345</f>
        <v>-2000</v>
      </c>
      <c r="J345" s="212">
        <f t="shared" si="44"/>
        <v>-1569.7514777659401</v>
      </c>
      <c r="K345" s="4" t="s">
        <v>1274</v>
      </c>
      <c r="M345" s="4" t="s">
        <v>1275</v>
      </c>
      <c r="N345" s="4" t="s">
        <v>795</v>
      </c>
      <c r="O345" s="146" t="str">
        <f>_xlfn.XLOOKUP(N345,costcategory[Account Code],costcategory[Cost Category],"ERROR")</f>
        <v>Other Income</v>
      </c>
      <c r="P345" s="4" t="s">
        <v>350</v>
      </c>
      <c r="Q345" s="147" t="str">
        <f>_xlfn.XLOOKUP(P345,Table2[Department],Table2[Group],"ERROR")</f>
        <v>General &amp; Administrative</v>
      </c>
      <c r="U345" s="2" t="s">
        <v>1276</v>
      </c>
      <c r="V345" s="2" t="s">
        <v>1214</v>
      </c>
    </row>
    <row r="346" spans="1:23" ht="12.95" customHeight="1" x14ac:dyDescent="0.2">
      <c r="A346" s="2" t="s">
        <v>15</v>
      </c>
      <c r="B346" s="2" t="s">
        <v>1</v>
      </c>
      <c r="C346" s="3" t="s">
        <v>1277</v>
      </c>
      <c r="D346" s="3" t="s">
        <v>1277</v>
      </c>
      <c r="E346" s="3" t="s">
        <v>1277</v>
      </c>
      <c r="F346" s="2" t="s">
        <v>77</v>
      </c>
      <c r="G346" s="198">
        <v>-180.11</v>
      </c>
      <c r="H346" s="220">
        <v>0</v>
      </c>
      <c r="I346" s="198">
        <f>G346+H346</f>
        <v>-180.11</v>
      </c>
      <c r="J346" s="212">
        <f t="shared" si="44"/>
        <v>-141.36396933021175</v>
      </c>
      <c r="K346" s="4" t="s">
        <v>659</v>
      </c>
      <c r="L346" s="4" t="s">
        <v>1278</v>
      </c>
      <c r="M346" s="4" t="s">
        <v>1279</v>
      </c>
      <c r="N346" s="4" t="s">
        <v>786</v>
      </c>
      <c r="O346" s="146" t="str">
        <f>_xlfn.XLOOKUP(N346,costcategory[Account Code],costcategory[Cost Category],"ERROR")</f>
        <v>Current Asset</v>
      </c>
      <c r="P346" s="4" t="s">
        <v>340</v>
      </c>
      <c r="Q346" s="147" t="str">
        <f>_xlfn.XLOOKUP(P346,Table2[Department],Table2[Group],"ERROR")</f>
        <v>General &amp; Administrative</v>
      </c>
      <c r="U346" s="2" t="s">
        <v>1280</v>
      </c>
      <c r="V346" s="2" t="s">
        <v>1214</v>
      </c>
    </row>
    <row r="347" spans="1:23" ht="12.95" customHeight="1" x14ac:dyDescent="0.2">
      <c r="A347" s="2" t="s">
        <v>15</v>
      </c>
      <c r="B347" s="2" t="s">
        <v>1</v>
      </c>
      <c r="C347" s="3" t="s">
        <v>1281</v>
      </c>
      <c r="D347" s="3" t="s">
        <v>1281</v>
      </c>
      <c r="E347" s="3" t="s">
        <v>1282</v>
      </c>
      <c r="F347" s="2" t="s">
        <v>77</v>
      </c>
      <c r="G347" s="198">
        <v>46.64</v>
      </c>
      <c r="H347" s="220">
        <v>0</v>
      </c>
      <c r="I347" s="198">
        <f>G347+H347</f>
        <v>46.64</v>
      </c>
      <c r="J347" s="212">
        <f t="shared" si="44"/>
        <v>36.606604461501725</v>
      </c>
      <c r="K347" s="4" t="s">
        <v>934</v>
      </c>
      <c r="L347" s="4" t="s">
        <v>855</v>
      </c>
      <c r="M347" s="4" t="s">
        <v>934</v>
      </c>
      <c r="N347" s="4" t="s">
        <v>527</v>
      </c>
      <c r="O347" s="146" t="str">
        <f>_xlfn.XLOOKUP(N347,costcategory[Account Code],costcategory[Cost Category],"ERROR")</f>
        <v>Sales Expenses</v>
      </c>
      <c r="P347" s="4" t="s">
        <v>523</v>
      </c>
      <c r="Q347" s="147" t="str">
        <f>_xlfn.XLOOKUP(P347,Table2[Department],Table2[Group],"ERROR")</f>
        <v>General &amp; Administrative</v>
      </c>
      <c r="V347" s="2" t="s">
        <v>1214</v>
      </c>
    </row>
    <row r="348" spans="1:23" ht="12.95" customHeight="1" x14ac:dyDescent="0.2">
      <c r="A348" s="2" t="s">
        <v>15</v>
      </c>
      <c r="B348" s="2" t="s">
        <v>1</v>
      </c>
      <c r="C348" s="3" t="s">
        <v>1281</v>
      </c>
      <c r="D348" s="3" t="s">
        <v>1281</v>
      </c>
      <c r="E348" s="3" t="s">
        <v>1282</v>
      </c>
      <c r="F348" s="2" t="s">
        <v>77</v>
      </c>
      <c r="G348" s="198">
        <v>70.3</v>
      </c>
      <c r="H348" s="220">
        <v>0</v>
      </c>
      <c r="I348" s="198">
        <f t="shared" ref="I348:I359" si="46">G348+H348</f>
        <v>70.3</v>
      </c>
      <c r="J348" s="212">
        <f t="shared" si="44"/>
        <v>55.176764443472791</v>
      </c>
      <c r="K348" s="4" t="s">
        <v>935</v>
      </c>
      <c r="L348" s="4" t="s">
        <v>855</v>
      </c>
      <c r="M348" s="4" t="s">
        <v>935</v>
      </c>
      <c r="N348" s="4" t="s">
        <v>527</v>
      </c>
      <c r="O348" s="146" t="str">
        <f>_xlfn.XLOOKUP(N348,costcategory[Account Code],costcategory[Cost Category],"ERROR")</f>
        <v>Sales Expenses</v>
      </c>
      <c r="P348" s="4" t="s">
        <v>523</v>
      </c>
      <c r="Q348" s="147" t="str">
        <f>_xlfn.XLOOKUP(P348,Table2[Department],Table2[Group],"ERROR")</f>
        <v>General &amp; Administrative</v>
      </c>
      <c r="V348" s="2" t="s">
        <v>1214</v>
      </c>
    </row>
    <row r="349" spans="1:23" ht="12.95" customHeight="1" x14ac:dyDescent="0.2">
      <c r="A349" s="2" t="s">
        <v>15</v>
      </c>
      <c r="B349" s="2" t="s">
        <v>1</v>
      </c>
      <c r="C349" s="3" t="s">
        <v>664</v>
      </c>
      <c r="D349" s="3" t="s">
        <v>664</v>
      </c>
      <c r="E349" s="3" t="s">
        <v>1283</v>
      </c>
      <c r="F349" s="2" t="s">
        <v>77</v>
      </c>
      <c r="G349" s="198">
        <v>108.03</v>
      </c>
      <c r="H349" s="220">
        <v>0</v>
      </c>
      <c r="I349" s="198">
        <f t="shared" si="46"/>
        <v>108.03</v>
      </c>
      <c r="J349" s="212">
        <f t="shared" si="44"/>
        <v>84.790126071527254</v>
      </c>
      <c r="K349" s="4" t="s">
        <v>936</v>
      </c>
      <c r="L349" s="4" t="s">
        <v>855</v>
      </c>
      <c r="M349" s="4" t="s">
        <v>937</v>
      </c>
      <c r="N349" s="4" t="s">
        <v>390</v>
      </c>
      <c r="O349" s="146" t="str">
        <f>_xlfn.XLOOKUP(N349,costcategory[Account Code],costcategory[Cost Category],"ERROR")</f>
        <v>Employee Benefits</v>
      </c>
      <c r="P349" s="4" t="s">
        <v>523</v>
      </c>
      <c r="Q349" s="147" t="str">
        <f>_xlfn.XLOOKUP(P349,Table2[Department],Table2[Group],"ERROR")</f>
        <v>General &amp; Administrative</v>
      </c>
      <c r="V349" s="2" t="s">
        <v>1214</v>
      </c>
    </row>
    <row r="350" spans="1:23" ht="12.95" customHeight="1" x14ac:dyDescent="0.2">
      <c r="A350" s="2" t="s">
        <v>15</v>
      </c>
      <c r="B350" s="2" t="s">
        <v>1</v>
      </c>
      <c r="C350" s="3" t="s">
        <v>664</v>
      </c>
      <c r="D350" s="3" t="s">
        <v>664</v>
      </c>
      <c r="E350" s="3" t="s">
        <v>1283</v>
      </c>
      <c r="F350" s="2" t="s">
        <v>77</v>
      </c>
      <c r="G350" s="198">
        <v>93.4</v>
      </c>
      <c r="H350" s="220">
        <v>0</v>
      </c>
      <c r="I350" s="198">
        <f t="shared" si="46"/>
        <v>93.4</v>
      </c>
      <c r="J350" s="212">
        <f t="shared" si="44"/>
        <v>73.307394011669402</v>
      </c>
      <c r="K350" s="4" t="s">
        <v>938</v>
      </c>
      <c r="L350" s="4" t="s">
        <v>855</v>
      </c>
      <c r="M350" s="4" t="s">
        <v>939</v>
      </c>
      <c r="N350" s="4" t="s">
        <v>527</v>
      </c>
      <c r="O350" s="146" t="str">
        <f>_xlfn.XLOOKUP(N350,costcategory[Account Code],costcategory[Cost Category],"ERROR")</f>
        <v>Sales Expenses</v>
      </c>
      <c r="P350" s="4" t="s">
        <v>523</v>
      </c>
      <c r="Q350" s="147" t="str">
        <f>_xlfn.XLOOKUP(P350,Table2[Department],Table2[Group],"ERROR")</f>
        <v>General &amp; Administrative</v>
      </c>
      <c r="V350" s="2" t="s">
        <v>1214</v>
      </c>
    </row>
    <row r="351" spans="1:23" ht="12.95" customHeight="1" x14ac:dyDescent="0.2">
      <c r="A351" s="2" t="s">
        <v>15</v>
      </c>
      <c r="B351" s="2" t="s">
        <v>1</v>
      </c>
      <c r="C351" s="183" t="s">
        <v>1277</v>
      </c>
      <c r="D351" s="183" t="s">
        <v>1277</v>
      </c>
      <c r="E351" s="183" t="s">
        <v>1284</v>
      </c>
      <c r="F351" s="2" t="s">
        <v>77</v>
      </c>
      <c r="G351" s="234">
        <v>137.21</v>
      </c>
      <c r="H351" s="220">
        <v>0</v>
      </c>
      <c r="I351" s="198">
        <f t="shared" si="46"/>
        <v>137.21</v>
      </c>
      <c r="J351" s="212">
        <f t="shared" si="44"/>
        <v>107.69280013213232</v>
      </c>
      <c r="K351" s="144" t="s">
        <v>940</v>
      </c>
      <c r="L351" s="4" t="s">
        <v>855</v>
      </c>
      <c r="M351" s="144" t="s">
        <v>941</v>
      </c>
      <c r="N351" s="144" t="s">
        <v>527</v>
      </c>
      <c r="O351" s="146" t="str">
        <f>_xlfn.XLOOKUP(N351,costcategory[Account Code],costcategory[Cost Category],"ERROR")</f>
        <v>Sales Expenses</v>
      </c>
      <c r="P351" s="144" t="s">
        <v>523</v>
      </c>
      <c r="Q351" s="147" t="str">
        <f>_xlfn.XLOOKUP(P351,Table2[Department],Table2[Group],"ERROR")</f>
        <v>General &amp; Administrative</v>
      </c>
      <c r="R351" s="183"/>
      <c r="S351" s="183"/>
      <c r="T351" s="183"/>
      <c r="U351" s="183"/>
      <c r="V351" s="2" t="s">
        <v>1214</v>
      </c>
      <c r="W351" s="144"/>
    </row>
    <row r="352" spans="1:23" ht="12.95" customHeight="1" x14ac:dyDescent="0.2">
      <c r="A352" s="2" t="s">
        <v>15</v>
      </c>
      <c r="B352" s="2" t="s">
        <v>1</v>
      </c>
      <c r="C352" s="183" t="s">
        <v>1283</v>
      </c>
      <c r="D352" s="183" t="s">
        <v>1283</v>
      </c>
      <c r="E352" s="183" t="s">
        <v>1285</v>
      </c>
      <c r="F352" s="2" t="s">
        <v>77</v>
      </c>
      <c r="G352" s="234">
        <v>9.5</v>
      </c>
      <c r="H352" s="220">
        <v>0</v>
      </c>
      <c r="I352" s="223">
        <f t="shared" si="46"/>
        <v>9.5</v>
      </c>
      <c r="J352" s="212">
        <f t="shared" si="44"/>
        <v>7.4563195193882148</v>
      </c>
      <c r="K352" s="144" t="s">
        <v>942</v>
      </c>
      <c r="L352" s="4" t="s">
        <v>855</v>
      </c>
      <c r="M352" s="144" t="s">
        <v>943</v>
      </c>
      <c r="N352" s="144" t="s">
        <v>390</v>
      </c>
      <c r="O352" s="146" t="str">
        <f>_xlfn.XLOOKUP(N352,costcategory[Account Code],costcategory[Cost Category],"ERROR")</f>
        <v>Employee Benefits</v>
      </c>
      <c r="P352" s="144" t="s">
        <v>523</v>
      </c>
      <c r="Q352" s="147" t="str">
        <f>_xlfn.XLOOKUP(P352,Table2[Department],Table2[Group],"ERROR")</f>
        <v>General &amp; Administrative</v>
      </c>
      <c r="R352" s="183"/>
      <c r="S352" s="183"/>
      <c r="T352" s="183"/>
      <c r="U352" s="183"/>
      <c r="V352" s="2" t="s">
        <v>1214</v>
      </c>
      <c r="W352" s="144"/>
    </row>
    <row r="353" spans="1:23" ht="12.95" customHeight="1" x14ac:dyDescent="0.2">
      <c r="A353" s="2" t="s">
        <v>15</v>
      </c>
      <c r="B353" s="2" t="s">
        <v>1</v>
      </c>
      <c r="C353" s="183" t="s">
        <v>1283</v>
      </c>
      <c r="D353" s="183" t="s">
        <v>1283</v>
      </c>
      <c r="E353" s="183" t="s">
        <v>1285</v>
      </c>
      <c r="F353" s="2" t="s">
        <v>77</v>
      </c>
      <c r="G353" s="234">
        <v>19</v>
      </c>
      <c r="H353" s="220">
        <v>0</v>
      </c>
      <c r="I353" s="233">
        <f t="shared" si="46"/>
        <v>19</v>
      </c>
      <c r="J353" s="212">
        <f t="shared" si="44"/>
        <v>14.91263903877643</v>
      </c>
      <c r="K353" s="144" t="s">
        <v>942</v>
      </c>
      <c r="L353" s="4" t="s">
        <v>855</v>
      </c>
      <c r="M353" s="144" t="s">
        <v>943</v>
      </c>
      <c r="N353" s="144" t="s">
        <v>390</v>
      </c>
      <c r="O353" s="146" t="str">
        <f>_xlfn.XLOOKUP(N353,costcategory[Account Code],costcategory[Cost Category],"ERROR")</f>
        <v>Employee Benefits</v>
      </c>
      <c r="P353" s="144" t="s">
        <v>523</v>
      </c>
      <c r="Q353" s="147" t="str">
        <f>_xlfn.XLOOKUP(P353,Table2[Department],Table2[Group],"ERROR")</f>
        <v>General &amp; Administrative</v>
      </c>
      <c r="R353" s="183"/>
      <c r="S353" s="183"/>
      <c r="T353" s="183"/>
      <c r="U353" s="183"/>
      <c r="V353" s="2" t="s">
        <v>1214</v>
      </c>
      <c r="W353" s="144"/>
    </row>
    <row r="354" spans="1:23" ht="12.95" customHeight="1" x14ac:dyDescent="0.2">
      <c r="A354" s="2" t="s">
        <v>15</v>
      </c>
      <c r="B354" s="2" t="s">
        <v>1</v>
      </c>
      <c r="C354" s="183" t="s">
        <v>1283</v>
      </c>
      <c r="D354" s="183" t="s">
        <v>1283</v>
      </c>
      <c r="E354" s="183" t="s">
        <v>1285</v>
      </c>
      <c r="F354" s="2" t="s">
        <v>77</v>
      </c>
      <c r="G354" s="234">
        <v>102.3</v>
      </c>
      <c r="H354" s="220">
        <v>0</v>
      </c>
      <c r="I354" s="232">
        <f t="shared" si="46"/>
        <v>102.3</v>
      </c>
      <c r="J354" s="212">
        <f t="shared" si="44"/>
        <v>80.292788087727828</v>
      </c>
      <c r="K354" s="144" t="s">
        <v>942</v>
      </c>
      <c r="L354" s="4" t="s">
        <v>855</v>
      </c>
      <c r="M354" s="144" t="s">
        <v>943</v>
      </c>
      <c r="N354" s="144" t="s">
        <v>390</v>
      </c>
      <c r="O354" s="146" t="str">
        <f>_xlfn.XLOOKUP(N354,costcategory[Account Code],costcategory[Cost Category],"ERROR")</f>
        <v>Employee Benefits</v>
      </c>
      <c r="P354" s="144" t="s">
        <v>523</v>
      </c>
      <c r="Q354" s="147" t="str">
        <f>_xlfn.XLOOKUP(P354,Table2[Department],Table2[Group],"ERROR")</f>
        <v>General &amp; Administrative</v>
      </c>
      <c r="R354" s="183"/>
      <c r="S354" s="183"/>
      <c r="T354" s="183"/>
      <c r="U354" s="183"/>
      <c r="V354" s="2" t="s">
        <v>1214</v>
      </c>
      <c r="W354" s="144"/>
    </row>
    <row r="355" spans="1:23" ht="12.95" customHeight="1" x14ac:dyDescent="0.2">
      <c r="A355" s="2" t="s">
        <v>15</v>
      </c>
      <c r="B355" s="2" t="s">
        <v>1</v>
      </c>
      <c r="C355" s="183" t="s">
        <v>1285</v>
      </c>
      <c r="D355" s="183" t="s">
        <v>1285</v>
      </c>
      <c r="E355" s="183" t="s">
        <v>1285</v>
      </c>
      <c r="F355" s="2" t="s">
        <v>77</v>
      </c>
      <c r="G355" s="234">
        <v>2206.63</v>
      </c>
      <c r="H355" s="220">
        <v>0</v>
      </c>
      <c r="I355" s="198">
        <f t="shared" si="46"/>
        <v>2206.63</v>
      </c>
      <c r="J355" s="212">
        <f t="shared" si="44"/>
        <v>1731.9303516913283</v>
      </c>
      <c r="K355" s="144" t="s">
        <v>944</v>
      </c>
      <c r="L355" s="144" t="s">
        <v>945</v>
      </c>
      <c r="M355" s="144" t="s">
        <v>946</v>
      </c>
      <c r="N355" s="4" t="s">
        <v>387</v>
      </c>
      <c r="O355" s="146" t="str">
        <f>_xlfn.XLOOKUP(N355,costcategory[Account Code],costcategory[Cost Category],"ERROR")</f>
        <v>Headcount Costs</v>
      </c>
      <c r="P355" s="4" t="s">
        <v>350</v>
      </c>
      <c r="Q355" s="147" t="str">
        <f>_xlfn.XLOOKUP(P355,Table2[Department],Table2[Group],"ERROR")</f>
        <v>General &amp; Administrative</v>
      </c>
      <c r="R355" s="183"/>
      <c r="S355" s="183"/>
      <c r="T355" s="183"/>
      <c r="U355" s="183" t="s">
        <v>1099</v>
      </c>
      <c r="V355" s="183" t="s">
        <v>113</v>
      </c>
      <c r="W355" s="144"/>
    </row>
    <row r="356" spans="1:23" ht="12.95" customHeight="1" x14ac:dyDescent="0.2">
      <c r="A356" s="2" t="s">
        <v>15</v>
      </c>
      <c r="B356" s="2" t="s">
        <v>1</v>
      </c>
      <c r="C356" s="3">
        <v>46113</v>
      </c>
      <c r="D356" s="3">
        <v>46143</v>
      </c>
      <c r="E356" s="3">
        <v>46170</v>
      </c>
      <c r="F356" s="2" t="s">
        <v>77</v>
      </c>
      <c r="G356" s="198">
        <v>-8866.67</v>
      </c>
      <c r="H356" s="220">
        <v>-798</v>
      </c>
      <c r="I356" s="223">
        <f t="shared" si="46"/>
        <v>-9664.67</v>
      </c>
      <c r="J356" s="212">
        <f t="shared" si="44"/>
        <v>-7585.5650073100742</v>
      </c>
      <c r="K356" s="4" t="s">
        <v>105</v>
      </c>
      <c r="L356" s="4" t="s">
        <v>152</v>
      </c>
      <c r="M356" s="4" t="s">
        <v>1286</v>
      </c>
      <c r="N356" s="4" t="s">
        <v>382</v>
      </c>
      <c r="O356" s="146" t="str">
        <f>_xlfn.XLOOKUP(N356,costcategory[Account Code],costcategory[Cost Category],"ERROR")</f>
        <v>Revenue</v>
      </c>
      <c r="P356" s="4" t="s">
        <v>438</v>
      </c>
      <c r="Q356" s="147" t="str">
        <f>_xlfn.XLOOKUP(P356,Table2[Department],Table2[Group],"ERROR")</f>
        <v>Sales &amp; Marketing</v>
      </c>
      <c r="U356" s="2" t="s">
        <v>1287</v>
      </c>
      <c r="V356" s="2" t="s">
        <v>104</v>
      </c>
    </row>
    <row r="357" spans="1:23" ht="12.95" customHeight="1" x14ac:dyDescent="0.2">
      <c r="A357" s="2" t="s">
        <v>15</v>
      </c>
      <c r="B357" s="2" t="s">
        <v>1</v>
      </c>
      <c r="C357" s="3">
        <v>46113</v>
      </c>
      <c r="D357" s="3">
        <v>46143</v>
      </c>
      <c r="E357" s="3">
        <v>46170</v>
      </c>
      <c r="F357" s="2" t="s">
        <v>77</v>
      </c>
      <c r="G357" s="198">
        <v>-8866.67</v>
      </c>
      <c r="H357" s="220">
        <v>-798</v>
      </c>
      <c r="I357" s="233">
        <f t="shared" si="46"/>
        <v>-9664.67</v>
      </c>
      <c r="J357" s="212">
        <f t="shared" si="44"/>
        <v>-7585.5650073100742</v>
      </c>
      <c r="K357" s="4" t="s">
        <v>105</v>
      </c>
      <c r="L357" s="4" t="s">
        <v>154</v>
      </c>
      <c r="M357" s="4" t="s">
        <v>1288</v>
      </c>
      <c r="N357" s="4" t="s">
        <v>382</v>
      </c>
      <c r="O357" s="146" t="str">
        <f>_xlfn.XLOOKUP(N357,costcategory[Account Code],costcategory[Cost Category],"ERROR")</f>
        <v>Revenue</v>
      </c>
      <c r="P357" s="4" t="s">
        <v>438</v>
      </c>
      <c r="Q357" s="147" t="str">
        <f>_xlfn.XLOOKUP(P357,Table2[Department],Table2[Group],"ERROR")</f>
        <v>Sales &amp; Marketing</v>
      </c>
      <c r="U357" s="2" t="s">
        <v>1287</v>
      </c>
      <c r="V357" s="2" t="s">
        <v>104</v>
      </c>
    </row>
    <row r="358" spans="1:23" ht="12.95" customHeight="1" x14ac:dyDescent="0.2">
      <c r="A358" s="2" t="s">
        <v>15</v>
      </c>
      <c r="B358" s="2" t="s">
        <v>1</v>
      </c>
      <c r="C358" s="3">
        <v>46133</v>
      </c>
      <c r="D358" s="3">
        <v>46163</v>
      </c>
      <c r="E358" s="3">
        <v>46170</v>
      </c>
      <c r="F358" s="2" t="s">
        <v>77</v>
      </c>
      <c r="G358" s="198">
        <v>-8866.67</v>
      </c>
      <c r="H358" s="220">
        <v>-798</v>
      </c>
      <c r="I358" s="232">
        <f t="shared" si="46"/>
        <v>-9664.67</v>
      </c>
      <c r="J358" s="212">
        <f t="shared" si="44"/>
        <v>-7585.5650073100742</v>
      </c>
      <c r="K358" s="4" t="s">
        <v>105</v>
      </c>
      <c r="L358" s="4" t="s">
        <v>174</v>
      </c>
      <c r="M358" s="4" t="s">
        <v>175</v>
      </c>
      <c r="N358" s="4" t="s">
        <v>382</v>
      </c>
      <c r="O358" s="146" t="str">
        <f>_xlfn.XLOOKUP(N358,costcategory[Account Code],costcategory[Cost Category],"ERROR")</f>
        <v>Revenue</v>
      </c>
      <c r="P358" s="4" t="s">
        <v>438</v>
      </c>
      <c r="Q358" s="147" t="str">
        <f>_xlfn.XLOOKUP(P358,Table2[Department],Table2[Group],"ERROR")</f>
        <v>Sales &amp; Marketing</v>
      </c>
      <c r="U358" s="2" t="s">
        <v>1287</v>
      </c>
      <c r="V358" s="2" t="s">
        <v>104</v>
      </c>
    </row>
    <row r="359" spans="1:23" ht="12.95" customHeight="1" x14ac:dyDescent="0.2">
      <c r="A359" s="2" t="s">
        <v>15</v>
      </c>
      <c r="B359" s="2" t="s">
        <v>1</v>
      </c>
      <c r="C359" s="3">
        <v>46161</v>
      </c>
      <c r="D359" s="3">
        <v>46171</v>
      </c>
      <c r="E359" s="3">
        <v>46170</v>
      </c>
      <c r="F359" s="2" t="s">
        <v>77</v>
      </c>
      <c r="G359" s="198">
        <v>16377.27</v>
      </c>
      <c r="H359" s="220">
        <v>0</v>
      </c>
      <c r="I359" s="198">
        <f t="shared" si="46"/>
        <v>16377.27</v>
      </c>
      <c r="J359" s="212">
        <f t="shared" si="44"/>
        <v>12854.1218921359</v>
      </c>
      <c r="K359" s="4" t="s">
        <v>931</v>
      </c>
      <c r="L359" s="4" t="s">
        <v>947</v>
      </c>
      <c r="M359" s="4" t="s">
        <v>948</v>
      </c>
      <c r="N359" s="4" t="s">
        <v>447</v>
      </c>
      <c r="O359" s="146" t="str">
        <f>_xlfn.XLOOKUP(N359,costcategory[Account Code],costcategory[Cost Category],"ERROR")</f>
        <v>Accrual</v>
      </c>
      <c r="P359" s="4" t="s">
        <v>350</v>
      </c>
      <c r="Q359" s="147" t="str">
        <f>_xlfn.XLOOKUP(P359,Table2[Department],Table2[Group],"ERROR")</f>
        <v>General &amp; Administrative</v>
      </c>
      <c r="U359" s="2" t="s">
        <v>1109</v>
      </c>
      <c r="V359" s="2" t="s">
        <v>113</v>
      </c>
    </row>
    <row r="360" spans="1:23" ht="12.95" customHeight="1" x14ac:dyDescent="0.2">
      <c r="A360" s="2" t="s">
        <v>15</v>
      </c>
      <c r="B360" s="2" t="s">
        <v>1</v>
      </c>
      <c r="C360" s="3">
        <v>46171</v>
      </c>
      <c r="D360" s="3">
        <v>46171</v>
      </c>
      <c r="E360" s="3">
        <v>46171</v>
      </c>
      <c r="F360" s="2" t="s">
        <v>77</v>
      </c>
      <c r="G360" s="198">
        <v>245805.86</v>
      </c>
      <c r="H360" s="220">
        <v>0</v>
      </c>
      <c r="I360" s="198">
        <f t="shared" ref="I360" si="47">G360+H360</f>
        <v>245805.86</v>
      </c>
      <c r="J360" s="212">
        <f t="shared" ref="J360:J364" si="48">I360*$J$282</f>
        <v>192927.05598926387</v>
      </c>
      <c r="K360" s="4" t="s">
        <v>1216</v>
      </c>
      <c r="L360" s="4" t="s">
        <v>1216</v>
      </c>
      <c r="M360" s="4" t="s">
        <v>946</v>
      </c>
      <c r="N360" s="4" t="s">
        <v>387</v>
      </c>
      <c r="O360" s="146" t="str">
        <f>_xlfn.XLOOKUP(N360,costcategory[Account Code],costcategory[Cost Category],"ERROR")</f>
        <v>Headcount Costs</v>
      </c>
      <c r="P360" s="4" t="s">
        <v>350</v>
      </c>
      <c r="Q360" s="147" t="str">
        <f>_xlfn.XLOOKUP(P360,Table2[Department],Table2[Group],"ERROR")</f>
        <v>General &amp; Administrative</v>
      </c>
      <c r="U360" s="2" t="s">
        <v>1100</v>
      </c>
      <c r="V360" s="2" t="s">
        <v>113</v>
      </c>
    </row>
    <row r="361" spans="1:23" ht="12.95" customHeight="1" x14ac:dyDescent="0.2">
      <c r="A361" s="2" t="s">
        <v>15</v>
      </c>
      <c r="B361" s="2" t="s">
        <v>1</v>
      </c>
      <c r="C361" s="3">
        <v>46149</v>
      </c>
      <c r="D361" s="3">
        <v>46163</v>
      </c>
      <c r="E361" s="3">
        <v>46171</v>
      </c>
      <c r="F361" s="2" t="s">
        <v>77</v>
      </c>
      <c r="G361" s="198">
        <v>139.38</v>
      </c>
      <c r="H361" s="220">
        <v>12.54</v>
      </c>
      <c r="I361" s="198">
        <v>151.91999999999999</v>
      </c>
      <c r="J361" s="212">
        <f t="shared" si="48"/>
        <v>119.2383222511008</v>
      </c>
      <c r="K361" s="4" t="s">
        <v>949</v>
      </c>
      <c r="L361" s="4" t="s">
        <v>950</v>
      </c>
      <c r="M361" s="4" t="s">
        <v>951</v>
      </c>
      <c r="N361" s="4" t="s">
        <v>370</v>
      </c>
      <c r="O361" s="146" t="str">
        <f>_xlfn.XLOOKUP(N361,costcategory[Account Code],costcategory[Cost Category],"ERROR")</f>
        <v>Utilities</v>
      </c>
      <c r="P361" s="4" t="s">
        <v>340</v>
      </c>
      <c r="Q361" s="147" t="str">
        <f>_xlfn.XLOOKUP(P361,Table2[Department],Table2[Group],"ERROR")</f>
        <v>General &amp; Administrative</v>
      </c>
      <c r="U361" s="2" t="s">
        <v>435</v>
      </c>
      <c r="V361" s="2" t="s">
        <v>104</v>
      </c>
    </row>
    <row r="362" spans="1:23" ht="12.95" customHeight="1" x14ac:dyDescent="0.2">
      <c r="A362" s="2" t="s">
        <v>15</v>
      </c>
      <c r="B362" s="2" t="s">
        <v>1</v>
      </c>
      <c r="C362" s="3">
        <v>46172</v>
      </c>
      <c r="D362" s="3">
        <v>46172</v>
      </c>
      <c r="E362" s="3">
        <v>46172</v>
      </c>
      <c r="F362" s="2" t="s">
        <v>77</v>
      </c>
      <c r="G362" s="198">
        <v>-53.92</v>
      </c>
      <c r="H362" s="220">
        <v>0</v>
      </c>
      <c r="I362" s="198">
        <v>-53.92</v>
      </c>
      <c r="J362" s="212">
        <f t="shared" si="48"/>
        <v>-42.320499840569745</v>
      </c>
      <c r="K362" s="4" t="s">
        <v>670</v>
      </c>
      <c r="L362" s="4" t="s">
        <v>952</v>
      </c>
      <c r="M362" s="4" t="s">
        <v>715</v>
      </c>
      <c r="N362" s="4" t="s">
        <v>384</v>
      </c>
      <c r="O362" s="146" t="str">
        <f>_xlfn.XLOOKUP(N362,costcategory[Account Code],costcategory[Cost Category],"ERROR")</f>
        <v>Other Income</v>
      </c>
      <c r="P362" s="4" t="s">
        <v>333</v>
      </c>
      <c r="Q362" s="147" t="str">
        <f>_xlfn.XLOOKUP(P362,Table2[Department],Table2[Group],"ERROR")</f>
        <v>General &amp; Administrative</v>
      </c>
      <c r="U362" s="2" t="s">
        <v>1289</v>
      </c>
      <c r="V362" s="2" t="s">
        <v>113</v>
      </c>
    </row>
    <row r="363" spans="1:23" ht="12.95" customHeight="1" x14ac:dyDescent="0.2">
      <c r="A363" s="2" t="s">
        <v>15</v>
      </c>
      <c r="B363" s="2" t="s">
        <v>1</v>
      </c>
      <c r="C363" s="3">
        <v>46170</v>
      </c>
      <c r="D363" s="3">
        <v>46170</v>
      </c>
      <c r="E363" s="3">
        <v>46172</v>
      </c>
      <c r="F363" s="2" t="s">
        <v>77</v>
      </c>
      <c r="G363" s="198">
        <v>142.62</v>
      </c>
      <c r="H363" s="220">
        <v>12.83</v>
      </c>
      <c r="I363" s="223">
        <v>155.44999999999999</v>
      </c>
      <c r="J363" s="212">
        <f t="shared" si="48"/>
        <v>122.00893360935768</v>
      </c>
      <c r="K363" s="4" t="s">
        <v>774</v>
      </c>
      <c r="L363" s="4" t="s">
        <v>953</v>
      </c>
      <c r="M363" s="4" t="s">
        <v>891</v>
      </c>
      <c r="N363" s="4" t="s">
        <v>60</v>
      </c>
      <c r="O363" s="146" t="str">
        <f>_xlfn.XLOOKUP(N363,costcategory[Account Code],costcategory[Cost Category],"ERROR")</f>
        <v>Subscription Fee</v>
      </c>
      <c r="P363" s="4" t="s">
        <v>333</v>
      </c>
      <c r="Q363" s="147" t="str">
        <f>_xlfn.XLOOKUP(P363,Table2[Department],Table2[Group],"ERROR")</f>
        <v>General &amp; Administrative</v>
      </c>
      <c r="U363" s="2" t="s">
        <v>1290</v>
      </c>
      <c r="V363" s="2" t="s">
        <v>104</v>
      </c>
    </row>
    <row r="364" spans="1:23" ht="12.95" customHeight="1" x14ac:dyDescent="0.2">
      <c r="A364" s="2" t="s">
        <v>15</v>
      </c>
      <c r="B364" s="2" t="s">
        <v>1</v>
      </c>
      <c r="C364" s="3">
        <v>46170</v>
      </c>
      <c r="D364" s="3">
        <v>46170</v>
      </c>
      <c r="E364" s="3">
        <v>46172</v>
      </c>
      <c r="F364" s="2" t="s">
        <v>77</v>
      </c>
      <c r="G364" s="198">
        <v>67.89</v>
      </c>
      <c r="H364" s="220">
        <v>6.11</v>
      </c>
      <c r="I364" s="232">
        <v>74</v>
      </c>
      <c r="J364" s="212">
        <f t="shared" si="48"/>
        <v>58.080804677339785</v>
      </c>
      <c r="K364" s="4" t="s">
        <v>774</v>
      </c>
      <c r="L364" s="4" t="s">
        <v>953</v>
      </c>
      <c r="M364" s="4" t="s">
        <v>892</v>
      </c>
      <c r="N364" s="4" t="s">
        <v>60</v>
      </c>
      <c r="O364" s="146" t="str">
        <f>_xlfn.XLOOKUP(N364,costcategory[Account Code],costcategory[Cost Category],"ERROR")</f>
        <v>Subscription Fee</v>
      </c>
      <c r="P364" s="4" t="s">
        <v>354</v>
      </c>
      <c r="Q364" s="147" t="str">
        <f>_xlfn.XLOOKUP(P364,Table2[Department],Table2[Group],"ERROR")</f>
        <v>Sales &amp; Marketing</v>
      </c>
      <c r="U364" s="2" t="s">
        <v>1290</v>
      </c>
      <c r="V364" s="2" t="s">
        <v>104</v>
      </c>
    </row>
    <row r="365" spans="1:23" ht="12.95" customHeight="1" x14ac:dyDescent="0.2">
      <c r="F365" s="2" t="s">
        <v>77</v>
      </c>
      <c r="H365" s="220"/>
      <c r="I365" s="198">
        <f>SUM(I285:I364)</f>
        <v>-993.47000000007097</v>
      </c>
      <c r="J365" s="212"/>
      <c r="O365" s="106"/>
      <c r="Q365" s="106"/>
    </row>
    <row r="366" spans="1:23" ht="12.95" customHeight="1" x14ac:dyDescent="0.2">
      <c r="A366" s="329" t="s">
        <v>1173</v>
      </c>
      <c r="B366" s="329"/>
      <c r="C366" s="329"/>
      <c r="D366" s="329"/>
      <c r="E366" s="14">
        <v>46173</v>
      </c>
      <c r="F366" s="13" t="s">
        <v>77</v>
      </c>
      <c r="G366" s="203"/>
      <c r="H366" s="226"/>
      <c r="I366" s="208">
        <f>I284-I365</f>
        <v>122067.7266000001</v>
      </c>
      <c r="J366" s="226"/>
      <c r="K366" s="184" t="s">
        <v>1180</v>
      </c>
      <c r="L366" s="17"/>
      <c r="M366" s="17"/>
      <c r="N366" s="17"/>
      <c r="O366" s="17"/>
      <c r="P366" s="17"/>
      <c r="Q366" s="17"/>
      <c r="R366" s="20"/>
      <c r="S366" s="20"/>
      <c r="T366" s="20"/>
      <c r="U366" s="20"/>
      <c r="V366" s="20"/>
    </row>
    <row r="367" spans="1:23" ht="12.95" customHeight="1" x14ac:dyDescent="0.2"/>
    <row r="368" spans="1:23" ht="12.95" customHeight="1" x14ac:dyDescent="0.2">
      <c r="J368" s="264">
        <f>FOREX!C6</f>
        <v>0.78320000000000001</v>
      </c>
    </row>
    <row r="369" spans="1:23" ht="12.95" customHeight="1" x14ac:dyDescent="0.2">
      <c r="A369" s="7" t="s">
        <v>87</v>
      </c>
      <c r="B369" s="7" t="s">
        <v>43</v>
      </c>
      <c r="C369" s="8" t="s">
        <v>54</v>
      </c>
      <c r="D369" s="8" t="s">
        <v>88</v>
      </c>
      <c r="E369" s="185" t="s">
        <v>1083</v>
      </c>
      <c r="F369" s="7" t="s">
        <v>70</v>
      </c>
      <c r="G369" s="201" t="s">
        <v>90</v>
      </c>
      <c r="H369" s="201" t="s">
        <v>91</v>
      </c>
      <c r="I369" s="201" t="s">
        <v>92</v>
      </c>
      <c r="J369" s="201" t="s">
        <v>72</v>
      </c>
      <c r="K369" s="132" t="s">
        <v>325</v>
      </c>
      <c r="L369" s="132" t="s">
        <v>94</v>
      </c>
      <c r="M369" s="7" t="s">
        <v>95</v>
      </c>
      <c r="N369" s="7" t="s">
        <v>53</v>
      </c>
      <c r="O369" s="7" t="s">
        <v>64</v>
      </c>
      <c r="P369" s="7" t="s">
        <v>67</v>
      </c>
      <c r="Q369" s="7" t="s">
        <v>44</v>
      </c>
      <c r="R369" s="7" t="s">
        <v>326</v>
      </c>
      <c r="S369" s="7" t="s">
        <v>327</v>
      </c>
      <c r="T369" s="7" t="s">
        <v>328</v>
      </c>
      <c r="U369" s="7" t="s">
        <v>98</v>
      </c>
      <c r="V369" s="7" t="s">
        <v>329</v>
      </c>
      <c r="W369" s="2"/>
    </row>
    <row r="370" spans="1:23" s="180" customFormat="1" ht="12.95" customHeight="1" x14ac:dyDescent="0.2">
      <c r="A370" s="329" t="s">
        <v>1172</v>
      </c>
      <c r="B370" s="329"/>
      <c r="C370" s="329"/>
      <c r="D370" s="329"/>
      <c r="E370" s="14">
        <v>46174</v>
      </c>
      <c r="F370" s="13" t="s">
        <v>77</v>
      </c>
      <c r="G370" s="203"/>
      <c r="H370" s="203"/>
      <c r="I370" s="211">
        <f>I366</f>
        <v>122067.7266000001</v>
      </c>
      <c r="J370" s="211"/>
      <c r="K370" s="179"/>
      <c r="L370" s="179"/>
      <c r="M370" s="96"/>
      <c r="N370" s="96"/>
      <c r="O370" s="96"/>
      <c r="P370" s="96"/>
      <c r="Q370" s="96"/>
      <c r="R370" s="13"/>
      <c r="S370" s="13"/>
      <c r="T370" s="13"/>
      <c r="U370" s="13"/>
      <c r="V370" s="13"/>
    </row>
    <row r="371" spans="1:23" ht="12.95" customHeight="1" x14ac:dyDescent="0.2">
      <c r="A371" s="2" t="s">
        <v>15</v>
      </c>
      <c r="B371" s="2" t="s">
        <v>1</v>
      </c>
      <c r="C371" s="3">
        <v>46170</v>
      </c>
      <c r="D371" s="3">
        <v>46170</v>
      </c>
      <c r="E371" s="3">
        <v>46175</v>
      </c>
      <c r="F371" s="2" t="s">
        <v>77</v>
      </c>
      <c r="G371" s="198">
        <v>172.18</v>
      </c>
      <c r="H371" s="198">
        <v>0</v>
      </c>
      <c r="I371" s="198">
        <f>SUM(G371:H371)</f>
        <v>172.18</v>
      </c>
      <c r="J371" s="212">
        <f t="shared" ref="J371:J442" si="49">I371*$J$368</f>
        <v>134.85137600000002</v>
      </c>
      <c r="K371" s="4" t="s">
        <v>954</v>
      </c>
      <c r="M371" s="4" t="s">
        <v>917</v>
      </c>
      <c r="N371" s="4" t="s">
        <v>527</v>
      </c>
      <c r="O371" s="146" t="str">
        <f>_xlfn.XLOOKUP(N371,costcategory[Account Code],costcategory[Cost Category],"ERROR")</f>
        <v>Sales Expenses</v>
      </c>
      <c r="P371" s="4" t="s">
        <v>523</v>
      </c>
      <c r="Q371" s="147" t="str">
        <f>_xlfn.XLOOKUP(P371,Table2[Department],Table2[Group],"ERROR")</f>
        <v>General &amp; Administrative</v>
      </c>
      <c r="V371" s="2" t="s">
        <v>113</v>
      </c>
    </row>
    <row r="372" spans="1:23" ht="12.95" customHeight="1" x14ac:dyDescent="0.2">
      <c r="A372" s="2" t="s">
        <v>15</v>
      </c>
      <c r="B372" s="2" t="s">
        <v>1</v>
      </c>
      <c r="C372" s="3">
        <v>46028</v>
      </c>
      <c r="D372" s="3">
        <v>46028</v>
      </c>
      <c r="E372" s="3">
        <v>46175</v>
      </c>
      <c r="F372" s="2" t="s">
        <v>77</v>
      </c>
      <c r="G372" s="198">
        <v>23892</v>
      </c>
      <c r="H372" s="198">
        <v>2150.2800000000002</v>
      </c>
      <c r="I372" s="198">
        <f t="shared" ref="I372:I442" si="50">SUM(G372:H372)</f>
        <v>26042.28</v>
      </c>
      <c r="J372" s="212">
        <f>I372*$J$368</f>
        <v>20396.313696000001</v>
      </c>
      <c r="K372" s="4" t="s">
        <v>660</v>
      </c>
      <c r="L372" s="4" t="s">
        <v>955</v>
      </c>
      <c r="M372" s="4" t="s">
        <v>956</v>
      </c>
      <c r="N372" s="4" t="s">
        <v>409</v>
      </c>
      <c r="O372" s="146" t="str">
        <f>_xlfn.XLOOKUP(N372,costcategory[Account Code],costcategory[Cost Category],"ERROR")</f>
        <v>Rental</v>
      </c>
      <c r="P372" s="4" t="s">
        <v>340</v>
      </c>
      <c r="Q372" s="147" t="str">
        <f>_xlfn.XLOOKUP(P372,Table2[Department],Table2[Group],"ERROR")</f>
        <v>General &amp; Administrative</v>
      </c>
      <c r="U372" s="2" t="s">
        <v>1291</v>
      </c>
      <c r="V372" s="2" t="s">
        <v>104</v>
      </c>
    </row>
    <row r="373" spans="1:23" ht="12.95" customHeight="1" x14ac:dyDescent="0.2">
      <c r="A373" s="2" t="s">
        <v>15</v>
      </c>
      <c r="B373" s="2" t="s">
        <v>1</v>
      </c>
      <c r="C373" s="3">
        <v>46173</v>
      </c>
      <c r="D373" s="3">
        <v>46173</v>
      </c>
      <c r="E373" s="3">
        <v>46175</v>
      </c>
      <c r="F373" s="2" t="s">
        <v>77</v>
      </c>
      <c r="G373" s="198">
        <v>600</v>
      </c>
      <c r="H373" s="198">
        <v>0</v>
      </c>
      <c r="I373" s="198">
        <f t="shared" si="50"/>
        <v>600</v>
      </c>
      <c r="J373" s="212">
        <f t="shared" si="49"/>
        <v>469.92</v>
      </c>
      <c r="K373" s="4" t="s">
        <v>757</v>
      </c>
      <c r="L373" s="4" t="s">
        <v>957</v>
      </c>
      <c r="M373" s="4" t="s">
        <v>958</v>
      </c>
      <c r="N373" s="4" t="s">
        <v>621</v>
      </c>
      <c r="O373" s="146" t="str">
        <f>_xlfn.XLOOKUP(N373,costcategory[Account Code],costcategory[Cost Category],"ERROR")</f>
        <v>Upkeep of Office</v>
      </c>
      <c r="P373" s="4" t="s">
        <v>340</v>
      </c>
      <c r="Q373" s="147" t="str">
        <f>_xlfn.XLOOKUP(P373,Table2[Department],Table2[Group],"ERROR")</f>
        <v>General &amp; Administrative</v>
      </c>
      <c r="U373" s="2" t="s">
        <v>1292</v>
      </c>
      <c r="V373" s="2" t="s">
        <v>113</v>
      </c>
    </row>
    <row r="374" spans="1:23" ht="12.95" customHeight="1" x14ac:dyDescent="0.2">
      <c r="A374" s="2" t="s">
        <v>15</v>
      </c>
      <c r="B374" s="2" t="s">
        <v>1</v>
      </c>
      <c r="C374" s="3">
        <v>46117</v>
      </c>
      <c r="D374" s="3">
        <v>46087</v>
      </c>
      <c r="E374" s="3">
        <v>46175</v>
      </c>
      <c r="F374" s="2" t="s">
        <v>77</v>
      </c>
      <c r="G374" s="198">
        <v>158</v>
      </c>
      <c r="H374" s="198">
        <v>14.22</v>
      </c>
      <c r="I374" s="223">
        <f t="shared" si="50"/>
        <v>172.22</v>
      </c>
      <c r="J374" s="212">
        <f>I374*$J$368</f>
        <v>134.88270399999999</v>
      </c>
      <c r="K374" s="4" t="s">
        <v>661</v>
      </c>
      <c r="L374" s="4" t="s">
        <v>959</v>
      </c>
      <c r="M374" s="4" t="s">
        <v>960</v>
      </c>
      <c r="N374" s="4" t="s">
        <v>374</v>
      </c>
      <c r="O374" s="146" t="str">
        <f>_xlfn.XLOOKUP(N374,costcategory[Account Code],costcategory[Cost Category],"ERROR")</f>
        <v>Non-Current Liabilities</v>
      </c>
      <c r="P374" s="4" t="s">
        <v>376</v>
      </c>
      <c r="Q374" s="147" t="str">
        <f>_xlfn.XLOOKUP(P374,Table2[Department],Table2[Group],"ERROR")</f>
        <v>General &amp; Administrative</v>
      </c>
      <c r="U374" s="2" t="s">
        <v>1293</v>
      </c>
      <c r="V374" s="2" t="s">
        <v>104</v>
      </c>
    </row>
    <row r="375" spans="1:23" ht="12.95" customHeight="1" x14ac:dyDescent="0.2">
      <c r="A375" s="2" t="s">
        <v>15</v>
      </c>
      <c r="B375" s="2" t="s">
        <v>1</v>
      </c>
      <c r="C375" s="3">
        <v>46117</v>
      </c>
      <c r="D375" s="3">
        <v>46087</v>
      </c>
      <c r="E375" s="3">
        <v>46175</v>
      </c>
      <c r="F375" s="2" t="s">
        <v>77</v>
      </c>
      <c r="G375" s="198">
        <v>70</v>
      </c>
      <c r="H375" s="198">
        <v>6.3</v>
      </c>
      <c r="I375" s="233">
        <f t="shared" si="50"/>
        <v>76.3</v>
      </c>
      <c r="J375" s="212">
        <f t="shared" si="49"/>
        <v>59.758159999999997</v>
      </c>
      <c r="K375" s="4" t="s">
        <v>661</v>
      </c>
      <c r="L375" s="4" t="s">
        <v>961</v>
      </c>
      <c r="M375" s="4" t="s">
        <v>960</v>
      </c>
      <c r="N375" s="4" t="s">
        <v>374</v>
      </c>
      <c r="O375" s="146" t="str">
        <f>_xlfn.XLOOKUP(N375,costcategory[Account Code],costcategory[Cost Category],"ERROR")</f>
        <v>Non-Current Liabilities</v>
      </c>
      <c r="P375" s="4" t="s">
        <v>376</v>
      </c>
      <c r="Q375" s="147" t="str">
        <f>_xlfn.XLOOKUP(P375,Table2[Department],Table2[Group],"ERROR")</f>
        <v>General &amp; Administrative</v>
      </c>
      <c r="U375" s="2" t="s">
        <v>1293</v>
      </c>
      <c r="V375" s="2" t="s">
        <v>104</v>
      </c>
    </row>
    <row r="376" spans="1:23" ht="12.95" customHeight="1" x14ac:dyDescent="0.2">
      <c r="A376" s="2" t="s">
        <v>15</v>
      </c>
      <c r="B376" s="2" t="s">
        <v>1</v>
      </c>
      <c r="C376" s="3">
        <v>46117</v>
      </c>
      <c r="D376" s="3">
        <v>46087</v>
      </c>
      <c r="E376" s="3">
        <v>46175</v>
      </c>
      <c r="F376" s="2" t="s">
        <v>77</v>
      </c>
      <c r="G376" s="198">
        <v>584.1</v>
      </c>
      <c r="H376">
        <v>52.57</v>
      </c>
      <c r="I376" s="233">
        <f t="shared" si="50"/>
        <v>636.67000000000007</v>
      </c>
      <c r="J376" s="212">
        <f t="shared" si="49"/>
        <v>498.63994400000007</v>
      </c>
      <c r="K376" s="4" t="s">
        <v>661</v>
      </c>
      <c r="L376" s="4" t="s">
        <v>962</v>
      </c>
      <c r="M376" s="4" t="s">
        <v>960</v>
      </c>
      <c r="N376" s="4" t="s">
        <v>374</v>
      </c>
      <c r="O376" s="146" t="str">
        <f>_xlfn.XLOOKUP(N376,costcategory[Account Code],costcategory[Cost Category],"ERROR")</f>
        <v>Non-Current Liabilities</v>
      </c>
      <c r="P376" s="4" t="s">
        <v>376</v>
      </c>
      <c r="Q376" s="147" t="str">
        <f>_xlfn.XLOOKUP(P376,Table2[Department],Table2[Group],"ERROR")</f>
        <v>General &amp; Administrative</v>
      </c>
      <c r="U376" s="2" t="s">
        <v>1293</v>
      </c>
      <c r="V376" s="2" t="s">
        <v>104</v>
      </c>
    </row>
    <row r="377" spans="1:23" ht="12.95" customHeight="1" x14ac:dyDescent="0.2">
      <c r="A377" s="2" t="s">
        <v>15</v>
      </c>
      <c r="B377" s="2" t="s">
        <v>1</v>
      </c>
      <c r="C377" s="166">
        <v>46150</v>
      </c>
      <c r="D377" s="166">
        <v>46180</v>
      </c>
      <c r="E377" s="3">
        <v>46176</v>
      </c>
      <c r="F377" s="2" t="s">
        <v>77</v>
      </c>
      <c r="G377" s="198">
        <v>-295564.25</v>
      </c>
      <c r="H377" s="198">
        <v>0</v>
      </c>
      <c r="I377" s="223">
        <f t="shared" si="50"/>
        <v>-295564.25</v>
      </c>
      <c r="J377" s="212">
        <f>I377*$J$368</f>
        <v>-231485.92060000001</v>
      </c>
      <c r="K377" s="4" t="s">
        <v>191</v>
      </c>
      <c r="L377" s="135" t="s">
        <v>192</v>
      </c>
      <c r="M377" s="4" t="s">
        <v>193</v>
      </c>
      <c r="N377" s="4" t="s">
        <v>382</v>
      </c>
      <c r="O377" s="146" t="str">
        <f>_xlfn.XLOOKUP(N377,costcategory[Account Code],costcategory[Cost Category],"ERROR")</f>
        <v>Revenue</v>
      </c>
      <c r="P377" s="4" t="s">
        <v>438</v>
      </c>
      <c r="Q377" s="147" t="str">
        <f>_xlfn.XLOOKUP(P377,Table2[Department],Table2[Group],"ERROR")</f>
        <v>Sales &amp; Marketing</v>
      </c>
      <c r="U377" s="2" t="s">
        <v>1294</v>
      </c>
      <c r="V377" s="2" t="s">
        <v>113</v>
      </c>
    </row>
    <row r="378" spans="1:23" ht="12.95" customHeight="1" x14ac:dyDescent="0.2">
      <c r="A378" s="2" t="s">
        <v>15</v>
      </c>
      <c r="B378" s="2" t="s">
        <v>1</v>
      </c>
      <c r="C378" s="3">
        <v>46176</v>
      </c>
      <c r="D378" s="3">
        <v>46176</v>
      </c>
      <c r="E378" s="3">
        <v>46176</v>
      </c>
      <c r="F378" s="2" t="s">
        <v>77</v>
      </c>
      <c r="G378" s="198">
        <v>0.19</v>
      </c>
      <c r="H378" s="198">
        <v>0</v>
      </c>
      <c r="I378" s="232">
        <f t="shared" si="50"/>
        <v>0.19</v>
      </c>
      <c r="J378" s="212">
        <f t="shared" si="49"/>
        <v>0.148808</v>
      </c>
      <c r="K378" s="109" t="s">
        <v>670</v>
      </c>
      <c r="L378" s="109" t="s">
        <v>963</v>
      </c>
      <c r="M378" s="4" t="s">
        <v>964</v>
      </c>
      <c r="N378" s="109" t="s">
        <v>332</v>
      </c>
      <c r="O378" s="146" t="str">
        <f>_xlfn.XLOOKUP(N378,costcategory[Account Code],costcategory[Cost Category],"ERROR")</f>
        <v>Bank Charges</v>
      </c>
      <c r="P378" s="4" t="s">
        <v>333</v>
      </c>
      <c r="Q378" s="147" t="str">
        <f>_xlfn.XLOOKUP(P378,Table2[Department],Table2[Group],"ERROR")</f>
        <v>General &amp; Administrative</v>
      </c>
      <c r="U378" s="2" t="s">
        <v>1295</v>
      </c>
      <c r="V378" s="2" t="s">
        <v>113</v>
      </c>
    </row>
    <row r="379" spans="1:23" ht="12.95" customHeight="1" x14ac:dyDescent="0.2">
      <c r="A379" s="2" t="s">
        <v>15</v>
      </c>
      <c r="B379" s="2" t="s">
        <v>1</v>
      </c>
      <c r="C379" s="3">
        <v>46177</v>
      </c>
      <c r="D379" s="3">
        <v>46177</v>
      </c>
      <c r="E379" s="3">
        <v>46177</v>
      </c>
      <c r="F379" s="2" t="s">
        <v>77</v>
      </c>
      <c r="G379" s="198">
        <v>10</v>
      </c>
      <c r="H379" s="198">
        <v>0</v>
      </c>
      <c r="I379" s="198">
        <f t="shared" ref="I379" si="51">SUM(G379:H379)</f>
        <v>10</v>
      </c>
      <c r="J379" s="212">
        <f t="shared" ref="J379" si="52">I379*$J$368</f>
        <v>7.8319999999999999</v>
      </c>
      <c r="K379" s="105" t="s">
        <v>670</v>
      </c>
      <c r="L379" s="106" t="s">
        <v>1296</v>
      </c>
      <c r="M379" s="4" t="s">
        <v>332</v>
      </c>
      <c r="N379" s="105" t="s">
        <v>332</v>
      </c>
      <c r="O379" s="146" t="str">
        <f>_xlfn.XLOOKUP(N379,costcategory[Account Code],costcategory[Cost Category],"ERROR")</f>
        <v>Bank Charges</v>
      </c>
      <c r="P379" s="4" t="s">
        <v>333</v>
      </c>
      <c r="Q379" s="147" t="str">
        <f>_xlfn.XLOOKUP(P379,Table2[Department],Table2[Group],"ERROR")</f>
        <v>General &amp; Administrative</v>
      </c>
      <c r="U379" s="2" t="s">
        <v>1295</v>
      </c>
      <c r="V379" s="2" t="s">
        <v>113</v>
      </c>
    </row>
    <row r="380" spans="1:23" s="293" customFormat="1" ht="12.95" customHeight="1" x14ac:dyDescent="0.2">
      <c r="A380" s="288" t="s">
        <v>15</v>
      </c>
      <c r="B380" s="288" t="s">
        <v>1</v>
      </c>
      <c r="C380" s="289">
        <v>46177</v>
      </c>
      <c r="D380" s="289">
        <v>46177</v>
      </c>
      <c r="E380" s="289">
        <v>46177</v>
      </c>
      <c r="F380" s="288" t="s">
        <v>77</v>
      </c>
      <c r="G380" s="290">
        <v>5.78</v>
      </c>
      <c r="H380" s="290">
        <v>0</v>
      </c>
      <c r="I380" s="290">
        <f t="shared" si="50"/>
        <v>5.78</v>
      </c>
      <c r="J380" s="291">
        <f t="shared" si="49"/>
        <v>4.5268959999999998</v>
      </c>
      <c r="K380" s="292" t="s">
        <v>670</v>
      </c>
      <c r="L380" s="292" t="s">
        <v>1296</v>
      </c>
      <c r="M380" s="293" t="s">
        <v>332</v>
      </c>
      <c r="N380" s="292" t="s">
        <v>332</v>
      </c>
      <c r="O380" s="292" t="str">
        <f>_xlfn.XLOOKUP(N380,costcategory[Account Code],costcategory[Cost Category],"ERROR")</f>
        <v>Bank Charges</v>
      </c>
      <c r="P380" s="293" t="s">
        <v>333</v>
      </c>
      <c r="Q380" s="293" t="str">
        <f>_xlfn.XLOOKUP(P380,Table2[Department],Table2[Group],"ERROR")</f>
        <v>General &amp; Administrative</v>
      </c>
      <c r="R380" s="288"/>
      <c r="S380" s="288"/>
      <c r="T380" s="288"/>
      <c r="U380" s="288" t="s">
        <v>1297</v>
      </c>
      <c r="V380" s="288" t="s">
        <v>113</v>
      </c>
    </row>
    <row r="381" spans="1:23" ht="12.95" customHeight="1" x14ac:dyDescent="0.2">
      <c r="A381" s="2" t="s">
        <v>15</v>
      </c>
      <c r="B381" s="2" t="s">
        <v>1</v>
      </c>
      <c r="C381" s="3">
        <v>46175</v>
      </c>
      <c r="D381" s="3">
        <v>46205</v>
      </c>
      <c r="E381" s="3">
        <v>46178</v>
      </c>
      <c r="F381" s="2" t="s">
        <v>77</v>
      </c>
      <c r="G381" s="198">
        <v>73.39</v>
      </c>
      <c r="H381" s="198">
        <v>0</v>
      </c>
      <c r="I381" s="198">
        <f t="shared" si="50"/>
        <v>73.39</v>
      </c>
      <c r="J381" s="212">
        <f>I381*$J$368</f>
        <v>57.479047999999999</v>
      </c>
      <c r="K381" s="4" t="s">
        <v>893</v>
      </c>
      <c r="L381" s="4" t="s">
        <v>965</v>
      </c>
      <c r="M381" s="4" t="s">
        <v>966</v>
      </c>
      <c r="N381" s="4" t="s">
        <v>657</v>
      </c>
      <c r="O381" s="146" t="str">
        <f>_xlfn.XLOOKUP(N381,costcategory[Account Code],costcategory[Cost Category],"ERROR")</f>
        <v>Intercompany</v>
      </c>
      <c r="P381" s="4" t="s">
        <v>333</v>
      </c>
      <c r="Q381" s="147" t="str">
        <f>_xlfn.XLOOKUP(P381,Table2[Department],Table2[Group],"ERROR")</f>
        <v>General &amp; Administrative</v>
      </c>
      <c r="U381" s="2" t="s">
        <v>1298</v>
      </c>
      <c r="V381" s="2" t="s">
        <v>113</v>
      </c>
    </row>
    <row r="382" spans="1:23" ht="12.95" customHeight="1" x14ac:dyDescent="0.2">
      <c r="A382" s="2" t="s">
        <v>15</v>
      </c>
      <c r="B382" s="2" t="s">
        <v>1</v>
      </c>
      <c r="C382" s="3">
        <v>46173</v>
      </c>
      <c r="D382" s="3">
        <v>46181</v>
      </c>
      <c r="E382" s="3">
        <v>46181</v>
      </c>
      <c r="F382" s="2" t="s">
        <v>77</v>
      </c>
      <c r="G382" s="212">
        <v>31330.5</v>
      </c>
      <c r="H382" s="220">
        <v>0</v>
      </c>
      <c r="I382" s="212">
        <f t="shared" si="50"/>
        <v>31330.5</v>
      </c>
      <c r="J382" s="212">
        <f t="shared" ref="J382" si="53">I382*$J$282</f>
        <v>24590.549337072891</v>
      </c>
      <c r="K382" s="106" t="s">
        <v>672</v>
      </c>
      <c r="L382" s="106" t="s">
        <v>967</v>
      </c>
      <c r="M382" s="4" t="s">
        <v>968</v>
      </c>
      <c r="N382" s="106" t="s">
        <v>387</v>
      </c>
      <c r="O382" s="146" t="str">
        <f>_xlfn.XLOOKUP(N382,costcategory[Account Code],costcategory[Cost Category],"ERROR")</f>
        <v>Headcount Costs</v>
      </c>
      <c r="P382" s="4" t="s">
        <v>350</v>
      </c>
      <c r="Q382" s="147" t="str">
        <f>_xlfn.XLOOKUP(P382,Table2[Department],Table2[Group],"ERROR")</f>
        <v>General &amp; Administrative</v>
      </c>
      <c r="R382" s="138"/>
      <c r="S382" s="139"/>
      <c r="T382" s="138"/>
      <c r="U382" s="2" t="s">
        <v>1101</v>
      </c>
      <c r="V382" s="2" t="s">
        <v>1214</v>
      </c>
      <c r="W382" s="106"/>
    </row>
    <row r="383" spans="1:23" ht="12.95" customHeight="1" x14ac:dyDescent="0.2">
      <c r="A383" s="2" t="s">
        <v>15</v>
      </c>
      <c r="B383" s="2" t="s">
        <v>1</v>
      </c>
      <c r="C383" s="3">
        <v>46178</v>
      </c>
      <c r="D383" s="3">
        <v>46178</v>
      </c>
      <c r="E383" s="3">
        <v>46181</v>
      </c>
      <c r="F383" s="2" t="s">
        <v>77</v>
      </c>
      <c r="G383" s="198">
        <v>175.9</v>
      </c>
      <c r="H383" s="220">
        <v>0</v>
      </c>
      <c r="I383" s="198">
        <f t="shared" si="50"/>
        <v>175.9</v>
      </c>
      <c r="J383" s="212">
        <f t="shared" si="49"/>
        <v>137.76488000000001</v>
      </c>
      <c r="K383" s="4" t="s">
        <v>969</v>
      </c>
      <c r="M383" s="4" t="s">
        <v>917</v>
      </c>
      <c r="N383" s="4" t="s">
        <v>527</v>
      </c>
      <c r="O383" s="146" t="str">
        <f>_xlfn.XLOOKUP(N383,costcategory[Account Code],costcategory[Cost Category],"ERROR")</f>
        <v>Sales Expenses</v>
      </c>
      <c r="P383" s="4" t="s">
        <v>523</v>
      </c>
      <c r="Q383" s="147" t="str">
        <f>_xlfn.XLOOKUP(P383,Table2[Department],Table2[Group],"ERROR")</f>
        <v>General &amp; Administrative</v>
      </c>
      <c r="V383" s="2" t="s">
        <v>1214</v>
      </c>
    </row>
    <row r="384" spans="1:23" ht="12.95" customHeight="1" x14ac:dyDescent="0.2">
      <c r="A384" s="2" t="s">
        <v>15</v>
      </c>
      <c r="B384" s="2" t="s">
        <v>1</v>
      </c>
      <c r="C384" s="3">
        <v>46181</v>
      </c>
      <c r="D384" s="3">
        <v>46181</v>
      </c>
      <c r="E384" s="3">
        <v>46184</v>
      </c>
      <c r="F384" s="2" t="s">
        <v>77</v>
      </c>
      <c r="G384" s="198">
        <v>51.32</v>
      </c>
      <c r="H384" s="220">
        <v>0</v>
      </c>
      <c r="I384" s="198">
        <f t="shared" si="50"/>
        <v>51.32</v>
      </c>
      <c r="J384" s="212">
        <f t="shared" si="49"/>
        <v>40.193823999999999</v>
      </c>
      <c r="K384" s="4" t="s">
        <v>970</v>
      </c>
      <c r="L384" s="4" t="s">
        <v>855</v>
      </c>
      <c r="M384" s="4" t="s">
        <v>937</v>
      </c>
      <c r="N384" s="4" t="s">
        <v>390</v>
      </c>
      <c r="O384" s="146" t="str">
        <f>_xlfn.XLOOKUP(N384,costcategory[Account Code],costcategory[Cost Category],"ERROR")</f>
        <v>Employee Benefits</v>
      </c>
      <c r="P384" s="4" t="s">
        <v>523</v>
      </c>
      <c r="Q384" s="147" t="str">
        <f>_xlfn.XLOOKUP(P384,Table2[Department],Table2[Group],"ERROR")</f>
        <v>General &amp; Administrative</v>
      </c>
      <c r="V384" s="2" t="s">
        <v>1214</v>
      </c>
    </row>
    <row r="385" spans="1:22" ht="12.95" customHeight="1" x14ac:dyDescent="0.2">
      <c r="A385" s="2" t="s">
        <v>15</v>
      </c>
      <c r="B385" s="2" t="s">
        <v>1</v>
      </c>
      <c r="C385" s="3">
        <v>46181</v>
      </c>
      <c r="D385" s="3">
        <v>46181</v>
      </c>
      <c r="E385" s="3">
        <v>46184</v>
      </c>
      <c r="F385" s="2" t="s">
        <v>77</v>
      </c>
      <c r="G385" s="198">
        <v>125.9</v>
      </c>
      <c r="H385" s="220">
        <v>0</v>
      </c>
      <c r="I385" s="198">
        <f t="shared" si="50"/>
        <v>125.9</v>
      </c>
      <c r="J385" s="212">
        <f t="shared" si="49"/>
        <v>98.604880000000009</v>
      </c>
      <c r="K385" s="4" t="s">
        <v>971</v>
      </c>
      <c r="L385" s="4" t="s">
        <v>855</v>
      </c>
      <c r="M385" s="4" t="s">
        <v>917</v>
      </c>
      <c r="N385" s="4" t="s">
        <v>527</v>
      </c>
      <c r="O385" s="146" t="str">
        <f>_xlfn.XLOOKUP(N385,costcategory[Account Code],costcategory[Cost Category],"ERROR")</f>
        <v>Sales Expenses</v>
      </c>
      <c r="P385" s="4" t="s">
        <v>523</v>
      </c>
      <c r="Q385" s="147" t="str">
        <f>_xlfn.XLOOKUP(P385,Table2[Department],Table2[Group],"ERROR")</f>
        <v>General &amp; Administrative</v>
      </c>
      <c r="V385" s="2" t="s">
        <v>1214</v>
      </c>
    </row>
    <row r="386" spans="1:22" ht="12.95" customHeight="1" x14ac:dyDescent="0.2">
      <c r="A386" s="2" t="s">
        <v>15</v>
      </c>
      <c r="B386" s="2" t="s">
        <v>1</v>
      </c>
      <c r="C386" s="3">
        <v>46140</v>
      </c>
      <c r="D386" s="3">
        <v>46185</v>
      </c>
      <c r="E386" s="3">
        <v>46185</v>
      </c>
      <c r="F386" s="2" t="s">
        <v>77</v>
      </c>
      <c r="G386" s="198">
        <v>245688</v>
      </c>
      <c r="H386" s="198">
        <v>22111.919999999998</v>
      </c>
      <c r="I386" s="198">
        <f t="shared" si="50"/>
        <v>267799.92</v>
      </c>
      <c r="J386" s="212">
        <f t="shared" si="49"/>
        <v>209740.897344</v>
      </c>
      <c r="K386" s="4" t="s">
        <v>972</v>
      </c>
      <c r="L386" s="135">
        <v>1200312539</v>
      </c>
      <c r="M386" s="285" t="s">
        <v>973</v>
      </c>
      <c r="N386" s="4" t="s">
        <v>560</v>
      </c>
      <c r="O386" s="146" t="str">
        <f>_xlfn.XLOOKUP(N386,costcategory[Account Code],costcategory[Cost Category],"ERROR")</f>
        <v>Direct Costs</v>
      </c>
      <c r="P386" s="4" t="s">
        <v>333</v>
      </c>
      <c r="Q386" s="147" t="str">
        <f>_xlfn.XLOOKUP(P386,Table2[Department],Table2[Group],"ERROR")</f>
        <v>General &amp; Administrative</v>
      </c>
      <c r="U386" s="2" t="s">
        <v>1299</v>
      </c>
      <c r="V386" s="2" t="s">
        <v>104</v>
      </c>
    </row>
    <row r="387" spans="1:22" ht="12.95" customHeight="1" x14ac:dyDescent="0.2">
      <c r="A387" s="2" t="s">
        <v>15</v>
      </c>
      <c r="B387" s="2" t="s">
        <v>1</v>
      </c>
      <c r="C387" s="3">
        <v>46182</v>
      </c>
      <c r="D387" s="3">
        <v>46182</v>
      </c>
      <c r="E387" s="3">
        <v>46185</v>
      </c>
      <c r="F387" s="2" t="s">
        <v>77</v>
      </c>
      <c r="G387" s="198">
        <v>58.15</v>
      </c>
      <c r="H387" s="198">
        <v>0</v>
      </c>
      <c r="I387" s="198">
        <f t="shared" si="50"/>
        <v>58.15</v>
      </c>
      <c r="J387" s="212">
        <f t="shared" si="49"/>
        <v>45.543079999999996</v>
      </c>
      <c r="K387" s="4" t="s">
        <v>974</v>
      </c>
      <c r="L387" s="4" t="s">
        <v>855</v>
      </c>
      <c r="M387" s="4" t="s">
        <v>937</v>
      </c>
      <c r="N387" s="4" t="s">
        <v>390</v>
      </c>
      <c r="O387" s="146" t="str">
        <f>_xlfn.XLOOKUP(N387,costcategory[Account Code],costcategory[Cost Category],"ERROR")</f>
        <v>Employee Benefits</v>
      </c>
      <c r="P387" s="4" t="s">
        <v>523</v>
      </c>
      <c r="Q387" s="147" t="str">
        <f>_xlfn.XLOOKUP(P387,Table2[Department],Table2[Group],"ERROR")</f>
        <v>General &amp; Administrative</v>
      </c>
      <c r="V387" s="2" t="s">
        <v>113</v>
      </c>
    </row>
    <row r="388" spans="1:22" ht="12.95" customHeight="1" x14ac:dyDescent="0.2">
      <c r="A388" s="2" t="s">
        <v>15</v>
      </c>
      <c r="B388" s="2" t="s">
        <v>1</v>
      </c>
      <c r="C388" s="3">
        <v>46182</v>
      </c>
      <c r="D388" s="3">
        <v>46195</v>
      </c>
      <c r="E388" s="3">
        <v>46185</v>
      </c>
      <c r="F388" s="2" t="s">
        <v>77</v>
      </c>
      <c r="G388" s="198">
        <v>31</v>
      </c>
      <c r="H388" s="198">
        <v>0</v>
      </c>
      <c r="I388" s="198">
        <f t="shared" ref="I388:I441" si="54">SUM(G388:H388)</f>
        <v>31</v>
      </c>
      <c r="J388" s="212">
        <f t="shared" ref="J388:J441" si="55">I388*$J$368</f>
        <v>24.279199999999999</v>
      </c>
      <c r="K388" s="4" t="s">
        <v>975</v>
      </c>
      <c r="M388" s="4" t="s">
        <v>976</v>
      </c>
      <c r="N388" s="4" t="s">
        <v>464</v>
      </c>
      <c r="O388" s="146" t="str">
        <f>_xlfn.XLOOKUP(N388,costcategory[Account Code],costcategory[Cost Category],"ERROR")</f>
        <v>Accrual - Expenses of 2025</v>
      </c>
      <c r="P388" s="4" t="s">
        <v>350</v>
      </c>
      <c r="Q388" s="89" t="str">
        <f>_xlfn.XLOOKUP(P388,Table2[Department],Table2[Group],"ERROR")</f>
        <v>General &amp; Administrative</v>
      </c>
      <c r="U388" s="2" t="s">
        <v>1118</v>
      </c>
      <c r="V388" s="2" t="s">
        <v>113</v>
      </c>
    </row>
    <row r="389" spans="1:22" ht="12.95" customHeight="1" x14ac:dyDescent="0.2">
      <c r="A389" s="2" t="s">
        <v>15</v>
      </c>
      <c r="B389" s="2" t="s">
        <v>1</v>
      </c>
      <c r="C389" s="3">
        <v>46183</v>
      </c>
      <c r="D389" s="3">
        <v>46183</v>
      </c>
      <c r="E389" s="3">
        <v>46186</v>
      </c>
      <c r="F389" s="2" t="s">
        <v>77</v>
      </c>
      <c r="G389" s="198">
        <v>31.65</v>
      </c>
      <c r="H389" s="198">
        <v>0</v>
      </c>
      <c r="I389" s="198">
        <f t="shared" si="54"/>
        <v>31.65</v>
      </c>
      <c r="J389" s="212">
        <f t="shared" si="55"/>
        <v>24.78828</v>
      </c>
      <c r="K389" s="4" t="s">
        <v>977</v>
      </c>
      <c r="L389" s="4" t="s">
        <v>855</v>
      </c>
      <c r="M389" s="4" t="s">
        <v>937</v>
      </c>
      <c r="N389" s="4" t="s">
        <v>390</v>
      </c>
      <c r="O389" s="146" t="str">
        <f>_xlfn.XLOOKUP(N389,costcategory[Account Code],costcategory[Cost Category],"ERROR")</f>
        <v>Employee Benefits</v>
      </c>
      <c r="P389" s="4" t="s">
        <v>523</v>
      </c>
      <c r="Q389" s="147" t="str">
        <f>_xlfn.XLOOKUP(P389,Table2[Department],Table2[Group],"ERROR")</f>
        <v>General &amp; Administrative</v>
      </c>
      <c r="V389" s="2" t="s">
        <v>113</v>
      </c>
    </row>
    <row r="390" spans="1:22" ht="12.95" customHeight="1" x14ac:dyDescent="0.2">
      <c r="A390" s="2" t="s">
        <v>15</v>
      </c>
      <c r="B390" s="2" t="s">
        <v>1</v>
      </c>
      <c r="C390" s="3">
        <v>46183</v>
      </c>
      <c r="D390" s="3">
        <v>46183</v>
      </c>
      <c r="E390" s="3">
        <v>46186</v>
      </c>
      <c r="F390" s="2" t="s">
        <v>77</v>
      </c>
      <c r="G390" s="198">
        <v>100.23</v>
      </c>
      <c r="H390" s="198">
        <v>0</v>
      </c>
      <c r="I390" s="198">
        <f t="shared" si="54"/>
        <v>100.23</v>
      </c>
      <c r="J390" s="212">
        <f t="shared" si="55"/>
        <v>78.500135999999998</v>
      </c>
      <c r="K390" s="4" t="s">
        <v>978</v>
      </c>
      <c r="L390" s="4" t="s">
        <v>855</v>
      </c>
      <c r="M390" s="4" t="s">
        <v>917</v>
      </c>
      <c r="N390" s="4" t="s">
        <v>527</v>
      </c>
      <c r="O390" s="146" t="str">
        <f>_xlfn.XLOOKUP(N390,costcategory[Account Code],costcategory[Cost Category],"ERROR")</f>
        <v>Sales Expenses</v>
      </c>
      <c r="P390" s="4" t="s">
        <v>523</v>
      </c>
      <c r="Q390" s="147" t="str">
        <f>_xlfn.XLOOKUP(P390,Table2[Department],Table2[Group],"ERROR")</f>
        <v>General &amp; Administrative</v>
      </c>
      <c r="V390" s="2" t="s">
        <v>113</v>
      </c>
    </row>
    <row r="391" spans="1:22" ht="12.95" customHeight="1" x14ac:dyDescent="0.2">
      <c r="A391" s="2" t="s">
        <v>15</v>
      </c>
      <c r="B391" s="2" t="s">
        <v>1</v>
      </c>
      <c r="C391" s="3">
        <v>46184</v>
      </c>
      <c r="D391" s="3">
        <v>46184</v>
      </c>
      <c r="E391" s="3">
        <v>46187</v>
      </c>
      <c r="F391" s="2" t="s">
        <v>77</v>
      </c>
      <c r="G391" s="198">
        <v>34.53</v>
      </c>
      <c r="H391" s="198">
        <v>0</v>
      </c>
      <c r="I391" s="198">
        <f t="shared" si="54"/>
        <v>34.53</v>
      </c>
      <c r="J391" s="212">
        <f t="shared" si="55"/>
        <v>27.043896</v>
      </c>
      <c r="K391" s="4" t="s">
        <v>979</v>
      </c>
      <c r="L391" s="4" t="s">
        <v>855</v>
      </c>
      <c r="M391" s="4" t="s">
        <v>937</v>
      </c>
      <c r="N391" s="4" t="s">
        <v>390</v>
      </c>
      <c r="O391" s="146" t="str">
        <f>_xlfn.XLOOKUP(N391,costcategory[Account Code],costcategory[Cost Category],"ERROR")</f>
        <v>Employee Benefits</v>
      </c>
      <c r="P391" s="4" t="s">
        <v>523</v>
      </c>
      <c r="Q391" s="147" t="str">
        <f>_xlfn.XLOOKUP(P391,Table2[Department],Table2[Group],"ERROR")</f>
        <v>General &amp; Administrative</v>
      </c>
      <c r="V391" s="2" t="s">
        <v>113</v>
      </c>
    </row>
    <row r="392" spans="1:22" ht="12.95" customHeight="1" x14ac:dyDescent="0.2">
      <c r="A392" s="2" t="s">
        <v>15</v>
      </c>
      <c r="B392" s="2" t="s">
        <v>1</v>
      </c>
      <c r="C392" s="3">
        <v>46185</v>
      </c>
      <c r="D392" s="3">
        <v>46185</v>
      </c>
      <c r="E392" s="3">
        <v>46188</v>
      </c>
      <c r="F392" s="2" t="s">
        <v>77</v>
      </c>
      <c r="G392" s="198">
        <v>143.9</v>
      </c>
      <c r="H392" s="198">
        <v>0</v>
      </c>
      <c r="I392" s="198">
        <f t="shared" si="54"/>
        <v>143.9</v>
      </c>
      <c r="J392" s="212">
        <f t="shared" si="55"/>
        <v>112.70248000000001</v>
      </c>
      <c r="K392" s="4" t="s">
        <v>980</v>
      </c>
      <c r="L392" s="4" t="s">
        <v>855</v>
      </c>
      <c r="M392" s="4" t="s">
        <v>917</v>
      </c>
      <c r="N392" s="4" t="s">
        <v>527</v>
      </c>
      <c r="O392" s="146" t="str">
        <f>_xlfn.XLOOKUP(N392,costcategory[Account Code],costcategory[Cost Category],"ERROR")</f>
        <v>Sales Expenses</v>
      </c>
      <c r="P392" s="4" t="s">
        <v>523</v>
      </c>
      <c r="Q392" s="147" t="str">
        <f>_xlfn.XLOOKUP(P392,Table2[Department],Table2[Group],"ERROR")</f>
        <v>General &amp; Administrative</v>
      </c>
      <c r="V392" s="2" t="s">
        <v>113</v>
      </c>
    </row>
    <row r="393" spans="1:22" ht="12.95" customHeight="1" x14ac:dyDescent="0.2">
      <c r="A393" s="2" t="s">
        <v>15</v>
      </c>
      <c r="B393" s="2" t="s">
        <v>1</v>
      </c>
      <c r="C393" s="3">
        <v>46113</v>
      </c>
      <c r="D393" s="3">
        <v>46143</v>
      </c>
      <c r="E393" s="3">
        <v>46188</v>
      </c>
      <c r="F393" s="2" t="s">
        <v>77</v>
      </c>
      <c r="G393" s="198">
        <v>-16000</v>
      </c>
      <c r="H393" s="198">
        <v>-1440</v>
      </c>
      <c r="I393" s="223">
        <f t="shared" si="54"/>
        <v>-17440</v>
      </c>
      <c r="J393" s="212">
        <f>I393*$J$368</f>
        <v>-13659.008</v>
      </c>
      <c r="K393" s="4" t="s">
        <v>109</v>
      </c>
      <c r="L393" s="4" t="s">
        <v>155</v>
      </c>
      <c r="M393" s="4" t="s">
        <v>156</v>
      </c>
      <c r="N393" s="4" t="s">
        <v>382</v>
      </c>
      <c r="O393" s="146" t="str">
        <f>_xlfn.XLOOKUP(N393,costcategory[Account Code],costcategory[Cost Category],"ERROR")</f>
        <v>Revenue</v>
      </c>
      <c r="P393" s="4" t="s">
        <v>56</v>
      </c>
      <c r="Q393" s="147" t="str">
        <f>_xlfn.XLOOKUP(P393,Table2[Department],Table2[Group],"ERROR")</f>
        <v>Research &amp; Development</v>
      </c>
      <c r="U393" s="283" t="s">
        <v>1300</v>
      </c>
      <c r="V393" s="2" t="s">
        <v>104</v>
      </c>
    </row>
    <row r="394" spans="1:22" ht="12.95" customHeight="1" x14ac:dyDescent="0.2">
      <c r="A394" s="2" t="s">
        <v>15</v>
      </c>
      <c r="B394" s="2" t="s">
        <v>1</v>
      </c>
      <c r="C394" s="3">
        <v>46121</v>
      </c>
      <c r="D394" s="3">
        <v>46151</v>
      </c>
      <c r="E394" s="3">
        <v>46188</v>
      </c>
      <c r="F394" s="2" t="s">
        <v>77</v>
      </c>
      <c r="G394" s="198">
        <v>-46400</v>
      </c>
      <c r="H394" s="198">
        <v>-4176</v>
      </c>
      <c r="I394" s="232">
        <f t="shared" si="54"/>
        <v>-50576</v>
      </c>
      <c r="J394" s="212">
        <f t="shared" si="55"/>
        <v>-39611.123200000002</v>
      </c>
      <c r="K394" s="4" t="s">
        <v>109</v>
      </c>
      <c r="L394" s="4" t="s">
        <v>162</v>
      </c>
      <c r="M394" s="4" t="s">
        <v>161</v>
      </c>
      <c r="N394" s="4" t="s">
        <v>382</v>
      </c>
      <c r="O394" s="146" t="str">
        <f>_xlfn.XLOOKUP(N394,costcategory[Account Code],costcategory[Cost Category],"ERROR")</f>
        <v>Revenue</v>
      </c>
      <c r="P394" s="4" t="s">
        <v>56</v>
      </c>
      <c r="Q394" s="147" t="str">
        <f>_xlfn.XLOOKUP(P394,Table2[Department],Table2[Group],"ERROR")</f>
        <v>Research &amp; Development</v>
      </c>
      <c r="U394" s="283" t="s">
        <v>1300</v>
      </c>
      <c r="V394" s="2" t="s">
        <v>104</v>
      </c>
    </row>
    <row r="395" spans="1:22" x14ac:dyDescent="0.2">
      <c r="A395" s="2" t="s">
        <v>15</v>
      </c>
      <c r="B395" s="2" t="s">
        <v>1</v>
      </c>
      <c r="C395" s="3">
        <v>46188</v>
      </c>
      <c r="D395" s="3">
        <v>46188</v>
      </c>
      <c r="E395" s="3">
        <v>46188</v>
      </c>
      <c r="F395" s="2" t="s">
        <v>77</v>
      </c>
      <c r="G395" s="111">
        <v>168.09</v>
      </c>
      <c r="H395" s="198">
        <v>0</v>
      </c>
      <c r="I395" s="282">
        <f t="shared" ref="I395:I417" si="56">G395+H395</f>
        <v>168.09</v>
      </c>
      <c r="J395" s="111">
        <f t="shared" ref="J395:J417" si="57">I395*0.77</f>
        <v>129.42930000000001</v>
      </c>
      <c r="K395" s="4" t="s">
        <v>627</v>
      </c>
      <c r="M395" s="4" t="s">
        <v>474</v>
      </c>
      <c r="N395" s="105" t="s">
        <v>475</v>
      </c>
      <c r="O395" s="146" t="str">
        <f>_xlfn.XLOOKUP(N395,costcategory[Account Code],costcategory[Cost Category],"ERROR")</f>
        <v>Travelling Expenses</v>
      </c>
      <c r="P395" s="4" t="s">
        <v>523</v>
      </c>
      <c r="Q395" s="89" t="str">
        <f>_xlfn.XLOOKUP(P395,Table2[Department],Table2[Group],"ERROR")</f>
        <v>General &amp; Administrative</v>
      </c>
      <c r="R395" s="18"/>
      <c r="S395" s="4"/>
      <c r="T395" s="4"/>
      <c r="U395" s="2" t="s">
        <v>1301</v>
      </c>
      <c r="V395" s="2" t="s">
        <v>113</v>
      </c>
    </row>
    <row r="396" spans="1:22" x14ac:dyDescent="0.2">
      <c r="A396" s="2" t="s">
        <v>15</v>
      </c>
      <c r="B396" s="2" t="s">
        <v>1</v>
      </c>
      <c r="C396" s="3">
        <v>46188</v>
      </c>
      <c r="D396" s="3">
        <v>46188</v>
      </c>
      <c r="E396" s="3">
        <v>46188</v>
      </c>
      <c r="F396" s="2" t="s">
        <v>77</v>
      </c>
      <c r="G396" s="111">
        <v>1567</v>
      </c>
      <c r="H396" s="198">
        <v>0</v>
      </c>
      <c r="I396" s="282">
        <f t="shared" si="56"/>
        <v>1567</v>
      </c>
      <c r="J396" s="111">
        <f t="shared" si="57"/>
        <v>1206.5899999999999</v>
      </c>
      <c r="K396" s="4" t="s">
        <v>627</v>
      </c>
      <c r="M396" s="4" t="s">
        <v>526</v>
      </c>
      <c r="N396" s="105" t="s">
        <v>527</v>
      </c>
      <c r="O396" s="146" t="str">
        <f>_xlfn.XLOOKUP(N396,costcategory[Account Code],costcategory[Cost Category],"ERROR")</f>
        <v>Sales Expenses</v>
      </c>
      <c r="P396" s="4" t="s">
        <v>59</v>
      </c>
      <c r="Q396" s="89" t="str">
        <f>_xlfn.XLOOKUP(P396,Table2[Department],Table2[Group],"ERROR")</f>
        <v>Research &amp; Development</v>
      </c>
      <c r="R396" s="18"/>
      <c r="S396" s="4"/>
      <c r="T396" s="4"/>
      <c r="U396" s="2" t="s">
        <v>1301</v>
      </c>
      <c r="V396" s="2" t="s">
        <v>113</v>
      </c>
    </row>
    <row r="397" spans="1:22" x14ac:dyDescent="0.2">
      <c r="A397" s="2" t="s">
        <v>15</v>
      </c>
      <c r="B397" s="2" t="s">
        <v>1</v>
      </c>
      <c r="C397" s="3">
        <v>46188</v>
      </c>
      <c r="D397" s="3">
        <v>46188</v>
      </c>
      <c r="E397" s="3">
        <v>46188</v>
      </c>
      <c r="F397" s="2" t="s">
        <v>77</v>
      </c>
      <c r="G397" s="111">
        <v>44.6</v>
      </c>
      <c r="H397" s="112">
        <v>2.6</v>
      </c>
      <c r="I397" s="282">
        <f t="shared" si="56"/>
        <v>47.2</v>
      </c>
      <c r="J397" s="111">
        <f t="shared" si="57"/>
        <v>36.344000000000001</v>
      </c>
      <c r="K397" s="4" t="s">
        <v>627</v>
      </c>
      <c r="M397" s="4" t="s">
        <v>526</v>
      </c>
      <c r="N397" s="105" t="s">
        <v>527</v>
      </c>
      <c r="O397" s="146" t="str">
        <f>_xlfn.XLOOKUP(N397,costcategory[Account Code],costcategory[Cost Category],"ERROR")</f>
        <v>Sales Expenses</v>
      </c>
      <c r="P397" s="4" t="s">
        <v>56</v>
      </c>
      <c r="Q397" s="89" t="str">
        <f>_xlfn.XLOOKUP(P397,Table2[Department],Table2[Group],"ERROR")</f>
        <v>Research &amp; Development</v>
      </c>
      <c r="R397" s="18"/>
      <c r="S397" s="4"/>
      <c r="T397" s="4"/>
      <c r="U397" s="2" t="s">
        <v>1301</v>
      </c>
      <c r="V397" s="2" t="s">
        <v>113</v>
      </c>
    </row>
    <row r="398" spans="1:22" x14ac:dyDescent="0.2">
      <c r="A398" s="2" t="s">
        <v>15</v>
      </c>
      <c r="B398" s="2" t="s">
        <v>1</v>
      </c>
      <c r="C398" s="3">
        <v>46188</v>
      </c>
      <c r="D398" s="3">
        <v>46188</v>
      </c>
      <c r="E398" s="3">
        <v>46188</v>
      </c>
      <c r="F398" s="2" t="s">
        <v>77</v>
      </c>
      <c r="G398" s="111">
        <v>959.66</v>
      </c>
      <c r="H398" s="111">
        <v>86.36</v>
      </c>
      <c r="I398" s="282">
        <f t="shared" si="56"/>
        <v>1046.02</v>
      </c>
      <c r="J398" s="111">
        <f t="shared" si="57"/>
        <v>805.43539999999996</v>
      </c>
      <c r="K398" s="4" t="s">
        <v>627</v>
      </c>
      <c r="M398" s="4" t="s">
        <v>526</v>
      </c>
      <c r="N398" s="105" t="s">
        <v>527</v>
      </c>
      <c r="O398" s="146" t="str">
        <f>_xlfn.XLOOKUP(N398,costcategory[Account Code],costcategory[Cost Category],"ERROR")</f>
        <v>Sales Expenses</v>
      </c>
      <c r="P398" s="4" t="s">
        <v>523</v>
      </c>
      <c r="Q398" s="89" t="str">
        <f>_xlfn.XLOOKUP(P398,Table2[Department],Table2[Group],"ERROR")</f>
        <v>General &amp; Administrative</v>
      </c>
      <c r="R398" s="19"/>
      <c r="S398" s="4"/>
      <c r="T398" s="4"/>
      <c r="U398" s="2" t="s">
        <v>1301</v>
      </c>
      <c r="V398" s="2" t="s">
        <v>113</v>
      </c>
    </row>
    <row r="399" spans="1:22" x14ac:dyDescent="0.2">
      <c r="A399" s="2" t="s">
        <v>15</v>
      </c>
      <c r="B399" s="2" t="s">
        <v>1</v>
      </c>
      <c r="C399" s="3">
        <v>46188</v>
      </c>
      <c r="D399" s="3">
        <v>46188</v>
      </c>
      <c r="E399" s="3">
        <v>46188</v>
      </c>
      <c r="F399" s="2" t="s">
        <v>77</v>
      </c>
      <c r="G399" s="111">
        <v>219.16</v>
      </c>
      <c r="H399" s="198">
        <v>0</v>
      </c>
      <c r="I399" s="282">
        <f t="shared" si="56"/>
        <v>219.16</v>
      </c>
      <c r="J399" s="111">
        <f t="shared" si="57"/>
        <v>168.75319999999999</v>
      </c>
      <c r="K399" s="4" t="s">
        <v>627</v>
      </c>
      <c r="M399" s="4" t="s">
        <v>981</v>
      </c>
      <c r="N399" s="105" t="s">
        <v>560</v>
      </c>
      <c r="O399" s="146" t="str">
        <f>_xlfn.XLOOKUP(N399,costcategory[Account Code],costcategory[Cost Category],"ERROR")</f>
        <v>Direct Costs</v>
      </c>
      <c r="P399" s="4" t="s">
        <v>438</v>
      </c>
      <c r="Q399" s="89" t="str">
        <f>_xlfn.XLOOKUP(P399,Table2[Department],Table2[Group],"ERROR")</f>
        <v>Sales &amp; Marketing</v>
      </c>
      <c r="R399" s="18"/>
      <c r="S399" s="4"/>
      <c r="T399" s="4"/>
      <c r="U399" s="2" t="s">
        <v>1301</v>
      </c>
      <c r="V399" s="2" t="s">
        <v>113</v>
      </c>
    </row>
    <row r="400" spans="1:22" x14ac:dyDescent="0.2">
      <c r="A400" s="2" t="s">
        <v>15</v>
      </c>
      <c r="B400" s="2" t="s">
        <v>1</v>
      </c>
      <c r="C400" s="3">
        <v>46188</v>
      </c>
      <c r="D400" s="3">
        <v>46188</v>
      </c>
      <c r="E400" s="3">
        <v>46188</v>
      </c>
      <c r="F400" s="2" t="s">
        <v>77</v>
      </c>
      <c r="G400" s="111">
        <v>300</v>
      </c>
      <c r="H400" s="112">
        <v>27</v>
      </c>
      <c r="I400" s="282">
        <f t="shared" si="56"/>
        <v>327</v>
      </c>
      <c r="J400" s="111">
        <f t="shared" si="57"/>
        <v>251.79</v>
      </c>
      <c r="K400" s="4" t="s">
        <v>627</v>
      </c>
      <c r="M400" s="4" t="s">
        <v>802</v>
      </c>
      <c r="N400" s="105" t="s">
        <v>68</v>
      </c>
      <c r="O400" s="146" t="str">
        <f>_xlfn.XLOOKUP(N400,costcategory[Account Code],costcategory[Cost Category],"ERROR")</f>
        <v>Marketing Expense</v>
      </c>
      <c r="P400" s="4" t="s">
        <v>658</v>
      </c>
      <c r="Q400" s="89" t="str">
        <f>_xlfn.XLOOKUP(P400,Table2[Department],Table2[Group],"ERROR")</f>
        <v>Sales &amp; Marketing</v>
      </c>
      <c r="R400" s="18"/>
      <c r="S400" s="4"/>
      <c r="T400" s="4"/>
      <c r="U400" s="2" t="s">
        <v>1301</v>
      </c>
      <c r="V400" s="2" t="s">
        <v>113</v>
      </c>
    </row>
    <row r="401" spans="1:22" x14ac:dyDescent="0.2">
      <c r="A401" s="2" t="s">
        <v>15</v>
      </c>
      <c r="B401" s="2" t="s">
        <v>1</v>
      </c>
      <c r="C401" s="3">
        <v>46188</v>
      </c>
      <c r="D401" s="3">
        <v>46188</v>
      </c>
      <c r="E401" s="3">
        <v>46188</v>
      </c>
      <c r="F401" s="2" t="s">
        <v>77</v>
      </c>
      <c r="G401" s="111">
        <v>80.900000000000006</v>
      </c>
      <c r="H401" s="198">
        <v>0</v>
      </c>
      <c r="I401" s="282">
        <f t="shared" si="56"/>
        <v>80.900000000000006</v>
      </c>
      <c r="J401" s="111">
        <f t="shared" si="57"/>
        <v>62.293000000000006</v>
      </c>
      <c r="K401" s="4" t="s">
        <v>627</v>
      </c>
      <c r="M401" s="4" t="s">
        <v>351</v>
      </c>
      <c r="N401" s="105" t="s">
        <v>50</v>
      </c>
      <c r="O401" s="146" t="str">
        <f>_xlfn.XLOOKUP(N401,costcategory[Account Code],costcategory[Cost Category],"ERROR")</f>
        <v>Office Supplies</v>
      </c>
      <c r="P401" s="4" t="s">
        <v>376</v>
      </c>
      <c r="Q401" s="89" t="str">
        <f>_xlfn.XLOOKUP(P401,Table2[Department],Table2[Group],"ERROR")</f>
        <v>General &amp; Administrative</v>
      </c>
      <c r="R401" s="18"/>
      <c r="S401" s="4"/>
      <c r="T401" s="4"/>
      <c r="U401" s="2" t="s">
        <v>1301</v>
      </c>
      <c r="V401" s="2" t="s">
        <v>113</v>
      </c>
    </row>
    <row r="402" spans="1:22" x14ac:dyDescent="0.2">
      <c r="A402" s="2" t="s">
        <v>15</v>
      </c>
      <c r="B402" s="2" t="s">
        <v>1</v>
      </c>
      <c r="C402" s="3">
        <v>46188</v>
      </c>
      <c r="D402" s="3">
        <v>46188</v>
      </c>
      <c r="E402" s="3">
        <v>46188</v>
      </c>
      <c r="F402" s="2" t="s">
        <v>77</v>
      </c>
      <c r="G402" s="111">
        <v>33.94</v>
      </c>
      <c r="H402" s="198">
        <v>0</v>
      </c>
      <c r="I402" s="282">
        <f t="shared" si="56"/>
        <v>33.94</v>
      </c>
      <c r="J402" s="111">
        <f t="shared" si="57"/>
        <v>26.133799999999997</v>
      </c>
      <c r="K402" s="4" t="s">
        <v>627</v>
      </c>
      <c r="M402" s="4" t="s">
        <v>352</v>
      </c>
      <c r="N402" s="105" t="s">
        <v>391</v>
      </c>
      <c r="O402" s="146" t="str">
        <f>_xlfn.XLOOKUP(N402,costcategory[Account Code],costcategory[Cost Category],"ERROR")</f>
        <v>Travelling Expenses</v>
      </c>
      <c r="P402" s="4" t="s">
        <v>523</v>
      </c>
      <c r="Q402" s="89" t="str">
        <f>_xlfn.XLOOKUP(P402,Table2[Department],Table2[Group],"ERROR")</f>
        <v>General &amp; Administrative</v>
      </c>
      <c r="R402" s="19"/>
      <c r="S402" s="4"/>
      <c r="T402" s="4"/>
      <c r="U402" s="2" t="s">
        <v>1301</v>
      </c>
      <c r="V402" s="2" t="s">
        <v>113</v>
      </c>
    </row>
    <row r="403" spans="1:22" x14ac:dyDescent="0.2">
      <c r="A403" s="2" t="s">
        <v>15</v>
      </c>
      <c r="B403" s="2" t="s">
        <v>1</v>
      </c>
      <c r="C403" s="3">
        <v>46188</v>
      </c>
      <c r="D403" s="3">
        <v>46188</v>
      </c>
      <c r="E403" s="3">
        <v>46188</v>
      </c>
      <c r="F403" s="2" t="s">
        <v>77</v>
      </c>
      <c r="G403" s="111">
        <v>221.43</v>
      </c>
      <c r="H403" s="112">
        <v>12.06</v>
      </c>
      <c r="I403" s="282">
        <f t="shared" si="56"/>
        <v>233.49</v>
      </c>
      <c r="J403" s="111">
        <f t="shared" si="57"/>
        <v>179.78730000000002</v>
      </c>
      <c r="K403" s="4" t="s">
        <v>627</v>
      </c>
      <c r="M403" s="4" t="s">
        <v>352</v>
      </c>
      <c r="N403" s="105" t="s">
        <v>391</v>
      </c>
      <c r="O403" s="146" t="str">
        <f>_xlfn.XLOOKUP(N403,costcategory[Account Code],costcategory[Cost Category],"ERROR")</f>
        <v>Travelling Expenses</v>
      </c>
      <c r="P403" s="4" t="s">
        <v>59</v>
      </c>
      <c r="Q403" s="89" t="str">
        <f>_xlfn.XLOOKUP(P403,Table2[Department],Table2[Group],"ERROR")</f>
        <v>Research &amp; Development</v>
      </c>
      <c r="R403" s="18"/>
      <c r="S403" s="4"/>
      <c r="T403" s="4"/>
      <c r="U403" s="2" t="s">
        <v>1301</v>
      </c>
      <c r="V403" s="2" t="s">
        <v>113</v>
      </c>
    </row>
    <row r="404" spans="1:22" x14ac:dyDescent="0.2">
      <c r="A404" s="2" t="s">
        <v>15</v>
      </c>
      <c r="B404" s="2" t="s">
        <v>1</v>
      </c>
      <c r="C404" s="3">
        <v>46188</v>
      </c>
      <c r="D404" s="3">
        <v>46188</v>
      </c>
      <c r="E404" s="3">
        <v>46188</v>
      </c>
      <c r="F404" s="2" t="s">
        <v>77</v>
      </c>
      <c r="G404" s="111">
        <v>0.01</v>
      </c>
      <c r="H404" s="198">
        <v>0</v>
      </c>
      <c r="I404" s="282">
        <f t="shared" si="56"/>
        <v>0.01</v>
      </c>
      <c r="J404" s="111">
        <f t="shared" si="57"/>
        <v>7.7000000000000002E-3</v>
      </c>
      <c r="K404" s="4" t="s">
        <v>627</v>
      </c>
      <c r="M404" s="4" t="s">
        <v>357</v>
      </c>
      <c r="N404" s="105" t="s">
        <v>332</v>
      </c>
      <c r="O404" s="146" t="str">
        <f>_xlfn.XLOOKUP(N404,costcategory[Account Code],costcategory[Cost Category],"ERROR")</f>
        <v>Bank Charges</v>
      </c>
      <c r="P404" s="4" t="s">
        <v>59</v>
      </c>
      <c r="Q404" s="89" t="str">
        <f>_xlfn.XLOOKUP(P404,Table2[Department],Table2[Group],"ERROR")</f>
        <v>Research &amp; Development</v>
      </c>
      <c r="R404" s="18"/>
      <c r="S404" s="4"/>
      <c r="T404" s="4"/>
      <c r="U404" s="2" t="s">
        <v>1301</v>
      </c>
      <c r="V404" s="2" t="s">
        <v>113</v>
      </c>
    </row>
    <row r="405" spans="1:22" x14ac:dyDescent="0.2">
      <c r="A405" s="2" t="s">
        <v>15</v>
      </c>
      <c r="B405" s="2" t="s">
        <v>1</v>
      </c>
      <c r="C405" s="3">
        <v>46188</v>
      </c>
      <c r="D405" s="3">
        <v>46188</v>
      </c>
      <c r="E405" s="3">
        <v>46188</v>
      </c>
      <c r="F405" s="2" t="s">
        <v>77</v>
      </c>
      <c r="G405" s="111">
        <v>2500</v>
      </c>
      <c r="H405" s="198">
        <v>0</v>
      </c>
      <c r="I405" s="282">
        <f t="shared" si="56"/>
        <v>2500</v>
      </c>
      <c r="J405" s="111">
        <f t="shared" si="57"/>
        <v>1925</v>
      </c>
      <c r="K405" s="4" t="s">
        <v>627</v>
      </c>
      <c r="M405" s="4" t="s">
        <v>874</v>
      </c>
      <c r="N405" s="105" t="s">
        <v>875</v>
      </c>
      <c r="O405" s="146" t="str">
        <f>_xlfn.XLOOKUP(N405,costcategory[Account Code],costcategory[Cost Category],"ERROR")</f>
        <v>Headcount Costs</v>
      </c>
      <c r="P405" s="4" t="s">
        <v>59</v>
      </c>
      <c r="Q405" s="89" t="str">
        <f>_xlfn.XLOOKUP(P405,Table2[Department],Table2[Group],"ERROR")</f>
        <v>Research &amp; Development</v>
      </c>
      <c r="R405" s="18"/>
      <c r="S405" s="4"/>
      <c r="T405" s="4"/>
      <c r="U405" s="2" t="s">
        <v>1301</v>
      </c>
      <c r="V405" s="2" t="s">
        <v>113</v>
      </c>
    </row>
    <row r="406" spans="1:22" x14ac:dyDescent="0.2">
      <c r="A406" s="2" t="s">
        <v>15</v>
      </c>
      <c r="B406" s="2" t="s">
        <v>1</v>
      </c>
      <c r="C406" s="3">
        <v>46188</v>
      </c>
      <c r="D406" s="3">
        <v>46188</v>
      </c>
      <c r="E406" s="3">
        <v>46188</v>
      </c>
      <c r="F406" s="2" t="s">
        <v>77</v>
      </c>
      <c r="G406" s="111">
        <v>59.15</v>
      </c>
      <c r="H406" s="112">
        <v>3.22</v>
      </c>
      <c r="I406" s="282">
        <f t="shared" si="56"/>
        <v>62.37</v>
      </c>
      <c r="J406" s="111">
        <f t="shared" si="57"/>
        <v>48.024900000000002</v>
      </c>
      <c r="K406" s="4" t="s">
        <v>627</v>
      </c>
      <c r="M406" s="4" t="s">
        <v>416</v>
      </c>
      <c r="N406" s="105" t="s">
        <v>390</v>
      </c>
      <c r="O406" s="146" t="str">
        <f>_xlfn.XLOOKUP(N406,costcategory[Account Code],costcategory[Cost Category],"ERROR")</f>
        <v>Employee Benefits</v>
      </c>
      <c r="P406" s="4" t="s">
        <v>523</v>
      </c>
      <c r="Q406" s="89" t="str">
        <f>_xlfn.XLOOKUP(P406,Table2[Department],Table2[Group],"ERROR")</f>
        <v>General &amp; Administrative</v>
      </c>
      <c r="R406" s="18"/>
      <c r="S406" s="4"/>
      <c r="T406" s="4"/>
      <c r="U406" s="2" t="s">
        <v>1301</v>
      </c>
      <c r="V406" s="2" t="s">
        <v>113</v>
      </c>
    </row>
    <row r="407" spans="1:22" x14ac:dyDescent="0.2">
      <c r="A407" s="2" t="s">
        <v>15</v>
      </c>
      <c r="B407" s="2" t="s">
        <v>1</v>
      </c>
      <c r="C407" s="3">
        <v>46188</v>
      </c>
      <c r="D407" s="3">
        <v>46188</v>
      </c>
      <c r="E407" s="3">
        <v>46188</v>
      </c>
      <c r="F407" s="2" t="s">
        <v>77</v>
      </c>
      <c r="G407" s="111">
        <v>177.84</v>
      </c>
      <c r="H407" s="112">
        <v>16.010000000000002</v>
      </c>
      <c r="I407" s="282">
        <f t="shared" si="56"/>
        <v>193.85</v>
      </c>
      <c r="J407" s="111">
        <f t="shared" si="57"/>
        <v>149.2645</v>
      </c>
      <c r="K407" s="4" t="s">
        <v>627</v>
      </c>
      <c r="M407" s="4" t="s">
        <v>982</v>
      </c>
      <c r="N407" s="105" t="s">
        <v>540</v>
      </c>
      <c r="O407" s="146" t="str">
        <f>_xlfn.XLOOKUP(N407,costcategory[Account Code],costcategory[Cost Category],"ERROR")</f>
        <v>Employee Benefits</v>
      </c>
      <c r="P407" s="4" t="s">
        <v>59</v>
      </c>
      <c r="Q407" s="89" t="str">
        <f>_xlfn.XLOOKUP(P407,Table2[Department],Table2[Group],"ERROR")</f>
        <v>Research &amp; Development</v>
      </c>
      <c r="R407" s="18"/>
      <c r="S407" s="4"/>
      <c r="T407" s="4"/>
      <c r="U407" s="2" t="s">
        <v>1301</v>
      </c>
      <c r="V407" s="2" t="s">
        <v>113</v>
      </c>
    </row>
    <row r="408" spans="1:22" x14ac:dyDescent="0.2">
      <c r="A408" s="2" t="s">
        <v>15</v>
      </c>
      <c r="B408" s="2" t="s">
        <v>1</v>
      </c>
      <c r="C408" s="3">
        <v>46188</v>
      </c>
      <c r="D408" s="3">
        <v>46188</v>
      </c>
      <c r="E408" s="3">
        <v>46188</v>
      </c>
      <c r="F408" s="2" t="s">
        <v>77</v>
      </c>
      <c r="G408" s="111">
        <v>108.16</v>
      </c>
      <c r="H408" s="111">
        <v>3.98</v>
      </c>
      <c r="I408" s="282">
        <f t="shared" si="56"/>
        <v>112.14</v>
      </c>
      <c r="J408" s="111">
        <f t="shared" si="57"/>
        <v>86.347800000000007</v>
      </c>
      <c r="K408" s="4" t="s">
        <v>627</v>
      </c>
      <c r="M408" s="4" t="s">
        <v>358</v>
      </c>
      <c r="N408" s="105" t="s">
        <v>60</v>
      </c>
      <c r="O408" s="146" t="str">
        <f>_xlfn.XLOOKUP(N408,costcategory[Account Code],costcategory[Cost Category],"ERROR")</f>
        <v>Subscription Fee</v>
      </c>
      <c r="P408" s="4" t="s">
        <v>56</v>
      </c>
      <c r="Q408" s="89" t="str">
        <f>_xlfn.XLOOKUP(P408,Table2[Department],Table2[Group],"ERROR")</f>
        <v>Research &amp; Development</v>
      </c>
      <c r="R408" s="19"/>
      <c r="S408" s="4"/>
      <c r="T408" s="4"/>
      <c r="U408" s="2" t="s">
        <v>1301</v>
      </c>
      <c r="V408" s="2" t="s">
        <v>113</v>
      </c>
    </row>
    <row r="409" spans="1:22" x14ac:dyDescent="0.2">
      <c r="A409" s="2" t="s">
        <v>15</v>
      </c>
      <c r="B409" s="2" t="s">
        <v>1</v>
      </c>
      <c r="C409" s="3">
        <v>46188</v>
      </c>
      <c r="D409" s="3">
        <v>46188</v>
      </c>
      <c r="E409" s="3">
        <v>46188</v>
      </c>
      <c r="F409" s="2" t="s">
        <v>77</v>
      </c>
      <c r="G409" s="111">
        <v>11.84</v>
      </c>
      <c r="H409" s="198">
        <v>0</v>
      </c>
      <c r="I409" s="282">
        <f t="shared" si="56"/>
        <v>11.84</v>
      </c>
      <c r="J409" s="111">
        <f t="shared" si="57"/>
        <v>9.1167999999999996</v>
      </c>
      <c r="K409" s="4" t="s">
        <v>627</v>
      </c>
      <c r="M409" s="4" t="s">
        <v>358</v>
      </c>
      <c r="N409" s="105" t="s">
        <v>60</v>
      </c>
      <c r="O409" s="146" t="str">
        <f>_xlfn.XLOOKUP(N409,costcategory[Account Code],costcategory[Cost Category],"ERROR")</f>
        <v>Subscription Fee</v>
      </c>
      <c r="P409" s="4" t="s">
        <v>59</v>
      </c>
      <c r="Q409" s="89" t="str">
        <f>_xlfn.XLOOKUP(P409,Table2[Department],Table2[Group],"ERROR")</f>
        <v>Research &amp; Development</v>
      </c>
      <c r="R409" s="18"/>
      <c r="S409" s="4"/>
      <c r="T409" s="4"/>
      <c r="U409" s="2" t="s">
        <v>1301</v>
      </c>
      <c r="V409" s="2" t="s">
        <v>113</v>
      </c>
    </row>
    <row r="410" spans="1:22" x14ac:dyDescent="0.2">
      <c r="A410" s="2" t="s">
        <v>15</v>
      </c>
      <c r="B410" s="2" t="s">
        <v>1</v>
      </c>
      <c r="C410" s="3">
        <v>46188</v>
      </c>
      <c r="D410" s="3">
        <v>46188</v>
      </c>
      <c r="E410" s="3">
        <v>46188</v>
      </c>
      <c r="F410" s="2" t="s">
        <v>77</v>
      </c>
      <c r="G410" s="111">
        <v>135.43</v>
      </c>
      <c r="H410" s="198">
        <v>0</v>
      </c>
      <c r="I410" s="282">
        <f t="shared" si="56"/>
        <v>135.43</v>
      </c>
      <c r="J410" s="111">
        <f t="shared" si="57"/>
        <v>104.28110000000001</v>
      </c>
      <c r="K410" s="4" t="s">
        <v>627</v>
      </c>
      <c r="M410" s="4" t="s">
        <v>358</v>
      </c>
      <c r="N410" s="105" t="s">
        <v>60</v>
      </c>
      <c r="O410" s="146" t="str">
        <f>_xlfn.XLOOKUP(N410,costcategory[Account Code],costcategory[Cost Category],"ERROR")</f>
        <v>Subscription Fee</v>
      </c>
      <c r="P410" s="4" t="s">
        <v>376</v>
      </c>
      <c r="Q410" s="89" t="str">
        <f>_xlfn.XLOOKUP(P410,Table2[Department],Table2[Group],"ERROR")</f>
        <v>General &amp; Administrative</v>
      </c>
      <c r="R410" s="19"/>
      <c r="S410" s="4"/>
      <c r="T410" s="4"/>
      <c r="U410" s="2" t="s">
        <v>1301</v>
      </c>
      <c r="V410" s="2" t="s">
        <v>113</v>
      </c>
    </row>
    <row r="411" spans="1:22" x14ac:dyDescent="0.2">
      <c r="A411" s="2" t="s">
        <v>15</v>
      </c>
      <c r="B411" s="2" t="s">
        <v>1</v>
      </c>
      <c r="C411" s="3">
        <v>46188</v>
      </c>
      <c r="D411" s="3">
        <v>46188</v>
      </c>
      <c r="E411" s="3">
        <v>46188</v>
      </c>
      <c r="F411" s="2" t="s">
        <v>77</v>
      </c>
      <c r="G411" s="111">
        <v>28.84</v>
      </c>
      <c r="H411" s="198">
        <v>0</v>
      </c>
      <c r="I411" s="282">
        <f t="shared" si="56"/>
        <v>28.84</v>
      </c>
      <c r="J411" s="111">
        <f t="shared" si="57"/>
        <v>22.206800000000001</v>
      </c>
      <c r="K411" s="4" t="s">
        <v>627</v>
      </c>
      <c r="M411" s="4" t="s">
        <v>358</v>
      </c>
      <c r="N411" s="105" t="s">
        <v>60</v>
      </c>
      <c r="O411" s="146" t="str">
        <f>_xlfn.XLOOKUP(N411,costcategory[Account Code],costcategory[Cost Category],"ERROR")</f>
        <v>Subscription Fee</v>
      </c>
      <c r="P411" s="4" t="s">
        <v>658</v>
      </c>
      <c r="Q411" s="89" t="str">
        <f>_xlfn.XLOOKUP(P411,Table2[Department],Table2[Group],"ERROR")</f>
        <v>Sales &amp; Marketing</v>
      </c>
      <c r="R411" s="19"/>
      <c r="S411" s="4"/>
      <c r="T411" s="4"/>
      <c r="U411" s="2" t="s">
        <v>1301</v>
      </c>
      <c r="V411" s="2" t="s">
        <v>113</v>
      </c>
    </row>
    <row r="412" spans="1:22" x14ac:dyDescent="0.2">
      <c r="A412" s="2" t="s">
        <v>15</v>
      </c>
      <c r="B412" s="2" t="s">
        <v>1</v>
      </c>
      <c r="C412" s="3">
        <v>46188</v>
      </c>
      <c r="D412" s="3">
        <v>46188</v>
      </c>
      <c r="E412" s="3">
        <v>46188</v>
      </c>
      <c r="F412" s="2" t="s">
        <v>77</v>
      </c>
      <c r="G412" s="111">
        <v>3103.3</v>
      </c>
      <c r="H412" s="198">
        <v>0</v>
      </c>
      <c r="I412" s="282">
        <f t="shared" si="56"/>
        <v>3103.3</v>
      </c>
      <c r="J412" s="111">
        <f t="shared" si="57"/>
        <v>2389.5410000000002</v>
      </c>
      <c r="K412" s="4" t="s">
        <v>627</v>
      </c>
      <c r="M412" s="4" t="s">
        <v>360</v>
      </c>
      <c r="N412" s="105" t="s">
        <v>353</v>
      </c>
      <c r="O412" s="146" t="str">
        <f>_xlfn.XLOOKUP(N412,costcategory[Account Code],costcategory[Cost Category],"ERROR")</f>
        <v>Travelling Expenses</v>
      </c>
      <c r="P412" s="4" t="s">
        <v>523</v>
      </c>
      <c r="Q412" s="89" t="str">
        <f>_xlfn.XLOOKUP(P412,Table2[Department],Table2[Group],"ERROR")</f>
        <v>General &amp; Administrative</v>
      </c>
      <c r="R412" s="19"/>
      <c r="S412" s="4"/>
      <c r="T412" s="4"/>
      <c r="U412" s="2" t="s">
        <v>1301</v>
      </c>
      <c r="V412" s="2" t="s">
        <v>113</v>
      </c>
    </row>
    <row r="413" spans="1:22" x14ac:dyDescent="0.2">
      <c r="A413" s="2" t="s">
        <v>15</v>
      </c>
      <c r="B413" s="2" t="s">
        <v>1</v>
      </c>
      <c r="C413" s="3">
        <v>46188</v>
      </c>
      <c r="D413" s="3">
        <v>46188</v>
      </c>
      <c r="E413" s="3">
        <v>46188</v>
      </c>
      <c r="F413" s="2" t="s">
        <v>77</v>
      </c>
      <c r="G413" s="111">
        <f>4387.29-G412</f>
        <v>1283.9899999999998</v>
      </c>
      <c r="H413" s="198">
        <v>0</v>
      </c>
      <c r="I413" s="282">
        <f t="shared" si="56"/>
        <v>1283.9899999999998</v>
      </c>
      <c r="J413" s="111">
        <f t="shared" si="57"/>
        <v>988.67229999999984</v>
      </c>
      <c r="K413" s="4" t="s">
        <v>627</v>
      </c>
      <c r="M413" s="4" t="s">
        <v>360</v>
      </c>
      <c r="N413" s="105" t="s">
        <v>353</v>
      </c>
      <c r="O413" s="146" t="str">
        <f>_xlfn.XLOOKUP(N413,costcategory[Account Code],costcategory[Cost Category],"ERROR")</f>
        <v>Travelling Expenses</v>
      </c>
      <c r="P413" s="4" t="s">
        <v>59</v>
      </c>
      <c r="Q413" s="89" t="str">
        <f>_xlfn.XLOOKUP(P413,Table2[Department],Table2[Group],"ERROR")</f>
        <v>Research &amp; Development</v>
      </c>
      <c r="R413" s="18"/>
      <c r="S413" s="4"/>
      <c r="T413" s="4"/>
      <c r="U413" s="2" t="s">
        <v>1301</v>
      </c>
      <c r="V413" s="2" t="s">
        <v>113</v>
      </c>
    </row>
    <row r="414" spans="1:22" x14ac:dyDescent="0.2">
      <c r="A414" s="2" t="s">
        <v>15</v>
      </c>
      <c r="B414" s="2" t="s">
        <v>1</v>
      </c>
      <c r="C414" s="3">
        <v>46188</v>
      </c>
      <c r="D414" s="3">
        <v>46188</v>
      </c>
      <c r="E414" s="3">
        <v>46188</v>
      </c>
      <c r="F414" s="2" t="s">
        <v>77</v>
      </c>
      <c r="G414" s="111">
        <v>49.35</v>
      </c>
      <c r="H414" s="198">
        <v>0</v>
      </c>
      <c r="I414" s="282">
        <f t="shared" si="56"/>
        <v>49.35</v>
      </c>
      <c r="J414" s="111">
        <f t="shared" si="57"/>
        <v>37.999500000000005</v>
      </c>
      <c r="K414" s="4" t="s">
        <v>627</v>
      </c>
      <c r="M414" s="4" t="s">
        <v>361</v>
      </c>
      <c r="N414" s="105" t="s">
        <v>356</v>
      </c>
      <c r="O414" s="146" t="str">
        <f>_xlfn.XLOOKUP(N414,costcategory[Account Code],costcategory[Cost Category],"ERROR")</f>
        <v>Travelling Expenses</v>
      </c>
      <c r="P414" s="4" t="s">
        <v>59</v>
      </c>
      <c r="Q414" s="89" t="str">
        <f>_xlfn.XLOOKUP(P414,Table2[Department],Table2[Group],"ERROR")</f>
        <v>Research &amp; Development</v>
      </c>
      <c r="R414" s="18"/>
      <c r="S414" s="4"/>
      <c r="T414" s="4"/>
      <c r="U414" s="2" t="s">
        <v>1301</v>
      </c>
      <c r="V414" s="2" t="s">
        <v>113</v>
      </c>
    </row>
    <row r="415" spans="1:22" x14ac:dyDescent="0.2">
      <c r="A415" s="2" t="s">
        <v>15</v>
      </c>
      <c r="B415" s="2" t="s">
        <v>1</v>
      </c>
      <c r="C415" s="3">
        <v>46188</v>
      </c>
      <c r="D415" s="3">
        <v>46188</v>
      </c>
      <c r="E415" s="3">
        <v>46188</v>
      </c>
      <c r="F415" s="2" t="s">
        <v>77</v>
      </c>
      <c r="G415" s="111">
        <v>84.8</v>
      </c>
      <c r="H415" s="198">
        <v>0</v>
      </c>
      <c r="I415" s="282">
        <f t="shared" si="56"/>
        <v>84.8</v>
      </c>
      <c r="J415" s="111">
        <f t="shared" si="57"/>
        <v>65.295999999999992</v>
      </c>
      <c r="K415" s="4" t="s">
        <v>627</v>
      </c>
      <c r="M415" s="4" t="s">
        <v>361</v>
      </c>
      <c r="N415" s="105" t="s">
        <v>356</v>
      </c>
      <c r="O415" s="146" t="str">
        <f>_xlfn.XLOOKUP(N415,costcategory[Account Code],costcategory[Cost Category],"ERROR")</f>
        <v>Travelling Expenses</v>
      </c>
      <c r="P415" s="4" t="s">
        <v>658</v>
      </c>
      <c r="Q415" s="89" t="str">
        <f>_xlfn.XLOOKUP(P415,Table2[Department],Table2[Group],"ERROR")</f>
        <v>Sales &amp; Marketing</v>
      </c>
      <c r="R415" s="18"/>
      <c r="S415" s="4"/>
      <c r="T415" s="4"/>
      <c r="U415" s="2" t="s">
        <v>1301</v>
      </c>
      <c r="V415" s="2" t="s">
        <v>113</v>
      </c>
    </row>
    <row r="416" spans="1:22" x14ac:dyDescent="0.2">
      <c r="A416" s="2" t="s">
        <v>15</v>
      </c>
      <c r="B416" s="2" t="s">
        <v>1</v>
      </c>
      <c r="C416" s="3">
        <v>46188</v>
      </c>
      <c r="D416" s="3">
        <v>46188</v>
      </c>
      <c r="E416" s="3">
        <v>46188</v>
      </c>
      <c r="F416" s="2" t="s">
        <v>77</v>
      </c>
      <c r="G416" s="111">
        <v>16.2</v>
      </c>
      <c r="H416" s="198">
        <v>0</v>
      </c>
      <c r="I416" s="282">
        <f t="shared" si="56"/>
        <v>16.2</v>
      </c>
      <c r="J416" s="111">
        <f t="shared" si="57"/>
        <v>12.474</v>
      </c>
      <c r="K416" s="4" t="s">
        <v>627</v>
      </c>
      <c r="M416" s="4" t="s">
        <v>361</v>
      </c>
      <c r="N416" s="105" t="s">
        <v>356</v>
      </c>
      <c r="O416" s="146" t="str">
        <f>_xlfn.XLOOKUP(N416,costcategory[Account Code],costcategory[Cost Category],"ERROR")</f>
        <v>Travelling Expenses</v>
      </c>
      <c r="P416" s="4" t="s">
        <v>350</v>
      </c>
      <c r="Q416" s="89" t="str">
        <f>_xlfn.XLOOKUP(P416,Table2[Department],Table2[Group],"ERROR")</f>
        <v>General &amp; Administrative</v>
      </c>
      <c r="R416" s="18"/>
      <c r="S416" s="4"/>
      <c r="T416" s="4"/>
      <c r="U416" s="2" t="s">
        <v>1301</v>
      </c>
      <c r="V416" s="2" t="s">
        <v>113</v>
      </c>
    </row>
    <row r="417" spans="1:22" x14ac:dyDescent="0.2">
      <c r="A417" s="2" t="s">
        <v>15</v>
      </c>
      <c r="B417" s="2" t="s">
        <v>1</v>
      </c>
      <c r="C417" s="3">
        <v>46188</v>
      </c>
      <c r="D417" s="3">
        <v>46188</v>
      </c>
      <c r="E417" s="3">
        <v>46188</v>
      </c>
      <c r="F417" s="2" t="s">
        <v>77</v>
      </c>
      <c r="G417" s="111">
        <v>1565.1</v>
      </c>
      <c r="H417" s="198">
        <v>0</v>
      </c>
      <c r="I417" s="279">
        <f t="shared" si="56"/>
        <v>1565.1</v>
      </c>
      <c r="J417" s="111">
        <f t="shared" si="57"/>
        <v>1205.127</v>
      </c>
      <c r="K417" s="4" t="s">
        <v>627</v>
      </c>
      <c r="M417" s="4" t="s">
        <v>361</v>
      </c>
      <c r="N417" s="105" t="s">
        <v>356</v>
      </c>
      <c r="O417" s="146" t="str">
        <f>_xlfn.XLOOKUP(N417,costcategory[Account Code],costcategory[Cost Category],"ERROR")</f>
        <v>Travelling Expenses</v>
      </c>
      <c r="P417" s="4" t="s">
        <v>523</v>
      </c>
      <c r="Q417" s="89" t="str">
        <f>_xlfn.XLOOKUP(P417,Table2[Department],Table2[Group],"ERROR")</f>
        <v>General &amp; Administrative</v>
      </c>
      <c r="R417" s="18"/>
      <c r="S417" s="4"/>
      <c r="T417" s="4"/>
      <c r="U417" s="2" t="s">
        <v>1301</v>
      </c>
      <c r="V417" s="2" t="s">
        <v>113</v>
      </c>
    </row>
    <row r="418" spans="1:22" ht="12.95" customHeight="1" x14ac:dyDescent="0.2">
      <c r="A418" s="2" t="s">
        <v>15</v>
      </c>
      <c r="B418" s="2" t="s">
        <v>1</v>
      </c>
      <c r="C418" s="3">
        <v>46189</v>
      </c>
      <c r="D418" s="3">
        <v>46189</v>
      </c>
      <c r="E418" s="3">
        <v>46191</v>
      </c>
      <c r="F418" s="2" t="s">
        <v>77</v>
      </c>
      <c r="G418" s="198">
        <v>152.03</v>
      </c>
      <c r="H418" s="198">
        <v>0</v>
      </c>
      <c r="I418" s="198">
        <f t="shared" si="54"/>
        <v>152.03</v>
      </c>
      <c r="J418" s="212">
        <f t="shared" si="55"/>
        <v>119.069896</v>
      </c>
      <c r="K418" s="160" t="s">
        <v>824</v>
      </c>
      <c r="L418" s="4" t="s">
        <v>855</v>
      </c>
      <c r="M418" s="4" t="s">
        <v>917</v>
      </c>
      <c r="N418" s="4" t="s">
        <v>527</v>
      </c>
      <c r="O418" s="146" t="str">
        <f>_xlfn.XLOOKUP(N418,costcategory[Account Code],costcategory[Cost Category],"ERROR")</f>
        <v>Sales Expenses</v>
      </c>
      <c r="P418" s="4" t="s">
        <v>523</v>
      </c>
      <c r="Q418" s="147" t="str">
        <f>_xlfn.XLOOKUP(P418,Table2[Department],Table2[Group],"ERROR")</f>
        <v>General &amp; Administrative</v>
      </c>
      <c r="V418" s="2" t="s">
        <v>113</v>
      </c>
    </row>
    <row r="419" spans="1:22" ht="12.95" customHeight="1" x14ac:dyDescent="0.2">
      <c r="A419" s="2" t="s">
        <v>15</v>
      </c>
      <c r="B419" s="2" t="s">
        <v>1</v>
      </c>
      <c r="C419" s="3">
        <v>46189</v>
      </c>
      <c r="D419" s="3">
        <v>46189</v>
      </c>
      <c r="E419" s="3">
        <v>46191</v>
      </c>
      <c r="F419" s="2" t="s">
        <v>77</v>
      </c>
      <c r="G419" s="198">
        <v>72.78</v>
      </c>
      <c r="H419" s="198">
        <v>0</v>
      </c>
      <c r="I419" s="198">
        <f t="shared" si="54"/>
        <v>72.78</v>
      </c>
      <c r="J419" s="212">
        <f t="shared" si="55"/>
        <v>57.001296000000004</v>
      </c>
      <c r="K419" s="160" t="s">
        <v>983</v>
      </c>
      <c r="L419" s="4" t="s">
        <v>855</v>
      </c>
      <c r="M419" s="4" t="s">
        <v>984</v>
      </c>
      <c r="N419" s="4" t="s">
        <v>390</v>
      </c>
      <c r="O419" s="146" t="str">
        <f>_xlfn.XLOOKUP(N419,costcategory[Account Code],costcategory[Cost Category],"ERROR")</f>
        <v>Employee Benefits</v>
      </c>
      <c r="P419" s="4" t="s">
        <v>523</v>
      </c>
      <c r="Q419" s="147" t="str">
        <f>_xlfn.XLOOKUP(P419,Table2[Department],Table2[Group],"ERROR")</f>
        <v>General &amp; Administrative</v>
      </c>
      <c r="V419" s="2" t="s">
        <v>113</v>
      </c>
    </row>
    <row r="420" spans="1:22" ht="12.95" customHeight="1" x14ac:dyDescent="0.2">
      <c r="A420" s="2" t="s">
        <v>15</v>
      </c>
      <c r="B420" s="2" t="s">
        <v>1</v>
      </c>
      <c r="C420" s="3">
        <v>46188</v>
      </c>
      <c r="D420" s="3">
        <v>46188</v>
      </c>
      <c r="E420" s="3">
        <v>46191</v>
      </c>
      <c r="F420" s="2" t="s">
        <v>77</v>
      </c>
      <c r="G420" s="198">
        <v>22.4</v>
      </c>
      <c r="H420" s="198">
        <v>0</v>
      </c>
      <c r="I420" s="198">
        <f t="shared" si="54"/>
        <v>22.4</v>
      </c>
      <c r="J420" s="212">
        <f t="shared" si="55"/>
        <v>17.543679999999998</v>
      </c>
      <c r="K420" s="160" t="s">
        <v>985</v>
      </c>
      <c r="L420" s="4" t="s">
        <v>855</v>
      </c>
      <c r="M420" s="4" t="s">
        <v>984</v>
      </c>
      <c r="N420" s="4" t="s">
        <v>390</v>
      </c>
      <c r="O420" s="146" t="str">
        <f>_xlfn.XLOOKUP(N420,costcategory[Account Code],costcategory[Cost Category],"ERROR")</f>
        <v>Employee Benefits</v>
      </c>
      <c r="P420" s="4" t="s">
        <v>523</v>
      </c>
      <c r="Q420" s="147" t="str">
        <f>_xlfn.XLOOKUP(P420,Table2[Department],Table2[Group],"ERROR")</f>
        <v>General &amp; Administrative</v>
      </c>
      <c r="V420" s="2" t="s">
        <v>113</v>
      </c>
    </row>
    <row r="421" spans="1:22" ht="12.95" customHeight="1" x14ac:dyDescent="0.2">
      <c r="A421" s="2" t="s">
        <v>15</v>
      </c>
      <c r="B421" s="2" t="s">
        <v>1</v>
      </c>
      <c r="C421" s="3">
        <v>46190</v>
      </c>
      <c r="D421" s="3">
        <v>46190</v>
      </c>
      <c r="E421" s="3">
        <v>46193</v>
      </c>
      <c r="F421" s="2" t="s">
        <v>77</v>
      </c>
      <c r="G421" s="198">
        <v>86.77</v>
      </c>
      <c r="H421" s="198">
        <v>0</v>
      </c>
      <c r="I421" s="198">
        <f t="shared" si="54"/>
        <v>86.77</v>
      </c>
      <c r="J421" s="212">
        <f t="shared" si="55"/>
        <v>67.958264</v>
      </c>
      <c r="K421" s="4" t="s">
        <v>986</v>
      </c>
      <c r="L421" s="4" t="s">
        <v>855</v>
      </c>
      <c r="M421" s="4" t="s">
        <v>917</v>
      </c>
      <c r="N421" s="4" t="s">
        <v>527</v>
      </c>
      <c r="O421" s="146" t="str">
        <f>_xlfn.XLOOKUP(N421,costcategory[Account Code],costcategory[Cost Category],"ERROR")</f>
        <v>Sales Expenses</v>
      </c>
      <c r="P421" s="4" t="s">
        <v>523</v>
      </c>
      <c r="Q421" s="147" t="str">
        <f>_xlfn.XLOOKUP(P421,Table2[Department],Table2[Group],"ERROR")</f>
        <v>General &amp; Administrative</v>
      </c>
      <c r="V421" s="2" t="s">
        <v>113</v>
      </c>
    </row>
    <row r="422" spans="1:22" ht="12.95" customHeight="1" x14ac:dyDescent="0.2">
      <c r="A422" s="2" t="s">
        <v>15</v>
      </c>
      <c r="B422" s="2" t="s">
        <v>1</v>
      </c>
      <c r="C422" s="3">
        <v>46192</v>
      </c>
      <c r="D422" s="3">
        <v>46192</v>
      </c>
      <c r="E422" s="3">
        <v>46195</v>
      </c>
      <c r="F422" s="2" t="s">
        <v>77</v>
      </c>
      <c r="G422" s="198">
        <v>46.64</v>
      </c>
      <c r="H422" s="198">
        <v>0</v>
      </c>
      <c r="I422" s="198">
        <f t="shared" si="54"/>
        <v>46.64</v>
      </c>
      <c r="J422" s="212">
        <f t="shared" si="55"/>
        <v>36.528447999999997</v>
      </c>
      <c r="K422" s="4" t="s">
        <v>987</v>
      </c>
      <c r="L422" s="4" t="s">
        <v>855</v>
      </c>
      <c r="M422" s="4" t="s">
        <v>937</v>
      </c>
      <c r="N422" s="4" t="s">
        <v>390</v>
      </c>
      <c r="O422" s="146" t="str">
        <f>_xlfn.XLOOKUP(N422,costcategory[Account Code],costcategory[Cost Category],"ERROR")</f>
        <v>Employee Benefits</v>
      </c>
      <c r="P422" s="4" t="s">
        <v>523</v>
      </c>
      <c r="Q422" s="147" t="str">
        <f>_xlfn.XLOOKUP(P422,Table2[Department],Table2[Group],"ERROR")</f>
        <v>General &amp; Administrative</v>
      </c>
      <c r="V422" s="2" t="s">
        <v>113</v>
      </c>
    </row>
    <row r="423" spans="1:22" ht="12.95" customHeight="1" x14ac:dyDescent="0.2">
      <c r="A423" s="2" t="s">
        <v>15</v>
      </c>
      <c r="B423" s="2" t="s">
        <v>1</v>
      </c>
      <c r="C423" s="164">
        <v>46195</v>
      </c>
      <c r="D423" s="164">
        <v>46225</v>
      </c>
      <c r="E423" s="166">
        <v>46195</v>
      </c>
      <c r="F423" s="2" t="s">
        <v>77</v>
      </c>
      <c r="G423" s="198">
        <v>-99</v>
      </c>
      <c r="H423" s="198">
        <v>-8.91</v>
      </c>
      <c r="I423" s="198">
        <f t="shared" ref="I423" si="58">SUM(G423:H423)</f>
        <v>-107.91</v>
      </c>
      <c r="J423" s="212">
        <f t="shared" ref="J423" si="59">I423*$J$368</f>
        <v>-84.515112000000002</v>
      </c>
      <c r="K423" s="4" t="s">
        <v>138</v>
      </c>
      <c r="L423" s="135" t="s">
        <v>988</v>
      </c>
      <c r="M423" s="4" t="s">
        <v>248</v>
      </c>
      <c r="N423" s="4" t="s">
        <v>382</v>
      </c>
      <c r="O423" s="146" t="str">
        <f>_xlfn.XLOOKUP(N423,costcategory[Account Code],costcategory[Cost Category],"ERROR")</f>
        <v>Revenue</v>
      </c>
      <c r="P423" s="4" t="s">
        <v>438</v>
      </c>
      <c r="Q423" s="147" t="str">
        <f>_xlfn.XLOOKUP(P423,Table2[Department],Table2[Group],"ERROR")</f>
        <v>Sales &amp; Marketing</v>
      </c>
      <c r="R423" s="4" t="s">
        <v>103</v>
      </c>
      <c r="S423" s="2" t="s">
        <v>104</v>
      </c>
      <c r="T423" s="4"/>
      <c r="U423" s="2" t="s">
        <v>1302</v>
      </c>
      <c r="V423" s="2" t="s">
        <v>104</v>
      </c>
    </row>
    <row r="424" spans="1:22" ht="12.95" customHeight="1" x14ac:dyDescent="0.2">
      <c r="A424" s="2" t="s">
        <v>15</v>
      </c>
      <c r="B424" s="2" t="s">
        <v>1</v>
      </c>
      <c r="C424" s="3">
        <v>46197</v>
      </c>
      <c r="D424" s="3">
        <v>46197</v>
      </c>
      <c r="E424" s="3">
        <v>46197</v>
      </c>
      <c r="F424" s="2" t="s">
        <v>77</v>
      </c>
      <c r="G424" s="198">
        <v>-79812.600000000006</v>
      </c>
      <c r="H424" s="198">
        <v>0</v>
      </c>
      <c r="I424" s="198">
        <f t="shared" si="54"/>
        <v>-79812.600000000006</v>
      </c>
      <c r="J424" s="212">
        <f t="shared" si="55"/>
        <v>-62509.228320000002</v>
      </c>
      <c r="K424" s="4" t="s">
        <v>455</v>
      </c>
      <c r="L424" s="4" t="s">
        <v>881</v>
      </c>
      <c r="M424" s="4" t="s">
        <v>882</v>
      </c>
      <c r="N424" s="4" t="s">
        <v>930</v>
      </c>
      <c r="O424" s="146" t="str">
        <f>_xlfn.XLOOKUP(N424,costcategory[Account Code],costcategory[Cost Category],"ERROR")</f>
        <v>Bank</v>
      </c>
      <c r="P424" s="4" t="s">
        <v>333</v>
      </c>
      <c r="Q424" s="147" t="str">
        <f>_xlfn.XLOOKUP(P424,Table2[Department],Table2[Group],"ERROR")</f>
        <v>General &amp; Administrative</v>
      </c>
      <c r="U424" s="2" t="s">
        <v>1303</v>
      </c>
      <c r="V424" s="2" t="s">
        <v>113</v>
      </c>
    </row>
    <row r="425" spans="1:22" ht="12.95" customHeight="1" x14ac:dyDescent="0.2">
      <c r="A425" s="2" t="s">
        <v>15</v>
      </c>
      <c r="B425" s="2" t="s">
        <v>1</v>
      </c>
      <c r="C425" s="3">
        <v>46198</v>
      </c>
      <c r="D425" s="3">
        <v>46198</v>
      </c>
      <c r="E425" s="3">
        <v>46198</v>
      </c>
      <c r="F425" s="2" t="s">
        <v>77</v>
      </c>
      <c r="G425" s="198">
        <v>-6.41</v>
      </c>
      <c r="H425" s="198">
        <v>0</v>
      </c>
      <c r="I425" s="198">
        <f t="shared" ref="I425:I434" si="60">SUM(G425:H425)</f>
        <v>-6.41</v>
      </c>
      <c r="J425" s="212">
        <f t="shared" ref="J425:J440" si="61">I425*$J$368</f>
        <v>-5.0203120000000006</v>
      </c>
      <c r="K425" s="4" t="s">
        <v>670</v>
      </c>
      <c r="L425" s="4" t="s">
        <v>989</v>
      </c>
      <c r="M425" s="4" t="s">
        <v>715</v>
      </c>
      <c r="N425" s="4" t="s">
        <v>384</v>
      </c>
      <c r="O425" s="146" t="str">
        <f>_xlfn.XLOOKUP(N425,costcategory[Account Code],costcategory[Cost Category],"ERROR")</f>
        <v>Other Income</v>
      </c>
      <c r="P425" s="4" t="s">
        <v>333</v>
      </c>
      <c r="Q425" s="147" t="str">
        <f>_xlfn.XLOOKUP(P425,Table2[Department],Table2[Group],"ERROR")</f>
        <v>General &amp; Administrative</v>
      </c>
      <c r="U425" s="2" t="s">
        <v>1304</v>
      </c>
      <c r="V425" s="2" t="s">
        <v>113</v>
      </c>
    </row>
    <row r="426" spans="1:22" ht="12.95" customHeight="1" x14ac:dyDescent="0.2">
      <c r="A426" s="2" t="s">
        <v>15</v>
      </c>
      <c r="B426" s="2" t="s">
        <v>1</v>
      </c>
      <c r="C426" s="3">
        <v>46194</v>
      </c>
      <c r="D426" s="3">
        <v>46194</v>
      </c>
      <c r="E426" s="3">
        <v>46198</v>
      </c>
      <c r="F426" s="2" t="s">
        <v>77</v>
      </c>
      <c r="G426" s="198">
        <v>91.12</v>
      </c>
      <c r="H426" s="198">
        <v>0</v>
      </c>
      <c r="I426" s="198">
        <f t="shared" si="60"/>
        <v>91.12</v>
      </c>
      <c r="J426" s="212">
        <f t="shared" si="61"/>
        <v>71.365183999999999</v>
      </c>
      <c r="K426" s="4" t="s">
        <v>990</v>
      </c>
      <c r="L426" s="135" t="s">
        <v>855</v>
      </c>
      <c r="M426" s="4" t="s">
        <v>917</v>
      </c>
      <c r="N426" s="4" t="s">
        <v>527</v>
      </c>
      <c r="O426" s="146" t="str">
        <f>_xlfn.XLOOKUP(N426,costcategory[Account Code],costcategory[Cost Category],"ERROR")</f>
        <v>Sales Expenses</v>
      </c>
      <c r="P426" s="4" t="s">
        <v>523</v>
      </c>
      <c r="Q426" s="147" t="str">
        <f>_xlfn.XLOOKUP(P426,Table2[Department],Table2[Group],"ERROR")</f>
        <v>General &amp; Administrative</v>
      </c>
      <c r="V426" s="2" t="s">
        <v>113</v>
      </c>
    </row>
    <row r="427" spans="1:22" ht="12.95" customHeight="1" x14ac:dyDescent="0.2">
      <c r="A427" s="2" t="s">
        <v>15</v>
      </c>
      <c r="B427" s="2" t="s">
        <v>1</v>
      </c>
      <c r="C427" s="3">
        <v>46195</v>
      </c>
      <c r="D427" s="3">
        <v>46195</v>
      </c>
      <c r="E427" s="3">
        <v>46198</v>
      </c>
      <c r="F427" s="2" t="s">
        <v>77</v>
      </c>
      <c r="G427" s="198">
        <v>72.13</v>
      </c>
      <c r="H427" s="198">
        <v>0</v>
      </c>
      <c r="I427" s="198">
        <f t="shared" si="60"/>
        <v>72.13</v>
      </c>
      <c r="J427" s="212">
        <f t="shared" si="61"/>
        <v>56.492215999999999</v>
      </c>
      <c r="K427" s="4" t="s">
        <v>991</v>
      </c>
      <c r="L427" s="135" t="s">
        <v>855</v>
      </c>
      <c r="M427" s="4" t="s">
        <v>917</v>
      </c>
      <c r="N427" s="4" t="s">
        <v>527</v>
      </c>
      <c r="O427" s="146" t="str">
        <f>_xlfn.XLOOKUP(N427,costcategory[Account Code],costcategory[Cost Category],"ERROR")</f>
        <v>Sales Expenses</v>
      </c>
      <c r="P427" s="4" t="s">
        <v>523</v>
      </c>
      <c r="Q427" s="147" t="str">
        <f>_xlfn.XLOOKUP(P427,Table2[Department],Table2[Group],"ERROR")</f>
        <v>General &amp; Administrative</v>
      </c>
      <c r="V427" s="2" t="s">
        <v>113</v>
      </c>
    </row>
    <row r="428" spans="1:22" ht="12.95" customHeight="1" x14ac:dyDescent="0.2">
      <c r="A428" s="2" t="s">
        <v>15</v>
      </c>
      <c r="B428" s="2" t="s">
        <v>1</v>
      </c>
      <c r="C428" s="166">
        <v>46133</v>
      </c>
      <c r="D428" s="166">
        <v>46163</v>
      </c>
      <c r="E428" s="166">
        <v>46203</v>
      </c>
      <c r="F428" s="2" t="s">
        <v>77</v>
      </c>
      <c r="G428" s="294">
        <v>-8866.67</v>
      </c>
      <c r="H428" s="294">
        <v>-798.00030000000004</v>
      </c>
      <c r="I428" s="223">
        <f t="shared" si="60"/>
        <v>-9664.6702999999998</v>
      </c>
      <c r="J428" s="212">
        <f>I428*$J$368</f>
        <v>-7569.3697789600001</v>
      </c>
      <c r="K428" s="4" t="s">
        <v>105</v>
      </c>
      <c r="L428" s="135" t="s">
        <v>171</v>
      </c>
      <c r="M428" s="4" t="s">
        <v>172</v>
      </c>
      <c r="N428" s="4" t="s">
        <v>382</v>
      </c>
      <c r="O428" s="146" t="str">
        <f>_xlfn.XLOOKUP(N428,costcategory[Account Code],costcategory[Cost Category],"ERROR")</f>
        <v>Revenue</v>
      </c>
      <c r="P428" s="4" t="s">
        <v>438</v>
      </c>
      <c r="Q428" s="147" t="str">
        <f>_xlfn.XLOOKUP(P428,Table2[Department],Table2[Group],"ERROR")</f>
        <v>Sales &amp; Marketing</v>
      </c>
      <c r="R428" s="4"/>
      <c r="S428" s="2" t="s">
        <v>104</v>
      </c>
      <c r="T428" s="4"/>
      <c r="U428" s="2" t="s">
        <v>1305</v>
      </c>
      <c r="V428" s="2" t="s">
        <v>104</v>
      </c>
    </row>
    <row r="429" spans="1:22" ht="12.95" customHeight="1" x14ac:dyDescent="0.2">
      <c r="A429" s="2" t="s">
        <v>15</v>
      </c>
      <c r="B429" s="2" t="s">
        <v>1</v>
      </c>
      <c r="C429" s="164">
        <v>46164</v>
      </c>
      <c r="D429" s="164">
        <v>46194</v>
      </c>
      <c r="E429" s="166">
        <v>46203</v>
      </c>
      <c r="F429" s="2" t="s">
        <v>77</v>
      </c>
      <c r="G429" s="294">
        <v>-8866.67</v>
      </c>
      <c r="H429" s="294">
        <v>-798.00030000000004</v>
      </c>
      <c r="I429" s="233">
        <f t="shared" si="60"/>
        <v>-9664.6702999999998</v>
      </c>
      <c r="J429" s="212">
        <f t="shared" si="61"/>
        <v>-7569.3697789600001</v>
      </c>
      <c r="K429" s="4" t="s">
        <v>105</v>
      </c>
      <c r="L429" s="135" t="s">
        <v>205</v>
      </c>
      <c r="M429" s="4" t="s">
        <v>206</v>
      </c>
      <c r="N429" s="4" t="s">
        <v>382</v>
      </c>
      <c r="O429" s="146" t="str">
        <f>_xlfn.XLOOKUP(N429,costcategory[Account Code],costcategory[Cost Category],"ERROR")</f>
        <v>Revenue</v>
      </c>
      <c r="P429" s="4" t="s">
        <v>438</v>
      </c>
      <c r="Q429" s="147" t="str">
        <f>_xlfn.XLOOKUP(P429,Table2[Department],Table2[Group],"ERROR")</f>
        <v>Sales &amp; Marketing</v>
      </c>
      <c r="R429" s="4" t="s">
        <v>103</v>
      </c>
      <c r="S429" s="2" t="s">
        <v>104</v>
      </c>
      <c r="T429" s="4"/>
      <c r="U429" s="2" t="s">
        <v>1305</v>
      </c>
      <c r="V429" s="2" t="s">
        <v>104</v>
      </c>
    </row>
    <row r="430" spans="1:22" ht="12.95" customHeight="1" x14ac:dyDescent="0.2">
      <c r="A430" s="2" t="s">
        <v>15</v>
      </c>
      <c r="B430" s="2" t="s">
        <v>1</v>
      </c>
      <c r="C430" s="164">
        <v>46164</v>
      </c>
      <c r="D430" s="164">
        <v>46194</v>
      </c>
      <c r="E430" s="166">
        <v>46203</v>
      </c>
      <c r="F430" s="2" t="s">
        <v>77</v>
      </c>
      <c r="G430" s="294">
        <v>-8866.67</v>
      </c>
      <c r="H430" s="294">
        <v>-798.00030000000004</v>
      </c>
      <c r="I430" s="232">
        <f t="shared" si="60"/>
        <v>-9664.6702999999998</v>
      </c>
      <c r="J430" s="212">
        <f t="shared" si="61"/>
        <v>-7569.3697789600001</v>
      </c>
      <c r="K430" s="4" t="s">
        <v>105</v>
      </c>
      <c r="L430" s="135" t="s">
        <v>208</v>
      </c>
      <c r="M430" s="4" t="s">
        <v>206</v>
      </c>
      <c r="N430" s="4" t="s">
        <v>382</v>
      </c>
      <c r="O430" s="146" t="str">
        <f>_xlfn.XLOOKUP(N430,costcategory[Account Code],costcategory[Cost Category],"ERROR")</f>
        <v>Revenue</v>
      </c>
      <c r="P430" s="4" t="s">
        <v>438</v>
      </c>
      <c r="Q430" s="147" t="str">
        <f>_xlfn.XLOOKUP(P430,Table2[Department],Table2[Group],"ERROR")</f>
        <v>Sales &amp; Marketing</v>
      </c>
      <c r="R430" s="4" t="s">
        <v>103</v>
      </c>
      <c r="S430" s="2" t="s">
        <v>104</v>
      </c>
      <c r="T430" s="4"/>
      <c r="U430" s="2" t="s">
        <v>1305</v>
      </c>
      <c r="V430" s="2" t="s">
        <v>104</v>
      </c>
    </row>
    <row r="431" spans="1:22" ht="12.95" customHeight="1" x14ac:dyDescent="0.2">
      <c r="A431" s="2" t="s">
        <v>15</v>
      </c>
      <c r="B431" s="2" t="s">
        <v>1</v>
      </c>
      <c r="C431" s="164">
        <v>46164</v>
      </c>
      <c r="D431" s="164">
        <v>46194</v>
      </c>
      <c r="E431" s="3">
        <v>46199</v>
      </c>
      <c r="F431" s="2" t="s">
        <v>77</v>
      </c>
      <c r="G431" s="198">
        <v>-2599</v>
      </c>
      <c r="H431" s="198">
        <v>-233.91</v>
      </c>
      <c r="I431" s="198">
        <f t="shared" si="60"/>
        <v>-2832.91</v>
      </c>
      <c r="J431" s="212">
        <f t="shared" ref="J431:J434" si="62">I431*$J$368</f>
        <v>-2218.7351119999998</v>
      </c>
      <c r="K431" s="4" t="s">
        <v>138</v>
      </c>
      <c r="L431" s="135" t="s">
        <v>202</v>
      </c>
      <c r="M431" s="4" t="s">
        <v>203</v>
      </c>
      <c r="N431" s="4" t="s">
        <v>382</v>
      </c>
      <c r="O431" s="146" t="str">
        <f>_xlfn.XLOOKUP(N431,costcategory[Account Code],costcategory[Cost Category],"ERROR")</f>
        <v>Revenue</v>
      </c>
      <c r="P431" s="4" t="s">
        <v>438</v>
      </c>
      <c r="Q431" s="147" t="str">
        <f>_xlfn.XLOOKUP(P431,Table2[Department],Table2[Group],"ERROR")</f>
        <v>Sales &amp; Marketing</v>
      </c>
      <c r="R431" s="4" t="s">
        <v>103</v>
      </c>
      <c r="S431" s="2" t="s">
        <v>104</v>
      </c>
      <c r="T431" s="4"/>
      <c r="U431" s="2" t="s">
        <v>1306</v>
      </c>
      <c r="V431" s="2" t="s">
        <v>104</v>
      </c>
    </row>
    <row r="432" spans="1:22" ht="12.95" customHeight="1" x14ac:dyDescent="0.2">
      <c r="A432" s="2" t="s">
        <v>15</v>
      </c>
      <c r="B432" s="2" t="s">
        <v>1</v>
      </c>
      <c r="C432" s="3">
        <v>46197</v>
      </c>
      <c r="D432" s="3">
        <v>46197</v>
      </c>
      <c r="E432" s="3">
        <v>46200</v>
      </c>
      <c r="F432" s="2" t="s">
        <v>77</v>
      </c>
      <c r="G432" s="295">
        <v>49.16</v>
      </c>
      <c r="H432" s="296">
        <v>0</v>
      </c>
      <c r="I432" s="296">
        <f t="shared" si="60"/>
        <v>49.16</v>
      </c>
      <c r="J432" s="297">
        <f t="shared" si="62"/>
        <v>38.502111999999997</v>
      </c>
      <c r="K432" s="68" t="s">
        <v>992</v>
      </c>
      <c r="O432" s="146" t="str">
        <f>_xlfn.XLOOKUP(N432,costcategory[Account Code],costcategory[Cost Category],"ERROR")</f>
        <v>ERROR</v>
      </c>
      <c r="P432" s="4" t="s">
        <v>523</v>
      </c>
      <c r="Q432" s="147" t="str">
        <f>_xlfn.XLOOKUP(P432,Table2[Department],Table2[Group],"ERROR")</f>
        <v>General &amp; Administrative</v>
      </c>
      <c r="V432" s="2" t="s">
        <v>113</v>
      </c>
    </row>
    <row r="433" spans="1:23" ht="12.95" customHeight="1" x14ac:dyDescent="0.2">
      <c r="A433" s="2" t="s">
        <v>15</v>
      </c>
      <c r="B433" s="2" t="s">
        <v>1</v>
      </c>
      <c r="C433" s="3">
        <v>46198</v>
      </c>
      <c r="D433" s="3">
        <v>46198</v>
      </c>
      <c r="E433" s="3">
        <v>46200</v>
      </c>
      <c r="F433" s="2" t="s">
        <v>77</v>
      </c>
      <c r="G433" s="281">
        <v>827</v>
      </c>
      <c r="H433" s="281">
        <v>0</v>
      </c>
      <c r="I433" s="281">
        <f t="shared" ref="I433" si="63">G433+H433</f>
        <v>827</v>
      </c>
      <c r="J433" s="281">
        <f t="shared" ref="J433" si="64">I433*0.25</f>
        <v>206.75</v>
      </c>
      <c r="K433" s="4" t="s">
        <v>993</v>
      </c>
      <c r="L433" s="4" t="s">
        <v>994</v>
      </c>
      <c r="M433" s="4" t="s">
        <v>995</v>
      </c>
      <c r="N433" s="4" t="s">
        <v>657</v>
      </c>
      <c r="O433" s="146" t="str">
        <f>_xlfn.XLOOKUP(N433,costcategory[Account Code],costcategory[Cost Category],"ERROR")</f>
        <v>Intercompany</v>
      </c>
      <c r="P433" t="s">
        <v>45</v>
      </c>
      <c r="Q433" s="147" t="str">
        <f>_xlfn.XLOOKUP(P433,Table2[Department],Table2[Group],"ERROR")</f>
        <v>DSC</v>
      </c>
      <c r="R433"/>
      <c r="S433"/>
      <c r="T433"/>
      <c r="U433" s="36" t="s">
        <v>1307</v>
      </c>
      <c r="V433" s="2" t="s">
        <v>113</v>
      </c>
      <c r="W433"/>
    </row>
    <row r="434" spans="1:23" ht="12.95" customHeight="1" x14ac:dyDescent="0.2">
      <c r="A434" s="2" t="s">
        <v>15</v>
      </c>
      <c r="B434" s="2" t="s">
        <v>1</v>
      </c>
      <c r="C434" s="3">
        <v>46202</v>
      </c>
      <c r="D434" s="3">
        <v>46202</v>
      </c>
      <c r="E434" s="3">
        <v>46202</v>
      </c>
      <c r="F434" s="2" t="s">
        <v>77</v>
      </c>
      <c r="G434" s="198">
        <v>29.61</v>
      </c>
      <c r="H434" s="198">
        <v>0</v>
      </c>
      <c r="I434" s="198">
        <f t="shared" si="60"/>
        <v>29.61</v>
      </c>
      <c r="J434" s="212">
        <f t="shared" si="62"/>
        <v>23.190552</v>
      </c>
      <c r="K434" s="4" t="s">
        <v>670</v>
      </c>
      <c r="L434" s="4" t="s">
        <v>996</v>
      </c>
      <c r="M434" s="4" t="s">
        <v>997</v>
      </c>
      <c r="N434" s="4" t="s">
        <v>657</v>
      </c>
      <c r="O434" s="146" t="str">
        <f>_xlfn.XLOOKUP(N434,costcategory[Account Code],costcategory[Cost Category],"ERROR")</f>
        <v>Intercompany</v>
      </c>
      <c r="P434" t="s">
        <v>45</v>
      </c>
      <c r="Q434" s="147" t="str">
        <f>_xlfn.XLOOKUP(P434,Table2[Department],Table2[Group],"ERROR")</f>
        <v>DSC</v>
      </c>
      <c r="U434" s="2" t="s">
        <v>1308</v>
      </c>
      <c r="V434" s="2" t="s">
        <v>113</v>
      </c>
    </row>
    <row r="435" spans="1:23" ht="12.95" customHeight="1" x14ac:dyDescent="0.2">
      <c r="A435" s="2" t="s">
        <v>15</v>
      </c>
      <c r="B435" s="2" t="s">
        <v>1</v>
      </c>
      <c r="C435" s="3">
        <v>46199</v>
      </c>
      <c r="D435" s="3">
        <v>46199</v>
      </c>
      <c r="E435" s="3">
        <v>46202</v>
      </c>
      <c r="F435" s="2" t="s">
        <v>77</v>
      </c>
      <c r="G435" s="296">
        <v>156.97</v>
      </c>
      <c r="H435" s="296">
        <v>0</v>
      </c>
      <c r="I435" s="296">
        <f t="shared" ref="I435:I440" si="65">SUM(G435:H435)</f>
        <v>156.97</v>
      </c>
      <c r="J435" s="297">
        <f t="shared" si="61"/>
        <v>122.93890399999999</v>
      </c>
      <c r="K435" s="68" t="s">
        <v>998</v>
      </c>
      <c r="L435" s="135"/>
      <c r="O435" s="146" t="str">
        <f>_xlfn.XLOOKUP(N435,costcategory[Account Code],costcategory[Cost Category],"ERROR")</f>
        <v>ERROR</v>
      </c>
      <c r="P435" s="4" t="s">
        <v>523</v>
      </c>
      <c r="Q435" s="147" t="str">
        <f>_xlfn.XLOOKUP(P435,Table2[Department],Table2[Group],"ERROR")</f>
        <v>General &amp; Administrative</v>
      </c>
      <c r="V435" s="2" t="s">
        <v>113</v>
      </c>
    </row>
    <row r="436" spans="1:23" ht="12.95" customHeight="1" x14ac:dyDescent="0.2">
      <c r="A436" s="2" t="s">
        <v>15</v>
      </c>
      <c r="B436" s="2" t="s">
        <v>1</v>
      </c>
      <c r="C436" s="3">
        <v>46200</v>
      </c>
      <c r="D436" s="3">
        <v>46200</v>
      </c>
      <c r="E436" s="3">
        <v>46202</v>
      </c>
      <c r="F436" s="2" t="s">
        <v>77</v>
      </c>
      <c r="G436" s="198">
        <v>2961.16</v>
      </c>
      <c r="H436" s="198">
        <v>0</v>
      </c>
      <c r="I436" s="198">
        <f t="shared" si="65"/>
        <v>2961.16</v>
      </c>
      <c r="J436" s="212">
        <f t="shared" si="61"/>
        <v>2319.1805119999999</v>
      </c>
      <c r="K436" s="4" t="s">
        <v>999</v>
      </c>
      <c r="M436" s="4" t="s">
        <v>1000</v>
      </c>
      <c r="N436" s="4" t="s">
        <v>657</v>
      </c>
      <c r="O436" s="146" t="str">
        <f>_xlfn.XLOOKUP(N436,costcategory[Account Code],costcategory[Cost Category],"ERROR")</f>
        <v>Intercompany</v>
      </c>
      <c r="P436" t="s">
        <v>45</v>
      </c>
      <c r="Q436" s="147" t="str">
        <f>_xlfn.XLOOKUP(P436,Table2[Department],Table2[Group],"ERROR")</f>
        <v>DSC</v>
      </c>
      <c r="U436" s="2" t="s">
        <v>1309</v>
      </c>
      <c r="V436" s="2" t="s">
        <v>113</v>
      </c>
    </row>
    <row r="437" spans="1:23" ht="12.95" customHeight="1" x14ac:dyDescent="0.2">
      <c r="A437" s="2" t="s">
        <v>15</v>
      </c>
      <c r="B437" s="2" t="s">
        <v>1</v>
      </c>
      <c r="F437" s="2" t="s">
        <v>77</v>
      </c>
      <c r="I437" s="198">
        <f t="shared" ref="I437:I439" si="66">SUM(G437:H437)</f>
        <v>0</v>
      </c>
      <c r="J437" s="212">
        <f t="shared" ref="J437:J439" si="67">I437*$J$368</f>
        <v>0</v>
      </c>
      <c r="O437" s="146" t="str">
        <f>_xlfn.XLOOKUP(N437,costcategory[Account Code],costcategory[Cost Category],"ERROR")</f>
        <v>ERROR</v>
      </c>
      <c r="Q437" s="147" t="str">
        <f>_xlfn.XLOOKUP(P437,Table2[Department],Table2[Group],"ERROR")</f>
        <v>ERROR</v>
      </c>
    </row>
    <row r="438" spans="1:23" ht="12.95" customHeight="1" x14ac:dyDescent="0.2">
      <c r="A438" s="2" t="s">
        <v>15</v>
      </c>
      <c r="B438" s="2" t="s">
        <v>1</v>
      </c>
      <c r="F438" s="2" t="s">
        <v>77</v>
      </c>
      <c r="I438" s="198">
        <f t="shared" si="66"/>
        <v>0</v>
      </c>
      <c r="J438" s="212">
        <f t="shared" si="67"/>
        <v>0</v>
      </c>
      <c r="L438" s="135"/>
      <c r="O438" s="146" t="str">
        <f>_xlfn.XLOOKUP(N438,costcategory[Account Code],costcategory[Cost Category],"ERROR")</f>
        <v>ERROR</v>
      </c>
      <c r="Q438" s="147" t="str">
        <f>_xlfn.XLOOKUP(P438,Table2[Department],Table2[Group],"ERROR")</f>
        <v>ERROR</v>
      </c>
    </row>
    <row r="439" spans="1:23" ht="12.95" customHeight="1" x14ac:dyDescent="0.2">
      <c r="A439" s="2" t="s">
        <v>15</v>
      </c>
      <c r="B439" s="2" t="s">
        <v>1</v>
      </c>
      <c r="F439" s="2" t="s">
        <v>77</v>
      </c>
      <c r="I439" s="198">
        <f t="shared" si="66"/>
        <v>0</v>
      </c>
      <c r="J439" s="212">
        <f t="shared" si="67"/>
        <v>0</v>
      </c>
      <c r="O439" s="146" t="str">
        <f>_xlfn.XLOOKUP(N439,costcategory[Account Code],costcategory[Cost Category],"ERROR")</f>
        <v>ERROR</v>
      </c>
      <c r="Q439" s="147" t="str">
        <f>_xlfn.XLOOKUP(P439,Table2[Department],Table2[Group],"ERROR")</f>
        <v>ERROR</v>
      </c>
    </row>
    <row r="440" spans="1:23" ht="12.95" customHeight="1" x14ac:dyDescent="0.2">
      <c r="A440" s="2" t="s">
        <v>15</v>
      </c>
      <c r="B440" s="2" t="s">
        <v>1</v>
      </c>
      <c r="F440" s="2" t="s">
        <v>77</v>
      </c>
      <c r="I440" s="198">
        <f t="shared" si="65"/>
        <v>0</v>
      </c>
      <c r="J440" s="212">
        <f t="shared" si="61"/>
        <v>0</v>
      </c>
      <c r="O440" s="146" t="str">
        <f>_xlfn.XLOOKUP(N440,costcategory[Account Code],costcategory[Cost Category],"ERROR")</f>
        <v>ERROR</v>
      </c>
      <c r="Q440" s="147" t="str">
        <f>_xlfn.XLOOKUP(P440,Table2[Department],Table2[Group],"ERROR")</f>
        <v>ERROR</v>
      </c>
    </row>
    <row r="441" spans="1:23" ht="12.95" customHeight="1" x14ac:dyDescent="0.2">
      <c r="A441" s="2" t="s">
        <v>15</v>
      </c>
      <c r="B441" s="2" t="s">
        <v>1</v>
      </c>
      <c r="F441" s="2" t="s">
        <v>77</v>
      </c>
      <c r="I441" s="198">
        <f t="shared" si="54"/>
        <v>0</v>
      </c>
      <c r="J441" s="212">
        <f t="shared" si="55"/>
        <v>0</v>
      </c>
      <c r="L441" s="135"/>
      <c r="O441" s="146" t="str">
        <f>_xlfn.XLOOKUP(N441,costcategory[Account Code],costcategory[Cost Category],"ERROR")</f>
        <v>ERROR</v>
      </c>
      <c r="Q441" s="147" t="str">
        <f>_xlfn.XLOOKUP(P441,Table2[Department],Table2[Group],"ERROR")</f>
        <v>ERROR</v>
      </c>
    </row>
    <row r="442" spans="1:23" ht="12.95" customHeight="1" x14ac:dyDescent="0.2">
      <c r="A442" s="2" t="s">
        <v>15</v>
      </c>
      <c r="B442" s="2" t="s">
        <v>1</v>
      </c>
      <c r="F442" s="2" t="s">
        <v>77</v>
      </c>
      <c r="I442" s="198">
        <f t="shared" si="50"/>
        <v>0</v>
      </c>
      <c r="J442" s="212">
        <f t="shared" si="49"/>
        <v>0</v>
      </c>
      <c r="O442" s="146" t="str">
        <f>_xlfn.XLOOKUP(N442,costcategory[Account Code],costcategory[Cost Category],"ERROR")</f>
        <v>ERROR</v>
      </c>
      <c r="Q442" s="147" t="str">
        <f>_xlfn.XLOOKUP(P442,Table2[Department],Table2[Group],"ERROR")</f>
        <v>ERROR</v>
      </c>
    </row>
    <row r="443" spans="1:23" ht="12.95" customHeight="1" x14ac:dyDescent="0.2">
      <c r="F443" s="2" t="s">
        <v>77</v>
      </c>
      <c r="I443" s="198">
        <f>SUM(I371:I442)</f>
        <v>-130224.29089999996</v>
      </c>
      <c r="J443" s="212"/>
    </row>
    <row r="444" spans="1:23" ht="12.95" customHeight="1" x14ac:dyDescent="0.2">
      <c r="A444" s="329" t="s">
        <v>1173</v>
      </c>
      <c r="B444" s="329"/>
      <c r="C444" s="329"/>
      <c r="D444" s="329"/>
      <c r="E444" s="14">
        <v>46203</v>
      </c>
      <c r="F444" s="13" t="s">
        <v>77</v>
      </c>
      <c r="G444" s="203"/>
      <c r="H444" s="226"/>
      <c r="I444" s="208">
        <f>I370-I443</f>
        <v>252292.01750000007</v>
      </c>
      <c r="J444" s="226"/>
      <c r="K444" s="298" t="s">
        <v>1310</v>
      </c>
      <c r="L444" s="17"/>
      <c r="M444" s="17"/>
      <c r="N444" s="17"/>
      <c r="O444" s="17"/>
      <c r="P444" s="17"/>
      <c r="Q444" s="17"/>
      <c r="R444" s="20"/>
      <c r="S444" s="20"/>
      <c r="T444" s="20"/>
      <c r="U444" s="20"/>
      <c r="V444" s="20"/>
    </row>
    <row r="445" spans="1:23" ht="12.95" customHeight="1" x14ac:dyDescent="0.2"/>
    <row r="446" spans="1:23" ht="12.95" customHeight="1" x14ac:dyDescent="0.2">
      <c r="J446" s="198">
        <f>FOREX!C7</f>
        <v>0.78320000000000001</v>
      </c>
    </row>
    <row r="447" spans="1:23" ht="12.95" customHeight="1" x14ac:dyDescent="0.2">
      <c r="A447" s="7" t="s">
        <v>87</v>
      </c>
      <c r="B447" s="7" t="s">
        <v>43</v>
      </c>
      <c r="C447" s="8" t="s">
        <v>54</v>
      </c>
      <c r="D447" s="8" t="s">
        <v>88</v>
      </c>
      <c r="E447" s="185" t="s">
        <v>1083</v>
      </c>
      <c r="F447" s="7" t="s">
        <v>70</v>
      </c>
      <c r="G447" s="201" t="s">
        <v>90</v>
      </c>
      <c r="H447" s="201" t="s">
        <v>91</v>
      </c>
      <c r="I447" s="201" t="s">
        <v>92</v>
      </c>
      <c r="J447" s="201" t="s">
        <v>72</v>
      </c>
      <c r="K447" s="132" t="s">
        <v>325</v>
      </c>
      <c r="L447" s="132" t="s">
        <v>94</v>
      </c>
      <c r="M447" s="7" t="s">
        <v>95</v>
      </c>
      <c r="N447" s="7" t="s">
        <v>53</v>
      </c>
      <c r="O447" s="7" t="s">
        <v>64</v>
      </c>
      <c r="P447" s="7" t="s">
        <v>67</v>
      </c>
      <c r="Q447" s="7" t="s">
        <v>44</v>
      </c>
      <c r="R447" s="7" t="s">
        <v>326</v>
      </c>
      <c r="S447" s="7" t="s">
        <v>327</v>
      </c>
      <c r="T447" s="7" t="s">
        <v>328</v>
      </c>
      <c r="U447" s="7" t="s">
        <v>98</v>
      </c>
      <c r="V447" s="7" t="s">
        <v>329</v>
      </c>
      <c r="W447" s="2"/>
    </row>
    <row r="448" spans="1:23" s="180" customFormat="1" ht="12.95" customHeight="1" x14ac:dyDescent="0.2">
      <c r="A448" s="329" t="s">
        <v>1172</v>
      </c>
      <c r="B448" s="329"/>
      <c r="C448" s="329"/>
      <c r="D448" s="329"/>
      <c r="E448" s="14">
        <v>46204</v>
      </c>
      <c r="F448" s="13" t="s">
        <v>77</v>
      </c>
      <c r="G448" s="211"/>
      <c r="H448" s="211"/>
      <c r="I448" s="211">
        <f>I444</f>
        <v>252292.01750000007</v>
      </c>
      <c r="J448" s="211"/>
      <c r="K448" s="179"/>
      <c r="L448" s="179"/>
      <c r="M448" s="96"/>
      <c r="N448" s="96"/>
      <c r="O448" s="96"/>
      <c r="P448" s="96"/>
      <c r="Q448" s="96"/>
      <c r="R448" s="13"/>
      <c r="S448" s="13"/>
      <c r="T448" s="13"/>
      <c r="U448" s="13"/>
      <c r="V448" s="13"/>
    </row>
    <row r="449" spans="1:23" ht="12.95" customHeight="1" x14ac:dyDescent="0.2">
      <c r="O449" s="146" t="str">
        <f>_xlfn.XLOOKUP(N449,costcategory[Account Code],costcategory[Cost Category],"ERROR")</f>
        <v>ERROR</v>
      </c>
      <c r="Q449" s="147" t="str">
        <f>_xlfn.XLOOKUP(P449,Table2[Department],Table2[Group],"ERROR")</f>
        <v>ERROR</v>
      </c>
    </row>
    <row r="450" spans="1:23" ht="12.95" customHeight="1" x14ac:dyDescent="0.2">
      <c r="O450" s="146" t="str">
        <f>_xlfn.XLOOKUP(N450,costcategory[Account Code],costcategory[Cost Category],"ERROR")</f>
        <v>ERROR</v>
      </c>
      <c r="Q450" s="147" t="str">
        <f>_xlfn.XLOOKUP(P450,Table2[Department],Table2[Group],"ERROR")</f>
        <v>ERROR</v>
      </c>
    </row>
    <row r="451" spans="1:23" ht="12.95" customHeight="1" x14ac:dyDescent="0.2"/>
    <row r="452" spans="1:23" ht="12.95" customHeight="1" x14ac:dyDescent="0.2">
      <c r="A452" s="329" t="s">
        <v>1173</v>
      </c>
      <c r="B452" s="329"/>
      <c r="C452" s="329"/>
      <c r="D452" s="329"/>
      <c r="E452" s="14">
        <v>46234</v>
      </c>
      <c r="F452" s="13" t="s">
        <v>77</v>
      </c>
      <c r="G452" s="211"/>
      <c r="H452" s="226"/>
      <c r="I452" s="208">
        <f>I448-(SUM(I449:I451))</f>
        <v>252292.01750000007</v>
      </c>
      <c r="J452" s="226"/>
      <c r="K452" s="17"/>
      <c r="L452" s="17"/>
      <c r="M452" s="17"/>
      <c r="N452" s="17"/>
      <c r="O452" s="17"/>
      <c r="P452" s="17"/>
      <c r="Q452" s="17"/>
      <c r="R452" s="20"/>
      <c r="S452" s="20"/>
      <c r="T452" s="20"/>
      <c r="U452" s="20"/>
      <c r="V452" s="20"/>
    </row>
    <row r="453" spans="1:23" ht="12.95" customHeight="1" x14ac:dyDescent="0.2">
      <c r="A453" s="33"/>
      <c r="B453" s="33"/>
      <c r="C453" s="33"/>
      <c r="D453" s="33"/>
      <c r="E453" s="71"/>
      <c r="F453" s="33"/>
      <c r="G453" s="231"/>
      <c r="I453" s="210"/>
    </row>
    <row r="454" spans="1:23" ht="12.95" customHeight="1" x14ac:dyDescent="0.2">
      <c r="J454" s="198">
        <f>FOREX!C8</f>
        <v>0.78320000000000001</v>
      </c>
    </row>
    <row r="455" spans="1:23" ht="12.95" customHeight="1" x14ac:dyDescent="0.2">
      <c r="A455" s="7" t="s">
        <v>87</v>
      </c>
      <c r="B455" s="7" t="s">
        <v>43</v>
      </c>
      <c r="C455" s="8" t="s">
        <v>54</v>
      </c>
      <c r="D455" s="8" t="s">
        <v>88</v>
      </c>
      <c r="E455" s="185" t="s">
        <v>1083</v>
      </c>
      <c r="F455" s="7" t="s">
        <v>70</v>
      </c>
      <c r="G455" s="201" t="s">
        <v>90</v>
      </c>
      <c r="H455" s="201" t="s">
        <v>91</v>
      </c>
      <c r="I455" s="201" t="s">
        <v>92</v>
      </c>
      <c r="J455" s="201" t="s">
        <v>72</v>
      </c>
      <c r="K455" s="132" t="s">
        <v>325</v>
      </c>
      <c r="L455" s="132" t="s">
        <v>94</v>
      </c>
      <c r="M455" s="7" t="s">
        <v>95</v>
      </c>
      <c r="N455" s="7" t="s">
        <v>53</v>
      </c>
      <c r="O455" s="7" t="s">
        <v>64</v>
      </c>
      <c r="P455" s="7" t="s">
        <v>67</v>
      </c>
      <c r="Q455" s="7" t="s">
        <v>44</v>
      </c>
      <c r="R455" s="7" t="s">
        <v>326</v>
      </c>
      <c r="S455" s="7" t="s">
        <v>327</v>
      </c>
      <c r="T455" s="7" t="s">
        <v>328</v>
      </c>
      <c r="U455" s="7" t="s">
        <v>98</v>
      </c>
      <c r="V455" s="7" t="s">
        <v>329</v>
      </c>
      <c r="W455" s="2"/>
    </row>
    <row r="456" spans="1:23" s="180" customFormat="1" ht="12.95" customHeight="1" x14ac:dyDescent="0.2">
      <c r="A456" s="329" t="s">
        <v>1172</v>
      </c>
      <c r="B456" s="329"/>
      <c r="C456" s="329"/>
      <c r="D456" s="329"/>
      <c r="E456" s="14">
        <v>46235</v>
      </c>
      <c r="F456" s="13" t="s">
        <v>77</v>
      </c>
      <c r="G456" s="211"/>
      <c r="H456" s="211"/>
      <c r="I456" s="211">
        <f>I452</f>
        <v>252292.01750000007</v>
      </c>
      <c r="J456" s="211"/>
      <c r="K456" s="179"/>
      <c r="L456" s="179"/>
      <c r="M456" s="96"/>
      <c r="N456" s="96"/>
      <c r="O456" s="96"/>
      <c r="P456" s="96"/>
      <c r="Q456" s="96"/>
      <c r="R456" s="13"/>
      <c r="S456" s="13"/>
      <c r="T456" s="13"/>
      <c r="U456" s="13"/>
      <c r="V456" s="13"/>
    </row>
    <row r="457" spans="1:23" ht="12.95" customHeight="1" x14ac:dyDescent="0.2">
      <c r="O457" s="146" t="str">
        <f>_xlfn.XLOOKUP(N457,costcategory[Account Code],costcategory[Cost Category],"ERROR")</f>
        <v>ERROR</v>
      </c>
      <c r="Q457" s="147" t="str">
        <f>_xlfn.XLOOKUP(P457,Table2[Department],Table2[Group],"ERROR")</f>
        <v>ERROR</v>
      </c>
    </row>
    <row r="458" spans="1:23" ht="12.95" customHeight="1" x14ac:dyDescent="0.2">
      <c r="O458" s="146" t="str">
        <f>_xlfn.XLOOKUP(N458,costcategory[Account Code],costcategory[Cost Category],"ERROR")</f>
        <v>ERROR</v>
      </c>
      <c r="Q458" s="147" t="str">
        <f>_xlfn.XLOOKUP(P458,Table2[Department],Table2[Group],"ERROR")</f>
        <v>ERROR</v>
      </c>
    </row>
    <row r="459" spans="1:23" ht="12.95" customHeight="1" x14ac:dyDescent="0.2"/>
    <row r="460" spans="1:23" ht="12.95" customHeight="1" x14ac:dyDescent="0.2">
      <c r="A460" s="329" t="s">
        <v>1173</v>
      </c>
      <c r="B460" s="329"/>
      <c r="C460" s="329"/>
      <c r="D460" s="329"/>
      <c r="E460" s="14">
        <v>46265</v>
      </c>
      <c r="F460" s="13" t="s">
        <v>77</v>
      </c>
      <c r="G460" s="211"/>
      <c r="H460" s="226"/>
      <c r="I460" s="208">
        <f>I456-(SUM(I457:I459))</f>
        <v>252292.01750000007</v>
      </c>
      <c r="J460" s="226"/>
      <c r="K460" s="17"/>
      <c r="L460" s="17"/>
      <c r="M460" s="17"/>
      <c r="N460" s="17"/>
      <c r="O460" s="17"/>
      <c r="P460" s="17"/>
      <c r="Q460" s="17"/>
      <c r="R460" s="20"/>
      <c r="S460" s="20"/>
      <c r="T460" s="20"/>
      <c r="U460" s="20"/>
      <c r="V460" s="20"/>
    </row>
    <row r="461" spans="1:23" ht="12.95" customHeight="1" x14ac:dyDescent="0.2"/>
    <row r="462" spans="1:23" ht="12.95" customHeight="1" x14ac:dyDescent="0.2">
      <c r="J462" s="198">
        <f>FOREX!C9</f>
        <v>0.78320000000000001</v>
      </c>
    </row>
    <row r="463" spans="1:23" ht="12.95" customHeight="1" x14ac:dyDescent="0.2">
      <c r="A463" s="7" t="s">
        <v>87</v>
      </c>
      <c r="B463" s="7" t="s">
        <v>43</v>
      </c>
      <c r="C463" s="8" t="s">
        <v>54</v>
      </c>
      <c r="D463" s="8" t="s">
        <v>88</v>
      </c>
      <c r="E463" s="185" t="s">
        <v>1083</v>
      </c>
      <c r="F463" s="7" t="s">
        <v>70</v>
      </c>
      <c r="G463" s="201" t="s">
        <v>90</v>
      </c>
      <c r="H463" s="201" t="s">
        <v>91</v>
      </c>
      <c r="I463" s="201" t="s">
        <v>92</v>
      </c>
      <c r="J463" s="201" t="s">
        <v>72</v>
      </c>
      <c r="K463" s="132" t="s">
        <v>325</v>
      </c>
      <c r="L463" s="132" t="s">
        <v>94</v>
      </c>
      <c r="M463" s="7" t="s">
        <v>95</v>
      </c>
      <c r="N463" s="7" t="s">
        <v>53</v>
      </c>
      <c r="O463" s="7" t="s">
        <v>64</v>
      </c>
      <c r="P463" s="7" t="s">
        <v>67</v>
      </c>
      <c r="Q463" s="7" t="s">
        <v>44</v>
      </c>
      <c r="R463" s="7" t="s">
        <v>326</v>
      </c>
      <c r="S463" s="7" t="s">
        <v>327</v>
      </c>
      <c r="T463" s="7" t="s">
        <v>328</v>
      </c>
      <c r="U463" s="7" t="s">
        <v>98</v>
      </c>
      <c r="V463" s="7" t="s">
        <v>329</v>
      </c>
      <c r="W463" s="2"/>
    </row>
    <row r="464" spans="1:23" s="180" customFormat="1" ht="12.95" customHeight="1" x14ac:dyDescent="0.2">
      <c r="A464" s="329" t="s">
        <v>1172</v>
      </c>
      <c r="B464" s="329"/>
      <c r="C464" s="329"/>
      <c r="D464" s="329"/>
      <c r="E464" s="14">
        <v>46266</v>
      </c>
      <c r="F464" s="13" t="s">
        <v>77</v>
      </c>
      <c r="G464" s="211"/>
      <c r="H464" s="211"/>
      <c r="I464" s="211">
        <f>I460</f>
        <v>252292.01750000007</v>
      </c>
      <c r="J464" s="211"/>
      <c r="K464" s="179"/>
      <c r="L464" s="179"/>
      <c r="M464" s="96"/>
      <c r="N464" s="96"/>
      <c r="O464" s="96"/>
      <c r="P464" s="96"/>
      <c r="Q464" s="96"/>
      <c r="R464" s="13"/>
      <c r="S464" s="13"/>
      <c r="T464" s="13"/>
      <c r="U464" s="13"/>
      <c r="V464" s="13"/>
    </row>
    <row r="465" spans="1:23" ht="12.95" customHeight="1" x14ac:dyDescent="0.2">
      <c r="O465" s="146" t="str">
        <f>_xlfn.XLOOKUP(N465,costcategory[Account Code],costcategory[Cost Category],"ERROR")</f>
        <v>ERROR</v>
      </c>
      <c r="Q465" s="147" t="str">
        <f>_xlfn.XLOOKUP(P465,Table2[Department],Table2[Group],"ERROR")</f>
        <v>ERROR</v>
      </c>
    </row>
    <row r="466" spans="1:23" ht="12.95" customHeight="1" x14ac:dyDescent="0.2">
      <c r="O466" s="146" t="str">
        <f>_xlfn.XLOOKUP(N466,costcategory[Account Code],costcategory[Cost Category],"ERROR")</f>
        <v>ERROR</v>
      </c>
      <c r="Q466" s="147" t="str">
        <f>_xlfn.XLOOKUP(P466,Table2[Department],Table2[Group],"ERROR")</f>
        <v>ERROR</v>
      </c>
    </row>
    <row r="467" spans="1:23" ht="12.95" customHeight="1" x14ac:dyDescent="0.2"/>
    <row r="468" spans="1:23" ht="12.95" customHeight="1" x14ac:dyDescent="0.2">
      <c r="A468" s="329" t="s">
        <v>1173</v>
      </c>
      <c r="B468" s="329"/>
      <c r="C468" s="329"/>
      <c r="D468" s="329"/>
      <c r="E468" s="14">
        <v>46295</v>
      </c>
      <c r="F468" s="13" t="s">
        <v>77</v>
      </c>
      <c r="G468" s="211"/>
      <c r="H468" s="226"/>
      <c r="I468" s="208">
        <f>I464-(SUM(I465:I467))</f>
        <v>252292.01750000007</v>
      </c>
      <c r="J468" s="226"/>
      <c r="K468" s="17"/>
      <c r="L468" s="17"/>
      <c r="M468" s="17"/>
      <c r="N468" s="17"/>
      <c r="O468" s="17"/>
      <c r="P468" s="17"/>
      <c r="Q468" s="17"/>
      <c r="R468" s="20"/>
      <c r="S468" s="20"/>
      <c r="T468" s="20"/>
      <c r="U468" s="20"/>
      <c r="V468" s="20"/>
    </row>
    <row r="469" spans="1:23" ht="12.95" customHeight="1" x14ac:dyDescent="0.2"/>
    <row r="470" spans="1:23" ht="12.95" customHeight="1" x14ac:dyDescent="0.2">
      <c r="J470" s="198">
        <f>FOREX!C10</f>
        <v>0.78320000000000001</v>
      </c>
    </row>
    <row r="471" spans="1:23" ht="12.95" customHeight="1" x14ac:dyDescent="0.2">
      <c r="A471" s="7" t="s">
        <v>87</v>
      </c>
      <c r="B471" s="7" t="s">
        <v>43</v>
      </c>
      <c r="C471" s="8" t="s">
        <v>54</v>
      </c>
      <c r="D471" s="8" t="s">
        <v>88</v>
      </c>
      <c r="E471" s="185" t="s">
        <v>1083</v>
      </c>
      <c r="F471" s="7" t="s">
        <v>70</v>
      </c>
      <c r="G471" s="201" t="s">
        <v>90</v>
      </c>
      <c r="H471" s="201" t="s">
        <v>91</v>
      </c>
      <c r="I471" s="201" t="s">
        <v>92</v>
      </c>
      <c r="J471" s="201" t="s">
        <v>72</v>
      </c>
      <c r="K471" s="132" t="s">
        <v>325</v>
      </c>
      <c r="L471" s="132" t="s">
        <v>94</v>
      </c>
      <c r="M471" s="7" t="s">
        <v>95</v>
      </c>
      <c r="N471" s="7" t="s">
        <v>53</v>
      </c>
      <c r="O471" s="7" t="s">
        <v>64</v>
      </c>
      <c r="P471" s="7" t="s">
        <v>67</v>
      </c>
      <c r="Q471" s="7" t="s">
        <v>44</v>
      </c>
      <c r="R471" s="7" t="s">
        <v>326</v>
      </c>
      <c r="S471" s="7" t="s">
        <v>327</v>
      </c>
      <c r="T471" s="7" t="s">
        <v>328</v>
      </c>
      <c r="U471" s="7" t="s">
        <v>98</v>
      </c>
      <c r="V471" s="7" t="s">
        <v>329</v>
      </c>
      <c r="W471" s="2"/>
    </row>
    <row r="472" spans="1:23" s="180" customFormat="1" ht="12.95" customHeight="1" x14ac:dyDescent="0.2">
      <c r="A472" s="329" t="s">
        <v>1172</v>
      </c>
      <c r="B472" s="329"/>
      <c r="C472" s="329"/>
      <c r="D472" s="329"/>
      <c r="E472" s="14">
        <v>46296</v>
      </c>
      <c r="F472" s="13" t="s">
        <v>77</v>
      </c>
      <c r="G472" s="211"/>
      <c r="H472" s="211"/>
      <c r="I472" s="211">
        <f>I468</f>
        <v>252292.01750000007</v>
      </c>
      <c r="J472" s="211"/>
      <c r="K472" s="179"/>
      <c r="L472" s="179"/>
      <c r="M472" s="96"/>
      <c r="N472" s="96"/>
      <c r="O472" s="96"/>
      <c r="P472" s="96"/>
      <c r="Q472" s="96"/>
      <c r="R472" s="13"/>
      <c r="S472" s="13"/>
      <c r="T472" s="13"/>
      <c r="U472" s="13"/>
      <c r="V472" s="13"/>
    </row>
    <row r="473" spans="1:23" ht="12.95" customHeight="1" x14ac:dyDescent="0.2">
      <c r="O473" s="146" t="str">
        <f>_xlfn.XLOOKUP(N473,costcategory[Account Code],costcategory[Cost Category],"ERROR")</f>
        <v>ERROR</v>
      </c>
      <c r="Q473" s="147" t="str">
        <f>_xlfn.XLOOKUP(P473,Table2[Department],Table2[Group],"ERROR")</f>
        <v>ERROR</v>
      </c>
    </row>
    <row r="474" spans="1:23" ht="12.95" customHeight="1" x14ac:dyDescent="0.2">
      <c r="O474" s="146" t="str">
        <f>_xlfn.XLOOKUP(N474,costcategory[Account Code],costcategory[Cost Category],"ERROR")</f>
        <v>ERROR</v>
      </c>
      <c r="Q474" s="147" t="str">
        <f>_xlfn.XLOOKUP(P474,Table2[Department],Table2[Group],"ERROR")</f>
        <v>ERROR</v>
      </c>
    </row>
    <row r="475" spans="1:23" ht="12.95" customHeight="1" x14ac:dyDescent="0.2"/>
    <row r="476" spans="1:23" ht="12.95" customHeight="1" x14ac:dyDescent="0.2">
      <c r="A476" s="329" t="s">
        <v>1173</v>
      </c>
      <c r="B476" s="329"/>
      <c r="C476" s="329"/>
      <c r="D476" s="329"/>
      <c r="E476" s="14">
        <v>46326</v>
      </c>
      <c r="F476" s="13" t="s">
        <v>77</v>
      </c>
      <c r="G476" s="211"/>
      <c r="H476" s="226"/>
      <c r="I476" s="208">
        <f>I472-(SUM(I473:I475))</f>
        <v>252292.01750000007</v>
      </c>
      <c r="J476" s="226"/>
      <c r="K476" s="17"/>
      <c r="L476" s="17"/>
      <c r="M476" s="17"/>
      <c r="N476" s="17"/>
      <c r="O476" s="17"/>
      <c r="P476" s="17"/>
      <c r="Q476" s="17"/>
      <c r="R476" s="20"/>
      <c r="S476" s="20"/>
      <c r="T476" s="20"/>
      <c r="U476" s="20"/>
      <c r="V476" s="20"/>
    </row>
    <row r="477" spans="1:23" ht="12.95" customHeight="1" x14ac:dyDescent="0.2"/>
    <row r="478" spans="1:23" ht="12.95" customHeight="1" x14ac:dyDescent="0.2">
      <c r="J478" s="198">
        <f>FOREX!C11</f>
        <v>0.78320000000000001</v>
      </c>
    </row>
    <row r="479" spans="1:23" ht="12.95" customHeight="1" x14ac:dyDescent="0.2">
      <c r="A479" s="7" t="s">
        <v>87</v>
      </c>
      <c r="B479" s="7" t="s">
        <v>43</v>
      </c>
      <c r="C479" s="8" t="s">
        <v>54</v>
      </c>
      <c r="D479" s="8" t="s">
        <v>88</v>
      </c>
      <c r="E479" s="185" t="s">
        <v>1083</v>
      </c>
      <c r="F479" s="7" t="s">
        <v>70</v>
      </c>
      <c r="G479" s="201" t="s">
        <v>90</v>
      </c>
      <c r="H479" s="201" t="s">
        <v>91</v>
      </c>
      <c r="I479" s="201" t="s">
        <v>92</v>
      </c>
      <c r="J479" s="201" t="s">
        <v>72</v>
      </c>
      <c r="K479" s="132" t="s">
        <v>325</v>
      </c>
      <c r="L479" s="132" t="s">
        <v>94</v>
      </c>
      <c r="M479" s="7" t="s">
        <v>95</v>
      </c>
      <c r="N479" s="7" t="s">
        <v>53</v>
      </c>
      <c r="O479" s="7" t="s">
        <v>64</v>
      </c>
      <c r="P479" s="7" t="s">
        <v>67</v>
      </c>
      <c r="Q479" s="7" t="s">
        <v>44</v>
      </c>
      <c r="R479" s="7" t="s">
        <v>326</v>
      </c>
      <c r="S479" s="7" t="s">
        <v>327</v>
      </c>
      <c r="T479" s="7" t="s">
        <v>328</v>
      </c>
      <c r="U479" s="7" t="s">
        <v>98</v>
      </c>
      <c r="V479" s="7" t="s">
        <v>329</v>
      </c>
      <c r="W479" s="2"/>
    </row>
    <row r="480" spans="1:23" s="180" customFormat="1" ht="12.95" customHeight="1" x14ac:dyDescent="0.2">
      <c r="A480" s="329" t="s">
        <v>1172</v>
      </c>
      <c r="B480" s="329"/>
      <c r="C480" s="329"/>
      <c r="D480" s="329"/>
      <c r="E480" s="14">
        <v>46327</v>
      </c>
      <c r="F480" s="13" t="s">
        <v>77</v>
      </c>
      <c r="G480" s="211"/>
      <c r="H480" s="211"/>
      <c r="I480" s="211">
        <f>I476</f>
        <v>252292.01750000007</v>
      </c>
      <c r="J480" s="211"/>
      <c r="K480" s="179"/>
      <c r="L480" s="179"/>
      <c r="M480" s="96"/>
      <c r="N480" s="96"/>
      <c r="O480" s="96"/>
      <c r="P480" s="96"/>
      <c r="Q480" s="96"/>
      <c r="R480" s="13"/>
      <c r="S480" s="13"/>
      <c r="T480" s="13"/>
      <c r="U480" s="13"/>
      <c r="V480" s="13"/>
    </row>
    <row r="481" spans="1:23" ht="12.95" customHeight="1" x14ac:dyDescent="0.2">
      <c r="O481" s="146" t="str">
        <f>_xlfn.XLOOKUP(N481,costcategory[Account Code],costcategory[Cost Category],"ERROR")</f>
        <v>ERROR</v>
      </c>
      <c r="Q481" s="147" t="str">
        <f>_xlfn.XLOOKUP(P481,Table2[Department],Table2[Group],"ERROR")</f>
        <v>ERROR</v>
      </c>
    </row>
    <row r="482" spans="1:23" ht="12.95" customHeight="1" x14ac:dyDescent="0.2">
      <c r="O482" s="146" t="str">
        <f>_xlfn.XLOOKUP(N482,costcategory[Account Code],costcategory[Cost Category],"ERROR")</f>
        <v>ERROR</v>
      </c>
      <c r="Q482" s="147" t="str">
        <f>_xlfn.XLOOKUP(P482,Table2[Department],Table2[Group],"ERROR")</f>
        <v>ERROR</v>
      </c>
    </row>
    <row r="483" spans="1:23" ht="12.95" customHeight="1" x14ac:dyDescent="0.2"/>
    <row r="484" spans="1:23" ht="12.95" customHeight="1" x14ac:dyDescent="0.2">
      <c r="A484" s="329" t="s">
        <v>1173</v>
      </c>
      <c r="B484" s="329"/>
      <c r="C484" s="329"/>
      <c r="D484" s="329"/>
      <c r="E484" s="14">
        <v>46356</v>
      </c>
      <c r="F484" s="13" t="s">
        <v>77</v>
      </c>
      <c r="G484" s="211"/>
      <c r="H484" s="226"/>
      <c r="I484" s="208">
        <f>I480-(SUM(I481:I483))</f>
        <v>252292.01750000007</v>
      </c>
      <c r="J484" s="226"/>
      <c r="K484" s="17"/>
      <c r="L484" s="17"/>
      <c r="M484" s="17"/>
      <c r="N484" s="17"/>
      <c r="O484" s="17"/>
      <c r="P484" s="17"/>
      <c r="Q484" s="17"/>
      <c r="R484" s="20"/>
      <c r="S484" s="20"/>
      <c r="T484" s="20"/>
      <c r="U484" s="20"/>
      <c r="V484" s="20"/>
    </row>
    <row r="485" spans="1:23" ht="12.95" customHeight="1" x14ac:dyDescent="0.2"/>
    <row r="486" spans="1:23" ht="12.95" customHeight="1" x14ac:dyDescent="0.2">
      <c r="J486" s="198">
        <f>FOREX!C12</f>
        <v>0.78320000000000001</v>
      </c>
    </row>
    <row r="487" spans="1:23" ht="12.95" customHeight="1" x14ac:dyDescent="0.2">
      <c r="A487" s="7" t="s">
        <v>87</v>
      </c>
      <c r="B487" s="7" t="s">
        <v>43</v>
      </c>
      <c r="C487" s="8" t="s">
        <v>54</v>
      </c>
      <c r="D487" s="8" t="s">
        <v>88</v>
      </c>
      <c r="E487" s="185" t="s">
        <v>1083</v>
      </c>
      <c r="F487" s="7" t="s">
        <v>70</v>
      </c>
      <c r="G487" s="201" t="s">
        <v>90</v>
      </c>
      <c r="H487" s="201" t="s">
        <v>91</v>
      </c>
      <c r="I487" s="201" t="s">
        <v>92</v>
      </c>
      <c r="J487" s="201" t="s">
        <v>72</v>
      </c>
      <c r="K487" s="132" t="s">
        <v>325</v>
      </c>
      <c r="L487" s="132" t="s">
        <v>94</v>
      </c>
      <c r="M487" s="7" t="s">
        <v>95</v>
      </c>
      <c r="N487" s="7" t="s">
        <v>53</v>
      </c>
      <c r="O487" s="7" t="s">
        <v>64</v>
      </c>
      <c r="P487" s="7" t="s">
        <v>67</v>
      </c>
      <c r="Q487" s="7" t="s">
        <v>44</v>
      </c>
      <c r="R487" s="7" t="s">
        <v>326</v>
      </c>
      <c r="S487" s="7" t="s">
        <v>327</v>
      </c>
      <c r="T487" s="7" t="s">
        <v>328</v>
      </c>
      <c r="U487" s="7" t="s">
        <v>98</v>
      </c>
      <c r="V487" s="7" t="s">
        <v>329</v>
      </c>
      <c r="W487" s="2"/>
    </row>
    <row r="488" spans="1:23" s="180" customFormat="1" ht="12.95" customHeight="1" x14ac:dyDescent="0.2">
      <c r="A488" s="329" t="s">
        <v>1172</v>
      </c>
      <c r="B488" s="329"/>
      <c r="C488" s="329"/>
      <c r="D488" s="329"/>
      <c r="E488" s="14">
        <v>46357</v>
      </c>
      <c r="F488" s="13" t="s">
        <v>77</v>
      </c>
      <c r="G488" s="211"/>
      <c r="H488" s="211"/>
      <c r="I488" s="211">
        <f>I484</f>
        <v>252292.01750000007</v>
      </c>
      <c r="J488" s="211"/>
      <c r="K488" s="179"/>
      <c r="L488" s="179"/>
      <c r="M488" s="96"/>
      <c r="N488" s="96"/>
      <c r="O488" s="96"/>
      <c r="P488" s="96"/>
      <c r="Q488" s="96"/>
      <c r="R488" s="13"/>
      <c r="S488" s="13"/>
      <c r="T488" s="13"/>
      <c r="U488" s="13"/>
      <c r="V488" s="13"/>
    </row>
    <row r="489" spans="1:23" ht="12.95" customHeight="1" x14ac:dyDescent="0.2">
      <c r="O489" s="146" t="str">
        <f>_xlfn.XLOOKUP(N489,costcategory[Account Code],costcategory[Cost Category],"ERROR")</f>
        <v>ERROR</v>
      </c>
      <c r="Q489" s="147" t="str">
        <f>_xlfn.XLOOKUP(P489,Table2[Department],Table2[Group],"ERROR")</f>
        <v>ERROR</v>
      </c>
    </row>
    <row r="490" spans="1:23" ht="12.95" customHeight="1" x14ac:dyDescent="0.2">
      <c r="O490" s="146" t="str">
        <f>_xlfn.XLOOKUP(N490,costcategory[Account Code],costcategory[Cost Category],"ERROR")</f>
        <v>ERROR</v>
      </c>
      <c r="Q490" s="147" t="str">
        <f>_xlfn.XLOOKUP(P490,Table2[Department],Table2[Group],"ERROR")</f>
        <v>ERROR</v>
      </c>
    </row>
    <row r="491" spans="1:23" ht="12.95" customHeight="1" x14ac:dyDescent="0.2"/>
    <row r="492" spans="1:23" ht="12.95" customHeight="1" x14ac:dyDescent="0.2">
      <c r="A492" s="329" t="s">
        <v>1173</v>
      </c>
      <c r="B492" s="329"/>
      <c r="C492" s="329"/>
      <c r="D492" s="329"/>
      <c r="E492" s="14">
        <v>46387</v>
      </c>
      <c r="F492" s="13" t="s">
        <v>77</v>
      </c>
      <c r="G492" s="211"/>
      <c r="H492" s="226"/>
      <c r="I492" s="208">
        <f>I488-(SUM(I489:I491))</f>
        <v>252292.01750000007</v>
      </c>
      <c r="J492" s="226"/>
      <c r="K492" s="17"/>
      <c r="L492" s="17"/>
      <c r="M492" s="17"/>
      <c r="N492" s="17"/>
      <c r="O492" s="17"/>
      <c r="P492" s="17"/>
      <c r="Q492" s="17"/>
      <c r="R492" s="20"/>
      <c r="S492" s="20"/>
      <c r="T492" s="20"/>
      <c r="U492" s="20"/>
      <c r="V492" s="20"/>
    </row>
    <row r="493" spans="1:23" ht="12.95" customHeight="1" x14ac:dyDescent="0.2"/>
    <row r="494" spans="1:23" ht="12.95" customHeight="1" x14ac:dyDescent="0.2"/>
    <row r="495" spans="1:23" ht="12.95" customHeight="1" x14ac:dyDescent="0.2"/>
    <row r="496" spans="1:23" ht="12.95" customHeight="1" x14ac:dyDescent="0.2"/>
    <row r="497" ht="12.95" customHeight="1" x14ac:dyDescent="0.2"/>
    <row r="498" ht="12.95" customHeight="1" x14ac:dyDescent="0.2"/>
    <row r="499" ht="12.95" customHeight="1" x14ac:dyDescent="0.2"/>
    <row r="500" ht="12.95" customHeight="1" x14ac:dyDescent="0.2"/>
    <row r="501" ht="12.95" customHeight="1" x14ac:dyDescent="0.2"/>
    <row r="502" ht="12.95" customHeight="1" x14ac:dyDescent="0.2"/>
    <row r="503" ht="12.95" customHeight="1" x14ac:dyDescent="0.2"/>
    <row r="504" ht="12.95" customHeight="1" x14ac:dyDescent="0.2"/>
    <row r="505" ht="12.95" customHeight="1" x14ac:dyDescent="0.2"/>
    <row r="506" ht="12.95" customHeight="1" x14ac:dyDescent="0.2"/>
    <row r="507" ht="12.95" customHeight="1" x14ac:dyDescent="0.2"/>
    <row r="508" ht="12.95" customHeight="1" x14ac:dyDescent="0.2"/>
    <row r="509" ht="12.95" customHeight="1" x14ac:dyDescent="0.2"/>
    <row r="510" ht="12.95" customHeight="1" x14ac:dyDescent="0.2"/>
    <row r="511" ht="12.95" customHeight="1" x14ac:dyDescent="0.2"/>
    <row r="512" ht="12.95" customHeight="1" x14ac:dyDescent="0.2"/>
    <row r="513" ht="12.95" customHeight="1" x14ac:dyDescent="0.2"/>
    <row r="514" ht="12.95" customHeight="1" x14ac:dyDescent="0.2"/>
    <row r="515" ht="12.95" customHeight="1" x14ac:dyDescent="0.2"/>
    <row r="516" ht="12.95" customHeight="1" x14ac:dyDescent="0.2"/>
    <row r="517" ht="12.95" customHeight="1" x14ac:dyDescent="0.2"/>
    <row r="518" ht="12.95" customHeight="1" x14ac:dyDescent="0.2"/>
    <row r="519" ht="12.95" customHeight="1" x14ac:dyDescent="0.2"/>
    <row r="520" ht="12.95" customHeight="1" x14ac:dyDescent="0.2"/>
    <row r="521" ht="12.95" customHeight="1" x14ac:dyDescent="0.2"/>
    <row r="522" ht="12.95" customHeight="1" x14ac:dyDescent="0.2"/>
    <row r="523" ht="12.95" customHeight="1" x14ac:dyDescent="0.2"/>
    <row r="524" ht="12.95" customHeight="1" x14ac:dyDescent="0.2"/>
    <row r="525" ht="12.95" customHeight="1" x14ac:dyDescent="0.2"/>
    <row r="526" ht="12.95" customHeight="1" x14ac:dyDescent="0.2"/>
    <row r="527" ht="12.95" customHeight="1" x14ac:dyDescent="0.2"/>
    <row r="528" ht="12.95" customHeight="1" x14ac:dyDescent="0.2"/>
    <row r="529" ht="12.95" customHeight="1" x14ac:dyDescent="0.2"/>
    <row r="530" ht="12.95" customHeight="1" x14ac:dyDescent="0.2"/>
    <row r="531" ht="12.95" customHeight="1" x14ac:dyDescent="0.2"/>
    <row r="532" ht="12.95" customHeight="1" x14ac:dyDescent="0.2"/>
    <row r="533" ht="12.95" customHeight="1" x14ac:dyDescent="0.2"/>
    <row r="534" ht="12.95" customHeight="1" x14ac:dyDescent="0.2"/>
    <row r="535" ht="12.95" customHeight="1" x14ac:dyDescent="0.2"/>
    <row r="536" ht="12.95" customHeight="1" x14ac:dyDescent="0.2"/>
    <row r="537" ht="12.95" customHeight="1" x14ac:dyDescent="0.2"/>
    <row r="538" ht="12.95" customHeight="1" x14ac:dyDescent="0.2"/>
    <row r="539" ht="12.95" customHeight="1" x14ac:dyDescent="0.2"/>
    <row r="540" ht="12.95" customHeight="1" x14ac:dyDescent="0.2"/>
    <row r="541" ht="12.95" customHeight="1" x14ac:dyDescent="0.2"/>
    <row r="542" ht="12.95" customHeight="1" x14ac:dyDescent="0.2"/>
    <row r="543" ht="12.95" customHeight="1" x14ac:dyDescent="0.2"/>
    <row r="544" ht="12.95" customHeight="1" x14ac:dyDescent="0.2"/>
    <row r="545" ht="12.95" customHeight="1" x14ac:dyDescent="0.2"/>
    <row r="546" ht="12.95" customHeight="1" x14ac:dyDescent="0.2"/>
    <row r="547" ht="12.95" customHeight="1" x14ac:dyDescent="0.2"/>
    <row r="548" ht="12.95" customHeight="1" x14ac:dyDescent="0.2"/>
    <row r="549" ht="12.95" customHeight="1" x14ac:dyDescent="0.2"/>
    <row r="550" ht="12.95" customHeight="1" x14ac:dyDescent="0.2"/>
    <row r="551" ht="12.95" customHeight="1" x14ac:dyDescent="0.2"/>
    <row r="552" ht="12.95" customHeight="1" x14ac:dyDescent="0.2"/>
    <row r="553" ht="12.95" customHeight="1" x14ac:dyDescent="0.2"/>
    <row r="554" ht="12.95" customHeight="1" x14ac:dyDescent="0.2"/>
    <row r="555" ht="12.95" customHeight="1" x14ac:dyDescent="0.2"/>
    <row r="556" ht="12.95" customHeight="1" x14ac:dyDescent="0.2"/>
    <row r="557" ht="12.95" customHeight="1" x14ac:dyDescent="0.2"/>
    <row r="558" ht="12.95" customHeight="1" x14ac:dyDescent="0.2"/>
    <row r="559" ht="12.95" customHeight="1" x14ac:dyDescent="0.2"/>
    <row r="560" ht="12.95" customHeight="1" x14ac:dyDescent="0.2"/>
    <row r="561" ht="12.95" customHeight="1" x14ac:dyDescent="0.2"/>
    <row r="562" ht="12.95" customHeight="1" x14ac:dyDescent="0.2"/>
    <row r="563" ht="12.95" customHeight="1" x14ac:dyDescent="0.2"/>
    <row r="564" ht="12.95" customHeight="1" x14ac:dyDescent="0.2"/>
    <row r="565" ht="12.95" customHeight="1" x14ac:dyDescent="0.2"/>
    <row r="566" ht="12.95" customHeight="1" x14ac:dyDescent="0.2"/>
    <row r="567" ht="12.95" customHeight="1" x14ac:dyDescent="0.2"/>
    <row r="568" ht="12.95" customHeight="1" x14ac:dyDescent="0.2"/>
    <row r="569" ht="12.95" customHeight="1" x14ac:dyDescent="0.2"/>
    <row r="570" ht="12.95" customHeight="1" x14ac:dyDescent="0.2"/>
    <row r="571" ht="12.95" customHeight="1" x14ac:dyDescent="0.2"/>
    <row r="572" ht="12.95" customHeight="1" x14ac:dyDescent="0.2"/>
    <row r="573" ht="12.95" customHeight="1" x14ac:dyDescent="0.2"/>
    <row r="574" ht="12.95" customHeight="1" x14ac:dyDescent="0.2"/>
    <row r="575" ht="12.95" customHeight="1" x14ac:dyDescent="0.2"/>
    <row r="576" ht="12.95" customHeight="1" x14ac:dyDescent="0.2"/>
    <row r="577" ht="12.95" customHeight="1" x14ac:dyDescent="0.2"/>
    <row r="578" ht="12.95" customHeight="1" x14ac:dyDescent="0.2"/>
    <row r="579" ht="12.95" customHeight="1" x14ac:dyDescent="0.2"/>
    <row r="580" ht="12.95" customHeight="1" x14ac:dyDescent="0.2"/>
    <row r="581" ht="12.95" customHeight="1" x14ac:dyDescent="0.2"/>
    <row r="582" ht="12.95" customHeight="1" x14ac:dyDescent="0.2"/>
    <row r="583" ht="12.95" customHeight="1" x14ac:dyDescent="0.2"/>
    <row r="584" ht="12.95" customHeight="1" x14ac:dyDescent="0.2"/>
    <row r="585" ht="12.95" customHeight="1" x14ac:dyDescent="0.2"/>
    <row r="586" ht="12.95" customHeight="1" x14ac:dyDescent="0.2"/>
    <row r="587" ht="12.95" customHeight="1" x14ac:dyDescent="0.2"/>
    <row r="588" ht="12.95" customHeight="1" x14ac:dyDescent="0.2"/>
    <row r="589" ht="12.95" customHeight="1" x14ac:dyDescent="0.2"/>
    <row r="590" ht="12.95" customHeight="1" x14ac:dyDescent="0.2"/>
    <row r="591" ht="12.95" customHeight="1" x14ac:dyDescent="0.2"/>
    <row r="592" ht="12.95" customHeight="1" x14ac:dyDescent="0.2"/>
    <row r="593" ht="12.95" customHeight="1" x14ac:dyDescent="0.2"/>
    <row r="594" ht="12.95" customHeight="1" x14ac:dyDescent="0.2"/>
    <row r="595" ht="12.95" customHeight="1" x14ac:dyDescent="0.2"/>
    <row r="596" ht="12.95" customHeight="1" x14ac:dyDescent="0.2"/>
    <row r="597" ht="12.95" customHeight="1" x14ac:dyDescent="0.2"/>
    <row r="598" ht="12.95" customHeight="1" x14ac:dyDescent="0.2"/>
    <row r="599" ht="12.95" customHeight="1" x14ac:dyDescent="0.2"/>
    <row r="600" ht="12.95" customHeight="1" x14ac:dyDescent="0.2"/>
    <row r="601" ht="12.95" customHeight="1" x14ac:dyDescent="0.2"/>
    <row r="602" ht="12.95" customHeight="1" x14ac:dyDescent="0.2"/>
    <row r="603" ht="12.95" customHeight="1" x14ac:dyDescent="0.2"/>
    <row r="604" ht="12.95" customHeight="1" x14ac:dyDescent="0.2"/>
    <row r="605" ht="12.95" customHeight="1" x14ac:dyDescent="0.2"/>
    <row r="606" ht="12.95" customHeight="1" x14ac:dyDescent="0.2"/>
    <row r="607" ht="12.95" customHeight="1" x14ac:dyDescent="0.2"/>
    <row r="608" ht="12.95" customHeight="1" x14ac:dyDescent="0.2"/>
    <row r="609" ht="12.95" customHeight="1" x14ac:dyDescent="0.2"/>
    <row r="610" ht="12.95" customHeight="1" x14ac:dyDescent="0.2"/>
    <row r="611" ht="12.95" customHeight="1" x14ac:dyDescent="0.2"/>
    <row r="612" ht="12.95" customHeight="1" x14ac:dyDescent="0.2"/>
    <row r="613" ht="12.95" customHeight="1" x14ac:dyDescent="0.2"/>
    <row r="614" ht="12.95" customHeight="1" x14ac:dyDescent="0.2"/>
    <row r="615" ht="12.95" customHeight="1" x14ac:dyDescent="0.2"/>
    <row r="616" ht="12.95" customHeight="1" x14ac:dyDescent="0.2"/>
    <row r="617" ht="12.95" customHeight="1" x14ac:dyDescent="0.2"/>
    <row r="618" ht="12.95" customHeight="1" x14ac:dyDescent="0.2"/>
    <row r="619" ht="12.95" customHeight="1" x14ac:dyDescent="0.2"/>
    <row r="620" ht="12.95" customHeight="1" x14ac:dyDescent="0.2"/>
    <row r="621" ht="12.95" customHeight="1" x14ac:dyDescent="0.2"/>
    <row r="622" ht="12.95" customHeight="1" x14ac:dyDescent="0.2"/>
    <row r="623" ht="12.95" customHeight="1" x14ac:dyDescent="0.2"/>
    <row r="624" ht="12.95" customHeight="1" x14ac:dyDescent="0.2"/>
    <row r="625" ht="12.95" customHeight="1" x14ac:dyDescent="0.2"/>
    <row r="626" ht="12.95" customHeight="1" x14ac:dyDescent="0.2"/>
    <row r="627" ht="12.95" customHeight="1" x14ac:dyDescent="0.2"/>
    <row r="628" ht="12.95" customHeight="1" x14ac:dyDescent="0.2"/>
    <row r="629" ht="12.95" customHeight="1" x14ac:dyDescent="0.2"/>
    <row r="630" ht="12.95" customHeight="1" x14ac:dyDescent="0.2"/>
    <row r="631" ht="12.95" customHeight="1" x14ac:dyDescent="0.2"/>
    <row r="632" ht="12.95" customHeight="1" x14ac:dyDescent="0.2"/>
    <row r="633" ht="12.95" customHeight="1" x14ac:dyDescent="0.2"/>
    <row r="634" ht="12.95" customHeight="1" x14ac:dyDescent="0.2"/>
    <row r="635" ht="12.95" customHeight="1" x14ac:dyDescent="0.2"/>
    <row r="636" ht="12.95" customHeight="1" x14ac:dyDescent="0.2"/>
    <row r="637" ht="12.95" customHeight="1" x14ac:dyDescent="0.2"/>
    <row r="638" ht="12.95" customHeight="1" x14ac:dyDescent="0.2"/>
    <row r="639" ht="12.95" customHeight="1" x14ac:dyDescent="0.2"/>
    <row r="640" ht="12.95" customHeight="1" x14ac:dyDescent="0.2"/>
    <row r="641" ht="12.95" customHeight="1" x14ac:dyDescent="0.2"/>
    <row r="642" ht="12.95" customHeight="1" x14ac:dyDescent="0.2"/>
    <row r="643" ht="12.95" customHeight="1" x14ac:dyDescent="0.2"/>
    <row r="644" ht="12.95" customHeight="1" x14ac:dyDescent="0.2"/>
    <row r="645" ht="12.95" customHeight="1" x14ac:dyDescent="0.2"/>
    <row r="646" ht="12.95" customHeight="1" x14ac:dyDescent="0.2"/>
    <row r="647" ht="12.95" customHeight="1" x14ac:dyDescent="0.2"/>
    <row r="648" ht="12.95" customHeight="1" x14ac:dyDescent="0.2"/>
    <row r="649" ht="12.95" customHeight="1" x14ac:dyDescent="0.2"/>
    <row r="650" ht="12.95" customHeight="1" x14ac:dyDescent="0.2"/>
    <row r="651" ht="12.95" customHeight="1" x14ac:dyDescent="0.2"/>
    <row r="652" ht="12.95" customHeight="1" x14ac:dyDescent="0.2"/>
    <row r="653" ht="12.95" customHeight="1" x14ac:dyDescent="0.2"/>
    <row r="654" ht="12.95" customHeight="1" x14ac:dyDescent="0.2"/>
    <row r="655" ht="12.95" customHeight="1" x14ac:dyDescent="0.2"/>
    <row r="656" ht="12.95" customHeight="1" x14ac:dyDescent="0.2"/>
    <row r="657" ht="12.95" customHeight="1" x14ac:dyDescent="0.2"/>
    <row r="658" ht="12.95" customHeight="1" x14ac:dyDescent="0.2"/>
    <row r="659" ht="12.95" customHeight="1" x14ac:dyDescent="0.2"/>
    <row r="660" ht="12.95" customHeight="1" x14ac:dyDescent="0.2"/>
    <row r="661" ht="12.95" customHeight="1" x14ac:dyDescent="0.2"/>
    <row r="662" ht="12.95" customHeight="1" x14ac:dyDescent="0.2"/>
    <row r="663" ht="12.95" customHeight="1" x14ac:dyDescent="0.2"/>
    <row r="664" ht="12.95" customHeight="1" x14ac:dyDescent="0.2"/>
    <row r="665" ht="12.95" customHeight="1" x14ac:dyDescent="0.2"/>
    <row r="666" ht="12.95" customHeight="1" x14ac:dyDescent="0.2"/>
    <row r="667" ht="12.95" customHeight="1" x14ac:dyDescent="0.2"/>
    <row r="668" ht="12.95" customHeight="1" x14ac:dyDescent="0.2"/>
    <row r="669" ht="12.95" customHeight="1" x14ac:dyDescent="0.2"/>
    <row r="670" ht="12.95" customHeight="1" x14ac:dyDescent="0.2"/>
    <row r="671" ht="12.95" customHeight="1" x14ac:dyDescent="0.2"/>
    <row r="672" ht="12.95" customHeight="1" x14ac:dyDescent="0.2"/>
    <row r="673" ht="12.95" customHeight="1" x14ac:dyDescent="0.2"/>
    <row r="674" ht="12.95" customHeight="1" x14ac:dyDescent="0.2"/>
    <row r="675" ht="12.95" customHeight="1" x14ac:dyDescent="0.2"/>
    <row r="676" ht="12.95" customHeight="1" x14ac:dyDescent="0.2"/>
    <row r="677" ht="12.95" customHeight="1" x14ac:dyDescent="0.2"/>
    <row r="678" ht="12.95" customHeight="1" x14ac:dyDescent="0.2"/>
    <row r="679" ht="12.95" customHeight="1" x14ac:dyDescent="0.2"/>
    <row r="680" ht="12.95" customHeight="1" x14ac:dyDescent="0.2"/>
    <row r="681" ht="12.95" customHeight="1" x14ac:dyDescent="0.2"/>
    <row r="682" ht="12.95" customHeight="1" x14ac:dyDescent="0.2"/>
    <row r="683" ht="12.95" customHeight="1" x14ac:dyDescent="0.2"/>
    <row r="684" ht="12.95" customHeight="1" x14ac:dyDescent="0.2"/>
    <row r="685" ht="12.95" customHeight="1" x14ac:dyDescent="0.2"/>
    <row r="686" ht="12.95" customHeight="1" x14ac:dyDescent="0.2"/>
    <row r="687" ht="12.95" customHeight="1" x14ac:dyDescent="0.2"/>
    <row r="688" ht="12.95" customHeight="1" x14ac:dyDescent="0.2"/>
    <row r="689" ht="12.95" customHeight="1" x14ac:dyDescent="0.2"/>
    <row r="690" ht="12.95" customHeight="1" x14ac:dyDescent="0.2"/>
    <row r="691" ht="12.95" customHeight="1" x14ac:dyDescent="0.2"/>
    <row r="692" ht="12.95" customHeight="1" x14ac:dyDescent="0.2"/>
    <row r="693" ht="12.95" customHeight="1" x14ac:dyDescent="0.2"/>
    <row r="694" ht="12.95" customHeight="1" x14ac:dyDescent="0.2"/>
    <row r="695" ht="12.95" customHeight="1" x14ac:dyDescent="0.2"/>
    <row r="696" ht="12.95" customHeight="1" x14ac:dyDescent="0.2"/>
    <row r="697" ht="12.95" customHeight="1" x14ac:dyDescent="0.2"/>
    <row r="698" ht="12.95" customHeight="1" x14ac:dyDescent="0.2"/>
    <row r="699" ht="12.95" customHeight="1" x14ac:dyDescent="0.2"/>
    <row r="700" ht="12.95" customHeight="1" x14ac:dyDescent="0.2"/>
    <row r="701" ht="12.95" customHeight="1" x14ac:dyDescent="0.2"/>
    <row r="702" ht="12.95" customHeight="1" x14ac:dyDescent="0.2"/>
    <row r="703" ht="12.95" customHeight="1" x14ac:dyDescent="0.2"/>
    <row r="704" ht="12.95" customHeight="1" x14ac:dyDescent="0.2"/>
    <row r="705" ht="12.95" customHeight="1" x14ac:dyDescent="0.2"/>
    <row r="706" ht="12.95" customHeight="1" x14ac:dyDescent="0.2"/>
    <row r="707" ht="12.95" customHeight="1" x14ac:dyDescent="0.2"/>
    <row r="708" ht="12.95" customHeight="1" x14ac:dyDescent="0.2"/>
    <row r="709" ht="12.95" customHeight="1" x14ac:dyDescent="0.2"/>
    <row r="710" ht="12.95" customHeight="1" x14ac:dyDescent="0.2"/>
    <row r="711" ht="12.95" customHeight="1" x14ac:dyDescent="0.2"/>
    <row r="712" ht="12.95" customHeight="1" x14ac:dyDescent="0.2"/>
  </sheetData>
  <autoFilter ref="A4:W449" xr:uid="{CE786469-56E5-471C-9C9A-4EB153818715}"/>
  <mergeCells count="24">
    <mergeCell ref="A480:D480"/>
    <mergeCell ref="A484:D484"/>
    <mergeCell ref="A488:D488"/>
    <mergeCell ref="A492:D492"/>
    <mergeCell ref="A460:D460"/>
    <mergeCell ref="A464:D464"/>
    <mergeCell ref="A468:D468"/>
    <mergeCell ref="A472:D472"/>
    <mergeCell ref="A476:D476"/>
    <mergeCell ref="A370:D370"/>
    <mergeCell ref="A444:D444"/>
    <mergeCell ref="A448:D448"/>
    <mergeCell ref="A452:D452"/>
    <mergeCell ref="A456:D456"/>
    <mergeCell ref="A5:D5"/>
    <mergeCell ref="A66:D66"/>
    <mergeCell ref="A70:D70"/>
    <mergeCell ref="A116:D116"/>
    <mergeCell ref="A120:D120"/>
    <mergeCell ref="A284:D284"/>
    <mergeCell ref="A366:D366"/>
    <mergeCell ref="A280:D280"/>
    <mergeCell ref="A220:D220"/>
    <mergeCell ref="A216:D216"/>
  </mergeCells>
  <phoneticPr fontId="5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43E2E74-A8E4-4C92-A92C-83FB4443E49D}">
          <x14:formula1>
            <xm:f>Setting!$D$2:$D$16</xm:f>
          </x14:formula1>
          <xm:sqref>P216:P218 P220:P264 P6:P68 P284 P280:P282 P70:P118 P480:P486 P355:P368 P448:P454 P456:P462 P464:P470 P472:P478 P294:P350 Q366 P120:P214 P488:P1048576 P370:P380 P383:P387 P389:P394 P437:P446 P397:P432 P435</xm:sqref>
        </x14:dataValidation>
        <x14:dataValidation type="list" allowBlank="1" showInputMessage="1" showErrorMessage="1" xr:uid="{20B89861-C264-41D1-9690-C2E7532EF930}">
          <x14:formula1>
            <xm:f>Setting!$B$2:$B$93</xm:f>
          </x14:formula1>
          <xm:sqref>N220:N264 N120:N218 N70:N118 N280:N282 N284 N6:N68 N480:N486 N355:N368 N448:N454 N456:N462 N464:N470 N472:N478 N294:N350 Q365 O215:Q215 O279 Q279 O365 N488:N1048576 M377 N370:N378 N381 N383:N394 M423 M428:M431 N418:N446</xm:sqref>
        </x14:dataValidation>
        <x14:dataValidation type="list" allowBlank="1" showInputMessage="1" showErrorMessage="1" xr:uid="{787D988A-1BEB-4929-8C18-B112C754EAF1}">
          <x14:formula1>
            <xm:f>Setting!$D$2:$D$15</xm:f>
          </x14:formula1>
          <xm:sqref>Q433:Q434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2F12-636A-422C-90AA-7D9340ED1873}">
  <sheetPr codeName="Sheet5"/>
  <dimension ref="A1:V112"/>
  <sheetViews>
    <sheetView zoomScale="70" zoomScaleNormal="70" workbookViewId="0">
      <pane ySplit="4" topLeftCell="A20" activePane="bottomLeft" state="frozen"/>
      <selection activeCell="E94" sqref="E94"/>
      <selection pane="bottomLeft" activeCell="K39" sqref="K39"/>
    </sheetView>
  </sheetViews>
  <sheetFormatPr defaultColWidth="9.140625" defaultRowHeight="12.75" x14ac:dyDescent="0.2"/>
  <cols>
    <col min="1" max="2" width="5.7109375" style="2" customWidth="1"/>
    <col min="3" max="5" width="10.7109375" style="3" customWidth="1"/>
    <col min="6" max="6" width="7.7109375" style="2" customWidth="1"/>
    <col min="7" max="10" width="12.7109375" style="212" customWidth="1"/>
    <col min="11" max="11" width="30.7109375" style="16" customWidth="1"/>
    <col min="12" max="12" width="20.7109375" style="22" customWidth="1"/>
    <col min="13" max="13" width="50.7109375" style="22" customWidth="1"/>
    <col min="14" max="14" width="20.7109375" style="22" customWidth="1"/>
    <col min="15" max="15" width="20.7109375" style="2" customWidth="1"/>
    <col min="16" max="17" width="20.7109375" style="31" customWidth="1"/>
    <col min="18" max="20" width="10.7109375" style="2" hidden="1" customWidth="1"/>
    <col min="21" max="22" width="11.7109375" style="2" customWidth="1"/>
    <col min="23" max="16384" width="9.140625" style="4"/>
  </cols>
  <sheetData>
    <row r="1" spans="1:22" s="2" customFormat="1" ht="12.95" customHeight="1" x14ac:dyDescent="0.2">
      <c r="G1" s="198"/>
      <c r="H1" s="198"/>
      <c r="I1" s="198"/>
      <c r="J1" s="198"/>
    </row>
    <row r="2" spans="1:22" ht="12.95" customHeight="1" x14ac:dyDescent="0.2">
      <c r="A2" s="5" t="s">
        <v>86</v>
      </c>
      <c r="G2" s="198"/>
      <c r="H2" s="198"/>
      <c r="I2" s="198"/>
      <c r="J2" s="198"/>
      <c r="K2" s="4"/>
    </row>
    <row r="3" spans="1:22" ht="12.95" customHeight="1" x14ac:dyDescent="0.2">
      <c r="A3" s="5"/>
      <c r="J3" s="198"/>
      <c r="L3" s="30"/>
    </row>
    <row r="4" spans="1:22" s="2" customFormat="1" ht="12.95" customHeight="1" x14ac:dyDescent="0.2">
      <c r="A4" s="7" t="s">
        <v>87</v>
      </c>
      <c r="B4" s="7" t="s">
        <v>43</v>
      </c>
      <c r="C4" s="8" t="s">
        <v>54</v>
      </c>
      <c r="D4" s="8" t="s">
        <v>88</v>
      </c>
      <c r="E4" s="185" t="s">
        <v>1083</v>
      </c>
      <c r="F4" s="7" t="s">
        <v>70</v>
      </c>
      <c r="G4" s="201" t="s">
        <v>90</v>
      </c>
      <c r="H4" s="201" t="s">
        <v>91</v>
      </c>
      <c r="I4" s="201" t="s">
        <v>92</v>
      </c>
      <c r="J4" s="201" t="s">
        <v>72</v>
      </c>
      <c r="K4" s="73" t="s">
        <v>325</v>
      </c>
      <c r="L4" s="73" t="s">
        <v>94</v>
      </c>
      <c r="M4" s="23" t="s">
        <v>95</v>
      </c>
      <c r="N4" s="23" t="s">
        <v>53</v>
      </c>
      <c r="O4" s="23" t="s">
        <v>64</v>
      </c>
      <c r="P4" s="23" t="s">
        <v>67</v>
      </c>
      <c r="Q4" s="23" t="s">
        <v>44</v>
      </c>
      <c r="R4" s="23" t="s">
        <v>326</v>
      </c>
      <c r="S4" s="23" t="s">
        <v>327</v>
      </c>
      <c r="T4" s="23" t="s">
        <v>328</v>
      </c>
      <c r="U4" s="7" t="s">
        <v>98</v>
      </c>
      <c r="V4" s="7" t="s">
        <v>329</v>
      </c>
    </row>
    <row r="5" spans="1:22" s="13" customFormat="1" ht="12.95" customHeight="1" x14ac:dyDescent="0.2">
      <c r="A5" s="329" t="s">
        <v>1172</v>
      </c>
      <c r="B5" s="329"/>
      <c r="C5" s="329"/>
      <c r="D5" s="329"/>
      <c r="E5" s="14">
        <v>46023</v>
      </c>
      <c r="F5" s="13" t="s">
        <v>4</v>
      </c>
      <c r="G5" s="203"/>
      <c r="H5" s="203"/>
      <c r="I5" s="203">
        <v>825438.09</v>
      </c>
      <c r="J5" s="203"/>
      <c r="K5" s="15"/>
      <c r="L5" s="29"/>
      <c r="M5" s="24"/>
      <c r="N5" s="24"/>
      <c r="P5" s="24"/>
      <c r="Q5" s="24"/>
    </row>
    <row r="6" spans="1:22" ht="12.95" customHeight="1" x14ac:dyDescent="0.2">
      <c r="A6" s="2" t="s">
        <v>15</v>
      </c>
      <c r="B6" s="2" t="s">
        <v>1</v>
      </c>
      <c r="C6" s="3">
        <v>46038</v>
      </c>
      <c r="D6" s="3">
        <v>46038</v>
      </c>
      <c r="E6" s="3">
        <v>46038</v>
      </c>
      <c r="F6" s="2" t="s">
        <v>4</v>
      </c>
      <c r="G6" s="212">
        <v>300000</v>
      </c>
      <c r="H6" s="212">
        <v>0</v>
      </c>
      <c r="I6" s="212">
        <f t="shared" ref="I6:I8" si="0">SUM(G6:H6)</f>
        <v>300000</v>
      </c>
      <c r="J6" s="212">
        <f>IF(F6="SGD",I6*#REF!, I6)</f>
        <v>300000</v>
      </c>
      <c r="K6" s="106" t="s">
        <v>455</v>
      </c>
      <c r="L6" s="4" t="s">
        <v>481</v>
      </c>
      <c r="M6" s="4" t="s">
        <v>1008</v>
      </c>
      <c r="N6" s="135" t="s">
        <v>418</v>
      </c>
      <c r="O6" s="266" t="str">
        <f>_xlfn.XLOOKUP(N6,costcategory[Account Code],costcategory[Cost Category],"ERROR")</f>
        <v>Internal Fund Transfer</v>
      </c>
      <c r="P6" s="135" t="s">
        <v>66</v>
      </c>
      <c r="Q6" s="268" t="str">
        <f>_xlfn.XLOOKUP(P6,Table2[Department],Table2[Group],"ERROR")</f>
        <v>Others</v>
      </c>
      <c r="R6" s="138" t="s">
        <v>458</v>
      </c>
      <c r="S6" s="138" t="s">
        <v>459</v>
      </c>
      <c r="T6" s="138" t="s">
        <v>458</v>
      </c>
      <c r="V6" s="138" t="s">
        <v>113</v>
      </c>
    </row>
    <row r="7" spans="1:22" ht="12.95" customHeight="1" x14ac:dyDescent="0.2">
      <c r="A7" s="2" t="s">
        <v>15</v>
      </c>
      <c r="B7" s="2" t="s">
        <v>1</v>
      </c>
      <c r="C7" s="3">
        <v>46038</v>
      </c>
      <c r="D7" s="3">
        <v>46038</v>
      </c>
      <c r="E7" s="3">
        <v>46038</v>
      </c>
      <c r="F7" s="2" t="s">
        <v>4</v>
      </c>
      <c r="G7" s="212">
        <v>26</v>
      </c>
      <c r="H7" s="212">
        <v>0</v>
      </c>
      <c r="I7" s="212">
        <f t="shared" si="0"/>
        <v>26</v>
      </c>
      <c r="J7" s="212">
        <f>IF(F7="SGD",I7*#REF!, I7)</f>
        <v>26</v>
      </c>
      <c r="K7" s="106" t="s">
        <v>1011</v>
      </c>
      <c r="L7" s="4" t="s">
        <v>1009</v>
      </c>
      <c r="M7" s="4" t="s">
        <v>1010</v>
      </c>
      <c r="N7" s="135" t="s">
        <v>332</v>
      </c>
      <c r="O7" s="266" t="str">
        <f>_xlfn.XLOOKUP(N7,costcategory[Account Code],costcategory[Cost Category],"ERROR")</f>
        <v>Bank Charges</v>
      </c>
      <c r="P7" s="135" t="s">
        <v>333</v>
      </c>
      <c r="Q7" s="268" t="str">
        <f>_xlfn.XLOOKUP(P7,Table2[Department],Table2[Group],"ERROR")</f>
        <v>General &amp; Administrative</v>
      </c>
      <c r="R7" s="138" t="s">
        <v>451</v>
      </c>
      <c r="S7" s="138" t="s">
        <v>452</v>
      </c>
      <c r="T7" s="138" t="s">
        <v>452</v>
      </c>
      <c r="V7" s="138" t="s">
        <v>113</v>
      </c>
    </row>
    <row r="8" spans="1:22" ht="12.95" customHeight="1" x14ac:dyDescent="0.2">
      <c r="A8" s="2" t="s">
        <v>15</v>
      </c>
      <c r="B8" s="2" t="s">
        <v>1</v>
      </c>
      <c r="C8" s="3">
        <v>46052</v>
      </c>
      <c r="D8" s="3">
        <v>46052</v>
      </c>
      <c r="E8" s="3">
        <v>46052</v>
      </c>
      <c r="F8" s="2" t="s">
        <v>4</v>
      </c>
      <c r="G8" s="212">
        <v>-5.77</v>
      </c>
      <c r="H8" s="212">
        <v>0</v>
      </c>
      <c r="I8" s="212">
        <f t="shared" si="0"/>
        <v>-5.77</v>
      </c>
      <c r="J8" s="212">
        <f>IF(F8="SGD",I8*#REF!, I8)</f>
        <v>-5.77</v>
      </c>
      <c r="K8" s="106" t="s">
        <v>1011</v>
      </c>
      <c r="L8" s="4" t="s">
        <v>1015</v>
      </c>
      <c r="M8" s="4" t="s">
        <v>1016</v>
      </c>
      <c r="N8" s="135" t="s">
        <v>332</v>
      </c>
      <c r="O8" s="266" t="str">
        <f>_xlfn.XLOOKUP(N8,costcategory[Account Code],costcategory[Cost Category],"ERROR")</f>
        <v>Bank Charges</v>
      </c>
      <c r="P8" s="135" t="s">
        <v>333</v>
      </c>
      <c r="Q8" s="268" t="str">
        <f>_xlfn.XLOOKUP(P8,Table2[Department],Table2[Group],"ERROR")</f>
        <v>General &amp; Administrative</v>
      </c>
      <c r="R8" s="138" t="s">
        <v>451</v>
      </c>
      <c r="S8" s="138" t="s">
        <v>452</v>
      </c>
      <c r="T8" s="138" t="s">
        <v>452</v>
      </c>
      <c r="V8" s="138" t="s">
        <v>113</v>
      </c>
    </row>
    <row r="9" spans="1:22" ht="12.95" customHeight="1" x14ac:dyDescent="0.2">
      <c r="F9" s="2" t="s">
        <v>4</v>
      </c>
      <c r="I9" s="212">
        <f>SUM(I6:I8)</f>
        <v>300020.23</v>
      </c>
      <c r="K9" s="106"/>
      <c r="L9" s="4"/>
      <c r="M9" s="4"/>
      <c r="N9" s="135"/>
      <c r="O9" s="135"/>
      <c r="P9" s="135"/>
      <c r="Q9" s="135"/>
    </row>
    <row r="10" spans="1:22" s="17" customFormat="1" ht="12.95" customHeight="1" x14ac:dyDescent="0.2">
      <c r="A10" s="329" t="s">
        <v>1173</v>
      </c>
      <c r="B10" s="329"/>
      <c r="C10" s="329"/>
      <c r="D10" s="329"/>
      <c r="E10" s="14">
        <v>46053</v>
      </c>
      <c r="F10" s="13" t="s">
        <v>4</v>
      </c>
      <c r="G10" s="203"/>
      <c r="H10" s="226"/>
      <c r="I10" s="208">
        <f>I5-I9</f>
        <v>525417.86</v>
      </c>
      <c r="J10" s="226"/>
      <c r="N10" s="155"/>
      <c r="O10" s="155"/>
      <c r="P10" s="155"/>
      <c r="Q10" s="155"/>
      <c r="R10" s="20"/>
      <c r="S10" s="20"/>
      <c r="T10" s="20"/>
      <c r="U10" s="20"/>
      <c r="V10" s="20"/>
    </row>
    <row r="11" spans="1:22" ht="12.95" customHeight="1" x14ac:dyDescent="0.2">
      <c r="K11" s="106"/>
      <c r="L11" s="4"/>
      <c r="M11" s="4"/>
      <c r="N11" s="135"/>
      <c r="O11" s="135"/>
      <c r="P11" s="135"/>
      <c r="Q11" s="135"/>
    </row>
    <row r="12" spans="1:22" s="33" customFormat="1" ht="12.95" customHeight="1" x14ac:dyDescent="0.2">
      <c r="A12" s="329" t="s">
        <v>1172</v>
      </c>
      <c r="B12" s="329"/>
      <c r="C12" s="329"/>
      <c r="D12" s="329"/>
      <c r="E12" s="14">
        <v>46024</v>
      </c>
      <c r="F12" s="13" t="s">
        <v>4</v>
      </c>
      <c r="G12" s="203"/>
      <c r="H12" s="203"/>
      <c r="I12" s="203">
        <f>I10</f>
        <v>525417.86</v>
      </c>
      <c r="J12" s="203"/>
      <c r="K12" s="133"/>
      <c r="L12" s="133"/>
      <c r="M12" s="13"/>
      <c r="N12" s="265"/>
      <c r="O12" s="265"/>
      <c r="P12" s="265"/>
      <c r="Q12" s="265"/>
      <c r="R12" s="13"/>
      <c r="S12" s="13"/>
      <c r="T12" s="13"/>
      <c r="U12" s="13"/>
      <c r="V12" s="13"/>
    </row>
    <row r="13" spans="1:22" ht="12.95" customHeight="1" x14ac:dyDescent="0.2">
      <c r="A13" s="2" t="s">
        <v>15</v>
      </c>
      <c r="B13" s="2" t="s">
        <v>1</v>
      </c>
      <c r="C13" s="3">
        <v>46080</v>
      </c>
      <c r="D13" s="3">
        <v>46080</v>
      </c>
      <c r="E13" s="3">
        <v>46080</v>
      </c>
      <c r="F13" s="2" t="s">
        <v>4</v>
      </c>
      <c r="G13" s="212">
        <v>-4.09</v>
      </c>
      <c r="H13" s="212">
        <v>0</v>
      </c>
      <c r="I13" s="212">
        <f t="shared" ref="I13" si="1">SUM(G13:H13)</f>
        <v>-4.09</v>
      </c>
      <c r="J13" s="212">
        <f>IF(F13="SGD",I13*#REF!, I13)</f>
        <v>-4.09</v>
      </c>
      <c r="K13" s="106" t="s">
        <v>1011</v>
      </c>
      <c r="L13" s="4" t="s">
        <v>1017</v>
      </c>
      <c r="M13" s="4" t="s">
        <v>1018</v>
      </c>
      <c r="N13" s="135" t="s">
        <v>332</v>
      </c>
      <c r="O13" s="266" t="str">
        <f>_xlfn.XLOOKUP(N13,costcategory[Account Code],costcategory[Cost Category],"ERROR")</f>
        <v>Bank Charges</v>
      </c>
      <c r="P13" s="135" t="s">
        <v>333</v>
      </c>
      <c r="Q13" s="268" t="str">
        <f>_xlfn.XLOOKUP(P13,Table2[Department],Table2[Group],"ERROR")</f>
        <v>General &amp; Administrative</v>
      </c>
      <c r="R13" s="138" t="s">
        <v>451</v>
      </c>
      <c r="S13" s="138" t="s">
        <v>452</v>
      </c>
      <c r="T13" s="138" t="s">
        <v>452</v>
      </c>
      <c r="V13" s="138" t="s">
        <v>113</v>
      </c>
    </row>
    <row r="14" spans="1:22" ht="12.95" customHeight="1" x14ac:dyDescent="0.2">
      <c r="F14" s="2" t="s">
        <v>4</v>
      </c>
      <c r="I14" s="212">
        <f>SUM(I13:I13)</f>
        <v>-4.09</v>
      </c>
      <c r="K14" s="106"/>
      <c r="L14" s="4"/>
      <c r="M14" s="4"/>
      <c r="N14" s="135"/>
      <c r="O14" s="135"/>
      <c r="P14" s="135"/>
      <c r="Q14" s="135"/>
    </row>
    <row r="15" spans="1:22" s="17" customFormat="1" ht="12.95" customHeight="1" x14ac:dyDescent="0.2">
      <c r="A15" s="329" t="s">
        <v>1173</v>
      </c>
      <c r="B15" s="329"/>
      <c r="C15" s="329"/>
      <c r="D15" s="329"/>
      <c r="E15" s="14">
        <v>46081</v>
      </c>
      <c r="F15" s="13" t="s">
        <v>4</v>
      </c>
      <c r="G15" s="203"/>
      <c r="H15" s="226"/>
      <c r="I15" s="208">
        <f>I12-I14</f>
        <v>525421.94999999995</v>
      </c>
      <c r="J15" s="226"/>
      <c r="N15" s="155"/>
      <c r="O15" s="155"/>
      <c r="P15" s="155"/>
      <c r="Q15" s="155"/>
      <c r="R15" s="20"/>
      <c r="S15" s="20"/>
      <c r="T15" s="20"/>
      <c r="U15" s="20"/>
      <c r="V15" s="20"/>
    </row>
    <row r="16" spans="1:22" ht="12.95" customHeight="1" x14ac:dyDescent="0.2">
      <c r="K16" s="106"/>
      <c r="L16" s="4"/>
      <c r="M16" s="4"/>
      <c r="N16" s="135"/>
      <c r="O16" s="135"/>
      <c r="P16" s="135"/>
      <c r="Q16" s="135"/>
    </row>
    <row r="17" spans="1:22" s="13" customFormat="1" ht="12.95" customHeight="1" x14ac:dyDescent="0.2">
      <c r="A17" s="329" t="s">
        <v>1172</v>
      </c>
      <c r="B17" s="329"/>
      <c r="C17" s="329"/>
      <c r="D17" s="329"/>
      <c r="E17" s="14">
        <v>46082</v>
      </c>
      <c r="F17" s="13" t="s">
        <v>4</v>
      </c>
      <c r="G17" s="203"/>
      <c r="H17" s="203"/>
      <c r="I17" s="203">
        <f>I15</f>
        <v>525421.94999999995</v>
      </c>
      <c r="J17" s="203"/>
      <c r="K17" s="133"/>
      <c r="L17" s="133"/>
      <c r="N17" s="265"/>
      <c r="O17" s="265"/>
      <c r="P17" s="265"/>
      <c r="Q17" s="265"/>
    </row>
    <row r="18" spans="1:22" ht="12.95" customHeight="1" x14ac:dyDescent="0.2">
      <c r="A18" s="2" t="s">
        <v>15</v>
      </c>
      <c r="B18" s="2" t="s">
        <v>1</v>
      </c>
      <c r="C18" s="3">
        <v>46083</v>
      </c>
      <c r="D18" s="3">
        <v>46083</v>
      </c>
      <c r="E18" s="3">
        <v>46083</v>
      </c>
      <c r="F18" s="2" t="s">
        <v>4</v>
      </c>
      <c r="G18" s="212">
        <v>350000</v>
      </c>
      <c r="H18" s="212">
        <v>0</v>
      </c>
      <c r="I18" s="212">
        <f t="shared" ref="I18:I19" si="2">SUM(G18:H18)</f>
        <v>350000</v>
      </c>
      <c r="J18" s="212">
        <f>IF(F18="SGD",I18*#REF!, I18)</f>
        <v>350000</v>
      </c>
      <c r="K18" s="106" t="s">
        <v>455</v>
      </c>
      <c r="L18" s="4" t="s">
        <v>528</v>
      </c>
      <c r="M18" s="4" t="s">
        <v>1008</v>
      </c>
      <c r="N18" s="135" t="s">
        <v>418</v>
      </c>
      <c r="O18" s="266" t="str">
        <f>_xlfn.XLOOKUP(N18,costcategory[Account Code],costcategory[Cost Category],"ERROR")</f>
        <v>Internal Fund Transfer</v>
      </c>
      <c r="P18" s="135" t="s">
        <v>66</v>
      </c>
      <c r="Q18" s="267" t="str">
        <f>_xlfn.XLOOKUP(P18,Table2[Department],Table2[Group],"ERROR")</f>
        <v>Others</v>
      </c>
      <c r="R18" s="138" t="s">
        <v>451</v>
      </c>
      <c r="S18" s="138" t="s">
        <v>452</v>
      </c>
      <c r="T18" s="138" t="s">
        <v>452</v>
      </c>
      <c r="V18" s="138" t="s">
        <v>113</v>
      </c>
    </row>
    <row r="19" spans="1:22" ht="12.95" customHeight="1" x14ac:dyDescent="0.2">
      <c r="A19" s="2" t="s">
        <v>15</v>
      </c>
      <c r="B19" s="2" t="s">
        <v>1</v>
      </c>
      <c r="C19" s="3">
        <v>46083</v>
      </c>
      <c r="D19" s="3">
        <v>46083</v>
      </c>
      <c r="E19" s="3">
        <v>46083</v>
      </c>
      <c r="F19" s="2" t="s">
        <v>4</v>
      </c>
      <c r="G19" s="205">
        <v>26</v>
      </c>
      <c r="H19" s="205">
        <v>0</v>
      </c>
      <c r="I19" s="205">
        <f t="shared" si="2"/>
        <v>26</v>
      </c>
      <c r="J19" s="205">
        <f>IF(F19="SGD",I19*#REF!, I19)</f>
        <v>26</v>
      </c>
      <c r="K19" s="109" t="s">
        <v>1011</v>
      </c>
      <c r="L19" s="4" t="s">
        <v>609</v>
      </c>
      <c r="M19" s="4" t="s">
        <v>1010</v>
      </c>
      <c r="N19" s="135" t="s">
        <v>332</v>
      </c>
      <c r="O19" s="134" t="str">
        <f>_xlfn.XLOOKUP(N19,costcategory[Account Code],costcategory[Cost Category],"ERROR")</f>
        <v>Bank Charges</v>
      </c>
      <c r="P19" s="135" t="s">
        <v>333</v>
      </c>
      <c r="Q19" s="267" t="str">
        <f>_xlfn.XLOOKUP(P19,Table2[Department],Table2[Group],"ERROR")</f>
        <v>General &amp; Administrative</v>
      </c>
      <c r="R19" s="136" t="s">
        <v>451</v>
      </c>
      <c r="S19" s="136" t="s">
        <v>452</v>
      </c>
      <c r="T19" s="136" t="s">
        <v>452</v>
      </c>
      <c r="V19" s="136" t="s">
        <v>113</v>
      </c>
    </row>
    <row r="20" spans="1:22" ht="12.95" customHeight="1" x14ac:dyDescent="0.2">
      <c r="A20" s="2" t="s">
        <v>15</v>
      </c>
      <c r="B20" s="2" t="s">
        <v>1</v>
      </c>
      <c r="C20" s="3">
        <v>46106</v>
      </c>
      <c r="D20" s="3">
        <v>46106</v>
      </c>
      <c r="E20" s="3">
        <v>46106</v>
      </c>
      <c r="F20" s="2" t="s">
        <v>4</v>
      </c>
      <c r="G20" s="212">
        <v>-500000</v>
      </c>
      <c r="H20" s="212">
        <v>0</v>
      </c>
      <c r="I20" s="212">
        <f t="shared" ref="I20" si="3">SUM(G20:H20)</f>
        <v>-500000</v>
      </c>
      <c r="J20" s="212">
        <f>IF(F20="SGD",I20*#REF!, I20)</f>
        <v>-500000</v>
      </c>
      <c r="K20" s="106" t="s">
        <v>1027</v>
      </c>
      <c r="L20" s="4"/>
      <c r="M20" s="4" t="s">
        <v>1311</v>
      </c>
      <c r="N20" s="135" t="s">
        <v>1027</v>
      </c>
      <c r="O20" s="266" t="str">
        <f>_xlfn.XLOOKUP(N20,costcategory[Account Code],costcategory[Cost Category],"ERROR")</f>
        <v>Intercompany</v>
      </c>
      <c r="P20" s="135" t="s">
        <v>66</v>
      </c>
      <c r="Q20" s="267" t="str">
        <f>_xlfn.XLOOKUP(P20,Table2[Department],Table2[Group],"ERROR")</f>
        <v>Others</v>
      </c>
      <c r="R20" s="138"/>
      <c r="S20" s="138"/>
      <c r="T20" s="138"/>
      <c r="V20" s="138" t="s">
        <v>113</v>
      </c>
    </row>
    <row r="21" spans="1:22" ht="12.95" customHeight="1" x14ac:dyDescent="0.2">
      <c r="A21" s="2" t="s">
        <v>15</v>
      </c>
      <c r="B21" s="2" t="s">
        <v>1</v>
      </c>
      <c r="C21" s="3">
        <v>46112</v>
      </c>
      <c r="D21" s="3">
        <v>46112</v>
      </c>
      <c r="E21" s="3">
        <v>46112</v>
      </c>
      <c r="F21" s="2" t="s">
        <v>4</v>
      </c>
      <c r="G21" s="212">
        <v>-2.58</v>
      </c>
      <c r="H21" s="212">
        <v>0</v>
      </c>
      <c r="I21" s="212">
        <f t="shared" ref="I21" si="4">SUM(G21:H21)</f>
        <v>-2.58</v>
      </c>
      <c r="J21" s="212">
        <f>IF(F21="SGD",I21*#REF!, I21)</f>
        <v>-2.58</v>
      </c>
      <c r="K21" s="106" t="s">
        <v>1011</v>
      </c>
      <c r="L21" s="4" t="s">
        <v>1029</v>
      </c>
      <c r="M21" s="4" t="s">
        <v>1030</v>
      </c>
      <c r="N21" s="135" t="s">
        <v>332</v>
      </c>
      <c r="O21" s="266" t="str">
        <f>_xlfn.XLOOKUP(N21,costcategory[Account Code],costcategory[Cost Category],"ERROR")</f>
        <v>Bank Charges</v>
      </c>
      <c r="P21" s="135" t="s">
        <v>333</v>
      </c>
      <c r="Q21" s="267" t="str">
        <f>_xlfn.XLOOKUP(P21,Table2[Department],Table2[Group],"ERROR")</f>
        <v>General &amp; Administrative</v>
      </c>
      <c r="R21" s="138" t="s">
        <v>451</v>
      </c>
      <c r="S21" s="138" t="s">
        <v>452</v>
      </c>
      <c r="T21" s="138" t="s">
        <v>452</v>
      </c>
      <c r="V21" s="138" t="s">
        <v>113</v>
      </c>
    </row>
    <row r="22" spans="1:22" ht="12.95" customHeight="1" x14ac:dyDescent="0.2">
      <c r="F22" s="2" t="s">
        <v>4</v>
      </c>
      <c r="I22" s="212">
        <f>SUM(I18:I21)</f>
        <v>-149976.57999999999</v>
      </c>
      <c r="K22" s="106"/>
      <c r="L22" s="4"/>
      <c r="M22" s="4"/>
      <c r="N22" s="135"/>
      <c r="O22" s="135"/>
      <c r="P22" s="135"/>
      <c r="Q22" s="135"/>
    </row>
    <row r="23" spans="1:22" ht="12.95" customHeight="1" x14ac:dyDescent="0.2">
      <c r="A23" s="329" t="s">
        <v>1173</v>
      </c>
      <c r="B23" s="329"/>
      <c r="C23" s="329"/>
      <c r="D23" s="329"/>
      <c r="E23" s="14">
        <v>46112</v>
      </c>
      <c r="F23" s="13" t="s">
        <v>4</v>
      </c>
      <c r="G23" s="211"/>
      <c r="H23" s="226"/>
      <c r="I23" s="208">
        <f>I17-I22</f>
        <v>675398.52999999991</v>
      </c>
      <c r="J23" s="226"/>
      <c r="K23" s="17"/>
      <c r="L23" s="17"/>
      <c r="M23" s="17"/>
      <c r="N23" s="155"/>
      <c r="O23" s="155"/>
      <c r="P23" s="155"/>
      <c r="Q23" s="155"/>
      <c r="R23" s="20"/>
      <c r="S23" s="20"/>
      <c r="T23" s="20"/>
      <c r="U23" s="20"/>
      <c r="V23" s="20"/>
    </row>
    <row r="24" spans="1:22" s="2" customFormat="1" ht="12.95" customHeight="1" x14ac:dyDescent="0.2">
      <c r="C24" s="3"/>
      <c r="D24" s="3"/>
      <c r="E24" s="3"/>
      <c r="G24" s="212"/>
      <c r="H24" s="212"/>
      <c r="I24" s="212"/>
      <c r="J24" s="212"/>
      <c r="K24" s="106"/>
      <c r="L24" s="4"/>
      <c r="M24" s="4"/>
      <c r="N24" s="135"/>
      <c r="O24" s="135"/>
      <c r="P24" s="135"/>
      <c r="Q24" s="135"/>
    </row>
    <row r="25" spans="1:22" s="20" customFormat="1" ht="12.95" customHeight="1" x14ac:dyDescent="0.2">
      <c r="A25" s="329" t="s">
        <v>1172</v>
      </c>
      <c r="B25" s="329"/>
      <c r="C25" s="329"/>
      <c r="D25" s="329"/>
      <c r="E25" s="14">
        <v>46113</v>
      </c>
      <c r="F25" s="13" t="s">
        <v>4</v>
      </c>
      <c r="G25" s="211"/>
      <c r="H25" s="211"/>
      <c r="I25" s="211">
        <f>I23</f>
        <v>675398.52999999991</v>
      </c>
      <c r="J25" s="211"/>
      <c r="K25" s="137"/>
      <c r="L25" s="137"/>
      <c r="M25" s="13"/>
      <c r="N25" s="265"/>
      <c r="O25" s="265"/>
      <c r="P25" s="265"/>
      <c r="Q25" s="265"/>
      <c r="R25" s="13"/>
      <c r="S25" s="13"/>
      <c r="T25" s="13"/>
      <c r="U25" s="13"/>
      <c r="V25" s="13"/>
    </row>
    <row r="26" spans="1:22" s="2" customFormat="1" ht="12.95" customHeight="1" x14ac:dyDescent="0.2">
      <c r="A26" s="2" t="s">
        <v>15</v>
      </c>
      <c r="B26" s="2" t="s">
        <v>1</v>
      </c>
      <c r="C26" s="3">
        <v>46128</v>
      </c>
      <c r="D26" s="3">
        <v>46128</v>
      </c>
      <c r="E26" s="3">
        <v>46128</v>
      </c>
      <c r="F26" s="2" t="s">
        <v>4</v>
      </c>
      <c r="G26" s="212">
        <v>250000</v>
      </c>
      <c r="H26" s="212">
        <v>0</v>
      </c>
      <c r="I26" s="212">
        <f t="shared" ref="I26" si="5">SUM(G26:H26)</f>
        <v>250000</v>
      </c>
      <c r="J26" s="212">
        <f>IF(F26="SGD",I26*#REF!, I26)</f>
        <v>250000</v>
      </c>
      <c r="K26" s="106" t="s">
        <v>455</v>
      </c>
      <c r="L26" s="4" t="s">
        <v>528</v>
      </c>
      <c r="M26" s="4" t="s">
        <v>1008</v>
      </c>
      <c r="N26" s="135" t="s">
        <v>418</v>
      </c>
      <c r="O26" s="266" t="str">
        <f>_xlfn.XLOOKUP(N26,costcategory[Account Code],costcategory[Cost Category],"ERROR")</f>
        <v>Internal Fund Transfer</v>
      </c>
      <c r="P26" s="135" t="s">
        <v>66</v>
      </c>
      <c r="Q26" s="267" t="str">
        <f>_xlfn.XLOOKUP(P26,Table2[Department],Table2[Group],"ERROR")</f>
        <v>Others</v>
      </c>
      <c r="R26" s="138"/>
      <c r="S26" s="138"/>
      <c r="T26" s="138"/>
      <c r="V26" s="138"/>
    </row>
    <row r="27" spans="1:22" s="2" customFormat="1" ht="12.95" customHeight="1" x14ac:dyDescent="0.2">
      <c r="A27" s="2" t="s">
        <v>15</v>
      </c>
      <c r="B27" s="2" t="s">
        <v>1</v>
      </c>
      <c r="C27" s="3">
        <v>46128</v>
      </c>
      <c r="D27" s="3">
        <v>46128</v>
      </c>
      <c r="E27" s="3">
        <v>46128</v>
      </c>
      <c r="F27" s="2" t="s">
        <v>4</v>
      </c>
      <c r="G27" s="205">
        <v>26</v>
      </c>
      <c r="H27" s="205">
        <v>0</v>
      </c>
      <c r="I27" s="205">
        <f t="shared" ref="I27" si="6">SUM(G27:H27)</f>
        <v>26</v>
      </c>
      <c r="J27" s="205">
        <f>IF(F27="SGD",I27*#REF!, I27)</f>
        <v>26</v>
      </c>
      <c r="K27" s="109" t="s">
        <v>1011</v>
      </c>
      <c r="L27" s="4" t="s">
        <v>528</v>
      </c>
      <c r="M27" s="4" t="s">
        <v>1035</v>
      </c>
      <c r="N27" s="135" t="s">
        <v>418</v>
      </c>
      <c r="O27" s="134" t="str">
        <f>_xlfn.XLOOKUP(N27,costcategory[Account Code],costcategory[Cost Category],"ERROR")</f>
        <v>Internal Fund Transfer</v>
      </c>
      <c r="P27" s="135" t="s">
        <v>66</v>
      </c>
      <c r="Q27" s="267" t="str">
        <f>_xlfn.XLOOKUP(P27,Table2[Department],Table2[Group],"ERROR")</f>
        <v>Others</v>
      </c>
      <c r="R27" s="136"/>
      <c r="S27" s="136"/>
      <c r="T27" s="136"/>
      <c r="V27" s="136"/>
    </row>
    <row r="28" spans="1:22" s="2" customFormat="1" ht="12.95" customHeight="1" x14ac:dyDescent="0.2">
      <c r="A28" s="2" t="s">
        <v>15</v>
      </c>
      <c r="B28" s="2" t="s">
        <v>1</v>
      </c>
      <c r="C28" s="3" t="s">
        <v>1037</v>
      </c>
      <c r="D28" s="3" t="s">
        <v>1037</v>
      </c>
      <c r="E28" s="3" t="s">
        <v>1037</v>
      </c>
      <c r="F28" s="2" t="s">
        <v>4</v>
      </c>
      <c r="G28" s="212">
        <v>-4.59</v>
      </c>
      <c r="H28" s="212">
        <v>0</v>
      </c>
      <c r="I28" s="212">
        <v>-4.59</v>
      </c>
      <c r="J28" s="212">
        <v>-4.59</v>
      </c>
      <c r="K28" s="106" t="s">
        <v>1011</v>
      </c>
      <c r="L28" s="4" t="s">
        <v>1038</v>
      </c>
      <c r="M28" s="4" t="s">
        <v>1039</v>
      </c>
      <c r="N28" s="135" t="s">
        <v>332</v>
      </c>
      <c r="O28" s="266" t="s">
        <v>332</v>
      </c>
      <c r="P28" s="135" t="s">
        <v>333</v>
      </c>
      <c r="Q28" s="267" t="s">
        <v>62</v>
      </c>
      <c r="R28" s="138"/>
      <c r="S28" s="138" t="s">
        <v>451</v>
      </c>
      <c r="T28" s="138" t="s">
        <v>452</v>
      </c>
      <c r="U28" s="138" t="s">
        <v>1312</v>
      </c>
      <c r="V28" s="2" t="s">
        <v>113</v>
      </c>
    </row>
    <row r="29" spans="1:22" s="2" customFormat="1" ht="12.95" customHeight="1" x14ac:dyDescent="0.2">
      <c r="C29" s="3"/>
      <c r="D29" s="3"/>
      <c r="E29" s="3"/>
      <c r="F29" s="2" t="s">
        <v>4</v>
      </c>
      <c r="G29" s="212"/>
      <c r="H29" s="212"/>
      <c r="I29" s="212">
        <f>SUM(I26:I28)</f>
        <v>250021.41</v>
      </c>
      <c r="J29" s="212"/>
      <c r="K29" s="106"/>
      <c r="L29" s="4"/>
      <c r="M29" s="4"/>
      <c r="N29" s="135"/>
      <c r="O29" s="135"/>
      <c r="P29" s="135"/>
      <c r="Q29" s="135"/>
    </row>
    <row r="30" spans="1:22" s="20" customFormat="1" ht="12.95" customHeight="1" x14ac:dyDescent="0.2">
      <c r="A30" s="329" t="s">
        <v>1173</v>
      </c>
      <c r="B30" s="329"/>
      <c r="C30" s="329"/>
      <c r="D30" s="329"/>
      <c r="E30" s="14">
        <v>46142</v>
      </c>
      <c r="F30" s="13" t="s">
        <v>4</v>
      </c>
      <c r="G30" s="211"/>
      <c r="H30" s="226"/>
      <c r="I30" s="208">
        <f>I25-I29</f>
        <v>425377.11999999988</v>
      </c>
      <c r="J30" s="226"/>
      <c r="K30" s="17"/>
      <c r="L30" s="17"/>
      <c r="M30" s="17"/>
      <c r="N30" s="155"/>
      <c r="O30" s="155"/>
      <c r="P30" s="155"/>
      <c r="Q30" s="155"/>
    </row>
    <row r="31" spans="1:22" s="2" customFormat="1" ht="12.95" customHeight="1" x14ac:dyDescent="0.2">
      <c r="C31" s="3"/>
      <c r="D31" s="3"/>
      <c r="E31" s="3"/>
      <c r="G31" s="212"/>
      <c r="H31" s="212"/>
      <c r="I31" s="212"/>
      <c r="J31" s="212"/>
      <c r="K31" s="106"/>
      <c r="L31" s="4"/>
      <c r="M31" s="4"/>
      <c r="N31" s="135"/>
      <c r="O31" s="266"/>
      <c r="P31" s="135"/>
      <c r="Q31" s="267"/>
      <c r="R31" s="138"/>
      <c r="S31" s="138"/>
      <c r="T31" s="138"/>
      <c r="U31" s="138"/>
    </row>
    <row r="32" spans="1:22" s="20" customFormat="1" ht="12.95" customHeight="1" x14ac:dyDescent="0.2">
      <c r="A32" s="329" t="s">
        <v>1172</v>
      </c>
      <c r="B32" s="329"/>
      <c r="C32" s="329"/>
      <c r="D32" s="329"/>
      <c r="E32" s="14">
        <v>46143</v>
      </c>
      <c r="F32" s="13" t="s">
        <v>4</v>
      </c>
      <c r="G32" s="211"/>
      <c r="H32" s="211"/>
      <c r="I32" s="211">
        <f>I30</f>
        <v>425377.11999999988</v>
      </c>
      <c r="J32" s="211"/>
      <c r="K32" s="137"/>
      <c r="L32" s="137"/>
      <c r="M32" s="13"/>
      <c r="N32" s="265"/>
      <c r="O32" s="265"/>
      <c r="P32" s="265"/>
      <c r="Q32" s="265"/>
      <c r="R32" s="13"/>
      <c r="S32" s="13"/>
      <c r="T32" s="13"/>
      <c r="U32" s="13"/>
      <c r="V32" s="13"/>
    </row>
    <row r="33" spans="1:22" s="2" customFormat="1" ht="12.95" customHeight="1" x14ac:dyDescent="0.2">
      <c r="A33" s="2" t="s">
        <v>15</v>
      </c>
      <c r="B33" s="2" t="s">
        <v>1</v>
      </c>
      <c r="C33" s="3">
        <v>46171</v>
      </c>
      <c r="D33" s="3">
        <v>46171</v>
      </c>
      <c r="E33" s="3">
        <v>46171</v>
      </c>
      <c r="F33" s="2" t="s">
        <v>4</v>
      </c>
      <c r="G33" s="212">
        <v>-3.66</v>
      </c>
      <c r="H33" s="212">
        <v>0</v>
      </c>
      <c r="I33" s="212">
        <v>-3.66</v>
      </c>
      <c r="J33" s="212">
        <v>-3.66</v>
      </c>
      <c r="K33" s="106" t="s">
        <v>1011</v>
      </c>
      <c r="L33" s="4" t="s">
        <v>1043</v>
      </c>
      <c r="M33" s="4" t="s">
        <v>1044</v>
      </c>
      <c r="N33" s="135" t="s">
        <v>332</v>
      </c>
      <c r="O33" s="266" t="s">
        <v>332</v>
      </c>
      <c r="P33" s="135" t="s">
        <v>333</v>
      </c>
      <c r="Q33" s="267" t="s">
        <v>62</v>
      </c>
      <c r="R33" s="138"/>
      <c r="S33" s="138" t="s">
        <v>451</v>
      </c>
      <c r="T33" s="138" t="s">
        <v>452</v>
      </c>
      <c r="U33" s="138" t="s">
        <v>1313</v>
      </c>
      <c r="V33" s="2" t="s">
        <v>113</v>
      </c>
    </row>
    <row r="34" spans="1:22" s="2" customFormat="1" ht="12.95" customHeight="1" x14ac:dyDescent="0.2">
      <c r="C34" s="3"/>
      <c r="D34" s="3"/>
      <c r="E34" s="3"/>
      <c r="G34" s="212"/>
      <c r="H34" s="212"/>
      <c r="I34" s="212">
        <f>SUM(I33:I33)</f>
        <v>-3.66</v>
      </c>
      <c r="J34" s="212"/>
      <c r="K34" s="106"/>
      <c r="L34" s="4"/>
      <c r="M34" s="4"/>
      <c r="N34" s="135"/>
      <c r="O34" s="135"/>
      <c r="P34" s="135"/>
      <c r="Q34" s="135"/>
    </row>
    <row r="35" spans="1:22" s="20" customFormat="1" ht="12.95" customHeight="1" x14ac:dyDescent="0.2">
      <c r="A35" s="329" t="s">
        <v>1173</v>
      </c>
      <c r="B35" s="329"/>
      <c r="C35" s="329"/>
      <c r="D35" s="329"/>
      <c r="E35" s="14">
        <v>46173</v>
      </c>
      <c r="F35" s="13" t="s">
        <v>4</v>
      </c>
      <c r="G35" s="211"/>
      <c r="H35" s="226"/>
      <c r="I35" s="208">
        <f>I32-I34</f>
        <v>425380.77999999985</v>
      </c>
      <c r="J35" s="226"/>
      <c r="K35" s="17"/>
      <c r="L35" s="17"/>
      <c r="M35" s="17"/>
      <c r="N35" s="155"/>
      <c r="O35" s="155"/>
      <c r="P35" s="155"/>
      <c r="Q35" s="155"/>
    </row>
    <row r="36" spans="1:22" s="2" customFormat="1" ht="12.95" customHeight="1" x14ac:dyDescent="0.2">
      <c r="C36" s="3"/>
      <c r="D36" s="3"/>
      <c r="E36" s="3"/>
      <c r="G36" s="212"/>
      <c r="H36" s="212"/>
      <c r="I36" s="212"/>
      <c r="J36" s="212"/>
      <c r="K36" s="106"/>
      <c r="L36" s="4"/>
      <c r="M36" s="4"/>
      <c r="N36" s="135"/>
      <c r="O36" s="135"/>
      <c r="P36" s="135"/>
      <c r="Q36" s="135"/>
    </row>
    <row r="37" spans="1:22" s="20" customFormat="1" ht="12.95" customHeight="1" x14ac:dyDescent="0.2">
      <c r="A37" s="329" t="s">
        <v>1172</v>
      </c>
      <c r="B37" s="329"/>
      <c r="C37" s="329"/>
      <c r="D37" s="329"/>
      <c r="E37" s="14">
        <v>46174</v>
      </c>
      <c r="F37" s="13" t="s">
        <v>4</v>
      </c>
      <c r="G37" s="211"/>
      <c r="H37" s="211"/>
      <c r="I37" s="211">
        <f>I35</f>
        <v>425380.77999999985</v>
      </c>
      <c r="J37" s="211"/>
      <c r="K37" s="137"/>
      <c r="L37" s="137"/>
      <c r="M37" s="13"/>
      <c r="N37" s="265"/>
      <c r="O37" s="265"/>
      <c r="P37" s="265"/>
      <c r="Q37" s="265"/>
      <c r="R37" s="13"/>
      <c r="S37" s="13"/>
      <c r="T37" s="13"/>
      <c r="U37" s="13"/>
      <c r="V37" s="13"/>
    </row>
    <row r="38" spans="1:22" s="2" customFormat="1" ht="12.95" customHeight="1" x14ac:dyDescent="0.2">
      <c r="A38" s="2" t="s">
        <v>15</v>
      </c>
      <c r="B38" s="2" t="s">
        <v>1</v>
      </c>
      <c r="C38" s="3">
        <v>46197</v>
      </c>
      <c r="D38" s="3">
        <v>46197</v>
      </c>
      <c r="E38" s="3">
        <v>46197</v>
      </c>
      <c r="F38" s="2" t="s">
        <v>4</v>
      </c>
      <c r="G38" s="212">
        <v>200000</v>
      </c>
      <c r="H38" s="212">
        <v>0</v>
      </c>
      <c r="I38" s="212">
        <f t="shared" ref="I38" si="7">SUM(G38:H38)</f>
        <v>200000</v>
      </c>
      <c r="J38" s="212">
        <f>IF(F38="SGD",I38*#REF!, I38)</f>
        <v>200000</v>
      </c>
      <c r="K38" s="106" t="s">
        <v>455</v>
      </c>
      <c r="L38" s="4" t="s">
        <v>528</v>
      </c>
      <c r="M38" s="4" t="s">
        <v>1008</v>
      </c>
      <c r="N38" s="135" t="s">
        <v>418</v>
      </c>
      <c r="O38" s="266" t="str">
        <f>_xlfn.XLOOKUP(N38,costcategory[Account Code],costcategory[Cost Category],"ERROR")</f>
        <v>Internal Fund Transfer</v>
      </c>
      <c r="P38" s="135" t="s">
        <v>66</v>
      </c>
      <c r="Q38" s="267" t="str">
        <f>_xlfn.XLOOKUP(P38,Table2[Department],Table2[Group],"ERROR")</f>
        <v>Others</v>
      </c>
      <c r="R38" s="138" t="s">
        <v>451</v>
      </c>
      <c r="S38" s="138" t="s">
        <v>452</v>
      </c>
      <c r="T38" s="138" t="s">
        <v>452</v>
      </c>
      <c r="U38" s="138" t="s">
        <v>1314</v>
      </c>
      <c r="V38" s="138" t="s">
        <v>113</v>
      </c>
    </row>
    <row r="39" spans="1:22" s="2" customFormat="1" ht="12.95" customHeight="1" x14ac:dyDescent="0.2">
      <c r="C39" s="3"/>
      <c r="D39" s="3"/>
      <c r="E39" s="3"/>
      <c r="G39" s="205"/>
      <c r="H39" s="205"/>
      <c r="I39" s="205"/>
      <c r="J39" s="205"/>
      <c r="K39" s="109"/>
      <c r="L39" s="4"/>
      <c r="M39" s="4"/>
      <c r="N39" s="135"/>
      <c r="O39" s="266" t="str">
        <f>_xlfn.XLOOKUP(N39,costcategory[Account Code],costcategory[Cost Category],"ERROR")</f>
        <v>ERROR</v>
      </c>
      <c r="P39" s="135"/>
      <c r="Q39" s="267" t="str">
        <f>_xlfn.XLOOKUP(P39,Table2[Department],Table2[Group],"ERROR")</f>
        <v>ERROR</v>
      </c>
      <c r="R39" s="136"/>
      <c r="S39" s="136"/>
      <c r="T39" s="136"/>
      <c r="V39" s="136"/>
    </row>
    <row r="40" spans="1:22" s="2" customFormat="1" ht="12.95" customHeight="1" x14ac:dyDescent="0.2">
      <c r="C40" s="3"/>
      <c r="D40" s="3"/>
      <c r="E40" s="3"/>
      <c r="G40" s="212"/>
      <c r="H40" s="212"/>
      <c r="I40" s="212"/>
      <c r="J40" s="212"/>
      <c r="K40" s="106"/>
      <c r="L40" s="4"/>
      <c r="M40" s="4"/>
      <c r="N40" s="135"/>
      <c r="O40" s="266" t="str">
        <f>_xlfn.XLOOKUP(N40,costcategory[Account Code],costcategory[Cost Category],"ERROR")</f>
        <v>ERROR</v>
      </c>
      <c r="P40" s="135"/>
      <c r="Q40" s="267" t="str">
        <f>_xlfn.XLOOKUP(P40,Table2[Department],Table2[Group],"ERROR")</f>
        <v>ERROR</v>
      </c>
      <c r="R40" s="138"/>
      <c r="S40" s="138"/>
      <c r="T40" s="138"/>
      <c r="V40" s="138"/>
    </row>
    <row r="41" spans="1:22" s="2" customFormat="1" ht="12.95" customHeight="1" x14ac:dyDescent="0.2">
      <c r="C41" s="3"/>
      <c r="D41" s="3"/>
      <c r="E41" s="3"/>
      <c r="G41" s="205"/>
      <c r="H41" s="205"/>
      <c r="I41" s="205"/>
      <c r="J41" s="205"/>
      <c r="K41" s="34"/>
      <c r="L41" s="22"/>
      <c r="M41" s="22"/>
      <c r="N41" s="135"/>
      <c r="O41" s="266" t="str">
        <f>_xlfn.XLOOKUP(N41,costcategory[Account Code],costcategory[Cost Category],"ERROR")</f>
        <v>ERROR</v>
      </c>
      <c r="P41" s="135"/>
      <c r="Q41" s="267" t="str">
        <f>_xlfn.XLOOKUP(P41,Table2[Department],Table2[Group],"ERROR")</f>
        <v>ERROR</v>
      </c>
      <c r="R41" s="72"/>
      <c r="S41" s="72"/>
      <c r="T41" s="72"/>
      <c r="V41" s="72"/>
    </row>
    <row r="42" spans="1:22" s="2" customFormat="1" ht="12.95" customHeight="1" x14ac:dyDescent="0.2">
      <c r="C42" s="3"/>
      <c r="D42" s="3"/>
      <c r="E42" s="3"/>
      <c r="G42" s="212"/>
      <c r="H42" s="212"/>
      <c r="I42" s="212">
        <f>SUM(I38:I41)</f>
        <v>200000</v>
      </c>
      <c r="J42" s="212"/>
      <c r="K42" s="16"/>
      <c r="L42" s="22"/>
      <c r="M42" s="22"/>
      <c r="N42" s="21"/>
      <c r="O42" s="135"/>
      <c r="P42" s="21"/>
      <c r="Q42" s="21"/>
    </row>
    <row r="43" spans="1:22" s="20" customFormat="1" ht="12.95" customHeight="1" x14ac:dyDescent="0.2">
      <c r="A43" s="329" t="s">
        <v>1173</v>
      </c>
      <c r="B43" s="329"/>
      <c r="C43" s="329"/>
      <c r="D43" s="329"/>
      <c r="E43" s="14">
        <v>46203</v>
      </c>
      <c r="F43" s="13" t="s">
        <v>4</v>
      </c>
      <c r="G43" s="211"/>
      <c r="H43" s="226"/>
      <c r="I43" s="208">
        <f>I37-I42</f>
        <v>225380.77999999985</v>
      </c>
      <c r="J43" s="226"/>
      <c r="K43" s="17"/>
      <c r="L43" s="25"/>
      <c r="M43" s="25"/>
      <c r="N43" s="154"/>
      <c r="O43" s="155"/>
      <c r="P43" s="154"/>
      <c r="Q43" s="154"/>
    </row>
    <row r="44" spans="1:22" s="2" customFormat="1" ht="12.95" customHeight="1" x14ac:dyDescent="0.2">
      <c r="C44" s="3"/>
      <c r="D44" s="3"/>
      <c r="E44" s="3"/>
      <c r="G44" s="212"/>
      <c r="H44" s="212"/>
      <c r="I44" s="212"/>
      <c r="J44" s="212"/>
      <c r="K44" s="16"/>
      <c r="L44" s="22"/>
      <c r="M44" s="22"/>
      <c r="N44" s="21"/>
      <c r="O44" s="135"/>
      <c r="P44" s="21"/>
      <c r="Q44" s="21"/>
    </row>
    <row r="45" spans="1:22" s="2" customFormat="1" ht="12.95" customHeight="1" x14ac:dyDescent="0.2">
      <c r="C45" s="3"/>
      <c r="D45" s="3"/>
      <c r="E45" s="3"/>
      <c r="G45" s="212"/>
      <c r="H45" s="212"/>
      <c r="I45" s="212"/>
      <c r="J45" s="212"/>
      <c r="K45" s="16"/>
      <c r="L45" s="22"/>
      <c r="M45" s="22"/>
      <c r="N45" s="21"/>
      <c r="O45" s="135"/>
      <c r="P45" s="21"/>
      <c r="Q45" s="21"/>
    </row>
    <row r="46" spans="1:22" s="2" customFormat="1" ht="12.95" customHeight="1" x14ac:dyDescent="0.2">
      <c r="C46" s="3"/>
      <c r="D46" s="3"/>
      <c r="E46" s="3"/>
      <c r="G46" s="212"/>
      <c r="H46" s="212"/>
      <c r="I46" s="212"/>
      <c r="J46" s="212"/>
      <c r="K46" s="16"/>
      <c r="L46" s="22"/>
      <c r="M46" s="22"/>
      <c r="N46" s="21"/>
      <c r="O46" s="135"/>
      <c r="P46" s="21"/>
      <c r="Q46" s="21"/>
    </row>
    <row r="47" spans="1:22" s="20" customFormat="1" ht="12.95" customHeight="1" x14ac:dyDescent="0.2">
      <c r="A47" s="329" t="s">
        <v>1172</v>
      </c>
      <c r="B47" s="329"/>
      <c r="C47" s="329"/>
      <c r="D47" s="329"/>
      <c r="E47" s="14">
        <v>46204</v>
      </c>
      <c r="F47" s="13" t="s">
        <v>4</v>
      </c>
      <c r="G47" s="211"/>
      <c r="H47" s="211"/>
      <c r="I47" s="211">
        <f>I43</f>
        <v>225380.77999999985</v>
      </c>
      <c r="J47" s="211"/>
      <c r="K47" s="78"/>
      <c r="L47" s="74"/>
      <c r="M47" s="24"/>
      <c r="N47" s="156"/>
      <c r="O47" s="265"/>
      <c r="P47" s="156"/>
      <c r="Q47" s="156"/>
      <c r="R47" s="13"/>
      <c r="S47" s="13"/>
      <c r="T47" s="13"/>
      <c r="U47" s="13"/>
      <c r="V47" s="13"/>
    </row>
    <row r="48" spans="1:22" s="2" customFormat="1" ht="12.95" customHeight="1" x14ac:dyDescent="0.2">
      <c r="C48" s="3"/>
      <c r="D48" s="3"/>
      <c r="E48" s="3"/>
      <c r="G48" s="212"/>
      <c r="H48" s="212"/>
      <c r="I48" s="212"/>
      <c r="J48" s="212"/>
      <c r="K48" s="16"/>
      <c r="L48" s="22"/>
      <c r="M48" s="22"/>
      <c r="N48" s="135"/>
      <c r="O48" s="266" t="str">
        <f>_xlfn.XLOOKUP(N48,costcategory[Account Code],costcategory[Cost Category],"ERROR")</f>
        <v>ERROR</v>
      </c>
      <c r="P48" s="135"/>
      <c r="Q48" s="267" t="str">
        <f>_xlfn.XLOOKUP(P48,Table2[Department],Table2[Group],"ERROR")</f>
        <v>ERROR</v>
      </c>
      <c r="R48" s="18"/>
      <c r="S48" s="18"/>
      <c r="T48" s="18"/>
      <c r="V48" s="18"/>
    </row>
    <row r="49" spans="1:22" s="2" customFormat="1" ht="12.95" customHeight="1" x14ac:dyDescent="0.2">
      <c r="C49" s="3"/>
      <c r="D49" s="3"/>
      <c r="E49" s="3"/>
      <c r="G49" s="205"/>
      <c r="H49" s="205"/>
      <c r="I49" s="205"/>
      <c r="J49" s="205"/>
      <c r="K49" s="34"/>
      <c r="L49" s="22"/>
      <c r="M49" s="22"/>
      <c r="N49" s="135"/>
      <c r="O49" s="266" t="str">
        <f>_xlfn.XLOOKUP(N49,costcategory[Account Code],costcategory[Cost Category],"ERROR")</f>
        <v>ERROR</v>
      </c>
      <c r="P49" s="135"/>
      <c r="Q49" s="267" t="str">
        <f>_xlfn.XLOOKUP(P49,Table2[Department],Table2[Group],"ERROR")</f>
        <v>ERROR</v>
      </c>
      <c r="R49" s="72"/>
      <c r="S49" s="72"/>
      <c r="T49" s="72"/>
      <c r="V49" s="72"/>
    </row>
    <row r="50" spans="1:22" s="2" customFormat="1" ht="12.95" customHeight="1" x14ac:dyDescent="0.2">
      <c r="C50" s="3"/>
      <c r="D50" s="3"/>
      <c r="E50" s="3"/>
      <c r="G50" s="212"/>
      <c r="H50" s="212"/>
      <c r="I50" s="212"/>
      <c r="J50" s="212"/>
      <c r="K50" s="16"/>
      <c r="L50" s="22"/>
      <c r="M50" s="22"/>
      <c r="N50" s="135"/>
      <c r="O50" s="266" t="str">
        <f>_xlfn.XLOOKUP(N50,costcategory[Account Code],costcategory[Cost Category],"ERROR")</f>
        <v>ERROR</v>
      </c>
      <c r="P50" s="135"/>
      <c r="Q50" s="267" t="str">
        <f>_xlfn.XLOOKUP(P50,Table2[Department],Table2[Group],"ERROR")</f>
        <v>ERROR</v>
      </c>
      <c r="R50" s="18"/>
      <c r="S50" s="18"/>
      <c r="T50" s="18"/>
      <c r="V50" s="18"/>
    </row>
    <row r="51" spans="1:22" s="2" customFormat="1" ht="12.95" customHeight="1" x14ac:dyDescent="0.2">
      <c r="C51" s="3"/>
      <c r="D51" s="3"/>
      <c r="E51" s="3"/>
      <c r="G51" s="205"/>
      <c r="H51" s="205"/>
      <c r="I51" s="205"/>
      <c r="J51" s="205"/>
      <c r="K51" s="34"/>
      <c r="L51" s="22"/>
      <c r="M51" s="22"/>
      <c r="N51" s="135"/>
      <c r="O51" s="266" t="str">
        <f>_xlfn.XLOOKUP(N51,costcategory[Account Code],costcategory[Cost Category],"ERROR")</f>
        <v>ERROR</v>
      </c>
      <c r="P51" s="135"/>
      <c r="Q51" s="267" t="str">
        <f>_xlfn.XLOOKUP(P51,Table2[Department],Table2[Group],"ERROR")</f>
        <v>ERROR</v>
      </c>
      <c r="R51" s="72"/>
      <c r="S51" s="72"/>
      <c r="T51" s="72"/>
      <c r="V51" s="72"/>
    </row>
    <row r="52" spans="1:22" s="2" customFormat="1" ht="12.95" customHeight="1" x14ac:dyDescent="0.2">
      <c r="C52" s="3"/>
      <c r="D52" s="3"/>
      <c r="E52" s="3"/>
      <c r="G52" s="212"/>
      <c r="H52" s="212"/>
      <c r="I52" s="212">
        <f>SUM(I48:I51)</f>
        <v>0</v>
      </c>
      <c r="J52" s="212"/>
      <c r="K52" s="16"/>
      <c r="L52" s="22"/>
      <c r="M52" s="22"/>
      <c r="N52" s="21"/>
      <c r="O52" s="135"/>
      <c r="P52" s="21"/>
      <c r="Q52" s="21"/>
    </row>
    <row r="53" spans="1:22" s="20" customFormat="1" ht="12.95" customHeight="1" x14ac:dyDescent="0.2">
      <c r="A53" s="329" t="s">
        <v>1173</v>
      </c>
      <c r="B53" s="329"/>
      <c r="C53" s="329"/>
      <c r="D53" s="329"/>
      <c r="E53" s="14">
        <v>46234</v>
      </c>
      <c r="F53" s="13" t="s">
        <v>4</v>
      </c>
      <c r="G53" s="211"/>
      <c r="H53" s="226"/>
      <c r="I53" s="208">
        <f>I47-I52</f>
        <v>225380.77999999985</v>
      </c>
      <c r="J53" s="226"/>
      <c r="K53" s="17"/>
      <c r="L53" s="25"/>
      <c r="M53" s="25"/>
      <c r="N53" s="154"/>
      <c r="O53" s="155"/>
      <c r="P53" s="154"/>
      <c r="Q53" s="154"/>
    </row>
    <row r="54" spans="1:22" s="2" customFormat="1" ht="12.95" customHeight="1" x14ac:dyDescent="0.2">
      <c r="C54" s="3"/>
      <c r="D54" s="3"/>
      <c r="E54" s="3"/>
      <c r="G54" s="212"/>
      <c r="H54" s="212"/>
      <c r="I54" s="212"/>
      <c r="J54" s="212"/>
      <c r="K54" s="16"/>
      <c r="L54" s="22"/>
      <c r="M54" s="22"/>
      <c r="N54" s="21"/>
      <c r="O54" s="135"/>
      <c r="P54" s="21"/>
      <c r="Q54" s="21"/>
    </row>
    <row r="55" spans="1:22" s="2" customFormat="1" ht="12.95" customHeight="1" x14ac:dyDescent="0.2">
      <c r="C55" s="3"/>
      <c r="D55" s="3"/>
      <c r="E55" s="3"/>
      <c r="G55" s="212"/>
      <c r="H55" s="212"/>
      <c r="I55" s="212"/>
      <c r="J55" s="212"/>
      <c r="K55" s="16"/>
      <c r="L55" s="22"/>
      <c r="M55" s="22"/>
      <c r="N55" s="21"/>
      <c r="O55" s="135"/>
      <c r="P55" s="21"/>
      <c r="Q55" s="21"/>
    </row>
    <row r="56" spans="1:22" s="2" customFormat="1" ht="12.95" customHeight="1" x14ac:dyDescent="0.2">
      <c r="C56" s="3"/>
      <c r="D56" s="3"/>
      <c r="E56" s="3"/>
      <c r="G56" s="212"/>
      <c r="H56" s="212"/>
      <c r="I56" s="212"/>
      <c r="J56" s="212"/>
      <c r="K56" s="16"/>
      <c r="L56" s="22"/>
      <c r="M56" s="22"/>
      <c r="N56" s="21"/>
      <c r="O56" s="135"/>
      <c r="P56" s="21"/>
      <c r="Q56" s="21"/>
    </row>
    <row r="57" spans="1:22" s="2" customFormat="1" ht="12.95" customHeight="1" x14ac:dyDescent="0.2">
      <c r="C57" s="3"/>
      <c r="D57" s="3"/>
      <c r="E57" s="3"/>
      <c r="G57" s="212"/>
      <c r="H57" s="212"/>
      <c r="I57" s="212"/>
      <c r="J57" s="212"/>
      <c r="K57" s="16"/>
      <c r="L57" s="22"/>
      <c r="M57" s="22"/>
      <c r="N57" s="21"/>
      <c r="O57" s="135"/>
      <c r="P57" s="21"/>
      <c r="Q57" s="21"/>
    </row>
    <row r="58" spans="1:22" s="20" customFormat="1" ht="12.95" customHeight="1" x14ac:dyDescent="0.2">
      <c r="A58" s="329" t="s">
        <v>1172</v>
      </c>
      <c r="B58" s="329"/>
      <c r="C58" s="329"/>
      <c r="D58" s="329"/>
      <c r="E58" s="14">
        <v>46235</v>
      </c>
      <c r="F58" s="13" t="s">
        <v>4</v>
      </c>
      <c r="G58" s="211"/>
      <c r="H58" s="211"/>
      <c r="I58" s="211">
        <f>I53</f>
        <v>225380.77999999985</v>
      </c>
      <c r="J58" s="211"/>
      <c r="K58" s="78"/>
      <c r="L58" s="74"/>
      <c r="M58" s="24"/>
      <c r="N58" s="156"/>
      <c r="O58" s="265"/>
      <c r="P58" s="156"/>
      <c r="Q58" s="156"/>
      <c r="R58" s="13"/>
      <c r="S58" s="13"/>
      <c r="T58" s="13"/>
      <c r="U58" s="13"/>
      <c r="V58" s="13"/>
    </row>
    <row r="59" spans="1:22" s="2" customFormat="1" ht="12.95" customHeight="1" x14ac:dyDescent="0.2">
      <c r="C59" s="3"/>
      <c r="D59" s="3"/>
      <c r="E59" s="3"/>
      <c r="G59" s="212"/>
      <c r="H59" s="212"/>
      <c r="I59" s="212"/>
      <c r="J59" s="212"/>
      <c r="K59" s="16"/>
      <c r="L59" s="22"/>
      <c r="M59" s="22"/>
      <c r="N59" s="135"/>
      <c r="O59" s="266" t="str">
        <f>_xlfn.XLOOKUP(N59,costcategory[Account Code],costcategory[Cost Category],"ERROR")</f>
        <v>ERROR</v>
      </c>
      <c r="P59" s="135"/>
      <c r="Q59" s="267" t="str">
        <f>_xlfn.XLOOKUP(P59,Table2[Department],Table2[Group],"ERROR")</f>
        <v>ERROR</v>
      </c>
      <c r="R59" s="18"/>
      <c r="S59" s="18"/>
      <c r="T59" s="18"/>
      <c r="V59" s="18"/>
    </row>
    <row r="60" spans="1:22" s="2" customFormat="1" ht="12.95" customHeight="1" x14ac:dyDescent="0.2">
      <c r="C60" s="3"/>
      <c r="D60" s="3"/>
      <c r="E60" s="3"/>
      <c r="G60" s="205"/>
      <c r="H60" s="205"/>
      <c r="I60" s="205"/>
      <c r="J60" s="205"/>
      <c r="K60" s="34"/>
      <c r="L60" s="22"/>
      <c r="M60" s="22"/>
      <c r="N60" s="135"/>
      <c r="O60" s="266" t="str">
        <f>_xlfn.XLOOKUP(N60,costcategory[Account Code],costcategory[Cost Category],"ERROR")</f>
        <v>ERROR</v>
      </c>
      <c r="P60" s="135"/>
      <c r="Q60" s="267" t="str">
        <f>_xlfn.XLOOKUP(P60,Table2[Department],Table2[Group],"ERROR")</f>
        <v>ERROR</v>
      </c>
      <c r="R60" s="72"/>
      <c r="S60" s="72"/>
      <c r="T60" s="72"/>
      <c r="V60" s="72"/>
    </row>
    <row r="61" spans="1:22" s="2" customFormat="1" ht="12.95" customHeight="1" x14ac:dyDescent="0.2">
      <c r="C61" s="3"/>
      <c r="D61" s="3"/>
      <c r="E61" s="3"/>
      <c r="G61" s="212"/>
      <c r="H61" s="212"/>
      <c r="I61" s="212"/>
      <c r="J61" s="212"/>
      <c r="K61" s="16"/>
      <c r="L61" s="22"/>
      <c r="M61" s="22"/>
      <c r="N61" s="135"/>
      <c r="O61" s="266" t="str">
        <f>_xlfn.XLOOKUP(N61,costcategory[Account Code],costcategory[Cost Category],"ERROR")</f>
        <v>ERROR</v>
      </c>
      <c r="P61" s="135"/>
      <c r="Q61" s="267" t="str">
        <f>_xlfn.XLOOKUP(P61,Table2[Department],Table2[Group],"ERROR")</f>
        <v>ERROR</v>
      </c>
      <c r="R61" s="18"/>
      <c r="S61" s="18"/>
      <c r="T61" s="18"/>
      <c r="V61" s="18"/>
    </row>
    <row r="62" spans="1:22" s="2" customFormat="1" ht="12.95" customHeight="1" x14ac:dyDescent="0.2">
      <c r="C62" s="3"/>
      <c r="D62" s="3"/>
      <c r="E62" s="3"/>
      <c r="G62" s="205"/>
      <c r="H62" s="205"/>
      <c r="I62" s="205"/>
      <c r="J62" s="205"/>
      <c r="K62" s="34"/>
      <c r="L62" s="22"/>
      <c r="M62" s="22"/>
      <c r="N62" s="135"/>
      <c r="O62" s="266" t="str">
        <f>_xlfn.XLOOKUP(N62,costcategory[Account Code],costcategory[Cost Category],"ERROR")</f>
        <v>ERROR</v>
      </c>
      <c r="P62" s="135"/>
      <c r="Q62" s="267" t="str">
        <f>_xlfn.XLOOKUP(P62,Table2[Department],Table2[Group],"ERROR")</f>
        <v>ERROR</v>
      </c>
      <c r="R62" s="72"/>
      <c r="S62" s="72"/>
      <c r="T62" s="72"/>
      <c r="V62" s="72"/>
    </row>
    <row r="63" spans="1:22" s="2" customFormat="1" ht="12.95" customHeight="1" x14ac:dyDescent="0.2">
      <c r="C63" s="3"/>
      <c r="D63" s="3"/>
      <c r="E63" s="3"/>
      <c r="G63" s="212"/>
      <c r="H63" s="212"/>
      <c r="I63" s="212">
        <f>SUM(I59:I62)</f>
        <v>0</v>
      </c>
      <c r="J63" s="212"/>
      <c r="K63" s="16"/>
      <c r="L63" s="22"/>
      <c r="M63" s="22"/>
      <c r="N63" s="21"/>
      <c r="O63" s="135"/>
      <c r="P63" s="21"/>
      <c r="Q63" s="21"/>
    </row>
    <row r="64" spans="1:22" s="20" customFormat="1" ht="12.95" customHeight="1" x14ac:dyDescent="0.2">
      <c r="A64" s="329" t="s">
        <v>1173</v>
      </c>
      <c r="B64" s="329"/>
      <c r="C64" s="329"/>
      <c r="D64" s="329"/>
      <c r="E64" s="14">
        <v>46265</v>
      </c>
      <c r="F64" s="13" t="s">
        <v>4</v>
      </c>
      <c r="G64" s="211"/>
      <c r="H64" s="226"/>
      <c r="I64" s="208">
        <f>I58-I63</f>
        <v>225380.77999999985</v>
      </c>
      <c r="J64" s="226"/>
      <c r="K64" s="17"/>
      <c r="L64" s="25"/>
      <c r="M64" s="25"/>
      <c r="N64" s="154"/>
      <c r="O64" s="155"/>
      <c r="P64" s="154"/>
      <c r="Q64" s="154"/>
    </row>
    <row r="65" spans="1:22" s="2" customFormat="1" ht="12.95" customHeight="1" x14ac:dyDescent="0.2">
      <c r="C65" s="3"/>
      <c r="D65" s="3"/>
      <c r="E65" s="3"/>
      <c r="G65" s="212"/>
      <c r="H65" s="212"/>
      <c r="I65" s="212"/>
      <c r="J65" s="212"/>
      <c r="K65" s="16"/>
      <c r="L65" s="22"/>
      <c r="M65" s="22"/>
      <c r="N65" s="21"/>
      <c r="O65" s="135"/>
      <c r="P65" s="21"/>
      <c r="Q65" s="21"/>
    </row>
    <row r="66" spans="1:22" s="2" customFormat="1" ht="12.95" customHeight="1" x14ac:dyDescent="0.2">
      <c r="C66" s="3"/>
      <c r="D66" s="3"/>
      <c r="E66" s="3"/>
      <c r="G66" s="212"/>
      <c r="H66" s="212"/>
      <c r="I66" s="212"/>
      <c r="J66" s="212"/>
      <c r="K66" s="16"/>
      <c r="L66" s="22"/>
      <c r="M66" s="22"/>
      <c r="N66" s="21"/>
      <c r="O66" s="135"/>
      <c r="P66" s="21"/>
      <c r="Q66" s="21"/>
    </row>
    <row r="67" spans="1:22" s="2" customFormat="1" ht="12.95" customHeight="1" x14ac:dyDescent="0.2">
      <c r="C67" s="3"/>
      <c r="D67" s="3"/>
      <c r="E67" s="3"/>
      <c r="G67" s="212"/>
      <c r="H67" s="212"/>
      <c r="I67" s="212"/>
      <c r="J67" s="212"/>
      <c r="K67" s="16"/>
      <c r="L67" s="22"/>
      <c r="M67" s="22"/>
      <c r="N67" s="21"/>
      <c r="O67" s="135"/>
      <c r="P67" s="21"/>
      <c r="Q67" s="21"/>
    </row>
    <row r="68" spans="1:22" s="20" customFormat="1" ht="12.95" customHeight="1" x14ac:dyDescent="0.2">
      <c r="A68" s="329" t="s">
        <v>1172</v>
      </c>
      <c r="B68" s="329"/>
      <c r="C68" s="329"/>
      <c r="D68" s="329"/>
      <c r="E68" s="14">
        <v>46266</v>
      </c>
      <c r="F68" s="13" t="s">
        <v>4</v>
      </c>
      <c r="G68" s="211"/>
      <c r="H68" s="211"/>
      <c r="I68" s="211">
        <f>I64</f>
        <v>225380.77999999985</v>
      </c>
      <c r="J68" s="211"/>
      <c r="K68" s="78"/>
      <c r="L68" s="74"/>
      <c r="M68" s="24"/>
      <c r="N68" s="156"/>
      <c r="O68" s="265"/>
      <c r="P68" s="156"/>
      <c r="Q68" s="156"/>
      <c r="R68" s="13"/>
      <c r="S68" s="13"/>
      <c r="T68" s="13"/>
      <c r="U68" s="13"/>
      <c r="V68" s="13"/>
    </row>
    <row r="69" spans="1:22" s="2" customFormat="1" ht="12.95" customHeight="1" x14ac:dyDescent="0.2">
      <c r="C69" s="3"/>
      <c r="D69" s="3"/>
      <c r="E69" s="3"/>
      <c r="G69" s="212"/>
      <c r="H69" s="212"/>
      <c r="I69" s="212"/>
      <c r="J69" s="212"/>
      <c r="K69" s="16"/>
      <c r="L69" s="22"/>
      <c r="M69" s="22"/>
      <c r="N69" s="135"/>
      <c r="O69" s="266" t="str">
        <f>_xlfn.XLOOKUP(N69,costcategory[Account Code],costcategory[Cost Category],"ERROR")</f>
        <v>ERROR</v>
      </c>
      <c r="P69" s="135"/>
      <c r="Q69" s="267" t="str">
        <f>_xlfn.XLOOKUP(P69,Table2[Department],Table2[Group],"ERROR")</f>
        <v>ERROR</v>
      </c>
      <c r="R69" s="18"/>
      <c r="S69" s="18"/>
      <c r="T69" s="18"/>
      <c r="V69" s="18"/>
    </row>
    <row r="70" spans="1:22" s="2" customFormat="1" ht="12.95" customHeight="1" x14ac:dyDescent="0.2">
      <c r="C70" s="3"/>
      <c r="D70" s="3"/>
      <c r="E70" s="3"/>
      <c r="G70" s="205"/>
      <c r="H70" s="205"/>
      <c r="I70" s="205"/>
      <c r="J70" s="205"/>
      <c r="K70" s="34"/>
      <c r="L70" s="22"/>
      <c r="M70" s="22"/>
      <c r="N70" s="135"/>
      <c r="O70" s="266" t="str">
        <f>_xlfn.XLOOKUP(N70,costcategory[Account Code],costcategory[Cost Category],"ERROR")</f>
        <v>ERROR</v>
      </c>
      <c r="P70" s="135"/>
      <c r="Q70" s="267" t="str">
        <f>_xlfn.XLOOKUP(P70,Table2[Department],Table2[Group],"ERROR")</f>
        <v>ERROR</v>
      </c>
      <c r="R70" s="72"/>
      <c r="S70" s="72"/>
      <c r="T70" s="72"/>
      <c r="V70" s="72"/>
    </row>
    <row r="71" spans="1:22" s="2" customFormat="1" ht="12.95" customHeight="1" x14ac:dyDescent="0.2">
      <c r="C71" s="3"/>
      <c r="D71" s="3"/>
      <c r="E71" s="3"/>
      <c r="G71" s="212"/>
      <c r="H71" s="212"/>
      <c r="I71" s="212"/>
      <c r="J71" s="212"/>
      <c r="K71" s="16"/>
      <c r="L71" s="22"/>
      <c r="M71" s="22"/>
      <c r="N71" s="135"/>
      <c r="O71" s="266" t="str">
        <f>_xlfn.XLOOKUP(N71,costcategory[Account Code],costcategory[Cost Category],"ERROR")</f>
        <v>ERROR</v>
      </c>
      <c r="P71" s="135"/>
      <c r="Q71" s="267" t="str">
        <f>_xlfn.XLOOKUP(P71,Table2[Department],Table2[Group],"ERROR")</f>
        <v>ERROR</v>
      </c>
      <c r="R71" s="18"/>
      <c r="S71" s="18"/>
      <c r="T71" s="18"/>
      <c r="V71" s="18"/>
    </row>
    <row r="72" spans="1:22" s="2" customFormat="1" ht="12.95" customHeight="1" x14ac:dyDescent="0.2">
      <c r="C72" s="3"/>
      <c r="D72" s="3"/>
      <c r="E72" s="3"/>
      <c r="G72" s="205"/>
      <c r="H72" s="205"/>
      <c r="I72" s="205"/>
      <c r="J72" s="205"/>
      <c r="K72" s="34"/>
      <c r="L72" s="22"/>
      <c r="M72" s="22"/>
      <c r="N72" s="135"/>
      <c r="O72" s="266" t="str">
        <f>_xlfn.XLOOKUP(N72,costcategory[Account Code],costcategory[Cost Category],"ERROR")</f>
        <v>ERROR</v>
      </c>
      <c r="P72" s="135"/>
      <c r="Q72" s="267" t="str">
        <f>_xlfn.XLOOKUP(P72,Table2[Department],Table2[Group],"ERROR")</f>
        <v>ERROR</v>
      </c>
      <c r="R72" s="72"/>
      <c r="S72" s="72"/>
      <c r="T72" s="72"/>
      <c r="V72" s="72"/>
    </row>
    <row r="73" spans="1:22" s="2" customFormat="1" ht="12.95" customHeight="1" x14ac:dyDescent="0.2">
      <c r="C73" s="3"/>
      <c r="D73" s="3"/>
      <c r="E73" s="3"/>
      <c r="G73" s="212"/>
      <c r="H73" s="212"/>
      <c r="I73" s="212">
        <f>SUM(I69:I72)</f>
        <v>0</v>
      </c>
      <c r="J73" s="212"/>
      <c r="K73" s="16"/>
      <c r="L73" s="22"/>
      <c r="M73" s="22"/>
      <c r="N73" s="21"/>
      <c r="O73" s="135"/>
      <c r="P73" s="21"/>
      <c r="Q73" s="21"/>
    </row>
    <row r="74" spans="1:22" s="20" customFormat="1" ht="12.95" customHeight="1" x14ac:dyDescent="0.2">
      <c r="A74" s="329" t="s">
        <v>1173</v>
      </c>
      <c r="B74" s="329"/>
      <c r="C74" s="329"/>
      <c r="D74" s="329"/>
      <c r="E74" s="14">
        <v>46295</v>
      </c>
      <c r="F74" s="13" t="s">
        <v>4</v>
      </c>
      <c r="G74" s="211"/>
      <c r="H74" s="226"/>
      <c r="I74" s="208">
        <f>I68-I73</f>
        <v>225380.77999999985</v>
      </c>
      <c r="J74" s="226"/>
      <c r="K74" s="17"/>
      <c r="L74" s="25"/>
      <c r="M74" s="25"/>
      <c r="N74" s="154"/>
      <c r="O74" s="155"/>
      <c r="P74" s="154"/>
      <c r="Q74" s="154"/>
    </row>
    <row r="75" spans="1:22" x14ac:dyDescent="0.2">
      <c r="N75" s="21"/>
      <c r="O75" s="135"/>
      <c r="P75" s="21"/>
      <c r="Q75" s="21"/>
    </row>
    <row r="76" spans="1:22" x14ac:dyDescent="0.2">
      <c r="N76" s="21"/>
      <c r="O76" s="135"/>
      <c r="P76" s="21"/>
      <c r="Q76" s="21"/>
    </row>
    <row r="77" spans="1:22" x14ac:dyDescent="0.2">
      <c r="N77" s="21"/>
      <c r="O77" s="135"/>
      <c r="P77" s="21"/>
      <c r="Q77" s="21"/>
    </row>
    <row r="78" spans="1:22" s="20" customFormat="1" ht="12.95" customHeight="1" x14ac:dyDescent="0.2">
      <c r="A78" s="329" t="s">
        <v>1172</v>
      </c>
      <c r="B78" s="329"/>
      <c r="C78" s="329"/>
      <c r="D78" s="329"/>
      <c r="E78" s="14">
        <v>46296</v>
      </c>
      <c r="F78" s="13" t="s">
        <v>4</v>
      </c>
      <c r="G78" s="211"/>
      <c r="H78" s="211"/>
      <c r="I78" s="211">
        <f>I74</f>
        <v>225380.77999999985</v>
      </c>
      <c r="J78" s="211"/>
      <c r="K78" s="78"/>
      <c r="L78" s="74"/>
      <c r="M78" s="24"/>
      <c r="N78" s="156"/>
      <c r="O78" s="265"/>
      <c r="P78" s="156"/>
      <c r="Q78" s="156"/>
      <c r="R78" s="13"/>
      <c r="S78" s="13"/>
      <c r="T78" s="13"/>
      <c r="U78" s="13"/>
      <c r="V78" s="13"/>
    </row>
    <row r="79" spans="1:22" s="2" customFormat="1" ht="12.95" customHeight="1" x14ac:dyDescent="0.2">
      <c r="C79" s="3"/>
      <c r="D79" s="3"/>
      <c r="E79" s="3"/>
      <c r="G79" s="212"/>
      <c r="H79" s="212"/>
      <c r="I79" s="212"/>
      <c r="J79" s="212"/>
      <c r="K79" s="16"/>
      <c r="L79" s="22"/>
      <c r="M79" s="22"/>
      <c r="N79" s="135"/>
      <c r="O79" s="266" t="str">
        <f>_xlfn.XLOOKUP(N79,costcategory[Account Code],costcategory[Cost Category],"ERROR")</f>
        <v>ERROR</v>
      </c>
      <c r="P79" s="135"/>
      <c r="Q79" s="267" t="str">
        <f>_xlfn.XLOOKUP(P79,Table2[Department],Table2[Group],"ERROR")</f>
        <v>ERROR</v>
      </c>
      <c r="R79" s="18"/>
      <c r="S79" s="18"/>
      <c r="T79" s="18"/>
      <c r="V79" s="18"/>
    </row>
    <row r="80" spans="1:22" s="2" customFormat="1" ht="12.95" customHeight="1" x14ac:dyDescent="0.2">
      <c r="C80" s="3"/>
      <c r="D80" s="3"/>
      <c r="E80" s="3"/>
      <c r="G80" s="205"/>
      <c r="H80" s="205"/>
      <c r="I80" s="205"/>
      <c r="J80" s="205"/>
      <c r="K80" s="34"/>
      <c r="L80" s="22"/>
      <c r="M80" s="22"/>
      <c r="N80" s="135"/>
      <c r="O80" s="266" t="str">
        <f>_xlfn.XLOOKUP(N80,costcategory[Account Code],costcategory[Cost Category],"ERROR")</f>
        <v>ERROR</v>
      </c>
      <c r="P80" s="135"/>
      <c r="Q80" s="267" t="str">
        <f>_xlfn.XLOOKUP(P80,Table2[Department],Table2[Group],"ERROR")</f>
        <v>ERROR</v>
      </c>
      <c r="R80" s="72"/>
      <c r="S80" s="72"/>
      <c r="T80" s="72"/>
      <c r="V80" s="72"/>
    </row>
    <row r="81" spans="1:22" s="2" customFormat="1" ht="12.95" customHeight="1" x14ac:dyDescent="0.2">
      <c r="C81" s="3"/>
      <c r="D81" s="3"/>
      <c r="E81" s="3"/>
      <c r="G81" s="212"/>
      <c r="H81" s="212"/>
      <c r="I81" s="212"/>
      <c r="J81" s="212"/>
      <c r="K81" s="16"/>
      <c r="L81" s="22"/>
      <c r="M81" s="22"/>
      <c r="N81" s="135"/>
      <c r="O81" s="266" t="str">
        <f>_xlfn.XLOOKUP(N81,costcategory[Account Code],costcategory[Cost Category],"ERROR")</f>
        <v>ERROR</v>
      </c>
      <c r="P81" s="135"/>
      <c r="Q81" s="267" t="str">
        <f>_xlfn.XLOOKUP(P81,Table2[Department],Table2[Group],"ERROR")</f>
        <v>ERROR</v>
      </c>
      <c r="R81" s="18"/>
      <c r="S81" s="18"/>
      <c r="T81" s="18"/>
      <c r="V81" s="18"/>
    </row>
    <row r="82" spans="1:22" s="2" customFormat="1" ht="12.95" customHeight="1" x14ac:dyDescent="0.2">
      <c r="C82" s="3"/>
      <c r="D82" s="3"/>
      <c r="E82" s="3"/>
      <c r="G82" s="205"/>
      <c r="H82" s="205"/>
      <c r="I82" s="205"/>
      <c r="J82" s="205"/>
      <c r="K82" s="34"/>
      <c r="L82" s="22"/>
      <c r="M82" s="22"/>
      <c r="N82" s="135"/>
      <c r="O82" s="266" t="str">
        <f>_xlfn.XLOOKUP(N82,costcategory[Account Code],costcategory[Cost Category],"ERROR")</f>
        <v>ERROR</v>
      </c>
      <c r="P82" s="135"/>
      <c r="Q82" s="267" t="str">
        <f>_xlfn.XLOOKUP(P82,Table2[Department],Table2[Group],"ERROR")</f>
        <v>ERROR</v>
      </c>
      <c r="R82" s="72"/>
      <c r="S82" s="72"/>
      <c r="T82" s="72"/>
      <c r="V82" s="72"/>
    </row>
    <row r="83" spans="1:22" s="2" customFormat="1" ht="12.95" customHeight="1" x14ac:dyDescent="0.2">
      <c r="C83" s="3"/>
      <c r="D83" s="3"/>
      <c r="E83" s="3"/>
      <c r="G83" s="212"/>
      <c r="H83" s="212"/>
      <c r="I83" s="212">
        <f>SUM(I79:I82)</f>
        <v>0</v>
      </c>
      <c r="J83" s="212"/>
      <c r="K83" s="16"/>
      <c r="L83" s="22"/>
      <c r="M83" s="22"/>
      <c r="N83" s="21"/>
      <c r="O83" s="135"/>
      <c r="P83" s="21"/>
      <c r="Q83" s="21"/>
    </row>
    <row r="84" spans="1:22" s="20" customFormat="1" ht="12.95" customHeight="1" x14ac:dyDescent="0.2">
      <c r="A84" s="329" t="s">
        <v>1173</v>
      </c>
      <c r="B84" s="329"/>
      <c r="C84" s="329"/>
      <c r="D84" s="329"/>
      <c r="E84" s="14">
        <v>46326</v>
      </c>
      <c r="F84" s="13" t="s">
        <v>4</v>
      </c>
      <c r="G84" s="211"/>
      <c r="H84" s="226"/>
      <c r="I84" s="208">
        <f>I78-I83</f>
        <v>225380.77999999985</v>
      </c>
      <c r="J84" s="226"/>
      <c r="K84" s="17"/>
      <c r="L84" s="25"/>
      <c r="M84" s="25"/>
      <c r="N84" s="154"/>
      <c r="O84" s="155"/>
      <c r="P84" s="154"/>
      <c r="Q84" s="154"/>
    </row>
    <row r="85" spans="1:22" x14ac:dyDescent="0.2">
      <c r="N85" s="21"/>
      <c r="O85" s="135"/>
      <c r="P85" s="21"/>
      <c r="Q85" s="21"/>
    </row>
    <row r="86" spans="1:22" x14ac:dyDescent="0.2">
      <c r="N86" s="21"/>
      <c r="O86" s="135"/>
      <c r="P86" s="21"/>
      <c r="Q86" s="21"/>
    </row>
    <row r="87" spans="1:22" x14ac:dyDescent="0.2">
      <c r="N87" s="21"/>
      <c r="O87" s="135"/>
      <c r="P87" s="21"/>
      <c r="Q87" s="21"/>
    </row>
    <row r="88" spans="1:22" x14ac:dyDescent="0.2">
      <c r="N88" s="21"/>
      <c r="O88" s="135"/>
      <c r="P88" s="21"/>
      <c r="Q88" s="21"/>
    </row>
    <row r="89" spans="1:22" s="20" customFormat="1" ht="12.95" customHeight="1" x14ac:dyDescent="0.2">
      <c r="A89" s="329" t="s">
        <v>1172</v>
      </c>
      <c r="B89" s="329"/>
      <c r="C89" s="329"/>
      <c r="D89" s="329"/>
      <c r="E89" s="14">
        <v>46327</v>
      </c>
      <c r="F89" s="13" t="s">
        <v>4</v>
      </c>
      <c r="G89" s="211"/>
      <c r="H89" s="211"/>
      <c r="I89" s="211">
        <f>I84</f>
        <v>225380.77999999985</v>
      </c>
      <c r="J89" s="211"/>
      <c r="K89" s="78"/>
      <c r="L89" s="74"/>
      <c r="M89" s="24"/>
      <c r="N89" s="156"/>
      <c r="O89" s="265"/>
      <c r="P89" s="156"/>
      <c r="Q89" s="156"/>
      <c r="R89" s="13"/>
      <c r="S89" s="13"/>
      <c r="T89" s="13"/>
      <c r="U89" s="13"/>
      <c r="V89" s="13"/>
    </row>
    <row r="90" spans="1:22" s="2" customFormat="1" ht="12.95" customHeight="1" x14ac:dyDescent="0.2">
      <c r="C90" s="3"/>
      <c r="D90" s="3"/>
      <c r="E90" s="3"/>
      <c r="G90" s="212"/>
      <c r="H90" s="212"/>
      <c r="I90" s="212"/>
      <c r="J90" s="212"/>
      <c r="K90" s="16"/>
      <c r="L90" s="22"/>
      <c r="M90" s="22"/>
      <c r="N90" s="135"/>
      <c r="O90" s="266" t="str">
        <f>_xlfn.XLOOKUP(N90,costcategory[Account Code],costcategory[Cost Category],"ERROR")</f>
        <v>ERROR</v>
      </c>
      <c r="P90" s="135"/>
      <c r="Q90" s="267" t="str">
        <f>_xlfn.XLOOKUP(P90,Table2[Department],Table2[Group],"ERROR")</f>
        <v>ERROR</v>
      </c>
      <c r="R90" s="18"/>
      <c r="S90" s="18"/>
      <c r="T90" s="18"/>
      <c r="V90" s="18"/>
    </row>
    <row r="91" spans="1:22" s="2" customFormat="1" ht="12.95" customHeight="1" x14ac:dyDescent="0.2">
      <c r="C91" s="3"/>
      <c r="D91" s="3"/>
      <c r="E91" s="3"/>
      <c r="G91" s="205"/>
      <c r="H91" s="205"/>
      <c r="I91" s="205"/>
      <c r="J91" s="205"/>
      <c r="K91" s="34"/>
      <c r="L91" s="22"/>
      <c r="M91" s="22"/>
      <c r="N91" s="135"/>
      <c r="O91" s="266" t="str">
        <f>_xlfn.XLOOKUP(N91,costcategory[Account Code],costcategory[Cost Category],"ERROR")</f>
        <v>ERROR</v>
      </c>
      <c r="P91" s="135"/>
      <c r="Q91" s="267" t="str">
        <f>_xlfn.XLOOKUP(P91,Table2[Department],Table2[Group],"ERROR")</f>
        <v>ERROR</v>
      </c>
      <c r="R91" s="72"/>
      <c r="S91" s="72"/>
      <c r="T91" s="72"/>
      <c r="V91" s="72"/>
    </row>
    <row r="92" spans="1:22" s="2" customFormat="1" ht="12.95" customHeight="1" x14ac:dyDescent="0.2">
      <c r="C92" s="3"/>
      <c r="D92" s="3"/>
      <c r="E92" s="3"/>
      <c r="G92" s="212"/>
      <c r="H92" s="212"/>
      <c r="I92" s="212"/>
      <c r="J92" s="212"/>
      <c r="K92" s="16"/>
      <c r="L92" s="22"/>
      <c r="M92" s="22"/>
      <c r="N92" s="135"/>
      <c r="O92" s="266" t="str">
        <f>_xlfn.XLOOKUP(N92,costcategory[Account Code],costcategory[Cost Category],"ERROR")</f>
        <v>ERROR</v>
      </c>
      <c r="P92" s="135"/>
      <c r="Q92" s="267" t="str">
        <f>_xlfn.XLOOKUP(P92,Table2[Department],Table2[Group],"ERROR")</f>
        <v>ERROR</v>
      </c>
      <c r="R92" s="18"/>
      <c r="S92" s="18"/>
      <c r="T92" s="18"/>
      <c r="V92" s="18"/>
    </row>
    <row r="93" spans="1:22" s="2" customFormat="1" ht="12.95" customHeight="1" x14ac:dyDescent="0.2">
      <c r="C93" s="3"/>
      <c r="D93" s="3"/>
      <c r="E93" s="3"/>
      <c r="G93" s="205"/>
      <c r="H93" s="205"/>
      <c r="I93" s="205"/>
      <c r="J93" s="205"/>
      <c r="K93" s="34"/>
      <c r="L93" s="22"/>
      <c r="M93" s="22"/>
      <c r="N93" s="135"/>
      <c r="O93" s="266" t="str">
        <f>_xlfn.XLOOKUP(N93,costcategory[Account Code],costcategory[Cost Category],"ERROR")</f>
        <v>ERROR</v>
      </c>
      <c r="P93" s="135"/>
      <c r="Q93" s="267" t="str">
        <f>_xlfn.XLOOKUP(P93,Table2[Department],Table2[Group],"ERROR")</f>
        <v>ERROR</v>
      </c>
      <c r="R93" s="72"/>
      <c r="S93" s="72"/>
      <c r="T93" s="72"/>
      <c r="V93" s="72"/>
    </row>
    <row r="94" spans="1:22" s="2" customFormat="1" ht="12.95" customHeight="1" x14ac:dyDescent="0.2">
      <c r="C94" s="3"/>
      <c r="D94" s="3"/>
      <c r="E94" s="3"/>
      <c r="G94" s="212"/>
      <c r="H94" s="212"/>
      <c r="I94" s="212">
        <f>SUM(I90:I93)</f>
        <v>0</v>
      </c>
      <c r="J94" s="212"/>
      <c r="K94" s="16"/>
      <c r="L94" s="22"/>
      <c r="M94" s="22"/>
      <c r="N94" s="21"/>
      <c r="O94" s="135"/>
      <c r="P94" s="21"/>
      <c r="Q94" s="21"/>
    </row>
    <row r="95" spans="1:22" s="20" customFormat="1" ht="12.95" customHeight="1" x14ac:dyDescent="0.2">
      <c r="A95" s="329" t="s">
        <v>1173</v>
      </c>
      <c r="B95" s="329"/>
      <c r="C95" s="329"/>
      <c r="D95" s="329"/>
      <c r="E95" s="14">
        <v>46356</v>
      </c>
      <c r="F95" s="13" t="s">
        <v>4</v>
      </c>
      <c r="G95" s="211"/>
      <c r="H95" s="226"/>
      <c r="I95" s="208">
        <f>I89-I94</f>
        <v>225380.77999999985</v>
      </c>
      <c r="J95" s="226"/>
      <c r="K95" s="17"/>
      <c r="L95" s="25"/>
      <c r="M95" s="25"/>
      <c r="N95" s="154"/>
      <c r="O95" s="155"/>
      <c r="P95" s="154"/>
      <c r="Q95" s="154"/>
    </row>
    <row r="96" spans="1:22" x14ac:dyDescent="0.2">
      <c r="N96" s="21"/>
      <c r="O96" s="135"/>
      <c r="P96" s="21"/>
      <c r="Q96" s="21"/>
    </row>
    <row r="97" spans="1:22" x14ac:dyDescent="0.2">
      <c r="N97" s="21"/>
      <c r="O97" s="135"/>
      <c r="P97" s="21"/>
      <c r="Q97" s="21"/>
    </row>
    <row r="98" spans="1:22" x14ac:dyDescent="0.2">
      <c r="N98" s="21"/>
      <c r="O98" s="135"/>
      <c r="P98" s="21"/>
      <c r="Q98" s="21"/>
    </row>
    <row r="99" spans="1:22" s="20" customFormat="1" ht="12.95" customHeight="1" x14ac:dyDescent="0.2">
      <c r="A99" s="329" t="s">
        <v>1172</v>
      </c>
      <c r="B99" s="329"/>
      <c r="C99" s="329"/>
      <c r="D99" s="329"/>
      <c r="E99" s="14">
        <v>46357</v>
      </c>
      <c r="F99" s="13" t="s">
        <v>4</v>
      </c>
      <c r="G99" s="211"/>
      <c r="H99" s="211"/>
      <c r="I99" s="211">
        <f>I95</f>
        <v>225380.77999999985</v>
      </c>
      <c r="J99" s="211"/>
      <c r="K99" s="78"/>
      <c r="L99" s="74"/>
      <c r="M99" s="24"/>
      <c r="N99" s="156"/>
      <c r="O99" s="265"/>
      <c r="P99" s="156"/>
      <c r="Q99" s="156"/>
      <c r="R99" s="13"/>
      <c r="S99" s="13"/>
      <c r="T99" s="13"/>
      <c r="U99" s="13"/>
      <c r="V99" s="13"/>
    </row>
    <row r="100" spans="1:22" s="2" customFormat="1" ht="12.95" customHeight="1" x14ac:dyDescent="0.2">
      <c r="C100" s="3"/>
      <c r="D100" s="3"/>
      <c r="E100" s="3"/>
      <c r="G100" s="212"/>
      <c r="H100" s="212"/>
      <c r="I100" s="212"/>
      <c r="J100" s="212"/>
      <c r="K100" s="16"/>
      <c r="L100" s="22"/>
      <c r="M100" s="22"/>
      <c r="N100" s="135"/>
      <c r="O100" s="266" t="str">
        <f>_xlfn.XLOOKUP(N100,costcategory[Account Code],costcategory[Cost Category],"ERROR")</f>
        <v>ERROR</v>
      </c>
      <c r="P100" s="135"/>
      <c r="Q100" s="267" t="str">
        <f>_xlfn.XLOOKUP(P100,Table2[Department],Table2[Group],"ERROR")</f>
        <v>ERROR</v>
      </c>
      <c r="R100" s="18"/>
      <c r="S100" s="18"/>
      <c r="T100" s="18"/>
      <c r="V100" s="18"/>
    </row>
    <row r="101" spans="1:22" s="2" customFormat="1" ht="12.95" customHeight="1" x14ac:dyDescent="0.2">
      <c r="C101" s="3"/>
      <c r="D101" s="3"/>
      <c r="E101" s="3"/>
      <c r="G101" s="205"/>
      <c r="H101" s="205"/>
      <c r="I101" s="205"/>
      <c r="J101" s="205"/>
      <c r="K101" s="34"/>
      <c r="L101" s="22"/>
      <c r="M101" s="22"/>
      <c r="N101" s="135"/>
      <c r="O101" s="266" t="str">
        <f>_xlfn.XLOOKUP(N101,costcategory[Account Code],costcategory[Cost Category],"ERROR")</f>
        <v>ERROR</v>
      </c>
      <c r="P101" s="135"/>
      <c r="Q101" s="267" t="str">
        <f>_xlfn.XLOOKUP(P101,Table2[Department],Table2[Group],"ERROR")</f>
        <v>ERROR</v>
      </c>
      <c r="R101" s="72"/>
      <c r="S101" s="72"/>
      <c r="T101" s="72"/>
      <c r="V101" s="72"/>
    </row>
    <row r="102" spans="1:22" s="2" customFormat="1" ht="12.95" customHeight="1" x14ac:dyDescent="0.2">
      <c r="C102" s="3"/>
      <c r="D102" s="3"/>
      <c r="E102" s="3"/>
      <c r="G102" s="212"/>
      <c r="H102" s="212"/>
      <c r="I102" s="212"/>
      <c r="J102" s="212"/>
      <c r="K102" s="16"/>
      <c r="L102" s="22"/>
      <c r="M102" s="22"/>
      <c r="N102" s="135"/>
      <c r="O102" s="266" t="str">
        <f>_xlfn.XLOOKUP(N102,costcategory[Account Code],costcategory[Cost Category],"ERROR")</f>
        <v>ERROR</v>
      </c>
      <c r="P102" s="135"/>
      <c r="Q102" s="267" t="str">
        <f>_xlfn.XLOOKUP(P102,Table2[Department],Table2[Group],"ERROR")</f>
        <v>ERROR</v>
      </c>
      <c r="R102" s="18"/>
      <c r="S102" s="18"/>
      <c r="T102" s="18"/>
      <c r="V102" s="18"/>
    </row>
    <row r="103" spans="1:22" s="2" customFormat="1" ht="12.95" customHeight="1" x14ac:dyDescent="0.2">
      <c r="C103" s="3"/>
      <c r="D103" s="3"/>
      <c r="E103" s="3"/>
      <c r="G103" s="205"/>
      <c r="H103" s="205"/>
      <c r="I103" s="205"/>
      <c r="J103" s="205"/>
      <c r="K103" s="34"/>
      <c r="L103" s="22"/>
      <c r="M103" s="22"/>
      <c r="N103" s="135"/>
      <c r="O103" s="266" t="str">
        <f>_xlfn.XLOOKUP(N103,costcategory[Account Code],costcategory[Cost Category],"ERROR")</f>
        <v>ERROR</v>
      </c>
      <c r="P103" s="135"/>
      <c r="Q103" s="267" t="str">
        <f>_xlfn.XLOOKUP(P103,Table2[Department],Table2[Group],"ERROR")</f>
        <v>ERROR</v>
      </c>
      <c r="R103" s="72"/>
      <c r="S103" s="72"/>
      <c r="T103" s="72"/>
      <c r="V103" s="72"/>
    </row>
    <row r="104" spans="1:22" s="2" customFormat="1" ht="12.95" customHeight="1" x14ac:dyDescent="0.2">
      <c r="C104" s="3"/>
      <c r="D104" s="3"/>
      <c r="E104" s="3"/>
      <c r="G104" s="212"/>
      <c r="H104" s="212"/>
      <c r="I104" s="212">
        <f>SUM(I100:I103)</f>
        <v>0</v>
      </c>
      <c r="J104" s="212"/>
      <c r="K104" s="16"/>
      <c r="L104" s="22"/>
      <c r="M104" s="22"/>
      <c r="N104" s="21"/>
      <c r="O104" s="135"/>
      <c r="P104" s="21"/>
      <c r="Q104" s="21"/>
    </row>
    <row r="105" spans="1:22" s="20" customFormat="1" ht="12.95" customHeight="1" x14ac:dyDescent="0.2">
      <c r="A105" s="329" t="s">
        <v>1173</v>
      </c>
      <c r="B105" s="329"/>
      <c r="C105" s="329"/>
      <c r="D105" s="329"/>
      <c r="E105" s="14">
        <v>46387</v>
      </c>
      <c r="F105" s="13" t="s">
        <v>4</v>
      </c>
      <c r="G105" s="211"/>
      <c r="H105" s="226"/>
      <c r="I105" s="208">
        <f>I99-I104</f>
        <v>225380.77999999985</v>
      </c>
      <c r="J105" s="226"/>
      <c r="K105" s="17"/>
      <c r="L105" s="25"/>
      <c r="M105" s="25"/>
      <c r="N105" s="154"/>
      <c r="O105" s="155"/>
      <c r="P105" s="154"/>
      <c r="Q105" s="154"/>
    </row>
    <row r="106" spans="1:22" x14ac:dyDescent="0.2">
      <c r="N106" s="21"/>
      <c r="O106" s="135"/>
      <c r="P106" s="21"/>
      <c r="Q106" s="21"/>
    </row>
    <row r="107" spans="1:22" x14ac:dyDescent="0.2">
      <c r="N107" s="21"/>
      <c r="O107" s="135"/>
      <c r="P107" s="21"/>
      <c r="Q107" s="21"/>
    </row>
    <row r="108" spans="1:22" x14ac:dyDescent="0.2">
      <c r="N108" s="21"/>
      <c r="O108" s="135"/>
      <c r="P108" s="21"/>
      <c r="Q108" s="21"/>
    </row>
    <row r="109" spans="1:22" x14ac:dyDescent="0.2">
      <c r="N109" s="21"/>
      <c r="O109" s="135"/>
      <c r="P109" s="21"/>
      <c r="Q109" s="21"/>
    </row>
    <row r="110" spans="1:22" x14ac:dyDescent="0.2">
      <c r="N110" s="21"/>
      <c r="O110" s="135"/>
      <c r="P110" s="21"/>
      <c r="Q110" s="21"/>
    </row>
    <row r="111" spans="1:22" x14ac:dyDescent="0.2">
      <c r="N111" s="21"/>
      <c r="O111" s="135"/>
      <c r="P111" s="21"/>
      <c r="Q111" s="21"/>
    </row>
    <row r="112" spans="1:22" x14ac:dyDescent="0.2">
      <c r="N112" s="21"/>
      <c r="O112" s="135"/>
      <c r="P112" s="21"/>
      <c r="Q112" s="21"/>
    </row>
  </sheetData>
  <mergeCells count="24">
    <mergeCell ref="A105:D105"/>
    <mergeCell ref="A78:D78"/>
    <mergeCell ref="A84:D84"/>
    <mergeCell ref="A89:D89"/>
    <mergeCell ref="A95:D95"/>
    <mergeCell ref="A99:D99"/>
    <mergeCell ref="A53:D53"/>
    <mergeCell ref="A58:D58"/>
    <mergeCell ref="A64:D64"/>
    <mergeCell ref="A68:D68"/>
    <mergeCell ref="A74:D74"/>
    <mergeCell ref="A32:D32"/>
    <mergeCell ref="A35:D35"/>
    <mergeCell ref="A37:D37"/>
    <mergeCell ref="A43:D43"/>
    <mergeCell ref="A47:D47"/>
    <mergeCell ref="A25:D25"/>
    <mergeCell ref="A30:D30"/>
    <mergeCell ref="A23:D23"/>
    <mergeCell ref="A5:D5"/>
    <mergeCell ref="A10:D10"/>
    <mergeCell ref="A12:D12"/>
    <mergeCell ref="A15:D15"/>
    <mergeCell ref="A17:D1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162DA9B-E9BE-497C-878E-EA2F120C28BB}">
          <x14:formula1>
            <xm:f>Setting!$D$2:$D$15</xm:f>
          </x14:formula1>
          <xm:sqref>P22 P14 Q26:Q27 P42:Q42 P31:Q31 P52:Q52 Q38:Q41 Q48:Q51 Q59:Q62 P73:Q73 P63:Q63 P83:Q83 Q69:Q72 P94:Q94 Q79:Q82 P104:Q104 Q90:Q93 P29 P9 Q18:Q21 P28:Q28 P33:Q34 Q100:Q103</xm:sqref>
        </x14:dataValidation>
        <x14:dataValidation type="list" allowBlank="1" showInputMessage="1" showErrorMessage="1" xr:uid="{74BE8CDB-6C4C-4F0B-9A97-1D19473613E8}">
          <x14:formula1>
            <xm:f>Setting!$B$2:$B$93</xm:f>
          </x14:formula1>
          <xm:sqref>N90:N94 N79:N83 N69:N73 N59:N63 N48:N52 N38:N42 N100:N104 N29:O29 N26:N27 Q9 O14 N6:N9 O22 O9 N13:N14 Q14 N18:N22 Q22 Q29 N34</xm:sqref>
        </x14:dataValidation>
        <x14:dataValidation type="list" allowBlank="1" showInputMessage="1" showErrorMessage="1" xr:uid="{4995795E-25A9-408F-81E0-4E6B32EA6F0E}">
          <x14:formula1>
            <xm:f>Setting!$D$2:$D$16</xm:f>
          </x14:formula1>
          <xm:sqref>P6:P8 P18:P21 P13 P26:P27 P100:P103 P38:P41 P48:P51 P59:P62 P69:P72 P79:P82 P90:P93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CE78-A0F0-4696-B3F6-E38E8E1860A0}">
  <sheetPr codeName="Sheet6"/>
  <dimension ref="A1:W329"/>
  <sheetViews>
    <sheetView zoomScale="90" zoomScaleNormal="90" workbookViewId="0">
      <pane ySplit="4" topLeftCell="A237" activePane="bottomLeft" state="frozen"/>
      <selection activeCell="E94" sqref="E94"/>
      <selection pane="bottomLeft" activeCell="K276" sqref="K276"/>
    </sheetView>
  </sheetViews>
  <sheetFormatPr defaultColWidth="9.140625" defaultRowHeight="12.75" x14ac:dyDescent="0.2"/>
  <cols>
    <col min="1" max="2" width="5.7109375" style="2" customWidth="1"/>
    <col min="3" max="5" width="10.7109375" style="3" customWidth="1"/>
    <col min="6" max="6" width="7.7109375" style="2" customWidth="1"/>
    <col min="7" max="8" width="12.7109375" style="213" customWidth="1"/>
    <col min="9" max="9" width="12.7109375" style="220" customWidth="1"/>
    <col min="10" max="10" width="12.7109375" style="213" customWidth="1"/>
    <col min="11" max="11" width="30.7109375" style="105" customWidth="1"/>
    <col min="12" max="12" width="20.7109375" style="4" customWidth="1"/>
    <col min="13" max="13" width="50.7109375" style="4" customWidth="1"/>
    <col min="14" max="17" width="20.7109375" style="4" customWidth="1"/>
    <col min="18" max="20" width="10.7109375" style="2" hidden="1" customWidth="1"/>
    <col min="21" max="22" width="11.7109375" style="2" customWidth="1"/>
    <col min="23" max="16384" width="9.140625" style="4"/>
  </cols>
  <sheetData>
    <row r="1" spans="1:22" ht="12.95" customHeight="1" x14ac:dyDescent="0.2">
      <c r="G1" s="197"/>
      <c r="H1" s="197"/>
      <c r="I1" s="198"/>
      <c r="J1" s="197"/>
      <c r="K1" s="4"/>
    </row>
    <row r="2" spans="1:22" ht="12.95" customHeight="1" x14ac:dyDescent="0.2">
      <c r="A2" s="186" t="s">
        <v>1102</v>
      </c>
      <c r="G2" s="197"/>
      <c r="H2" s="197"/>
      <c r="I2" s="198"/>
      <c r="J2" s="197"/>
      <c r="K2" s="4"/>
    </row>
    <row r="3" spans="1:22" ht="12.95" customHeight="1" x14ac:dyDescent="0.2">
      <c r="A3" s="5"/>
      <c r="I3" s="235" t="s">
        <v>82</v>
      </c>
      <c r="J3" s="257">
        <f>FOREX!G2</f>
        <v>0.25376799999999999</v>
      </c>
      <c r="L3" s="105"/>
    </row>
    <row r="4" spans="1:22" s="2" customFormat="1" ht="12.95" customHeight="1" x14ac:dyDescent="0.2">
      <c r="A4" s="7" t="s">
        <v>87</v>
      </c>
      <c r="B4" s="7" t="s">
        <v>43</v>
      </c>
      <c r="C4" s="8" t="s">
        <v>54</v>
      </c>
      <c r="D4" s="8" t="s">
        <v>88</v>
      </c>
      <c r="E4" s="185" t="s">
        <v>1083</v>
      </c>
      <c r="F4" s="7" t="s">
        <v>70</v>
      </c>
      <c r="G4" s="236" t="s">
        <v>90</v>
      </c>
      <c r="H4" s="236" t="s">
        <v>91</v>
      </c>
      <c r="I4" s="236" t="s">
        <v>92</v>
      </c>
      <c r="J4" s="236" t="s">
        <v>72</v>
      </c>
      <c r="K4" s="149" t="s">
        <v>325</v>
      </c>
      <c r="L4" s="149" t="s">
        <v>94</v>
      </c>
      <c r="M4" s="7" t="s">
        <v>95</v>
      </c>
      <c r="N4" s="7" t="s">
        <v>1315</v>
      </c>
      <c r="O4" s="7" t="s">
        <v>64</v>
      </c>
      <c r="P4" s="95" t="s">
        <v>67</v>
      </c>
      <c r="Q4" s="95"/>
      <c r="R4" s="7" t="s">
        <v>326</v>
      </c>
      <c r="S4" s="7" t="s">
        <v>327</v>
      </c>
      <c r="T4" s="7" t="s">
        <v>328</v>
      </c>
      <c r="U4" s="7" t="s">
        <v>98</v>
      </c>
      <c r="V4" s="7" t="s">
        <v>1316</v>
      </c>
    </row>
    <row r="5" spans="1:22" s="33" customFormat="1" ht="12.95" customHeight="1" x14ac:dyDescent="0.2">
      <c r="A5" s="329" t="s">
        <v>1172</v>
      </c>
      <c r="B5" s="329"/>
      <c r="C5" s="329"/>
      <c r="D5" s="329"/>
      <c r="E5" s="14">
        <v>46023</v>
      </c>
      <c r="F5" s="13" t="s">
        <v>82</v>
      </c>
      <c r="G5" s="202"/>
      <c r="H5" s="202"/>
      <c r="I5" s="203">
        <v>351069.83</v>
      </c>
      <c r="J5" s="202"/>
      <c r="K5" s="133"/>
      <c r="L5" s="133"/>
      <c r="M5" s="13"/>
      <c r="N5" s="13"/>
      <c r="O5" s="13"/>
      <c r="P5" s="96"/>
      <c r="Q5" s="96"/>
      <c r="R5" s="13"/>
      <c r="S5" s="13"/>
      <c r="T5" s="13"/>
      <c r="U5" s="13"/>
      <c r="V5" s="13"/>
    </row>
    <row r="6" spans="1:22" ht="12.95" customHeight="1" x14ac:dyDescent="0.2">
      <c r="A6" s="2" t="s">
        <v>15</v>
      </c>
      <c r="B6" s="2" t="s">
        <v>2</v>
      </c>
      <c r="C6" s="3">
        <v>46022</v>
      </c>
      <c r="D6" s="3">
        <v>46022</v>
      </c>
      <c r="E6" s="3">
        <v>46024</v>
      </c>
      <c r="F6" s="2" t="s">
        <v>82</v>
      </c>
      <c r="G6" s="199">
        <v>246301.41</v>
      </c>
      <c r="H6" s="199">
        <v>0</v>
      </c>
      <c r="I6" s="212">
        <f>SUM(G6:H6)</f>
        <v>246301.41</v>
      </c>
      <c r="J6" s="199">
        <f>I6*$J$3</f>
        <v>62503.416212880002</v>
      </c>
      <c r="K6" s="106" t="s">
        <v>1201</v>
      </c>
      <c r="L6" s="4" t="s">
        <v>1317</v>
      </c>
      <c r="M6" s="4" t="s">
        <v>1318</v>
      </c>
      <c r="N6" s="105" t="s">
        <v>464</v>
      </c>
      <c r="O6" s="146" t="str">
        <f>_xlfn.XLOOKUP(N6,costcategory[Account Code],costcategory[Cost Category],"ERROR")</f>
        <v>Accrual - Expenses of 2025</v>
      </c>
      <c r="P6" s="4" t="s">
        <v>350</v>
      </c>
      <c r="Q6" s="147" t="str">
        <f>_xlfn.XLOOKUP(P6,Table2[Department],Table2[Group],"ERROR")</f>
        <v>General &amp; Administrative</v>
      </c>
      <c r="R6" s="19" t="s">
        <v>1319</v>
      </c>
      <c r="S6" s="18" t="s">
        <v>466</v>
      </c>
      <c r="T6" s="19" t="s">
        <v>1320</v>
      </c>
      <c r="V6" s="18"/>
    </row>
    <row r="7" spans="1:22" ht="12.95" customHeight="1" x14ac:dyDescent="0.2">
      <c r="A7" s="2" t="s">
        <v>15</v>
      </c>
      <c r="B7" s="2" t="s">
        <v>2</v>
      </c>
      <c r="C7" s="3">
        <v>46024</v>
      </c>
      <c r="D7" s="3">
        <v>46024</v>
      </c>
      <c r="E7" s="3">
        <v>46024</v>
      </c>
      <c r="F7" s="2" t="s">
        <v>82</v>
      </c>
      <c r="G7" s="213">
        <v>1.4</v>
      </c>
      <c r="H7" s="213">
        <v>0</v>
      </c>
      <c r="I7" s="212">
        <f t="shared" ref="I7:I42" si="0">SUM(G7:H7)</f>
        <v>1.4</v>
      </c>
      <c r="J7" s="199">
        <f t="shared" ref="J7:J42" si="1">I7*$J$3</f>
        <v>0.35527519999999996</v>
      </c>
      <c r="K7" s="105" t="s">
        <v>448</v>
      </c>
      <c r="L7" s="4" t="s">
        <v>449</v>
      </c>
      <c r="M7" s="4" t="s">
        <v>450</v>
      </c>
      <c r="N7" s="105" t="s">
        <v>332</v>
      </c>
      <c r="O7" s="146" t="str">
        <f>_xlfn.XLOOKUP(N7,costcategory[Account Code],costcategory[Cost Category],"ERROR")</f>
        <v>Bank Charges</v>
      </c>
      <c r="P7" s="4" t="s">
        <v>333</v>
      </c>
      <c r="Q7" s="147" t="str">
        <f>_xlfn.XLOOKUP(P7,Table2[Department],Table2[Group],"ERROR")</f>
        <v>General &amp; Administrative</v>
      </c>
      <c r="R7" s="19" t="s">
        <v>451</v>
      </c>
      <c r="S7" s="18" t="s">
        <v>452</v>
      </c>
      <c r="T7" s="18" t="s">
        <v>452</v>
      </c>
      <c r="V7" s="19"/>
    </row>
    <row r="8" spans="1:22" ht="12.95" customHeight="1" x14ac:dyDescent="0.2">
      <c r="A8" s="2" t="s">
        <v>15</v>
      </c>
      <c r="B8" s="2" t="s">
        <v>2</v>
      </c>
      <c r="C8" s="3">
        <v>46037</v>
      </c>
      <c r="D8" s="3">
        <v>46037</v>
      </c>
      <c r="E8" s="3">
        <v>46037</v>
      </c>
      <c r="F8" s="2" t="s">
        <v>82</v>
      </c>
      <c r="G8" s="213">
        <v>-46642.400000000001</v>
      </c>
      <c r="H8" s="213">
        <v>0</v>
      </c>
      <c r="I8" s="212">
        <f t="shared" si="0"/>
        <v>-46642.400000000001</v>
      </c>
      <c r="J8" s="199">
        <f t="shared" si="1"/>
        <v>-11836.348563199999</v>
      </c>
      <c r="K8" s="106" t="s">
        <v>455</v>
      </c>
      <c r="L8" s="4" t="s">
        <v>456</v>
      </c>
      <c r="M8" s="4" t="s">
        <v>457</v>
      </c>
      <c r="N8" s="105" t="s">
        <v>418</v>
      </c>
      <c r="O8" s="146" t="str">
        <f>_xlfn.XLOOKUP(N8,costcategory[Account Code],costcategory[Cost Category],"ERROR")</f>
        <v>Internal Fund Transfer</v>
      </c>
      <c r="P8" s="4" t="s">
        <v>333</v>
      </c>
      <c r="Q8" s="147" t="str">
        <f>_xlfn.XLOOKUP(P8,Table2[Department],Table2[Group],"ERROR")</f>
        <v>General &amp; Administrative</v>
      </c>
      <c r="R8" s="19" t="s">
        <v>458</v>
      </c>
      <c r="S8" s="19" t="s">
        <v>459</v>
      </c>
      <c r="T8" s="19" t="s">
        <v>458</v>
      </c>
      <c r="V8" s="18"/>
    </row>
    <row r="9" spans="1:22" ht="12.95" customHeight="1" x14ac:dyDescent="0.2">
      <c r="A9" s="2" t="s">
        <v>15</v>
      </c>
      <c r="B9" s="2" t="s">
        <v>2</v>
      </c>
      <c r="C9" s="3">
        <v>46380</v>
      </c>
      <c r="D9" s="3">
        <v>46032</v>
      </c>
      <c r="E9" s="3">
        <v>46037</v>
      </c>
      <c r="F9" s="2" t="s">
        <v>82</v>
      </c>
      <c r="G9" s="213">
        <v>150642.98000000001</v>
      </c>
      <c r="H9" s="213">
        <v>0</v>
      </c>
      <c r="I9" s="212">
        <f t="shared" si="0"/>
        <v>150642.98000000001</v>
      </c>
      <c r="J9" s="199">
        <f t="shared" si="1"/>
        <v>38228.367748640005</v>
      </c>
      <c r="K9" s="106" t="s">
        <v>1321</v>
      </c>
      <c r="L9" s="4" t="s">
        <v>1322</v>
      </c>
      <c r="M9" s="4" t="s">
        <v>1323</v>
      </c>
      <c r="N9" s="105" t="s">
        <v>464</v>
      </c>
      <c r="O9" s="146" t="str">
        <f>_xlfn.XLOOKUP(N9,costcategory[Account Code],costcategory[Cost Category],"ERROR")</f>
        <v>Accrual - Expenses of 2025</v>
      </c>
      <c r="P9" s="4" t="s">
        <v>350</v>
      </c>
      <c r="Q9" s="147" t="str">
        <f>_xlfn.XLOOKUP(P9,Table2[Department],Table2[Group],"ERROR")</f>
        <v>General &amp; Administrative</v>
      </c>
      <c r="R9" s="19" t="s">
        <v>1319</v>
      </c>
      <c r="S9" s="19" t="s">
        <v>466</v>
      </c>
      <c r="T9" s="19" t="s">
        <v>465</v>
      </c>
      <c r="V9" s="18"/>
    </row>
    <row r="10" spans="1:22" ht="12.95" customHeight="1" x14ac:dyDescent="0.2">
      <c r="A10" s="2" t="s">
        <v>15</v>
      </c>
      <c r="B10" s="2" t="s">
        <v>2</v>
      </c>
      <c r="C10" s="3">
        <v>46037</v>
      </c>
      <c r="D10" s="3">
        <v>46037</v>
      </c>
      <c r="E10" s="3">
        <v>46037</v>
      </c>
      <c r="F10" s="2" t="s">
        <v>82</v>
      </c>
      <c r="G10" s="213">
        <v>0.5</v>
      </c>
      <c r="H10" s="213">
        <v>0</v>
      </c>
      <c r="I10" s="212">
        <f t="shared" si="0"/>
        <v>0.5</v>
      </c>
      <c r="J10" s="199">
        <f t="shared" si="1"/>
        <v>0.126884</v>
      </c>
      <c r="K10" s="106" t="s">
        <v>448</v>
      </c>
      <c r="L10" s="4" t="s">
        <v>453</v>
      </c>
      <c r="M10" s="4" t="s">
        <v>454</v>
      </c>
      <c r="N10" s="105" t="s">
        <v>332</v>
      </c>
      <c r="O10" s="146" t="str">
        <f>_xlfn.XLOOKUP(N10,costcategory[Account Code],costcategory[Cost Category],"ERROR")</f>
        <v>Bank Charges</v>
      </c>
      <c r="P10" s="4" t="s">
        <v>333</v>
      </c>
      <c r="Q10" s="147" t="str">
        <f>_xlfn.XLOOKUP(P10,Table2[Department],Table2[Group],"ERROR")</f>
        <v>General &amp; Administrative</v>
      </c>
      <c r="R10" s="19" t="s">
        <v>451</v>
      </c>
      <c r="S10" s="19" t="s">
        <v>452</v>
      </c>
      <c r="T10" s="19" t="s">
        <v>452</v>
      </c>
      <c r="V10" s="18"/>
    </row>
    <row r="11" spans="1:22" ht="12.95" customHeight="1" x14ac:dyDescent="0.2">
      <c r="A11" s="2" t="s">
        <v>15</v>
      </c>
      <c r="B11" s="2" t="s">
        <v>2</v>
      </c>
      <c r="C11" s="3">
        <v>46038</v>
      </c>
      <c r="D11" s="3">
        <v>46038</v>
      </c>
      <c r="E11" s="3">
        <v>46038</v>
      </c>
      <c r="F11" s="2" t="s">
        <v>82</v>
      </c>
      <c r="G11" s="199">
        <v>-232116</v>
      </c>
      <c r="H11" s="199">
        <v>0</v>
      </c>
      <c r="I11" s="212">
        <f t="shared" si="0"/>
        <v>-232116</v>
      </c>
      <c r="J11" s="199">
        <f t="shared" si="1"/>
        <v>-58903.613087999998</v>
      </c>
      <c r="K11" s="106" t="s">
        <v>455</v>
      </c>
      <c r="L11" s="4" t="s">
        <v>460</v>
      </c>
      <c r="M11" s="4" t="s">
        <v>457</v>
      </c>
      <c r="N11" s="106" t="s">
        <v>418</v>
      </c>
      <c r="O11" s="146" t="str">
        <f>_xlfn.XLOOKUP(N11,costcategory[Account Code],costcategory[Cost Category],"ERROR")</f>
        <v>Internal Fund Transfer</v>
      </c>
      <c r="P11" s="4" t="s">
        <v>333</v>
      </c>
      <c r="Q11" s="147" t="str">
        <f>_xlfn.XLOOKUP(P11,Table2[Department],Table2[Group],"ERROR")</f>
        <v>General &amp; Administrative</v>
      </c>
      <c r="R11" s="18" t="s">
        <v>458</v>
      </c>
      <c r="S11" s="18" t="s">
        <v>459</v>
      </c>
      <c r="T11" s="18" t="s">
        <v>458</v>
      </c>
      <c r="V11" s="18"/>
    </row>
    <row r="12" spans="1:22" ht="12.95" customHeight="1" x14ac:dyDescent="0.2">
      <c r="A12" s="2" t="s">
        <v>15</v>
      </c>
      <c r="B12" s="2" t="s">
        <v>2</v>
      </c>
      <c r="C12" s="3">
        <v>46022</v>
      </c>
      <c r="D12" s="3">
        <v>46022</v>
      </c>
      <c r="E12" s="3">
        <v>46041</v>
      </c>
      <c r="F12" s="2" t="s">
        <v>82</v>
      </c>
      <c r="G12" s="199">
        <v>101023</v>
      </c>
      <c r="H12" s="199">
        <v>0</v>
      </c>
      <c r="I12" s="212">
        <f t="shared" si="0"/>
        <v>101023</v>
      </c>
      <c r="J12" s="199">
        <f t="shared" si="1"/>
        <v>25636.404663999998</v>
      </c>
      <c r="K12" s="106" t="s">
        <v>461</v>
      </c>
      <c r="L12" s="4" t="s">
        <v>462</v>
      </c>
      <c r="M12" s="4" t="s">
        <v>463</v>
      </c>
      <c r="N12" s="106" t="s">
        <v>464</v>
      </c>
      <c r="O12" s="146" t="str">
        <f>_xlfn.XLOOKUP(N12,costcategory[Account Code],costcategory[Cost Category],"ERROR")</f>
        <v>Accrual - Expenses of 2025</v>
      </c>
      <c r="P12" s="4" t="s">
        <v>333</v>
      </c>
      <c r="Q12" s="147" t="str">
        <f>_xlfn.XLOOKUP(P12,Table2[Department],Table2[Group],"ERROR")</f>
        <v>General &amp; Administrative</v>
      </c>
      <c r="R12" s="18" t="s">
        <v>465</v>
      </c>
      <c r="S12" s="18" t="s">
        <v>466</v>
      </c>
      <c r="T12" s="18" t="s">
        <v>452</v>
      </c>
      <c r="V12" s="18"/>
    </row>
    <row r="13" spans="1:22" ht="12.95" customHeight="1" x14ac:dyDescent="0.2">
      <c r="A13" s="2" t="s">
        <v>15</v>
      </c>
      <c r="B13" s="2" t="s">
        <v>2</v>
      </c>
      <c r="C13" s="3">
        <v>46380</v>
      </c>
      <c r="D13" s="3">
        <v>46032</v>
      </c>
      <c r="E13" s="3">
        <v>46041</v>
      </c>
      <c r="F13" s="2" t="s">
        <v>82</v>
      </c>
      <c r="G13" s="199">
        <v>2994.49</v>
      </c>
      <c r="H13" s="199">
        <v>0</v>
      </c>
      <c r="I13" s="212">
        <f t="shared" si="0"/>
        <v>2994.49</v>
      </c>
      <c r="J13" s="199">
        <f t="shared" si="1"/>
        <v>759.90573831999995</v>
      </c>
      <c r="K13" s="106" t="s">
        <v>1321</v>
      </c>
      <c r="L13" s="4" t="s">
        <v>1322</v>
      </c>
      <c r="M13" s="4" t="s">
        <v>1324</v>
      </c>
      <c r="N13" s="106" t="s">
        <v>464</v>
      </c>
      <c r="O13" s="146" t="str">
        <f>_xlfn.XLOOKUP(N13,costcategory[Account Code],costcategory[Cost Category],"ERROR")</f>
        <v>Accrual - Expenses of 2025</v>
      </c>
      <c r="P13" s="4" t="s">
        <v>350</v>
      </c>
      <c r="Q13" s="147" t="str">
        <f>_xlfn.XLOOKUP(P13,Table2[Department],Table2[Group],"ERROR")</f>
        <v>General &amp; Administrative</v>
      </c>
      <c r="R13" s="18" t="s">
        <v>1319</v>
      </c>
      <c r="S13" s="18" t="s">
        <v>466</v>
      </c>
      <c r="T13" s="18" t="s">
        <v>1320</v>
      </c>
      <c r="V13" s="18"/>
    </row>
    <row r="14" spans="1:22" ht="12.95" customHeight="1" x14ac:dyDescent="0.2">
      <c r="A14" s="2" t="s">
        <v>15</v>
      </c>
      <c r="B14" s="2" t="s">
        <v>2</v>
      </c>
      <c r="C14" s="3">
        <v>46037</v>
      </c>
      <c r="D14" s="3">
        <v>46037</v>
      </c>
      <c r="E14" s="3">
        <v>46042</v>
      </c>
      <c r="F14" s="2" t="s">
        <v>82</v>
      </c>
      <c r="G14" s="199">
        <v>132.07999999999998</v>
      </c>
      <c r="H14" s="199">
        <v>0</v>
      </c>
      <c r="I14" s="227">
        <f t="shared" si="0"/>
        <v>132.07999999999998</v>
      </c>
      <c r="J14" s="199">
        <f t="shared" si="1"/>
        <v>33.517677439999993</v>
      </c>
      <c r="K14" s="106" t="s">
        <v>467</v>
      </c>
      <c r="L14" s="4" t="s">
        <v>468</v>
      </c>
      <c r="M14" s="4" t="s">
        <v>352</v>
      </c>
      <c r="N14" s="106" t="s">
        <v>391</v>
      </c>
      <c r="O14" s="146" t="str">
        <f>_xlfn.XLOOKUP(N14,costcategory[Account Code],costcategory[Cost Category],"ERROR")</f>
        <v>Travelling Expenses</v>
      </c>
      <c r="P14" s="4" t="s">
        <v>45</v>
      </c>
      <c r="Q14" s="147" t="str">
        <f>_xlfn.XLOOKUP(P14,Table2[Department],Table2[Group],"ERROR")</f>
        <v>DSC</v>
      </c>
      <c r="R14" s="18"/>
      <c r="S14" s="18"/>
      <c r="T14" s="18"/>
      <c r="V14" s="18"/>
    </row>
    <row r="15" spans="1:22" ht="12.95" customHeight="1" x14ac:dyDescent="0.2">
      <c r="A15" s="2" t="s">
        <v>15</v>
      </c>
      <c r="B15" s="2" t="s">
        <v>2</v>
      </c>
      <c r="C15" s="3">
        <v>46037</v>
      </c>
      <c r="D15" s="3">
        <v>46037</v>
      </c>
      <c r="E15" s="3">
        <v>46042</v>
      </c>
      <c r="F15" s="2" t="s">
        <v>82</v>
      </c>
      <c r="G15" s="199">
        <v>540.6</v>
      </c>
      <c r="H15" s="199">
        <v>0</v>
      </c>
      <c r="I15" s="228">
        <f t="shared" si="0"/>
        <v>540.6</v>
      </c>
      <c r="J15" s="199">
        <f t="shared" si="1"/>
        <v>137.18698080000001</v>
      </c>
      <c r="K15" s="106" t="s">
        <v>467</v>
      </c>
      <c r="L15" s="4" t="s">
        <v>468</v>
      </c>
      <c r="M15" s="4" t="s">
        <v>469</v>
      </c>
      <c r="N15" s="106" t="s">
        <v>470</v>
      </c>
      <c r="O15" s="146" t="str">
        <f>_xlfn.XLOOKUP(N15,costcategory[Account Code],costcategory[Cost Category],"ERROR")</f>
        <v>Office Supplies</v>
      </c>
      <c r="P15" s="4" t="s">
        <v>45</v>
      </c>
      <c r="Q15" s="147" t="str">
        <f>_xlfn.XLOOKUP(P15,Table2[Department],Table2[Group],"ERROR")</f>
        <v>DSC</v>
      </c>
      <c r="R15" s="18"/>
      <c r="S15" s="18"/>
      <c r="T15" s="18"/>
      <c r="V15" s="18"/>
    </row>
    <row r="16" spans="1:22" ht="12.95" customHeight="1" x14ac:dyDescent="0.2">
      <c r="A16" s="2" t="s">
        <v>15</v>
      </c>
      <c r="B16" s="2" t="s">
        <v>2</v>
      </c>
      <c r="C16" s="3">
        <v>46037</v>
      </c>
      <c r="D16" s="3">
        <v>46037</v>
      </c>
      <c r="E16" s="3">
        <v>46042</v>
      </c>
      <c r="F16" s="2" t="s">
        <v>82</v>
      </c>
      <c r="G16" s="199">
        <v>-0.02</v>
      </c>
      <c r="H16" s="199">
        <v>0</v>
      </c>
      <c r="I16" s="228">
        <f t="shared" si="0"/>
        <v>-0.02</v>
      </c>
      <c r="J16" s="199">
        <f t="shared" si="1"/>
        <v>-5.0753600000000001E-3</v>
      </c>
      <c r="K16" s="106" t="s">
        <v>467</v>
      </c>
      <c r="L16" s="4" t="s">
        <v>468</v>
      </c>
      <c r="M16" s="4" t="s">
        <v>357</v>
      </c>
      <c r="N16" s="106" t="s">
        <v>332</v>
      </c>
      <c r="O16" s="146" t="s">
        <v>332</v>
      </c>
      <c r="P16" s="4" t="s">
        <v>333</v>
      </c>
      <c r="Q16" s="147" t="str">
        <f>_xlfn.XLOOKUP(P16,Table2[Department],Table2[Group],"ERROR")</f>
        <v>General &amp; Administrative</v>
      </c>
      <c r="R16" s="18"/>
      <c r="S16" s="18"/>
      <c r="T16" s="18"/>
      <c r="V16" s="18"/>
    </row>
    <row r="17" spans="1:22" ht="12.95" customHeight="1" x14ac:dyDescent="0.2">
      <c r="A17" s="2" t="s">
        <v>15</v>
      </c>
      <c r="B17" s="2" t="s">
        <v>2</v>
      </c>
      <c r="C17" s="3">
        <v>46037</v>
      </c>
      <c r="D17" s="3">
        <v>46037</v>
      </c>
      <c r="E17" s="3">
        <v>46042</v>
      </c>
      <c r="F17" s="2" t="s">
        <v>82</v>
      </c>
      <c r="G17" s="199">
        <v>10</v>
      </c>
      <c r="H17" s="199">
        <v>0</v>
      </c>
      <c r="I17" s="228">
        <f t="shared" si="0"/>
        <v>10</v>
      </c>
      <c r="J17" s="199">
        <f t="shared" si="1"/>
        <v>2.5376799999999999</v>
      </c>
      <c r="K17" s="106" t="s">
        <v>467</v>
      </c>
      <c r="L17" s="4" t="s">
        <v>468</v>
      </c>
      <c r="M17" s="4" t="s">
        <v>471</v>
      </c>
      <c r="N17" s="106" t="s">
        <v>472</v>
      </c>
      <c r="O17" s="146" t="str">
        <f>_xlfn.XLOOKUP(N17,costcategory[Account Code],costcategory[Cost Category],"ERROR")</f>
        <v>Compliance Costs</v>
      </c>
      <c r="P17" s="4" t="s">
        <v>350</v>
      </c>
      <c r="Q17" s="147" t="str">
        <f>_xlfn.XLOOKUP(P17,Table2[Department],Table2[Group],"ERROR")</f>
        <v>General &amp; Administrative</v>
      </c>
      <c r="R17" s="18"/>
      <c r="S17" s="18"/>
      <c r="T17" s="18"/>
      <c r="V17" s="18"/>
    </row>
    <row r="18" spans="1:22" ht="12.95" customHeight="1" x14ac:dyDescent="0.2">
      <c r="A18" s="2" t="s">
        <v>15</v>
      </c>
      <c r="B18" s="2" t="s">
        <v>2</v>
      </c>
      <c r="C18" s="3">
        <v>46037</v>
      </c>
      <c r="D18" s="3">
        <v>46037</v>
      </c>
      <c r="E18" s="3">
        <v>46042</v>
      </c>
      <c r="F18" s="2" t="s">
        <v>82</v>
      </c>
      <c r="G18" s="199">
        <v>57</v>
      </c>
      <c r="H18" s="199">
        <v>0</v>
      </c>
      <c r="I18" s="228">
        <f t="shared" si="0"/>
        <v>57</v>
      </c>
      <c r="J18" s="199">
        <f t="shared" si="1"/>
        <v>14.464776000000001</v>
      </c>
      <c r="K18" s="106" t="s">
        <v>467</v>
      </c>
      <c r="L18" s="4" t="s">
        <v>468</v>
      </c>
      <c r="M18" s="4" t="s">
        <v>359</v>
      </c>
      <c r="N18" s="106" t="s">
        <v>52</v>
      </c>
      <c r="O18" s="146" t="str">
        <f>_xlfn.XLOOKUP(N18,costcategory[Account Code],costcategory[Cost Category],"ERROR")</f>
        <v>Telecommunication</v>
      </c>
      <c r="P18" s="4" t="s">
        <v>45</v>
      </c>
      <c r="Q18" s="147" t="str">
        <f>_xlfn.XLOOKUP(P18,Table2[Department],Table2[Group],"ERROR")</f>
        <v>DSC</v>
      </c>
      <c r="R18" s="18"/>
      <c r="S18" s="18"/>
      <c r="T18" s="18"/>
      <c r="V18" s="18"/>
    </row>
    <row r="19" spans="1:22" ht="12.95" customHeight="1" x14ac:dyDescent="0.2">
      <c r="A19" s="2" t="s">
        <v>15</v>
      </c>
      <c r="B19" s="2" t="s">
        <v>2</v>
      </c>
      <c r="C19" s="3">
        <v>46037</v>
      </c>
      <c r="D19" s="3">
        <v>46037</v>
      </c>
      <c r="E19" s="3">
        <v>46042</v>
      </c>
      <c r="F19" s="2" t="s">
        <v>82</v>
      </c>
      <c r="G19" s="199">
        <v>3807.52</v>
      </c>
      <c r="H19" s="199">
        <v>0</v>
      </c>
      <c r="I19" s="228">
        <f t="shared" si="0"/>
        <v>3807.52</v>
      </c>
      <c r="J19" s="199">
        <f t="shared" si="1"/>
        <v>966.22673536000002</v>
      </c>
      <c r="K19" s="106" t="s">
        <v>467</v>
      </c>
      <c r="L19" s="4" t="s">
        <v>468</v>
      </c>
      <c r="M19" s="4" t="s">
        <v>360</v>
      </c>
      <c r="N19" s="106" t="s">
        <v>353</v>
      </c>
      <c r="O19" s="146" t="str">
        <f>_xlfn.XLOOKUP(N19,costcategory[Account Code],costcategory[Cost Category],"ERROR")</f>
        <v>Travelling Expenses</v>
      </c>
      <c r="P19" s="4" t="s">
        <v>45</v>
      </c>
      <c r="Q19" s="147" t="str">
        <f>_xlfn.XLOOKUP(P19,Table2[Department],Table2[Group],"ERROR")</f>
        <v>DSC</v>
      </c>
      <c r="R19" s="18"/>
      <c r="S19" s="18"/>
      <c r="T19" s="18"/>
      <c r="V19" s="18"/>
    </row>
    <row r="20" spans="1:22" ht="12.95" customHeight="1" x14ac:dyDescent="0.2">
      <c r="A20" s="2" t="s">
        <v>15</v>
      </c>
      <c r="B20" s="2" t="s">
        <v>2</v>
      </c>
      <c r="C20" s="3">
        <v>46037</v>
      </c>
      <c r="D20" s="3">
        <v>46037</v>
      </c>
      <c r="E20" s="3">
        <v>46042</v>
      </c>
      <c r="F20" s="2" t="s">
        <v>82</v>
      </c>
      <c r="G20" s="199">
        <v>1367</v>
      </c>
      <c r="H20" s="199">
        <v>0</v>
      </c>
      <c r="I20" s="228">
        <f t="shared" ref="I20:I21" si="2">SUM(G20:H20)</f>
        <v>1367</v>
      </c>
      <c r="J20" s="199">
        <f t="shared" si="1"/>
        <v>346.90085599999998</v>
      </c>
      <c r="K20" s="106" t="s">
        <v>467</v>
      </c>
      <c r="L20" s="4" t="s">
        <v>468</v>
      </c>
      <c r="M20" s="4" t="s">
        <v>360</v>
      </c>
      <c r="N20" s="106" t="s">
        <v>353</v>
      </c>
      <c r="O20" s="146" t="str">
        <f>_xlfn.XLOOKUP(N20,costcategory[Account Code],costcategory[Cost Category],"ERROR")</f>
        <v>Travelling Expenses</v>
      </c>
      <c r="P20" s="4" t="s">
        <v>438</v>
      </c>
      <c r="Q20" s="147" t="str">
        <f>_xlfn.XLOOKUP(P20,Table2[Department],Table2[Group],"ERROR")</f>
        <v>Sales &amp; Marketing</v>
      </c>
      <c r="R20" s="18"/>
      <c r="S20" s="18"/>
      <c r="T20" s="18"/>
      <c r="V20" s="18"/>
    </row>
    <row r="21" spans="1:22" ht="12.95" customHeight="1" x14ac:dyDescent="0.2">
      <c r="A21" s="2" t="s">
        <v>15</v>
      </c>
      <c r="B21" s="2" t="s">
        <v>2</v>
      </c>
      <c r="C21" s="3">
        <v>46037</v>
      </c>
      <c r="D21" s="3">
        <v>46037</v>
      </c>
      <c r="E21" s="3">
        <v>46042</v>
      </c>
      <c r="F21" s="2" t="s">
        <v>82</v>
      </c>
      <c r="G21" s="199">
        <v>1741.39</v>
      </c>
      <c r="H21" s="199">
        <v>0</v>
      </c>
      <c r="I21" s="228">
        <f t="shared" si="2"/>
        <v>1741.39</v>
      </c>
      <c r="J21" s="199">
        <f t="shared" si="1"/>
        <v>441.90905752000003</v>
      </c>
      <c r="K21" s="106" t="s">
        <v>467</v>
      </c>
      <c r="L21" s="4" t="s">
        <v>468</v>
      </c>
      <c r="M21" s="4" t="s">
        <v>360</v>
      </c>
      <c r="N21" s="106" t="s">
        <v>353</v>
      </c>
      <c r="O21" s="146" t="str">
        <f>_xlfn.XLOOKUP(N21,costcategory[Account Code],costcategory[Cost Category],"ERROR")</f>
        <v>Travelling Expenses</v>
      </c>
      <c r="P21" s="4" t="s">
        <v>354</v>
      </c>
      <c r="Q21" s="147" t="str">
        <f>_xlfn.XLOOKUP(P21,Table2[Department],Table2[Group],"ERROR")</f>
        <v>Sales &amp; Marketing</v>
      </c>
      <c r="R21" s="18"/>
      <c r="S21" s="18"/>
      <c r="T21" s="18"/>
      <c r="V21" s="18"/>
    </row>
    <row r="22" spans="1:22" ht="12.95" customHeight="1" x14ac:dyDescent="0.2">
      <c r="A22" s="2" t="s">
        <v>15</v>
      </c>
      <c r="B22" s="2" t="s">
        <v>2</v>
      </c>
      <c r="C22" s="3">
        <v>46037</v>
      </c>
      <c r="D22" s="3">
        <v>46037</v>
      </c>
      <c r="E22" s="3">
        <v>46042</v>
      </c>
      <c r="F22" s="2" t="s">
        <v>82</v>
      </c>
      <c r="G22" s="199">
        <f>4623.84-G23-G24</f>
        <v>4444.4400000000005</v>
      </c>
      <c r="H22" s="199">
        <v>0</v>
      </c>
      <c r="I22" s="228">
        <f t="shared" si="0"/>
        <v>4444.4400000000005</v>
      </c>
      <c r="J22" s="199">
        <f t="shared" si="1"/>
        <v>1127.8566499200001</v>
      </c>
      <c r="K22" s="106" t="s">
        <v>467</v>
      </c>
      <c r="L22" s="4" t="s">
        <v>468</v>
      </c>
      <c r="M22" s="4" t="s">
        <v>361</v>
      </c>
      <c r="N22" s="106" t="s">
        <v>356</v>
      </c>
      <c r="O22" s="146" t="str">
        <f>_xlfn.XLOOKUP(N22,costcategory[Account Code],costcategory[Cost Category],"ERROR")</f>
        <v>Travelling Expenses</v>
      </c>
      <c r="P22" s="4" t="s">
        <v>45</v>
      </c>
      <c r="Q22" s="147" t="str">
        <f>_xlfn.XLOOKUP(P22,Table2[Department],Table2[Group],"ERROR")</f>
        <v>DSC</v>
      </c>
      <c r="R22" s="18"/>
      <c r="S22" s="18"/>
      <c r="T22" s="18"/>
      <c r="V22" s="18"/>
    </row>
    <row r="23" spans="1:22" ht="12.95" customHeight="1" x14ac:dyDescent="0.2">
      <c r="A23" s="2" t="s">
        <v>15</v>
      </c>
      <c r="B23" s="2" t="s">
        <v>2</v>
      </c>
      <c r="C23" s="3">
        <v>46037</v>
      </c>
      <c r="D23" s="3">
        <v>46037</v>
      </c>
      <c r="E23" s="3">
        <v>46042</v>
      </c>
      <c r="F23" s="2" t="s">
        <v>82</v>
      </c>
      <c r="G23" s="199">
        <v>33</v>
      </c>
      <c r="H23" s="199">
        <v>0</v>
      </c>
      <c r="I23" s="228">
        <f t="shared" ref="I23:I24" si="3">SUM(G23:H23)</f>
        <v>33</v>
      </c>
      <c r="J23" s="199">
        <f t="shared" si="1"/>
        <v>8.3743440000000007</v>
      </c>
      <c r="K23" s="106" t="s">
        <v>467</v>
      </c>
      <c r="L23" s="4" t="s">
        <v>468</v>
      </c>
      <c r="M23" s="4" t="s">
        <v>361</v>
      </c>
      <c r="N23" s="106" t="s">
        <v>356</v>
      </c>
      <c r="O23" s="146" t="str">
        <f>_xlfn.XLOOKUP(N23,costcategory[Account Code],costcategory[Cost Category],"ERROR")</f>
        <v>Travelling Expenses</v>
      </c>
      <c r="P23" s="4" t="s">
        <v>354</v>
      </c>
      <c r="Q23" s="147" t="str">
        <f>_xlfn.XLOOKUP(P23,Table2[Department],Table2[Group],"ERROR")</f>
        <v>Sales &amp; Marketing</v>
      </c>
      <c r="R23" s="18"/>
      <c r="S23" s="18"/>
      <c r="T23" s="18"/>
      <c r="V23" s="18"/>
    </row>
    <row r="24" spans="1:22" ht="12.95" customHeight="1" x14ac:dyDescent="0.2">
      <c r="A24" s="2" t="s">
        <v>15</v>
      </c>
      <c r="B24" s="2" t="s">
        <v>2</v>
      </c>
      <c r="C24" s="3">
        <v>46037</v>
      </c>
      <c r="D24" s="3">
        <v>46037</v>
      </c>
      <c r="E24" s="3">
        <v>46042</v>
      </c>
      <c r="F24" s="2" t="s">
        <v>82</v>
      </c>
      <c r="G24" s="204">
        <v>146.4</v>
      </c>
      <c r="H24" s="204">
        <v>0</v>
      </c>
      <c r="I24" s="228">
        <f t="shared" si="3"/>
        <v>146.4</v>
      </c>
      <c r="J24" s="199">
        <f t="shared" si="1"/>
        <v>37.151635200000001</v>
      </c>
      <c r="K24" s="109" t="s">
        <v>467</v>
      </c>
      <c r="L24" s="4" t="s">
        <v>468</v>
      </c>
      <c r="M24" s="4" t="s">
        <v>361</v>
      </c>
      <c r="N24" s="109" t="s">
        <v>356</v>
      </c>
      <c r="O24" s="148" t="str">
        <f>_xlfn.XLOOKUP(N24,costcategory[Account Code],costcategory[Cost Category],"ERROR")</f>
        <v>Travelling Expenses</v>
      </c>
      <c r="P24" s="4" t="s">
        <v>438</v>
      </c>
      <c r="Q24" s="147" t="str">
        <f>_xlfn.XLOOKUP(P24,Table2[Department],Table2[Group],"ERROR")</f>
        <v>Sales &amp; Marketing</v>
      </c>
      <c r="R24" s="72"/>
      <c r="S24" s="72"/>
      <c r="T24" s="72"/>
      <c r="V24" s="72"/>
    </row>
    <row r="25" spans="1:22" ht="12.95" customHeight="1" x14ac:dyDescent="0.2">
      <c r="A25" s="2" t="s">
        <v>15</v>
      </c>
      <c r="B25" s="2" t="s">
        <v>2</v>
      </c>
      <c r="C25" s="3">
        <v>46037</v>
      </c>
      <c r="D25" s="3">
        <v>46037</v>
      </c>
      <c r="E25" s="3">
        <v>46042</v>
      </c>
      <c r="F25" s="2" t="s">
        <v>82</v>
      </c>
      <c r="G25" s="199">
        <v>717.86</v>
      </c>
      <c r="H25" s="199">
        <v>0</v>
      </c>
      <c r="I25" s="228">
        <f t="shared" si="0"/>
        <v>717.86</v>
      </c>
      <c r="J25" s="199">
        <f t="shared" si="1"/>
        <v>182.16989648000001</v>
      </c>
      <c r="K25" s="106" t="s">
        <v>467</v>
      </c>
      <c r="L25" s="4" t="s">
        <v>468</v>
      </c>
      <c r="M25" s="4" t="s">
        <v>474</v>
      </c>
      <c r="N25" s="106" t="s">
        <v>475</v>
      </c>
      <c r="O25" s="146" t="str">
        <f>_xlfn.XLOOKUP(N25,costcategory[Account Code],costcategory[Cost Category],"ERROR")</f>
        <v>Travelling Expenses</v>
      </c>
      <c r="P25" s="4" t="s">
        <v>45</v>
      </c>
      <c r="Q25" s="147" t="str">
        <f>_xlfn.XLOOKUP(P25,Table2[Department],Table2[Group],"ERROR")</f>
        <v>DSC</v>
      </c>
      <c r="R25" s="18"/>
      <c r="S25" s="18"/>
      <c r="T25" s="18"/>
      <c r="V25" s="18"/>
    </row>
    <row r="26" spans="1:22" ht="12.95" customHeight="1" x14ac:dyDescent="0.2">
      <c r="A26" s="2" t="s">
        <v>15</v>
      </c>
      <c r="B26" s="2" t="s">
        <v>2</v>
      </c>
      <c r="C26" s="3">
        <v>46037</v>
      </c>
      <c r="D26" s="3">
        <v>46037</v>
      </c>
      <c r="E26" s="3">
        <v>46042</v>
      </c>
      <c r="F26" s="2" t="s">
        <v>82</v>
      </c>
      <c r="G26" s="199">
        <v>1321.54</v>
      </c>
      <c r="H26" s="199">
        <v>0</v>
      </c>
      <c r="I26" s="228">
        <f t="shared" ref="I26" si="4">SUM(G26:H26)</f>
        <v>1321.54</v>
      </c>
      <c r="J26" s="199">
        <f t="shared" si="1"/>
        <v>335.36456271999998</v>
      </c>
      <c r="K26" s="106" t="s">
        <v>467</v>
      </c>
      <c r="L26" s="4" t="s">
        <v>468</v>
      </c>
      <c r="M26" s="4" t="s">
        <v>474</v>
      </c>
      <c r="N26" s="106" t="s">
        <v>475</v>
      </c>
      <c r="O26" s="146" t="str">
        <f>_xlfn.XLOOKUP(N26,costcategory[Account Code],costcategory[Cost Category],"ERROR")</f>
        <v>Travelling Expenses</v>
      </c>
      <c r="P26" s="4" t="s">
        <v>354</v>
      </c>
      <c r="Q26" s="147" t="str">
        <f>_xlfn.XLOOKUP(P26,Table2[Department],Table2[Group],"ERROR")</f>
        <v>Sales &amp; Marketing</v>
      </c>
      <c r="R26" s="18"/>
      <c r="S26" s="18"/>
      <c r="T26" s="18"/>
      <c r="V26" s="18"/>
    </row>
    <row r="27" spans="1:22" ht="12.95" customHeight="1" x14ac:dyDescent="0.2">
      <c r="A27" s="2" t="s">
        <v>15</v>
      </c>
      <c r="B27" s="2" t="s">
        <v>2</v>
      </c>
      <c r="C27" s="3">
        <v>46037</v>
      </c>
      <c r="D27" s="3">
        <v>46037</v>
      </c>
      <c r="E27" s="3">
        <v>46042</v>
      </c>
      <c r="F27" s="2" t="s">
        <v>82</v>
      </c>
      <c r="G27" s="204">
        <v>300</v>
      </c>
      <c r="H27" s="204">
        <v>0</v>
      </c>
      <c r="I27" s="228">
        <f t="shared" si="0"/>
        <v>300</v>
      </c>
      <c r="J27" s="199">
        <f t="shared" si="1"/>
        <v>76.130399999999995</v>
      </c>
      <c r="K27" s="109" t="s">
        <v>467</v>
      </c>
      <c r="L27" s="4" t="s">
        <v>468</v>
      </c>
      <c r="M27" s="4" t="s">
        <v>476</v>
      </c>
      <c r="N27" s="109" t="s">
        <v>339</v>
      </c>
      <c r="O27" s="148" t="str">
        <f>_xlfn.XLOOKUP(N27,costcategory[Account Code],costcategory[Cost Category],"ERROR")</f>
        <v>Travelling Expenses</v>
      </c>
      <c r="P27" s="4" t="s">
        <v>45</v>
      </c>
      <c r="Q27" s="147" t="str">
        <f>_xlfn.XLOOKUP(P27,Table2[Department],Table2[Group],"ERROR")</f>
        <v>DSC</v>
      </c>
      <c r="R27" s="72"/>
      <c r="S27" s="72"/>
      <c r="T27" s="72"/>
      <c r="V27" s="72"/>
    </row>
    <row r="28" spans="1:22" ht="12.95" customHeight="1" x14ac:dyDescent="0.2">
      <c r="A28" s="2" t="s">
        <v>15</v>
      </c>
      <c r="B28" s="2" t="s">
        <v>2</v>
      </c>
      <c r="C28" s="3">
        <v>46037</v>
      </c>
      <c r="D28" s="3">
        <v>46037</v>
      </c>
      <c r="E28" s="3">
        <v>46042</v>
      </c>
      <c r="F28" s="2" t="s">
        <v>82</v>
      </c>
      <c r="G28" s="199">
        <v>35.04</v>
      </c>
      <c r="H28" s="199">
        <v>0</v>
      </c>
      <c r="I28" s="228">
        <f t="shared" si="0"/>
        <v>35.04</v>
      </c>
      <c r="J28" s="199">
        <f t="shared" si="1"/>
        <v>8.8920307199999993</v>
      </c>
      <c r="K28" s="106" t="s">
        <v>467</v>
      </c>
      <c r="L28" s="4" t="s">
        <v>468</v>
      </c>
      <c r="M28" s="4" t="s">
        <v>351</v>
      </c>
      <c r="N28" s="106" t="s">
        <v>50</v>
      </c>
      <c r="O28" s="146" t="str">
        <f>_xlfn.XLOOKUP(N28,costcategory[Account Code],costcategory[Cost Category],"ERROR")</f>
        <v>Office Supplies</v>
      </c>
      <c r="P28" s="4" t="s">
        <v>354</v>
      </c>
      <c r="Q28" s="147" t="str">
        <f>_xlfn.XLOOKUP(P28,Table2[Department],Table2[Group],"ERROR")</f>
        <v>Sales &amp; Marketing</v>
      </c>
      <c r="R28" s="18"/>
      <c r="S28" s="18"/>
      <c r="T28" s="18"/>
      <c r="V28" s="18"/>
    </row>
    <row r="29" spans="1:22" ht="12.95" customHeight="1" x14ac:dyDescent="0.2">
      <c r="A29" s="2" t="s">
        <v>15</v>
      </c>
      <c r="B29" s="2" t="s">
        <v>2</v>
      </c>
      <c r="C29" s="3">
        <v>46037</v>
      </c>
      <c r="D29" s="3">
        <v>46037</v>
      </c>
      <c r="E29" s="3">
        <v>46042</v>
      </c>
      <c r="F29" s="2" t="s">
        <v>82</v>
      </c>
      <c r="G29" s="199">
        <v>320</v>
      </c>
      <c r="H29" s="199">
        <v>0</v>
      </c>
      <c r="I29" s="229">
        <f t="shared" si="0"/>
        <v>320</v>
      </c>
      <c r="J29" s="199">
        <f t="shared" si="1"/>
        <v>81.205759999999998</v>
      </c>
      <c r="K29" s="106" t="s">
        <v>467</v>
      </c>
      <c r="L29" s="4" t="s">
        <v>468</v>
      </c>
      <c r="M29" s="4" t="s">
        <v>416</v>
      </c>
      <c r="N29" s="106" t="s">
        <v>390</v>
      </c>
      <c r="O29" s="146" t="str">
        <f>_xlfn.XLOOKUP(N29,costcategory[Account Code],costcategory[Cost Category],"ERROR")</f>
        <v>Employee Benefits</v>
      </c>
      <c r="P29" s="4" t="s">
        <v>354</v>
      </c>
      <c r="Q29" s="147" t="str">
        <f>_xlfn.XLOOKUP(P29,Table2[Department],Table2[Group],"ERROR")</f>
        <v>Sales &amp; Marketing</v>
      </c>
      <c r="R29" s="18"/>
      <c r="S29" s="18"/>
      <c r="T29" s="18"/>
      <c r="V29" s="18"/>
    </row>
    <row r="30" spans="1:22" ht="12.95" customHeight="1" x14ac:dyDescent="0.2">
      <c r="A30" s="2" t="s">
        <v>15</v>
      </c>
      <c r="B30" s="2" t="s">
        <v>2</v>
      </c>
      <c r="C30" s="3">
        <v>46042</v>
      </c>
      <c r="D30" s="3">
        <v>46042</v>
      </c>
      <c r="E30" s="3">
        <v>46042</v>
      </c>
      <c r="F30" s="2" t="s">
        <v>82</v>
      </c>
      <c r="G30" s="199">
        <v>1</v>
      </c>
      <c r="H30" s="199">
        <v>0</v>
      </c>
      <c r="I30" s="212">
        <f t="shared" si="0"/>
        <v>1</v>
      </c>
      <c r="J30" s="199">
        <f t="shared" si="1"/>
        <v>0.25376799999999999</v>
      </c>
      <c r="K30" s="106" t="s">
        <v>448</v>
      </c>
      <c r="L30" s="4" t="s">
        <v>477</v>
      </c>
      <c r="M30" s="4" t="s">
        <v>478</v>
      </c>
      <c r="N30" s="106" t="s">
        <v>332</v>
      </c>
      <c r="O30" s="146" t="str">
        <f>_xlfn.XLOOKUP(N30,costcategory[Account Code],costcategory[Cost Category],"ERROR")</f>
        <v>Bank Charges</v>
      </c>
      <c r="P30" s="4" t="s">
        <v>333</v>
      </c>
      <c r="Q30" s="147" t="str">
        <f>_xlfn.XLOOKUP(P30,Table2[Department],Table2[Group],"ERROR")</f>
        <v>General &amp; Administrative</v>
      </c>
      <c r="R30" s="18" t="s">
        <v>451</v>
      </c>
      <c r="S30" s="18" t="s">
        <v>452</v>
      </c>
      <c r="T30" s="18" t="s">
        <v>452</v>
      </c>
      <c r="V30" s="18"/>
    </row>
    <row r="31" spans="1:22" ht="12.95" customHeight="1" x14ac:dyDescent="0.2">
      <c r="A31" s="2" t="s">
        <v>15</v>
      </c>
      <c r="B31" s="2" t="s">
        <v>2</v>
      </c>
      <c r="C31" s="3">
        <v>46051</v>
      </c>
      <c r="D31" s="3">
        <v>46051</v>
      </c>
      <c r="E31" s="3">
        <v>46051</v>
      </c>
      <c r="F31" s="2" t="s">
        <v>82</v>
      </c>
      <c r="G31" s="199">
        <v>-243204.39</v>
      </c>
      <c r="H31" s="199">
        <v>0</v>
      </c>
      <c r="I31" s="212">
        <f t="shared" si="0"/>
        <v>-243204.39</v>
      </c>
      <c r="J31" s="199">
        <f t="shared" si="1"/>
        <v>-61717.491641519999</v>
      </c>
      <c r="K31" s="106" t="s">
        <v>455</v>
      </c>
      <c r="L31" s="4" t="s">
        <v>481</v>
      </c>
      <c r="M31" s="4" t="s">
        <v>457</v>
      </c>
      <c r="N31" s="106" t="s">
        <v>418</v>
      </c>
      <c r="O31" s="146" t="str">
        <f>_xlfn.XLOOKUP(N31,costcategory[Account Code],costcategory[Cost Category],"ERROR")</f>
        <v>Internal Fund Transfer</v>
      </c>
      <c r="P31" s="4" t="s">
        <v>66</v>
      </c>
      <c r="Q31" s="147" t="str">
        <f>_xlfn.XLOOKUP(P31,Table2[Department],Table2[Group],"ERROR")</f>
        <v>Others</v>
      </c>
      <c r="R31" s="18" t="s">
        <v>458</v>
      </c>
      <c r="S31" s="18" t="s">
        <v>459</v>
      </c>
      <c r="T31" s="18" t="s">
        <v>458</v>
      </c>
      <c r="V31" s="18"/>
    </row>
    <row r="32" spans="1:22" ht="12.95" customHeight="1" x14ac:dyDescent="0.2">
      <c r="A32" s="2" t="s">
        <v>15</v>
      </c>
      <c r="B32" s="2" t="s">
        <v>2</v>
      </c>
      <c r="C32" s="3">
        <v>46016</v>
      </c>
      <c r="D32" s="3">
        <v>46037</v>
      </c>
      <c r="E32" s="3">
        <v>46052</v>
      </c>
      <c r="F32" s="2" t="s">
        <v>82</v>
      </c>
      <c r="G32" s="199">
        <v>401.75</v>
      </c>
      <c r="H32" s="199">
        <v>0</v>
      </c>
      <c r="I32" s="212">
        <f t="shared" si="0"/>
        <v>401.75</v>
      </c>
      <c r="J32" s="199">
        <f t="shared" si="1"/>
        <v>101.951294</v>
      </c>
      <c r="K32" s="106" t="s">
        <v>445</v>
      </c>
      <c r="L32" s="4" t="s">
        <v>494</v>
      </c>
      <c r="M32" s="4" t="s">
        <v>495</v>
      </c>
      <c r="N32" s="106" t="s">
        <v>58</v>
      </c>
      <c r="O32" s="146" t="str">
        <f>_xlfn.XLOOKUP(N32,costcategory[Account Code],costcategory[Cost Category],"ERROR")</f>
        <v>Network &amp; Server</v>
      </c>
      <c r="P32" s="4" t="s">
        <v>340</v>
      </c>
      <c r="Q32" s="147" t="str">
        <f>_xlfn.XLOOKUP(P32,Table2[Department],Table2[Group],"ERROR")</f>
        <v>General &amp; Administrative</v>
      </c>
      <c r="R32" s="18" t="s">
        <v>488</v>
      </c>
      <c r="S32" s="18" t="s">
        <v>466</v>
      </c>
      <c r="T32" s="18" t="s">
        <v>465</v>
      </c>
      <c r="V32" s="18"/>
    </row>
    <row r="33" spans="1:23" ht="12.95" customHeight="1" x14ac:dyDescent="0.2">
      <c r="A33" s="2" t="s">
        <v>15</v>
      </c>
      <c r="B33" s="2" t="s">
        <v>2</v>
      </c>
      <c r="C33" s="3">
        <v>46376</v>
      </c>
      <c r="D33" s="3">
        <v>46029</v>
      </c>
      <c r="E33" s="3">
        <v>46052</v>
      </c>
      <c r="F33" s="2" t="s">
        <v>82</v>
      </c>
      <c r="G33" s="204">
        <v>2700</v>
      </c>
      <c r="H33" s="204">
        <v>0</v>
      </c>
      <c r="I33" s="205">
        <f t="shared" si="0"/>
        <v>2700</v>
      </c>
      <c r="J33" s="199">
        <f t="shared" si="1"/>
        <v>685.17359999999996</v>
      </c>
      <c r="K33" s="109" t="s">
        <v>485</v>
      </c>
      <c r="L33" s="4" t="s">
        <v>486</v>
      </c>
      <c r="M33" s="4" t="s">
        <v>487</v>
      </c>
      <c r="N33" s="109" t="s">
        <v>409</v>
      </c>
      <c r="O33" s="148" t="str">
        <f>_xlfn.XLOOKUP(N33,costcategory[Account Code],costcategory[Cost Category],"ERROR")</f>
        <v>Rental</v>
      </c>
      <c r="P33" s="4" t="s">
        <v>340</v>
      </c>
      <c r="Q33" s="147" t="str">
        <f>_xlfn.XLOOKUP(P33,Table2[Department],Table2[Group],"ERROR")</f>
        <v>General &amp; Administrative</v>
      </c>
      <c r="R33" s="72" t="s">
        <v>488</v>
      </c>
      <c r="S33" s="72" t="s">
        <v>466</v>
      </c>
      <c r="T33" s="72" t="s">
        <v>465</v>
      </c>
      <c r="V33" s="72"/>
    </row>
    <row r="34" spans="1:23" ht="12.95" customHeight="1" x14ac:dyDescent="0.2">
      <c r="A34" s="2" t="s">
        <v>15</v>
      </c>
      <c r="B34" s="2" t="s">
        <v>2</v>
      </c>
      <c r="C34" s="3">
        <v>46023</v>
      </c>
      <c r="D34" s="3">
        <v>46030</v>
      </c>
      <c r="E34" s="3">
        <v>46052</v>
      </c>
      <c r="F34" s="2" t="s">
        <v>82</v>
      </c>
      <c r="G34" s="199">
        <v>3900</v>
      </c>
      <c r="H34" s="199">
        <v>0</v>
      </c>
      <c r="I34" s="212">
        <f t="shared" si="0"/>
        <v>3900</v>
      </c>
      <c r="J34" s="199">
        <f t="shared" si="1"/>
        <v>989.6952</v>
      </c>
      <c r="K34" s="106" t="s">
        <v>491</v>
      </c>
      <c r="L34" s="4" t="s">
        <v>492</v>
      </c>
      <c r="M34" s="4" t="s">
        <v>493</v>
      </c>
      <c r="N34" s="106" t="s">
        <v>409</v>
      </c>
      <c r="O34" s="146" t="str">
        <f>_xlfn.XLOOKUP(N34,costcategory[Account Code],costcategory[Cost Category],"ERROR")</f>
        <v>Rental</v>
      </c>
      <c r="P34" s="4" t="s">
        <v>340</v>
      </c>
      <c r="Q34" s="147" t="str">
        <f>_xlfn.XLOOKUP(P34,Table2[Department],Table2[Group],"ERROR")</f>
        <v>General &amp; Administrative</v>
      </c>
      <c r="R34" s="18" t="s">
        <v>488</v>
      </c>
      <c r="S34" s="18" t="s">
        <v>466</v>
      </c>
      <c r="T34" s="18" t="s">
        <v>465</v>
      </c>
      <c r="V34" s="18"/>
    </row>
    <row r="35" spans="1:23" ht="12.95" customHeight="1" x14ac:dyDescent="0.2">
      <c r="A35" s="2" t="s">
        <v>15</v>
      </c>
      <c r="B35" s="2" t="s">
        <v>2</v>
      </c>
      <c r="C35" s="3">
        <v>45992</v>
      </c>
      <c r="D35" s="3">
        <v>45998</v>
      </c>
      <c r="E35" s="3">
        <v>46052</v>
      </c>
      <c r="F35" s="2" t="s">
        <v>82</v>
      </c>
      <c r="G35" s="199">
        <v>5393</v>
      </c>
      <c r="H35" s="199">
        <v>0</v>
      </c>
      <c r="I35" s="212">
        <f t="shared" si="0"/>
        <v>5393</v>
      </c>
      <c r="J35" s="199">
        <f t="shared" si="1"/>
        <v>1368.5708239999999</v>
      </c>
      <c r="K35" s="106" t="s">
        <v>444</v>
      </c>
      <c r="L35" s="4" t="s">
        <v>482</v>
      </c>
      <c r="M35" s="4" t="s">
        <v>483</v>
      </c>
      <c r="N35" s="106" t="s">
        <v>374</v>
      </c>
      <c r="O35" s="146" t="str">
        <f>_xlfn.XLOOKUP(N35,costcategory[Account Code],costcategory[Cost Category],"ERROR")</f>
        <v>Non-Current Liabilities</v>
      </c>
      <c r="P35" s="4" t="s">
        <v>376</v>
      </c>
      <c r="Q35" s="147" t="str">
        <f>_xlfn.XLOOKUP(P35,Table2[Department],Table2[Group],"ERROR")</f>
        <v>General &amp; Administrative</v>
      </c>
      <c r="R35" s="18" t="s">
        <v>484</v>
      </c>
      <c r="S35" s="18" t="s">
        <v>466</v>
      </c>
      <c r="T35" s="18" t="s">
        <v>465</v>
      </c>
      <c r="V35" s="18"/>
    </row>
    <row r="36" spans="1:23" ht="12.95" customHeight="1" x14ac:dyDescent="0.2">
      <c r="A36" s="2" t="s">
        <v>15</v>
      </c>
      <c r="B36" s="2" t="s">
        <v>2</v>
      </c>
      <c r="C36" s="3">
        <v>46023</v>
      </c>
      <c r="D36" s="3">
        <v>46029</v>
      </c>
      <c r="E36" s="3">
        <v>46052</v>
      </c>
      <c r="F36" s="2" t="s">
        <v>82</v>
      </c>
      <c r="G36" s="199">
        <v>5764</v>
      </c>
      <c r="H36" s="199">
        <v>0</v>
      </c>
      <c r="I36" s="212">
        <f t="shared" si="0"/>
        <v>5764</v>
      </c>
      <c r="J36" s="199">
        <f t="shared" si="1"/>
        <v>1462.718752</v>
      </c>
      <c r="K36" s="106" t="s">
        <v>444</v>
      </c>
      <c r="L36" s="4" t="s">
        <v>489</v>
      </c>
      <c r="M36" s="4" t="s">
        <v>490</v>
      </c>
      <c r="N36" s="106" t="s">
        <v>374</v>
      </c>
      <c r="O36" s="146" t="str">
        <f>_xlfn.XLOOKUP(N36,costcategory[Account Code],costcategory[Cost Category],"ERROR")</f>
        <v>Non-Current Liabilities</v>
      </c>
      <c r="P36" s="4" t="s">
        <v>376</v>
      </c>
      <c r="Q36" s="147" t="str">
        <f>_xlfn.XLOOKUP(P36,Table2[Department],Table2[Group],"ERROR")</f>
        <v>General &amp; Administrative</v>
      </c>
      <c r="R36" s="18" t="s">
        <v>484</v>
      </c>
      <c r="S36" s="18" t="s">
        <v>466</v>
      </c>
      <c r="T36" s="18" t="s">
        <v>465</v>
      </c>
      <c r="V36" s="18"/>
    </row>
    <row r="37" spans="1:23" ht="12.95" customHeight="1" x14ac:dyDescent="0.2">
      <c r="A37" s="2" t="s">
        <v>15</v>
      </c>
      <c r="B37" s="2" t="s">
        <v>2</v>
      </c>
      <c r="C37" s="3">
        <v>46042</v>
      </c>
      <c r="D37" s="3">
        <v>46042</v>
      </c>
      <c r="E37" s="3">
        <v>46042</v>
      </c>
      <c r="F37" s="2" t="s">
        <v>82</v>
      </c>
      <c r="G37" s="199">
        <v>0.5</v>
      </c>
      <c r="H37" s="199">
        <v>0</v>
      </c>
      <c r="I37" s="212">
        <f t="shared" si="0"/>
        <v>0.5</v>
      </c>
      <c r="J37" s="199">
        <f t="shared" si="1"/>
        <v>0.126884</v>
      </c>
      <c r="K37" s="106" t="s">
        <v>448</v>
      </c>
      <c r="L37" s="4" t="s">
        <v>479</v>
      </c>
      <c r="M37" s="4" t="s">
        <v>480</v>
      </c>
      <c r="N37" s="106" t="s">
        <v>332</v>
      </c>
      <c r="O37" s="146" t="str">
        <f>_xlfn.XLOOKUP(N37,costcategory[Account Code],costcategory[Cost Category],"ERROR")</f>
        <v>Bank Charges</v>
      </c>
      <c r="P37" s="4" t="s">
        <v>333</v>
      </c>
      <c r="Q37" s="147" t="str">
        <f>_xlfn.XLOOKUP(P37,Table2[Department],Table2[Group],"ERROR")</f>
        <v>General &amp; Administrative</v>
      </c>
      <c r="R37" s="18" t="s">
        <v>451</v>
      </c>
      <c r="S37" s="18" t="s">
        <v>452</v>
      </c>
      <c r="T37" s="18" t="s">
        <v>452</v>
      </c>
      <c r="V37" s="18"/>
    </row>
    <row r="38" spans="1:23" ht="12.95" customHeight="1" x14ac:dyDescent="0.2">
      <c r="A38" s="2" t="s">
        <v>15</v>
      </c>
      <c r="B38" s="2" t="s">
        <v>2</v>
      </c>
      <c r="C38" s="3">
        <v>46053</v>
      </c>
      <c r="D38" s="3">
        <v>46053</v>
      </c>
      <c r="E38" s="3">
        <v>46053</v>
      </c>
      <c r="F38" s="2" t="s">
        <v>82</v>
      </c>
      <c r="G38" s="199">
        <v>23016</v>
      </c>
      <c r="H38" s="199">
        <v>0</v>
      </c>
      <c r="I38" s="212">
        <f t="shared" si="0"/>
        <v>23016</v>
      </c>
      <c r="J38" s="199">
        <f t="shared" si="1"/>
        <v>5840.7242879999994</v>
      </c>
      <c r="K38" s="106" t="s">
        <v>496</v>
      </c>
      <c r="L38" s="4" t="s">
        <v>497</v>
      </c>
      <c r="M38" s="4" t="s">
        <v>498</v>
      </c>
      <c r="N38" s="106" t="s">
        <v>499</v>
      </c>
      <c r="O38" s="146" t="str">
        <f>_xlfn.XLOOKUP(N38,costcategory[Account Code],costcategory[Cost Category],"ERROR")</f>
        <v>Tax Expenses (GST/SST/VAT)</v>
      </c>
      <c r="P38" s="4" t="s">
        <v>333</v>
      </c>
      <c r="Q38" s="147" t="str">
        <f>_xlfn.XLOOKUP(P38,Table2[Department],Table2[Group],"ERROR")</f>
        <v>General &amp; Administrative</v>
      </c>
      <c r="R38" s="18" t="s">
        <v>465</v>
      </c>
      <c r="S38" s="18" t="s">
        <v>466</v>
      </c>
      <c r="T38" s="18" t="s">
        <v>452</v>
      </c>
      <c r="V38" s="18"/>
    </row>
    <row r="39" spans="1:23" ht="12.95" customHeight="1" x14ac:dyDescent="0.2">
      <c r="A39" s="2" t="s">
        <v>15</v>
      </c>
      <c r="B39" s="2" t="s">
        <v>2</v>
      </c>
      <c r="C39" s="3">
        <v>46053</v>
      </c>
      <c r="D39" s="3">
        <v>46053</v>
      </c>
      <c r="E39" s="3">
        <v>46053</v>
      </c>
      <c r="F39" s="2" t="s">
        <v>4</v>
      </c>
      <c r="G39" s="199">
        <v>0</v>
      </c>
      <c r="H39" s="199">
        <v>0</v>
      </c>
      <c r="I39" s="212">
        <v>140320.70000000001</v>
      </c>
      <c r="J39" s="199">
        <f t="shared" si="1"/>
        <v>35608.903397599999</v>
      </c>
      <c r="K39" s="106" t="s">
        <v>1325</v>
      </c>
      <c r="L39" s="4" t="s">
        <v>1326</v>
      </c>
      <c r="M39" s="4" t="s">
        <v>1327</v>
      </c>
      <c r="N39" s="106" t="s">
        <v>387</v>
      </c>
      <c r="O39" s="146" t="str">
        <f>_xlfn.XLOOKUP(N39,costcategory[Account Code],costcategory[Cost Category],"ERROR")</f>
        <v>Headcount Costs</v>
      </c>
      <c r="P39" s="4" t="s">
        <v>350</v>
      </c>
      <c r="Q39" s="147" t="str">
        <f>_xlfn.XLOOKUP(P39,Table2[Department],Table2[Group],"ERROR")</f>
        <v>General &amp; Administrative</v>
      </c>
      <c r="R39" s="18" t="s">
        <v>1319</v>
      </c>
      <c r="S39" s="18" t="s">
        <v>466</v>
      </c>
      <c r="T39" s="18" t="s">
        <v>1320</v>
      </c>
      <c r="V39" s="18"/>
    </row>
    <row r="40" spans="1:23" ht="12.95" customHeight="1" x14ac:dyDescent="0.2">
      <c r="A40" s="2" t="s">
        <v>15</v>
      </c>
      <c r="B40" s="2" t="s">
        <v>2</v>
      </c>
      <c r="C40" s="3">
        <v>46053</v>
      </c>
      <c r="D40" s="3">
        <v>46053</v>
      </c>
      <c r="E40" s="3">
        <v>46053</v>
      </c>
      <c r="F40" s="2" t="s">
        <v>82</v>
      </c>
      <c r="G40" s="199">
        <v>1.4</v>
      </c>
      <c r="H40" s="199">
        <v>0</v>
      </c>
      <c r="I40" s="212">
        <f t="shared" si="0"/>
        <v>1.4</v>
      </c>
      <c r="J40" s="199">
        <f t="shared" si="1"/>
        <v>0.35527519999999996</v>
      </c>
      <c r="K40" s="106" t="s">
        <v>448</v>
      </c>
      <c r="L40" s="4" t="s">
        <v>500</v>
      </c>
      <c r="M40" s="4" t="s">
        <v>501</v>
      </c>
      <c r="N40" s="106" t="s">
        <v>332</v>
      </c>
      <c r="O40" s="146" t="str">
        <f>_xlfn.XLOOKUP(N40,costcategory[Account Code],costcategory[Cost Category],"ERROR")</f>
        <v>Bank Charges</v>
      </c>
      <c r="P40" s="4" t="s">
        <v>333</v>
      </c>
      <c r="Q40" s="147" t="str">
        <f>_xlfn.XLOOKUP(P40,Table2[Department],Table2[Group],"ERROR")</f>
        <v>General &amp; Administrative</v>
      </c>
      <c r="R40" s="18" t="s">
        <v>451</v>
      </c>
      <c r="S40" s="18" t="s">
        <v>452</v>
      </c>
      <c r="T40" s="18" t="s">
        <v>452</v>
      </c>
      <c r="V40" s="18"/>
    </row>
    <row r="41" spans="1:23" ht="12.95" customHeight="1" x14ac:dyDescent="0.2">
      <c r="A41" s="2" t="s">
        <v>15</v>
      </c>
      <c r="B41" s="2" t="s">
        <v>2</v>
      </c>
      <c r="C41" s="3">
        <v>46053</v>
      </c>
      <c r="D41" s="3">
        <v>46053</v>
      </c>
      <c r="E41" s="3">
        <v>46053</v>
      </c>
      <c r="F41" s="2" t="s">
        <v>82</v>
      </c>
      <c r="G41" s="199">
        <v>-3.51</v>
      </c>
      <c r="H41" s="199">
        <v>0</v>
      </c>
      <c r="I41" s="212">
        <f t="shared" si="0"/>
        <v>-3.51</v>
      </c>
      <c r="J41" s="199">
        <f t="shared" si="1"/>
        <v>-0.89072567999999996</v>
      </c>
      <c r="K41" s="106" t="s">
        <v>448</v>
      </c>
      <c r="L41" s="4" t="s">
        <v>502</v>
      </c>
      <c r="M41" s="4" t="s">
        <v>503</v>
      </c>
      <c r="N41" s="106" t="s">
        <v>332</v>
      </c>
      <c r="O41" s="146" t="str">
        <f>_xlfn.XLOOKUP(N41,costcategory[Account Code],costcategory[Cost Category],"ERROR")</f>
        <v>Bank Charges</v>
      </c>
      <c r="P41" s="4" t="s">
        <v>333</v>
      </c>
      <c r="Q41" s="147" t="str">
        <f>_xlfn.XLOOKUP(P41,Table2[Department],Table2[Group],"ERROR")</f>
        <v>General &amp; Administrative</v>
      </c>
      <c r="R41" s="18" t="s">
        <v>451</v>
      </c>
      <c r="S41" s="18" t="s">
        <v>452</v>
      </c>
      <c r="T41" s="18" t="s">
        <v>452</v>
      </c>
      <c r="V41" s="18"/>
    </row>
    <row r="42" spans="1:23" ht="12.95" customHeight="1" x14ac:dyDescent="0.2">
      <c r="A42" s="2" t="s">
        <v>15</v>
      </c>
      <c r="B42" s="2" t="s">
        <v>2</v>
      </c>
      <c r="C42" s="3">
        <v>46053</v>
      </c>
      <c r="D42" s="3">
        <v>46053</v>
      </c>
      <c r="E42" s="3">
        <v>46053</v>
      </c>
      <c r="F42" s="2" t="s">
        <v>82</v>
      </c>
      <c r="G42" s="199">
        <v>10</v>
      </c>
      <c r="H42" s="199">
        <v>0</v>
      </c>
      <c r="I42" s="212">
        <f t="shared" si="0"/>
        <v>10</v>
      </c>
      <c r="J42" s="199">
        <f t="shared" si="1"/>
        <v>2.5376799999999999</v>
      </c>
      <c r="K42" s="106" t="s">
        <v>448</v>
      </c>
      <c r="L42" s="4" t="s">
        <v>500</v>
      </c>
      <c r="M42" s="4" t="s">
        <v>504</v>
      </c>
      <c r="N42" s="106" t="s">
        <v>332</v>
      </c>
      <c r="O42" s="146" t="str">
        <f>_xlfn.XLOOKUP(N42,costcategory[Account Code],costcategory[Cost Category],"ERROR")</f>
        <v>Bank Charges</v>
      </c>
      <c r="P42" s="4" t="s">
        <v>333</v>
      </c>
      <c r="Q42" s="147" t="str">
        <f>_xlfn.XLOOKUP(P42,Table2[Department],Table2[Group],"ERROR")</f>
        <v>General &amp; Administrative</v>
      </c>
      <c r="R42" s="18" t="s">
        <v>451</v>
      </c>
      <c r="S42" s="18" t="s">
        <v>452</v>
      </c>
      <c r="T42" s="18" t="s">
        <v>452</v>
      </c>
      <c r="V42" s="18"/>
    </row>
    <row r="43" spans="1:23" ht="12.95" customHeight="1" x14ac:dyDescent="0.2">
      <c r="I43" s="212">
        <f>SUM(I6:I42)</f>
        <v>175479.67999999999</v>
      </c>
      <c r="J43" s="199"/>
    </row>
    <row r="44" spans="1:23" ht="12.95" customHeight="1" x14ac:dyDescent="0.2">
      <c r="A44" s="329" t="s">
        <v>1173</v>
      </c>
      <c r="B44" s="329"/>
      <c r="C44" s="329"/>
      <c r="D44" s="329"/>
      <c r="E44" s="14">
        <v>46053</v>
      </c>
      <c r="F44" s="13" t="s">
        <v>82</v>
      </c>
      <c r="G44" s="202"/>
      <c r="H44" s="207"/>
      <c r="I44" s="208">
        <f>I5-I43</f>
        <v>175590.15000000002</v>
      </c>
      <c r="J44" s="207"/>
      <c r="K44" s="17"/>
      <c r="L44" s="17"/>
      <c r="M44" s="17"/>
      <c r="N44" s="17"/>
      <c r="O44" s="17"/>
      <c r="P44" s="17"/>
      <c r="Q44" s="17"/>
      <c r="R44" s="20"/>
      <c r="S44" s="20"/>
      <c r="T44" s="20"/>
      <c r="U44" s="20"/>
      <c r="V44" s="20"/>
    </row>
    <row r="45" spans="1:23" ht="12.95" customHeight="1" x14ac:dyDescent="0.2">
      <c r="A45" s="33"/>
      <c r="B45" s="33"/>
      <c r="C45" s="33"/>
      <c r="D45" s="33"/>
      <c r="E45" s="71"/>
      <c r="F45" s="33"/>
      <c r="G45" s="237"/>
      <c r="H45" s="197"/>
      <c r="I45" s="210"/>
      <c r="J45" s="197"/>
      <c r="K45" s="4"/>
    </row>
    <row r="46" spans="1:23" ht="12.95" customHeight="1" x14ac:dyDescent="0.2">
      <c r="J46" s="257">
        <f>FOREX!G2</f>
        <v>0.25376799999999999</v>
      </c>
    </row>
    <row r="47" spans="1:23" ht="12.95" customHeight="1" x14ac:dyDescent="0.2">
      <c r="A47" s="7" t="s">
        <v>87</v>
      </c>
      <c r="B47" s="7" t="s">
        <v>43</v>
      </c>
      <c r="C47" s="8" t="s">
        <v>54</v>
      </c>
      <c r="D47" s="8" t="s">
        <v>88</v>
      </c>
      <c r="E47" s="185" t="s">
        <v>1083</v>
      </c>
      <c r="F47" s="7" t="s">
        <v>70</v>
      </c>
      <c r="G47" s="236" t="s">
        <v>90</v>
      </c>
      <c r="H47" s="236" t="s">
        <v>91</v>
      </c>
      <c r="I47" s="236" t="s">
        <v>92</v>
      </c>
      <c r="J47" s="236" t="s">
        <v>72</v>
      </c>
      <c r="K47" s="149" t="s">
        <v>325</v>
      </c>
      <c r="L47" s="149" t="s">
        <v>94</v>
      </c>
      <c r="M47" s="7" t="s">
        <v>95</v>
      </c>
      <c r="N47" s="7" t="s">
        <v>1315</v>
      </c>
      <c r="O47" s="7" t="s">
        <v>64</v>
      </c>
      <c r="P47" s="95" t="s">
        <v>67</v>
      </c>
      <c r="Q47" s="95"/>
      <c r="R47" s="7" t="s">
        <v>326</v>
      </c>
      <c r="S47" s="7" t="s">
        <v>327</v>
      </c>
      <c r="T47" s="7" t="s">
        <v>328</v>
      </c>
      <c r="U47" s="7" t="s">
        <v>98</v>
      </c>
      <c r="V47" s="7" t="s">
        <v>1316</v>
      </c>
      <c r="W47" s="2"/>
    </row>
    <row r="48" spans="1:23" s="33" customFormat="1" ht="12.95" customHeight="1" x14ac:dyDescent="0.2">
      <c r="A48" s="329" t="s">
        <v>1172</v>
      </c>
      <c r="B48" s="329"/>
      <c r="C48" s="329"/>
      <c r="D48" s="329"/>
      <c r="E48" s="14">
        <v>46054</v>
      </c>
      <c r="F48" s="13" t="s">
        <v>82</v>
      </c>
      <c r="G48" s="202"/>
      <c r="H48" s="202"/>
      <c r="I48" s="203">
        <v>175590.15000000002</v>
      </c>
      <c r="J48" s="202"/>
      <c r="K48" s="133"/>
      <c r="L48" s="133"/>
      <c r="M48" s="13"/>
      <c r="N48" s="13"/>
      <c r="O48" s="13"/>
      <c r="P48" s="96"/>
      <c r="Q48" s="96"/>
      <c r="R48" s="13"/>
      <c r="S48" s="13"/>
      <c r="T48" s="13"/>
      <c r="U48" s="13"/>
      <c r="V48" s="13"/>
    </row>
    <row r="49" spans="1:22" ht="12.95" customHeight="1" x14ac:dyDescent="0.2">
      <c r="A49" s="2" t="s">
        <v>15</v>
      </c>
      <c r="B49" s="2" t="s">
        <v>2</v>
      </c>
      <c r="C49" s="3">
        <v>46055</v>
      </c>
      <c r="D49" s="3">
        <v>46055</v>
      </c>
      <c r="E49" s="3">
        <v>46055</v>
      </c>
      <c r="F49" s="2" t="s">
        <v>82</v>
      </c>
      <c r="G49" s="199">
        <v>26162.25</v>
      </c>
      <c r="H49" s="199">
        <v>0</v>
      </c>
      <c r="I49" s="212">
        <f>SUM(G49:H49)</f>
        <v>26162.25</v>
      </c>
      <c r="J49" s="199">
        <f>I49*$J$46</f>
        <v>6639.141858</v>
      </c>
      <c r="K49" s="106" t="s">
        <v>1328</v>
      </c>
      <c r="M49" s="4" t="s">
        <v>1329</v>
      </c>
      <c r="N49" s="106" t="s">
        <v>509</v>
      </c>
      <c r="O49" s="146" t="str">
        <f>_xlfn.XLOOKUP(N49,costcategory[Account Code],costcategory[Cost Category],"ERROR")</f>
        <v>Corporate Tax Expenses</v>
      </c>
      <c r="P49" s="4" t="s">
        <v>350</v>
      </c>
      <c r="Q49" s="147" t="str">
        <f>_xlfn.XLOOKUP(P49,Table2[Department],Table2[Group],"ERROR")</f>
        <v>General &amp; Administrative</v>
      </c>
      <c r="R49" s="18"/>
      <c r="S49" s="18"/>
      <c r="T49" s="18"/>
      <c r="V49" s="18"/>
    </row>
    <row r="50" spans="1:22" ht="12.95" customHeight="1" x14ac:dyDescent="0.2">
      <c r="A50" s="2" t="s">
        <v>15</v>
      </c>
      <c r="B50" s="2" t="s">
        <v>2</v>
      </c>
      <c r="C50" s="3">
        <v>46065</v>
      </c>
      <c r="D50" s="3">
        <v>46065</v>
      </c>
      <c r="E50" s="3">
        <v>46065</v>
      </c>
      <c r="F50" s="2" t="s">
        <v>82</v>
      </c>
      <c r="G50" s="199">
        <v>1618.26</v>
      </c>
      <c r="H50" s="199">
        <v>0</v>
      </c>
      <c r="I50" s="212">
        <f t="shared" ref="I50:I97" si="5">SUM(G50:H50)</f>
        <v>1618.26</v>
      </c>
      <c r="J50" s="199">
        <f t="shared" ref="J50:J97" si="6">I50*$J$46</f>
        <v>410.66260367999996</v>
      </c>
      <c r="K50" s="106" t="s">
        <v>1330</v>
      </c>
      <c r="L50" s="4" t="s">
        <v>1331</v>
      </c>
      <c r="M50" s="4" t="s">
        <v>1332</v>
      </c>
      <c r="N50" s="106" t="s">
        <v>364</v>
      </c>
      <c r="O50" s="146" t="str">
        <f>_xlfn.XLOOKUP(N50,costcategory[Account Code],costcategory[Cost Category],"ERROR")</f>
        <v>Headcount Costs</v>
      </c>
      <c r="P50" s="4" t="s">
        <v>350</v>
      </c>
      <c r="Q50" s="147" t="str">
        <f>_xlfn.XLOOKUP(P50,Table2[Department],Table2[Group],"ERROR")</f>
        <v>General &amp; Administrative</v>
      </c>
      <c r="R50" s="18"/>
      <c r="S50" s="18"/>
      <c r="T50" s="18"/>
      <c r="V50" s="18"/>
    </row>
    <row r="51" spans="1:22" ht="12.95" customHeight="1" x14ac:dyDescent="0.2">
      <c r="A51" s="2" t="s">
        <v>15</v>
      </c>
      <c r="B51" s="2" t="s">
        <v>2</v>
      </c>
      <c r="C51" s="3">
        <v>46065</v>
      </c>
      <c r="D51" s="3">
        <v>46065</v>
      </c>
      <c r="E51" s="3">
        <v>46065</v>
      </c>
      <c r="F51" s="2" t="s">
        <v>82</v>
      </c>
      <c r="G51" s="199">
        <v>16837</v>
      </c>
      <c r="H51" s="199">
        <v>0</v>
      </c>
      <c r="I51" s="212">
        <f t="shared" si="5"/>
        <v>16837</v>
      </c>
      <c r="J51" s="199">
        <f t="shared" si="6"/>
        <v>4272.6918159999996</v>
      </c>
      <c r="K51" s="106" t="s">
        <v>461</v>
      </c>
      <c r="L51" s="150" t="s">
        <v>507</v>
      </c>
      <c r="M51" s="4" t="s">
        <v>508</v>
      </c>
      <c r="N51" s="106" t="s">
        <v>509</v>
      </c>
      <c r="O51" s="146" t="str">
        <f>_xlfn.XLOOKUP(N51,costcategory[Account Code],costcategory[Cost Category],"ERROR")</f>
        <v>Corporate Tax Expenses</v>
      </c>
      <c r="P51" s="4" t="s">
        <v>340</v>
      </c>
      <c r="Q51" s="147" t="str">
        <f>_xlfn.XLOOKUP(P51,Table2[Department],Table2[Group],"ERROR")</f>
        <v>General &amp; Administrative</v>
      </c>
      <c r="R51" s="18"/>
      <c r="S51" s="18"/>
      <c r="T51" s="18"/>
      <c r="V51" s="18"/>
    </row>
    <row r="52" spans="1:22" ht="12.95" customHeight="1" x14ac:dyDescent="0.2">
      <c r="A52" s="2" t="s">
        <v>15</v>
      </c>
      <c r="B52" s="2" t="s">
        <v>2</v>
      </c>
      <c r="C52" s="3">
        <v>46065</v>
      </c>
      <c r="D52" s="3">
        <v>46065</v>
      </c>
      <c r="E52" s="3">
        <v>46065</v>
      </c>
      <c r="F52" s="2" t="s">
        <v>82</v>
      </c>
      <c r="G52" s="199">
        <v>40694</v>
      </c>
      <c r="H52" s="199">
        <v>0</v>
      </c>
      <c r="I52" s="212">
        <f t="shared" si="5"/>
        <v>40694</v>
      </c>
      <c r="J52" s="199">
        <f t="shared" si="6"/>
        <v>10326.834992</v>
      </c>
      <c r="K52" s="106" t="s">
        <v>1333</v>
      </c>
      <c r="M52" s="4" t="s">
        <v>1334</v>
      </c>
      <c r="N52" s="106" t="s">
        <v>387</v>
      </c>
      <c r="O52" s="146" t="str">
        <f>_xlfn.XLOOKUP(N52,costcategory[Account Code],costcategory[Cost Category],"ERROR")</f>
        <v>Headcount Costs</v>
      </c>
      <c r="P52" s="4" t="s">
        <v>350</v>
      </c>
      <c r="Q52" s="147" t="str">
        <f>_xlfn.XLOOKUP(P52,Table2[Department],Table2[Group],"ERROR")</f>
        <v>General &amp; Administrative</v>
      </c>
      <c r="R52" s="18"/>
      <c r="S52" s="18"/>
      <c r="T52" s="18"/>
      <c r="V52" s="18"/>
    </row>
    <row r="53" spans="1:22" ht="12.95" customHeight="1" x14ac:dyDescent="0.2">
      <c r="A53" s="2" t="s">
        <v>15</v>
      </c>
      <c r="B53" s="2" t="s">
        <v>2</v>
      </c>
      <c r="C53" s="3">
        <v>46065</v>
      </c>
      <c r="D53" s="3">
        <v>46065</v>
      </c>
      <c r="E53" s="3">
        <v>46065</v>
      </c>
      <c r="F53" s="2" t="s">
        <v>82</v>
      </c>
      <c r="G53" s="199">
        <v>2101.8000000000002</v>
      </c>
      <c r="H53" s="204">
        <v>0</v>
      </c>
      <c r="I53" s="205">
        <f t="shared" si="5"/>
        <v>2101.8000000000002</v>
      </c>
      <c r="J53" s="199">
        <f t="shared" si="6"/>
        <v>533.36958240000001</v>
      </c>
      <c r="K53" s="106" t="s">
        <v>1105</v>
      </c>
      <c r="M53" s="145" t="s">
        <v>1335</v>
      </c>
      <c r="N53" s="106" t="s">
        <v>387</v>
      </c>
      <c r="O53" s="146" t="str">
        <f>_xlfn.XLOOKUP(N53,costcategory[Account Code],costcategory[Cost Category],"ERROR")</f>
        <v>Headcount Costs</v>
      </c>
      <c r="P53" s="4" t="s">
        <v>350</v>
      </c>
      <c r="Q53" s="147" t="str">
        <f>_xlfn.XLOOKUP(P53,Table2[Department],Table2[Group],"ERROR")</f>
        <v>General &amp; Administrative</v>
      </c>
      <c r="R53" s="18"/>
      <c r="S53" s="18"/>
      <c r="T53" s="18"/>
      <c r="V53" s="18"/>
    </row>
    <row r="54" spans="1:22" ht="12.95" customHeight="1" x14ac:dyDescent="0.2">
      <c r="A54" s="2" t="s">
        <v>15</v>
      </c>
      <c r="B54" s="2" t="s">
        <v>2</v>
      </c>
      <c r="C54" s="3">
        <v>46066</v>
      </c>
      <c r="D54" s="3">
        <v>46066</v>
      </c>
      <c r="E54" s="3">
        <v>46066</v>
      </c>
      <c r="F54" s="2" t="s">
        <v>82</v>
      </c>
      <c r="G54" s="199">
        <v>690</v>
      </c>
      <c r="H54" s="204">
        <v>0</v>
      </c>
      <c r="I54" s="227">
        <f t="shared" si="5"/>
        <v>690</v>
      </c>
      <c r="J54" s="199">
        <f t="shared" si="6"/>
        <v>175.09992</v>
      </c>
      <c r="K54" s="4" t="s">
        <v>525</v>
      </c>
      <c r="L54" s="4" t="s">
        <v>525</v>
      </c>
      <c r="M54" s="4" t="s">
        <v>476</v>
      </c>
      <c r="N54" s="106" t="s">
        <v>339</v>
      </c>
      <c r="O54" s="146" t="str">
        <f>_xlfn.XLOOKUP(N54,costcategory[Account Code],costcategory[Cost Category],"ERROR")</f>
        <v>Travelling Expenses</v>
      </c>
      <c r="P54" s="4" t="s">
        <v>438</v>
      </c>
      <c r="Q54" s="147" t="str">
        <f>_xlfn.XLOOKUP(P54,Table2[Department],Table2[Group],"ERROR")</f>
        <v>Sales &amp; Marketing</v>
      </c>
      <c r="R54" s="18"/>
      <c r="S54" s="18"/>
      <c r="T54" s="18"/>
      <c r="V54" s="18"/>
    </row>
    <row r="55" spans="1:22" ht="12.95" customHeight="1" x14ac:dyDescent="0.2">
      <c r="A55" s="2" t="s">
        <v>15</v>
      </c>
      <c r="B55" s="2" t="s">
        <v>2</v>
      </c>
      <c r="C55" s="3">
        <v>46066</v>
      </c>
      <c r="D55" s="3">
        <v>46066</v>
      </c>
      <c r="E55" s="3">
        <v>46066</v>
      </c>
      <c r="F55" s="2" t="s">
        <v>82</v>
      </c>
      <c r="G55" s="199">
        <v>1465.25</v>
      </c>
      <c r="H55" s="204">
        <v>0</v>
      </c>
      <c r="I55" s="228">
        <f t="shared" ref="I55:I64" si="7">SUM(G55:H55)</f>
        <v>1465.25</v>
      </c>
      <c r="J55" s="199">
        <f t="shared" si="6"/>
        <v>371.83356199999997</v>
      </c>
      <c r="K55" s="4" t="s">
        <v>525</v>
      </c>
      <c r="L55" s="4" t="s">
        <v>525</v>
      </c>
      <c r="M55" s="4" t="s">
        <v>526</v>
      </c>
      <c r="N55" s="106" t="s">
        <v>527</v>
      </c>
      <c r="O55" s="146" t="str">
        <f>_xlfn.XLOOKUP(N55,costcategory[Account Code],costcategory[Cost Category],"ERROR")</f>
        <v>Sales Expenses</v>
      </c>
      <c r="P55" s="4" t="s">
        <v>438</v>
      </c>
      <c r="Q55" s="147" t="str">
        <f>_xlfn.XLOOKUP(P55,Table2[Department],Table2[Group],"ERROR")</f>
        <v>Sales &amp; Marketing</v>
      </c>
      <c r="R55" s="18"/>
      <c r="S55" s="18"/>
      <c r="T55" s="18"/>
      <c r="V55" s="18"/>
    </row>
    <row r="56" spans="1:22" ht="12.95" customHeight="1" x14ac:dyDescent="0.2">
      <c r="A56" s="2" t="s">
        <v>15</v>
      </c>
      <c r="B56" s="2" t="s">
        <v>2</v>
      </c>
      <c r="C56" s="3">
        <v>46066</v>
      </c>
      <c r="D56" s="3">
        <v>46066</v>
      </c>
      <c r="E56" s="3">
        <v>46066</v>
      </c>
      <c r="F56" s="2" t="s">
        <v>82</v>
      </c>
      <c r="G56" s="199">
        <v>834.55000000000018</v>
      </c>
      <c r="H56" s="204">
        <v>0</v>
      </c>
      <c r="I56" s="228">
        <f t="shared" ref="I56" si="8">SUM(G56:H56)</f>
        <v>834.55000000000018</v>
      </c>
      <c r="J56" s="199">
        <f t="shared" si="6"/>
        <v>211.78208440000003</v>
      </c>
      <c r="K56" s="4" t="s">
        <v>525</v>
      </c>
      <c r="L56" s="4" t="s">
        <v>525</v>
      </c>
      <c r="M56" s="4" t="s">
        <v>526</v>
      </c>
      <c r="N56" s="106" t="s">
        <v>527</v>
      </c>
      <c r="O56" s="146" t="str">
        <f>_xlfn.XLOOKUP(N56,costcategory[Account Code],costcategory[Cost Category],"ERROR")</f>
        <v>Sales Expenses</v>
      </c>
      <c r="P56" s="4" t="s">
        <v>45</v>
      </c>
      <c r="Q56" s="147" t="str">
        <f>_xlfn.XLOOKUP(P56,Table2[Department],Table2[Group],"ERROR")</f>
        <v>DSC</v>
      </c>
      <c r="R56" s="18"/>
      <c r="S56" s="18"/>
      <c r="T56" s="18"/>
      <c r="V56" s="18"/>
    </row>
    <row r="57" spans="1:22" ht="12.95" customHeight="1" x14ac:dyDescent="0.2">
      <c r="A57" s="2" t="s">
        <v>15</v>
      </c>
      <c r="B57" s="2" t="s">
        <v>2</v>
      </c>
      <c r="C57" s="3">
        <v>46066</v>
      </c>
      <c r="D57" s="3">
        <v>46066</v>
      </c>
      <c r="E57" s="3">
        <v>46066</v>
      </c>
      <c r="F57" s="2" t="s">
        <v>82</v>
      </c>
      <c r="G57" s="199">
        <v>135</v>
      </c>
      <c r="H57" s="204">
        <v>0</v>
      </c>
      <c r="I57" s="228">
        <f t="shared" si="7"/>
        <v>135</v>
      </c>
      <c r="J57" s="199">
        <f t="shared" si="6"/>
        <v>34.258679999999998</v>
      </c>
      <c r="K57" s="4" t="s">
        <v>525</v>
      </c>
      <c r="L57" s="4" t="s">
        <v>525</v>
      </c>
      <c r="M57" s="4" t="s">
        <v>355</v>
      </c>
      <c r="N57" s="106" t="s">
        <v>402</v>
      </c>
      <c r="O57" s="146" t="str">
        <f>_xlfn.XLOOKUP(N57,costcategory[Account Code],costcategory[Cost Category],"ERROR")</f>
        <v>Travelling Expenses</v>
      </c>
      <c r="P57" s="4" t="s">
        <v>438</v>
      </c>
      <c r="Q57" s="147" t="str">
        <f>_xlfn.XLOOKUP(P57,Table2[Department],Table2[Group],"ERROR")</f>
        <v>Sales &amp; Marketing</v>
      </c>
      <c r="R57" s="18"/>
      <c r="S57" s="18"/>
      <c r="T57" s="18"/>
      <c r="V57" s="18"/>
    </row>
    <row r="58" spans="1:22" ht="12.95" customHeight="1" x14ac:dyDescent="0.2">
      <c r="A58" s="2" t="s">
        <v>15</v>
      </c>
      <c r="B58" s="2" t="s">
        <v>2</v>
      </c>
      <c r="C58" s="3">
        <v>46066</v>
      </c>
      <c r="D58" s="3">
        <v>46066</v>
      </c>
      <c r="E58" s="3">
        <v>46066</v>
      </c>
      <c r="F58" s="2" t="s">
        <v>82</v>
      </c>
      <c r="G58" s="199">
        <v>700</v>
      </c>
      <c r="H58" s="204">
        <v>0</v>
      </c>
      <c r="I58" s="228">
        <f t="shared" si="7"/>
        <v>700</v>
      </c>
      <c r="J58" s="199">
        <f t="shared" si="6"/>
        <v>177.63759999999999</v>
      </c>
      <c r="K58" s="4" t="s">
        <v>525</v>
      </c>
      <c r="L58" s="4" t="s">
        <v>525</v>
      </c>
      <c r="M58" s="4" t="s">
        <v>392</v>
      </c>
      <c r="N58" s="106" t="s">
        <v>393</v>
      </c>
      <c r="O58" s="146" t="str">
        <f>_xlfn.XLOOKUP(N58,costcategory[Account Code],costcategory[Cost Category],"ERROR")</f>
        <v>Employee Benefits</v>
      </c>
      <c r="P58" s="4" t="s">
        <v>350</v>
      </c>
      <c r="Q58" s="147" t="str">
        <f>_xlfn.XLOOKUP(P58,Table2[Department],Table2[Group],"ERROR")</f>
        <v>General &amp; Administrative</v>
      </c>
      <c r="R58" s="18"/>
      <c r="S58" s="18"/>
      <c r="T58" s="18"/>
      <c r="V58" s="18"/>
    </row>
    <row r="59" spans="1:22" ht="12.95" customHeight="1" x14ac:dyDescent="0.2">
      <c r="A59" s="2" t="s">
        <v>15</v>
      </c>
      <c r="B59" s="2" t="s">
        <v>2</v>
      </c>
      <c r="C59" s="3">
        <v>46066</v>
      </c>
      <c r="D59" s="3">
        <v>46066</v>
      </c>
      <c r="E59" s="3">
        <v>46066</v>
      </c>
      <c r="F59" s="2" t="s">
        <v>82</v>
      </c>
      <c r="G59" s="199">
        <v>79</v>
      </c>
      <c r="H59" s="204">
        <v>0</v>
      </c>
      <c r="I59" s="228">
        <f t="shared" si="7"/>
        <v>79</v>
      </c>
      <c r="J59" s="199">
        <f t="shared" si="6"/>
        <v>20.047671999999999</v>
      </c>
      <c r="K59" s="4" t="s">
        <v>525</v>
      </c>
      <c r="L59" s="4" t="s">
        <v>525</v>
      </c>
      <c r="M59" s="4" t="s">
        <v>359</v>
      </c>
      <c r="N59" s="106" t="s">
        <v>52</v>
      </c>
      <c r="O59" s="146" t="str">
        <f>_xlfn.XLOOKUP(N59,costcategory[Account Code],costcategory[Cost Category],"ERROR")</f>
        <v>Telecommunication</v>
      </c>
      <c r="P59" s="4" t="s">
        <v>45</v>
      </c>
      <c r="Q59" s="147" t="str">
        <f>_xlfn.XLOOKUP(P59,Table2[Department],Table2[Group],"ERROR")</f>
        <v>DSC</v>
      </c>
      <c r="R59" s="18"/>
      <c r="S59" s="18"/>
      <c r="T59" s="18"/>
      <c r="V59" s="18"/>
    </row>
    <row r="60" spans="1:22" ht="12.75" customHeight="1" x14ac:dyDescent="0.2">
      <c r="A60" s="2" t="s">
        <v>15</v>
      </c>
      <c r="B60" s="2" t="s">
        <v>2</v>
      </c>
      <c r="C60" s="3">
        <v>46066</v>
      </c>
      <c r="D60" s="3">
        <v>46066</v>
      </c>
      <c r="E60" s="3">
        <v>46066</v>
      </c>
      <c r="F60" s="2" t="s">
        <v>82</v>
      </c>
      <c r="G60" s="199">
        <v>24.63</v>
      </c>
      <c r="H60" s="204">
        <v>0</v>
      </c>
      <c r="I60" s="228">
        <f t="shared" si="7"/>
        <v>24.63</v>
      </c>
      <c r="J60" s="199">
        <f t="shared" si="6"/>
        <v>6.2503058399999993</v>
      </c>
      <c r="K60" s="4" t="s">
        <v>525</v>
      </c>
      <c r="L60" s="4" t="s">
        <v>525</v>
      </c>
      <c r="M60" s="4" t="s">
        <v>360</v>
      </c>
      <c r="N60" s="106" t="s">
        <v>353</v>
      </c>
      <c r="O60" s="146" t="str">
        <f>_xlfn.XLOOKUP(N60,costcategory[Account Code],costcategory[Cost Category],"ERROR")</f>
        <v>Travelling Expenses</v>
      </c>
      <c r="P60" s="4" t="s">
        <v>45</v>
      </c>
      <c r="Q60" s="147" t="str">
        <f>_xlfn.XLOOKUP(P60,Table2[Department],Table2[Group],"ERROR")</f>
        <v>DSC</v>
      </c>
      <c r="R60" s="18"/>
      <c r="S60" s="18"/>
      <c r="T60" s="18"/>
      <c r="V60" s="18"/>
    </row>
    <row r="61" spans="1:22" ht="12.75" customHeight="1" x14ac:dyDescent="0.2">
      <c r="A61" s="2" t="s">
        <v>15</v>
      </c>
      <c r="B61" s="2" t="s">
        <v>2</v>
      </c>
      <c r="C61" s="3">
        <v>46066</v>
      </c>
      <c r="D61" s="3">
        <v>46066</v>
      </c>
      <c r="E61" s="3">
        <v>46066</v>
      </c>
      <c r="F61" s="2" t="s">
        <v>82</v>
      </c>
      <c r="G61" s="199">
        <v>1891.31</v>
      </c>
      <c r="H61" s="204">
        <v>0</v>
      </c>
      <c r="I61" s="228">
        <f t="shared" ref="I61:I63" si="9">SUM(G61:H61)</f>
        <v>1891.31</v>
      </c>
      <c r="J61" s="199">
        <f t="shared" si="6"/>
        <v>479.95395607999995</v>
      </c>
      <c r="K61" s="4" t="s">
        <v>525</v>
      </c>
      <c r="L61" s="4" t="s">
        <v>525</v>
      </c>
      <c r="M61" s="4" t="s">
        <v>360</v>
      </c>
      <c r="N61" s="106" t="s">
        <v>353</v>
      </c>
      <c r="O61" s="146" t="str">
        <f>_xlfn.XLOOKUP(N61,costcategory[Account Code],costcategory[Cost Category],"ERROR")</f>
        <v>Travelling Expenses</v>
      </c>
      <c r="P61" s="4" t="s">
        <v>333</v>
      </c>
      <c r="Q61" s="147" t="str">
        <f>_xlfn.XLOOKUP(P61,Table2[Department],Table2[Group],"ERROR")</f>
        <v>General &amp; Administrative</v>
      </c>
      <c r="R61" s="18"/>
      <c r="S61" s="18"/>
      <c r="T61" s="18"/>
      <c r="V61" s="18"/>
    </row>
    <row r="62" spans="1:22" ht="12.95" customHeight="1" x14ac:dyDescent="0.2">
      <c r="A62" s="2" t="s">
        <v>15</v>
      </c>
      <c r="B62" s="2" t="s">
        <v>2</v>
      </c>
      <c r="C62" s="3">
        <v>46066</v>
      </c>
      <c r="D62" s="3">
        <v>46066</v>
      </c>
      <c r="E62" s="3">
        <v>46066</v>
      </c>
      <c r="F62" s="2" t="s">
        <v>82</v>
      </c>
      <c r="G62" s="199">
        <v>485.1</v>
      </c>
      <c r="H62" s="204">
        <v>0</v>
      </c>
      <c r="I62" s="228">
        <f t="shared" si="9"/>
        <v>485.1</v>
      </c>
      <c r="J62" s="199">
        <f t="shared" si="6"/>
        <v>123.1028568</v>
      </c>
      <c r="K62" s="4" t="s">
        <v>525</v>
      </c>
      <c r="L62" s="4" t="s">
        <v>525</v>
      </c>
      <c r="M62" s="4" t="s">
        <v>361</v>
      </c>
      <c r="N62" s="106" t="s">
        <v>356</v>
      </c>
      <c r="O62" s="146" t="str">
        <f>_xlfn.XLOOKUP(N62,costcategory[Account Code],costcategory[Cost Category],"ERROR")</f>
        <v>Travelling Expenses</v>
      </c>
      <c r="P62" s="4" t="s">
        <v>438</v>
      </c>
      <c r="Q62" s="147" t="str">
        <f>_xlfn.XLOOKUP(P62,Table2[Department],Table2[Group],"ERROR")</f>
        <v>Sales &amp; Marketing</v>
      </c>
      <c r="R62" s="18"/>
      <c r="S62" s="18"/>
      <c r="T62" s="18"/>
      <c r="V62" s="18"/>
    </row>
    <row r="63" spans="1:22" ht="12.95" customHeight="1" x14ac:dyDescent="0.2">
      <c r="A63" s="2" t="s">
        <v>15</v>
      </c>
      <c r="B63" s="2" t="s">
        <v>2</v>
      </c>
      <c r="C63" s="3">
        <v>46066</v>
      </c>
      <c r="D63" s="3">
        <v>46066</v>
      </c>
      <c r="E63" s="3">
        <v>46066</v>
      </c>
      <c r="F63" s="2" t="s">
        <v>82</v>
      </c>
      <c r="G63" s="199">
        <v>659.08</v>
      </c>
      <c r="H63" s="204">
        <v>0</v>
      </c>
      <c r="I63" s="228">
        <f t="shared" si="9"/>
        <v>659.08</v>
      </c>
      <c r="J63" s="199">
        <f t="shared" si="6"/>
        <v>167.25341344</v>
      </c>
      <c r="K63" s="4" t="s">
        <v>525</v>
      </c>
      <c r="L63" s="4" t="s">
        <v>525</v>
      </c>
      <c r="M63" s="4" t="s">
        <v>361</v>
      </c>
      <c r="N63" s="106" t="s">
        <v>356</v>
      </c>
      <c r="O63" s="146" t="str">
        <f>_xlfn.XLOOKUP(N63,costcategory[Account Code],costcategory[Cost Category],"ERROR")</f>
        <v>Travelling Expenses</v>
      </c>
      <c r="P63" s="4" t="s">
        <v>45</v>
      </c>
      <c r="Q63" s="147" t="str">
        <f>_xlfn.XLOOKUP(P63,Table2[Department],Table2[Group],"ERROR")</f>
        <v>DSC</v>
      </c>
      <c r="R63" s="18"/>
      <c r="S63" s="18"/>
      <c r="T63" s="18"/>
      <c r="V63" s="18"/>
    </row>
    <row r="64" spans="1:22" ht="12.95" customHeight="1" x14ac:dyDescent="0.2">
      <c r="A64" s="2" t="s">
        <v>15</v>
      </c>
      <c r="B64" s="2" t="s">
        <v>2</v>
      </c>
      <c r="C64" s="3">
        <v>46066</v>
      </c>
      <c r="D64" s="3">
        <v>46066</v>
      </c>
      <c r="E64" s="3">
        <v>46066</v>
      </c>
      <c r="F64" s="2" t="s">
        <v>82</v>
      </c>
      <c r="G64" s="199">
        <v>313.62</v>
      </c>
      <c r="H64" s="204">
        <v>0</v>
      </c>
      <c r="I64" s="229">
        <f t="shared" si="7"/>
        <v>313.62</v>
      </c>
      <c r="J64" s="199">
        <f t="shared" si="6"/>
        <v>79.586720159999999</v>
      </c>
      <c r="K64" s="4" t="s">
        <v>525</v>
      </c>
      <c r="L64" s="4" t="s">
        <v>525</v>
      </c>
      <c r="M64" s="4" t="s">
        <v>361</v>
      </c>
      <c r="N64" s="106" t="s">
        <v>356</v>
      </c>
      <c r="O64" s="146" t="str">
        <f>_xlfn.XLOOKUP(N64,costcategory[Account Code],costcategory[Cost Category],"ERROR")</f>
        <v>Travelling Expenses</v>
      </c>
      <c r="P64" s="4" t="s">
        <v>333</v>
      </c>
      <c r="Q64" s="147" t="str">
        <f>_xlfn.XLOOKUP(P64,Table2[Department],Table2[Group],"ERROR")</f>
        <v>General &amp; Administrative</v>
      </c>
      <c r="R64" s="18"/>
      <c r="S64" s="18"/>
      <c r="T64" s="18"/>
      <c r="V64" s="18"/>
    </row>
    <row r="65" spans="1:22" ht="12.95" customHeight="1" x14ac:dyDescent="0.2">
      <c r="A65" s="2" t="s">
        <v>15</v>
      </c>
      <c r="B65" s="2" t="s">
        <v>2</v>
      </c>
      <c r="C65" s="3">
        <v>46066</v>
      </c>
      <c r="D65" s="3">
        <v>46066</v>
      </c>
      <c r="E65" s="3">
        <v>46066</v>
      </c>
      <c r="F65" s="2" t="s">
        <v>82</v>
      </c>
      <c r="G65" s="199">
        <v>0.6</v>
      </c>
      <c r="H65" s="204">
        <v>0</v>
      </c>
      <c r="I65" s="205">
        <f t="shared" si="5"/>
        <v>0.6</v>
      </c>
      <c r="J65" s="199">
        <f t="shared" si="6"/>
        <v>0.1522608</v>
      </c>
      <c r="K65" s="106" t="s">
        <v>448</v>
      </c>
      <c r="L65" s="4" t="s">
        <v>524</v>
      </c>
      <c r="M65" s="4" t="s">
        <v>332</v>
      </c>
      <c r="N65" s="106" t="s">
        <v>332</v>
      </c>
      <c r="O65" s="146" t="str">
        <f>_xlfn.XLOOKUP(N65,costcategory[Account Code],costcategory[Cost Category],"ERROR")</f>
        <v>Bank Charges</v>
      </c>
      <c r="P65" s="4" t="s">
        <v>333</v>
      </c>
      <c r="Q65" s="147" t="str">
        <f>_xlfn.XLOOKUP(P65,Table2[Department],Table2[Group],"ERROR")</f>
        <v>General &amp; Administrative</v>
      </c>
      <c r="R65" s="18"/>
      <c r="S65" s="18"/>
      <c r="T65" s="18"/>
      <c r="V65" s="18"/>
    </row>
    <row r="66" spans="1:22" ht="12.95" customHeight="1" x14ac:dyDescent="0.2">
      <c r="A66" s="2" t="s">
        <v>15</v>
      </c>
      <c r="B66" s="2" t="s">
        <v>2</v>
      </c>
      <c r="C66" s="3">
        <v>46066</v>
      </c>
      <c r="D66" s="3">
        <v>46066</v>
      </c>
      <c r="E66" s="3">
        <v>46060</v>
      </c>
      <c r="F66" s="2" t="s">
        <v>82</v>
      </c>
      <c r="G66" s="204">
        <v>2700</v>
      </c>
      <c r="H66" s="204">
        <v>0</v>
      </c>
      <c r="I66" s="205">
        <f t="shared" si="5"/>
        <v>2700</v>
      </c>
      <c r="J66" s="199">
        <f t="shared" si="6"/>
        <v>685.17359999999996</v>
      </c>
      <c r="K66" s="106" t="s">
        <v>485</v>
      </c>
      <c r="L66" s="4" t="s">
        <v>505</v>
      </c>
      <c r="M66" s="4" t="s">
        <v>506</v>
      </c>
      <c r="N66" s="106" t="s">
        <v>409</v>
      </c>
      <c r="O66" s="146" t="str">
        <f>_xlfn.XLOOKUP(N66,costcategory[Account Code],costcategory[Cost Category],"ERROR")</f>
        <v>Rental</v>
      </c>
      <c r="P66" s="4" t="s">
        <v>340</v>
      </c>
      <c r="Q66" s="147" t="str">
        <f>_xlfn.XLOOKUP(P66,Table2[Department],Table2[Group],"ERROR")</f>
        <v>General &amp; Administrative</v>
      </c>
      <c r="R66" s="18"/>
      <c r="S66" s="18"/>
      <c r="T66" s="18"/>
      <c r="V66" s="18"/>
    </row>
    <row r="67" spans="1:22" ht="12.95" customHeight="1" x14ac:dyDescent="0.2">
      <c r="A67" s="2" t="s">
        <v>15</v>
      </c>
      <c r="B67" s="2" t="s">
        <v>2</v>
      </c>
      <c r="C67" s="3">
        <v>46066</v>
      </c>
      <c r="D67" s="3">
        <v>46041</v>
      </c>
      <c r="E67" s="3">
        <v>46066</v>
      </c>
      <c r="F67" s="2" t="s">
        <v>82</v>
      </c>
      <c r="G67" s="204">
        <v>32030.639999999999</v>
      </c>
      <c r="H67" s="204">
        <v>0</v>
      </c>
      <c r="I67" s="227">
        <f t="shared" si="5"/>
        <v>32030.639999999999</v>
      </c>
      <c r="J67" s="199">
        <f t="shared" si="6"/>
        <v>8128.3514515199995</v>
      </c>
      <c r="K67" s="106" t="s">
        <v>512</v>
      </c>
      <c r="L67" s="4" t="s">
        <v>513</v>
      </c>
      <c r="M67" s="4" t="s">
        <v>514</v>
      </c>
      <c r="N67" s="106" t="s">
        <v>349</v>
      </c>
      <c r="O67" s="146" t="str">
        <f>_xlfn.XLOOKUP(N67,costcategory[Account Code],costcategory[Cost Category],"ERROR")</f>
        <v>Employee Benefits</v>
      </c>
      <c r="P67" s="4" t="s">
        <v>350</v>
      </c>
      <c r="Q67" s="147" t="str">
        <f>_xlfn.XLOOKUP(P67,Table2[Department],Table2[Group],"ERROR")</f>
        <v>General &amp; Administrative</v>
      </c>
      <c r="R67" s="18"/>
      <c r="S67" s="18"/>
      <c r="T67" s="18"/>
      <c r="V67" s="18"/>
    </row>
    <row r="68" spans="1:22" ht="12.95" customHeight="1" x14ac:dyDescent="0.2">
      <c r="A68" s="2" t="s">
        <v>15</v>
      </c>
      <c r="B68" s="2" t="s">
        <v>2</v>
      </c>
      <c r="C68" s="3">
        <v>46066</v>
      </c>
      <c r="D68" s="3">
        <v>46041</v>
      </c>
      <c r="E68" s="3">
        <v>46066</v>
      </c>
      <c r="F68" s="2" t="s">
        <v>82</v>
      </c>
      <c r="G68" s="204">
        <v>10</v>
      </c>
      <c r="H68" s="204">
        <v>0</v>
      </c>
      <c r="I68" s="229">
        <f t="shared" ref="I68" si="10">SUM(G68:H68)</f>
        <v>10</v>
      </c>
      <c r="J68" s="199">
        <f t="shared" si="6"/>
        <v>2.5376799999999999</v>
      </c>
      <c r="K68" s="106" t="s">
        <v>512</v>
      </c>
      <c r="L68" s="4" t="s">
        <v>513</v>
      </c>
      <c r="M68" s="4" t="s">
        <v>515</v>
      </c>
      <c r="N68" s="106" t="s">
        <v>472</v>
      </c>
      <c r="O68" s="146" t="str">
        <f>_xlfn.XLOOKUP(N68,costcategory[Account Code],costcategory[Cost Category],"ERROR")</f>
        <v>Compliance Costs</v>
      </c>
      <c r="P68" s="4" t="s">
        <v>350</v>
      </c>
      <c r="Q68" s="147" t="str">
        <f>_xlfn.XLOOKUP(P68,Table2[Department],Table2[Group],"ERROR")</f>
        <v>General &amp; Administrative</v>
      </c>
      <c r="R68" s="18"/>
      <c r="S68" s="18"/>
      <c r="T68" s="18"/>
      <c r="V68" s="18"/>
    </row>
    <row r="69" spans="1:22" ht="12.95" customHeight="1" x14ac:dyDescent="0.2">
      <c r="A69" s="2" t="s">
        <v>15</v>
      </c>
      <c r="B69" s="2" t="s">
        <v>2</v>
      </c>
      <c r="C69" s="3">
        <v>46066</v>
      </c>
      <c r="D69" s="3">
        <v>46066</v>
      </c>
      <c r="E69" s="3">
        <v>46066</v>
      </c>
      <c r="F69" s="2" t="s">
        <v>82</v>
      </c>
      <c r="G69" s="204">
        <v>0.5</v>
      </c>
      <c r="H69" s="204">
        <v>0</v>
      </c>
      <c r="I69" s="205">
        <f t="shared" si="5"/>
        <v>0.5</v>
      </c>
      <c r="J69" s="199">
        <f t="shared" si="6"/>
        <v>0.126884</v>
      </c>
      <c r="K69" s="106" t="s">
        <v>448</v>
      </c>
      <c r="L69" s="4" t="s">
        <v>524</v>
      </c>
      <c r="M69" s="4" t="s">
        <v>332</v>
      </c>
      <c r="N69" s="106" t="s">
        <v>332</v>
      </c>
      <c r="O69" s="146" t="str">
        <f>_xlfn.XLOOKUP(N69,costcategory[Account Code],costcategory[Cost Category],"ERROR")</f>
        <v>Bank Charges</v>
      </c>
      <c r="P69" s="4" t="s">
        <v>333</v>
      </c>
      <c r="Q69" s="147" t="str">
        <f>_xlfn.XLOOKUP(P69,Table2[Department],Table2[Group],"ERROR")</f>
        <v>General &amp; Administrative</v>
      </c>
      <c r="R69" s="18"/>
      <c r="S69" s="18"/>
      <c r="T69" s="18"/>
      <c r="V69" s="18"/>
    </row>
    <row r="70" spans="1:22" ht="12.95" customHeight="1" x14ac:dyDescent="0.2">
      <c r="A70" s="2" t="s">
        <v>15</v>
      </c>
      <c r="B70" s="2" t="s">
        <v>2</v>
      </c>
      <c r="C70" s="3">
        <v>46066</v>
      </c>
      <c r="D70" s="3">
        <v>46061</v>
      </c>
      <c r="E70" s="3">
        <v>46066</v>
      </c>
      <c r="F70" s="2" t="s">
        <v>82</v>
      </c>
      <c r="G70" s="204">
        <v>3900</v>
      </c>
      <c r="H70" s="204">
        <v>0</v>
      </c>
      <c r="I70" s="205">
        <f t="shared" si="5"/>
        <v>3900</v>
      </c>
      <c r="J70" s="199">
        <f t="shared" si="6"/>
        <v>989.6952</v>
      </c>
      <c r="K70" s="106" t="s">
        <v>518</v>
      </c>
      <c r="L70" s="4" t="s">
        <v>519</v>
      </c>
      <c r="M70" s="4" t="s">
        <v>520</v>
      </c>
      <c r="N70" s="106" t="s">
        <v>409</v>
      </c>
      <c r="O70" s="146" t="str">
        <f>_xlfn.XLOOKUP(N70,costcategory[Account Code],costcategory[Cost Category],"ERROR")</f>
        <v>Rental</v>
      </c>
      <c r="P70" s="4" t="s">
        <v>340</v>
      </c>
      <c r="Q70" s="147" t="str">
        <f>_xlfn.XLOOKUP(P70,Table2[Department],Table2[Group],"ERROR")</f>
        <v>General &amp; Administrative</v>
      </c>
      <c r="R70" s="18"/>
      <c r="S70" s="18"/>
      <c r="T70" s="18"/>
      <c r="V70" s="18"/>
    </row>
    <row r="71" spans="1:22" ht="12.95" customHeight="1" x14ac:dyDescent="0.2">
      <c r="A71" s="2" t="s">
        <v>15</v>
      </c>
      <c r="B71" s="2" t="s">
        <v>2</v>
      </c>
      <c r="C71" s="3">
        <v>46066</v>
      </c>
      <c r="D71" s="3">
        <v>46052</v>
      </c>
      <c r="E71" s="3">
        <v>46066</v>
      </c>
      <c r="F71" s="2" t="s">
        <v>82</v>
      </c>
      <c r="G71" s="204">
        <v>11666.05</v>
      </c>
      <c r="H71" s="204">
        <v>0</v>
      </c>
      <c r="I71" s="205">
        <f t="shared" si="5"/>
        <v>11666.05</v>
      </c>
      <c r="J71" s="199">
        <f t="shared" si="6"/>
        <v>2960.4701763999997</v>
      </c>
      <c r="K71" s="106" t="s">
        <v>516</v>
      </c>
      <c r="L71" s="4" t="s">
        <v>494</v>
      </c>
      <c r="M71" s="145" t="s">
        <v>517</v>
      </c>
      <c r="N71" s="106" t="s">
        <v>464</v>
      </c>
      <c r="O71" s="146" t="str">
        <f>_xlfn.XLOOKUP(N71,costcategory[Account Code],costcategory[Cost Category],"ERROR")</f>
        <v>Accrual - Expenses of 2025</v>
      </c>
      <c r="P71" s="4" t="s">
        <v>350</v>
      </c>
      <c r="Q71" s="147" t="str">
        <f>_xlfn.XLOOKUP(P71,Table2[Department],Table2[Group],"ERROR")</f>
        <v>General &amp; Administrative</v>
      </c>
      <c r="R71" s="18"/>
      <c r="S71" s="18"/>
      <c r="T71" s="18"/>
      <c r="V71" s="18"/>
    </row>
    <row r="72" spans="1:22" ht="12.95" customHeight="1" x14ac:dyDescent="0.2">
      <c r="A72" s="2" t="s">
        <v>15</v>
      </c>
      <c r="B72" s="2" t="s">
        <v>2</v>
      </c>
      <c r="C72" s="3">
        <v>46066</v>
      </c>
      <c r="D72" s="3">
        <v>46066</v>
      </c>
      <c r="E72" s="3">
        <v>46066</v>
      </c>
      <c r="F72" s="2" t="s">
        <v>82</v>
      </c>
      <c r="G72" s="204">
        <v>0.5</v>
      </c>
      <c r="H72" s="204">
        <v>0</v>
      </c>
      <c r="I72" s="205">
        <f t="shared" si="5"/>
        <v>0.5</v>
      </c>
      <c r="J72" s="199">
        <f t="shared" si="6"/>
        <v>0.126884</v>
      </c>
      <c r="K72" s="106" t="s">
        <v>448</v>
      </c>
      <c r="L72" s="4" t="s">
        <v>524</v>
      </c>
      <c r="M72" s="4" t="s">
        <v>332</v>
      </c>
      <c r="N72" s="106" t="s">
        <v>332</v>
      </c>
      <c r="O72" s="146" t="str">
        <f>_xlfn.XLOOKUP(N72,costcategory[Account Code],costcategory[Cost Category],"ERROR")</f>
        <v>Bank Charges</v>
      </c>
      <c r="P72" s="4" t="s">
        <v>333</v>
      </c>
      <c r="Q72" s="147" t="str">
        <f>_xlfn.XLOOKUP(P72,Table2[Department],Table2[Group],"ERROR")</f>
        <v>General &amp; Administrative</v>
      </c>
      <c r="R72" s="18"/>
      <c r="S72" s="18"/>
      <c r="T72" s="18"/>
      <c r="V72" s="18"/>
    </row>
    <row r="73" spans="1:22" ht="12.95" customHeight="1" x14ac:dyDescent="0.2">
      <c r="A73" s="2" t="s">
        <v>15</v>
      </c>
      <c r="B73" s="2" t="s">
        <v>2</v>
      </c>
      <c r="C73" s="3">
        <v>46066</v>
      </c>
      <c r="D73" s="3">
        <v>46066</v>
      </c>
      <c r="E73" s="3">
        <v>46066</v>
      </c>
      <c r="F73" s="2" t="s">
        <v>82</v>
      </c>
      <c r="G73" s="204">
        <v>1000</v>
      </c>
      <c r="H73" s="204">
        <v>0</v>
      </c>
      <c r="I73" s="205">
        <f t="shared" si="5"/>
        <v>1000</v>
      </c>
      <c r="J73" s="199">
        <f t="shared" si="6"/>
        <v>253.768</v>
      </c>
      <c r="K73" s="106" t="s">
        <v>521</v>
      </c>
      <c r="M73" s="4" t="s">
        <v>522</v>
      </c>
      <c r="N73" s="106" t="s">
        <v>367</v>
      </c>
      <c r="O73" s="146" t="str">
        <f>_xlfn.XLOOKUP(N73,costcategory[Account Code],costcategory[Cost Category],"ERROR")</f>
        <v>Professional &amp; Consultancy Fees</v>
      </c>
      <c r="P73" s="4" t="s">
        <v>523</v>
      </c>
      <c r="Q73" s="147" t="str">
        <f>_xlfn.XLOOKUP(P73,Table2[Department],Table2[Group],"ERROR")</f>
        <v>General &amp; Administrative</v>
      </c>
      <c r="R73" s="18"/>
      <c r="S73" s="18"/>
      <c r="T73" s="18"/>
      <c r="V73" s="18"/>
    </row>
    <row r="74" spans="1:22" ht="12.95" customHeight="1" x14ac:dyDescent="0.2">
      <c r="A74" s="2" t="s">
        <v>15</v>
      </c>
      <c r="B74" s="2" t="s">
        <v>2</v>
      </c>
      <c r="C74" s="3">
        <v>46066</v>
      </c>
      <c r="D74" s="3">
        <v>46038</v>
      </c>
      <c r="E74" s="3">
        <v>46066</v>
      </c>
      <c r="F74" s="2" t="s">
        <v>82</v>
      </c>
      <c r="G74" s="204">
        <v>-1000000</v>
      </c>
      <c r="H74" s="204">
        <v>0</v>
      </c>
      <c r="I74" s="205">
        <f t="shared" si="5"/>
        <v>-1000000</v>
      </c>
      <c r="J74" s="199">
        <f t="shared" si="6"/>
        <v>-253768</v>
      </c>
      <c r="K74" s="106" t="s">
        <v>511</v>
      </c>
      <c r="L74" s="4" t="s">
        <v>100</v>
      </c>
      <c r="M74" s="4" t="s">
        <v>293</v>
      </c>
      <c r="N74" s="106" t="s">
        <v>382</v>
      </c>
      <c r="O74" s="146" t="str">
        <f>_xlfn.XLOOKUP(N74,costcategory[Account Code],costcategory[Cost Category],"ERROR")</f>
        <v>Revenue</v>
      </c>
      <c r="P74" s="4" t="s">
        <v>438</v>
      </c>
      <c r="Q74" s="147" t="str">
        <f>_xlfn.XLOOKUP(P74,Table2[Department],Table2[Group],"ERROR")</f>
        <v>Sales &amp; Marketing</v>
      </c>
      <c r="R74" s="18"/>
      <c r="S74" s="18"/>
      <c r="T74" s="18"/>
      <c r="V74" s="18"/>
    </row>
    <row r="75" spans="1:22" ht="12.95" customHeight="1" x14ac:dyDescent="0.2">
      <c r="A75" s="2" t="s">
        <v>15</v>
      </c>
      <c r="B75" s="2" t="s">
        <v>2</v>
      </c>
      <c r="C75" s="3">
        <v>46066</v>
      </c>
      <c r="D75" s="3">
        <v>46038</v>
      </c>
      <c r="E75" s="3">
        <v>46066</v>
      </c>
      <c r="F75" s="2" t="s">
        <v>82</v>
      </c>
      <c r="G75" s="199">
        <v>-883220</v>
      </c>
      <c r="H75" s="204">
        <v>0</v>
      </c>
      <c r="I75" s="205">
        <f t="shared" ref="I75:I76" si="11">SUM(G75:H75)</f>
        <v>-883220</v>
      </c>
      <c r="J75" s="199">
        <f t="shared" si="6"/>
        <v>-224132.97295999998</v>
      </c>
      <c r="K75" s="106" t="s">
        <v>511</v>
      </c>
      <c r="L75" s="4" t="s">
        <v>100</v>
      </c>
      <c r="M75" s="4" t="s">
        <v>293</v>
      </c>
      <c r="N75" s="106" t="s">
        <v>382</v>
      </c>
      <c r="O75" s="146" t="str">
        <f>_xlfn.XLOOKUP(N75,costcategory[Account Code],costcategory[Cost Category],"ERROR")</f>
        <v>Revenue</v>
      </c>
      <c r="P75" s="4" t="s">
        <v>438</v>
      </c>
      <c r="Q75" s="147" t="str">
        <f>_xlfn.XLOOKUP(P75,Table2[Department],Table2[Group],"ERROR")</f>
        <v>Sales &amp; Marketing</v>
      </c>
      <c r="R75" s="18"/>
      <c r="S75" s="18"/>
      <c r="T75" s="18"/>
      <c r="V75" s="18"/>
    </row>
    <row r="76" spans="1:22" ht="12.95" customHeight="1" x14ac:dyDescent="0.2">
      <c r="A76" s="2" t="s">
        <v>15</v>
      </c>
      <c r="B76" s="2" t="s">
        <v>2</v>
      </c>
      <c r="C76" s="3">
        <v>46077</v>
      </c>
      <c r="D76" s="3">
        <v>46077</v>
      </c>
      <c r="E76" s="3">
        <v>46077</v>
      </c>
      <c r="F76" s="2" t="s">
        <v>82</v>
      </c>
      <c r="G76" s="199">
        <v>749374.2</v>
      </c>
      <c r="H76" s="204">
        <v>0</v>
      </c>
      <c r="I76" s="205">
        <f t="shared" si="11"/>
        <v>749374.2</v>
      </c>
      <c r="J76" s="199">
        <f t="shared" si="6"/>
        <v>190167.19198559999</v>
      </c>
      <c r="K76" s="106" t="s">
        <v>455</v>
      </c>
      <c r="L76" s="4" t="s">
        <v>528</v>
      </c>
      <c r="M76" s="4" t="s">
        <v>457</v>
      </c>
      <c r="N76" s="106" t="s">
        <v>418</v>
      </c>
      <c r="O76" s="146" t="str">
        <f>_xlfn.XLOOKUP(N76,costcategory[Account Code],costcategory[Cost Category],"ERROR")</f>
        <v>Internal Fund Transfer</v>
      </c>
      <c r="P76" s="4" t="s">
        <v>333</v>
      </c>
      <c r="Q76" s="147" t="str">
        <f>_xlfn.XLOOKUP(P76,Table2[Department],Table2[Group],"ERROR")</f>
        <v>General &amp; Administrative</v>
      </c>
      <c r="R76" s="18"/>
      <c r="S76" s="18"/>
      <c r="T76" s="18"/>
      <c r="V76" s="18"/>
    </row>
    <row r="77" spans="1:22" ht="12.95" customHeight="1" x14ac:dyDescent="0.2">
      <c r="A77" s="2" t="s">
        <v>15</v>
      </c>
      <c r="B77" s="2" t="s">
        <v>2</v>
      </c>
      <c r="C77" s="3">
        <v>46078</v>
      </c>
      <c r="D77" s="3">
        <v>46078</v>
      </c>
      <c r="E77" s="3">
        <v>46078</v>
      </c>
      <c r="F77" s="2" t="s">
        <v>82</v>
      </c>
      <c r="G77" s="199">
        <v>40</v>
      </c>
      <c r="H77" s="204">
        <v>0</v>
      </c>
      <c r="I77" s="205">
        <f t="shared" si="5"/>
        <v>40</v>
      </c>
      <c r="J77" s="199">
        <f t="shared" si="6"/>
        <v>10.15072</v>
      </c>
      <c r="K77" s="106" t="s">
        <v>448</v>
      </c>
      <c r="L77" s="4" t="s">
        <v>529</v>
      </c>
      <c r="M77" s="4" t="s">
        <v>332</v>
      </c>
      <c r="N77" s="106" t="s">
        <v>332</v>
      </c>
      <c r="O77" s="146" t="str">
        <f>_xlfn.XLOOKUP(N77,costcategory[Account Code],costcategory[Cost Category],"ERROR")</f>
        <v>Bank Charges</v>
      </c>
      <c r="P77" s="4" t="s">
        <v>333</v>
      </c>
      <c r="Q77" s="147" t="str">
        <f>_xlfn.XLOOKUP(P77,Table2[Department],Table2[Group],"ERROR")</f>
        <v>General &amp; Administrative</v>
      </c>
      <c r="R77" s="18"/>
      <c r="S77" s="18"/>
      <c r="T77" s="18"/>
      <c r="V77" s="18"/>
    </row>
    <row r="78" spans="1:22" ht="12.95" customHeight="1" x14ac:dyDescent="0.2">
      <c r="A78" s="2" t="s">
        <v>15</v>
      </c>
      <c r="B78" s="2" t="s">
        <v>2</v>
      </c>
      <c r="C78" s="3">
        <v>46078</v>
      </c>
      <c r="D78" s="3">
        <v>46078</v>
      </c>
      <c r="E78" s="3">
        <v>46078</v>
      </c>
      <c r="F78" s="2" t="s">
        <v>82</v>
      </c>
      <c r="G78" s="199">
        <v>3.2</v>
      </c>
      <c r="H78" s="204">
        <v>0</v>
      </c>
      <c r="I78" s="205">
        <f t="shared" si="5"/>
        <v>3.2</v>
      </c>
      <c r="J78" s="199">
        <f t="shared" si="6"/>
        <v>0.81205760000000005</v>
      </c>
      <c r="K78" s="106" t="s">
        <v>448</v>
      </c>
      <c r="L78" s="4" t="s">
        <v>529</v>
      </c>
      <c r="M78" s="4" t="s">
        <v>332</v>
      </c>
      <c r="N78" s="106" t="s">
        <v>332</v>
      </c>
      <c r="O78" s="146" t="str">
        <f>_xlfn.XLOOKUP(N78,costcategory[Account Code],costcategory[Cost Category],"ERROR")</f>
        <v>Bank Charges</v>
      </c>
      <c r="P78" s="4" t="s">
        <v>333</v>
      </c>
      <c r="Q78" s="147" t="str">
        <f>_xlfn.XLOOKUP(P78,Table2[Department],Table2[Group],"ERROR")</f>
        <v>General &amp; Administrative</v>
      </c>
      <c r="R78" s="18"/>
      <c r="S78" s="18"/>
      <c r="T78" s="18"/>
      <c r="V78" s="18"/>
    </row>
    <row r="79" spans="1:22" ht="12.95" customHeight="1" x14ac:dyDescent="0.2">
      <c r="A79" s="2" t="s">
        <v>15</v>
      </c>
      <c r="B79" s="2" t="s">
        <v>2</v>
      </c>
      <c r="C79" s="3">
        <v>46080</v>
      </c>
      <c r="D79" s="3">
        <v>46080</v>
      </c>
      <c r="E79" s="3">
        <v>46080</v>
      </c>
      <c r="F79" s="2" t="s">
        <v>82</v>
      </c>
      <c r="G79" s="199">
        <v>140636.6</v>
      </c>
      <c r="H79" s="204">
        <v>0</v>
      </c>
      <c r="I79" s="205">
        <f t="shared" si="5"/>
        <v>140636.6</v>
      </c>
      <c r="J79" s="199">
        <f t="shared" si="6"/>
        <v>35689.068708799998</v>
      </c>
      <c r="K79" s="106" t="s">
        <v>1325</v>
      </c>
      <c r="L79" s="4" t="s">
        <v>1336</v>
      </c>
      <c r="M79" s="4" t="s">
        <v>1337</v>
      </c>
      <c r="N79" s="106" t="s">
        <v>387</v>
      </c>
      <c r="O79" s="146" t="str">
        <f>_xlfn.XLOOKUP(N79,costcategory[Account Code],costcategory[Cost Category],"ERROR")</f>
        <v>Headcount Costs</v>
      </c>
      <c r="P79" s="4" t="s">
        <v>350</v>
      </c>
      <c r="Q79" s="147" t="str">
        <f>_xlfn.XLOOKUP(P79,Table2[Department],Table2[Group],"ERROR")</f>
        <v>General &amp; Administrative</v>
      </c>
      <c r="R79" s="18"/>
      <c r="S79" s="18"/>
      <c r="T79" s="18"/>
      <c r="V79" s="18"/>
    </row>
    <row r="80" spans="1:22" ht="12.95" customHeight="1" x14ac:dyDescent="0.2">
      <c r="A80" s="2" t="s">
        <v>15</v>
      </c>
      <c r="B80" s="2" t="s">
        <v>2</v>
      </c>
      <c r="C80" s="3">
        <v>46080</v>
      </c>
      <c r="D80" s="3">
        <v>46080</v>
      </c>
      <c r="E80" s="3">
        <v>46080</v>
      </c>
      <c r="F80" s="2" t="s">
        <v>82</v>
      </c>
      <c r="G80" s="199">
        <v>0.5</v>
      </c>
      <c r="H80" s="204">
        <v>0</v>
      </c>
      <c r="I80" s="205">
        <f t="shared" si="5"/>
        <v>0.5</v>
      </c>
      <c r="J80" s="199">
        <f t="shared" si="6"/>
        <v>0.126884</v>
      </c>
      <c r="K80" s="106" t="s">
        <v>448</v>
      </c>
      <c r="L80" s="4" t="s">
        <v>536</v>
      </c>
      <c r="M80" s="4" t="s">
        <v>332</v>
      </c>
      <c r="N80" s="106" t="s">
        <v>332</v>
      </c>
      <c r="O80" s="146" t="str">
        <f>_xlfn.XLOOKUP(N80,costcategory[Account Code],costcategory[Cost Category],"ERROR")</f>
        <v>Bank Charges</v>
      </c>
      <c r="P80" s="4" t="s">
        <v>333</v>
      </c>
      <c r="Q80" s="147" t="str">
        <f>_xlfn.XLOOKUP(P80,Table2[Department],Table2[Group],"ERROR")</f>
        <v>General &amp; Administrative</v>
      </c>
      <c r="R80" s="18"/>
      <c r="S80" s="18"/>
      <c r="T80" s="18"/>
      <c r="V80" s="18"/>
    </row>
    <row r="81" spans="1:22" ht="12.95" customHeight="1" x14ac:dyDescent="0.2">
      <c r="A81" s="2" t="s">
        <v>15</v>
      </c>
      <c r="B81" s="2" t="s">
        <v>2</v>
      </c>
      <c r="C81" s="3">
        <v>46080</v>
      </c>
      <c r="D81" s="3">
        <v>46080</v>
      </c>
      <c r="E81" s="3">
        <v>46080</v>
      </c>
      <c r="F81" s="2" t="s">
        <v>82</v>
      </c>
      <c r="G81" s="199">
        <v>0.5</v>
      </c>
      <c r="H81" s="204">
        <v>0</v>
      </c>
      <c r="I81" s="205">
        <f t="shared" ref="I81:I88" si="12">SUM(G81:H81)</f>
        <v>0.5</v>
      </c>
      <c r="J81" s="199">
        <f t="shared" si="6"/>
        <v>0.126884</v>
      </c>
      <c r="K81" s="106" t="s">
        <v>448</v>
      </c>
      <c r="L81" s="4" t="s">
        <v>536</v>
      </c>
      <c r="M81" s="4" t="s">
        <v>332</v>
      </c>
      <c r="N81" s="106" t="s">
        <v>332</v>
      </c>
      <c r="O81" s="146" t="str">
        <f>_xlfn.XLOOKUP(N81,costcategory[Account Code],costcategory[Cost Category],"ERROR")</f>
        <v>Bank Charges</v>
      </c>
      <c r="P81" s="4" t="s">
        <v>333</v>
      </c>
      <c r="Q81" s="147" t="str">
        <f>_xlfn.XLOOKUP(P81,Table2[Department],Table2[Group],"ERROR")</f>
        <v>General &amp; Administrative</v>
      </c>
      <c r="R81" s="18"/>
      <c r="S81" s="18"/>
      <c r="T81" s="18"/>
      <c r="V81" s="18"/>
    </row>
    <row r="82" spans="1:22" ht="12.95" customHeight="1" x14ac:dyDescent="0.2">
      <c r="A82" s="2" t="s">
        <v>15</v>
      </c>
      <c r="B82" s="2" t="s">
        <v>2</v>
      </c>
      <c r="C82" s="3">
        <v>46080</v>
      </c>
      <c r="D82" s="3">
        <v>46080</v>
      </c>
      <c r="E82" s="3">
        <v>46080</v>
      </c>
      <c r="F82" s="2" t="s">
        <v>82</v>
      </c>
      <c r="G82" s="199">
        <v>0.5</v>
      </c>
      <c r="H82" s="204">
        <v>0</v>
      </c>
      <c r="I82" s="205">
        <f t="shared" si="12"/>
        <v>0.5</v>
      </c>
      <c r="J82" s="199">
        <f t="shared" si="6"/>
        <v>0.126884</v>
      </c>
      <c r="K82" s="106" t="s">
        <v>448</v>
      </c>
      <c r="L82" s="4" t="s">
        <v>536</v>
      </c>
      <c r="M82" s="4" t="s">
        <v>332</v>
      </c>
      <c r="N82" s="106" t="s">
        <v>332</v>
      </c>
      <c r="O82" s="146" t="str">
        <f>_xlfn.XLOOKUP(N82,costcategory[Account Code],costcategory[Cost Category],"ERROR")</f>
        <v>Bank Charges</v>
      </c>
      <c r="P82" s="4" t="s">
        <v>333</v>
      </c>
      <c r="Q82" s="147" t="str">
        <f>_xlfn.XLOOKUP(P82,Table2[Department],Table2[Group],"ERROR")</f>
        <v>General &amp; Administrative</v>
      </c>
      <c r="R82" s="18"/>
      <c r="S82" s="18"/>
      <c r="T82" s="18"/>
      <c r="V82" s="18"/>
    </row>
    <row r="83" spans="1:22" ht="12.95" customHeight="1" x14ac:dyDescent="0.2">
      <c r="A83" s="2" t="s">
        <v>15</v>
      </c>
      <c r="B83" s="2" t="s">
        <v>2</v>
      </c>
      <c r="C83" s="3">
        <v>46080</v>
      </c>
      <c r="D83" s="3">
        <v>46080</v>
      </c>
      <c r="E83" s="3">
        <v>46080</v>
      </c>
      <c r="F83" s="2" t="s">
        <v>82</v>
      </c>
      <c r="G83" s="199">
        <v>0.5</v>
      </c>
      <c r="H83" s="204">
        <v>0</v>
      </c>
      <c r="I83" s="205">
        <f t="shared" si="12"/>
        <v>0.5</v>
      </c>
      <c r="J83" s="199">
        <f t="shared" si="6"/>
        <v>0.126884</v>
      </c>
      <c r="K83" s="106" t="s">
        <v>448</v>
      </c>
      <c r="L83" s="4" t="s">
        <v>536</v>
      </c>
      <c r="M83" s="4" t="s">
        <v>332</v>
      </c>
      <c r="N83" s="106" t="s">
        <v>332</v>
      </c>
      <c r="O83" s="146" t="str">
        <f>_xlfn.XLOOKUP(N83,costcategory[Account Code],costcategory[Cost Category],"ERROR")</f>
        <v>Bank Charges</v>
      </c>
      <c r="P83" s="4" t="s">
        <v>333</v>
      </c>
      <c r="Q83" s="147" t="str">
        <f>_xlfn.XLOOKUP(P83,Table2[Department],Table2[Group],"ERROR")</f>
        <v>General &amp; Administrative</v>
      </c>
      <c r="R83" s="18"/>
      <c r="S83" s="18"/>
      <c r="T83" s="18"/>
      <c r="V83" s="18"/>
    </row>
    <row r="84" spans="1:22" ht="12.95" customHeight="1" x14ac:dyDescent="0.2">
      <c r="A84" s="2" t="s">
        <v>15</v>
      </c>
      <c r="B84" s="2" t="s">
        <v>2</v>
      </c>
      <c r="C84" s="3">
        <v>46080</v>
      </c>
      <c r="D84" s="3">
        <v>46080</v>
      </c>
      <c r="E84" s="3">
        <v>46080</v>
      </c>
      <c r="F84" s="2" t="s">
        <v>82</v>
      </c>
      <c r="G84" s="199">
        <v>0.5</v>
      </c>
      <c r="H84" s="204">
        <v>0</v>
      </c>
      <c r="I84" s="205">
        <f t="shared" si="12"/>
        <v>0.5</v>
      </c>
      <c r="J84" s="199">
        <f t="shared" si="6"/>
        <v>0.126884</v>
      </c>
      <c r="K84" s="106" t="s">
        <v>448</v>
      </c>
      <c r="L84" s="4" t="s">
        <v>536</v>
      </c>
      <c r="M84" s="4" t="s">
        <v>332</v>
      </c>
      <c r="N84" s="106" t="s">
        <v>332</v>
      </c>
      <c r="O84" s="146" t="str">
        <f>_xlfn.XLOOKUP(N84,costcategory[Account Code],costcategory[Cost Category],"ERROR")</f>
        <v>Bank Charges</v>
      </c>
      <c r="P84" s="4" t="s">
        <v>333</v>
      </c>
      <c r="Q84" s="147" t="str">
        <f>_xlfn.XLOOKUP(P84,Table2[Department],Table2[Group],"ERROR")</f>
        <v>General &amp; Administrative</v>
      </c>
      <c r="R84" s="18"/>
      <c r="S84" s="18"/>
      <c r="T84" s="18"/>
      <c r="V84" s="18"/>
    </row>
    <row r="85" spans="1:22" ht="12.95" customHeight="1" x14ac:dyDescent="0.2">
      <c r="A85" s="2" t="s">
        <v>15</v>
      </c>
      <c r="B85" s="2" t="s">
        <v>2</v>
      </c>
      <c r="C85" s="3">
        <v>46080</v>
      </c>
      <c r="D85" s="3">
        <v>46080</v>
      </c>
      <c r="E85" s="3">
        <v>46080</v>
      </c>
      <c r="F85" s="2" t="s">
        <v>82</v>
      </c>
      <c r="G85" s="199">
        <v>0.5</v>
      </c>
      <c r="H85" s="204">
        <v>0</v>
      </c>
      <c r="I85" s="205">
        <f t="shared" si="12"/>
        <v>0.5</v>
      </c>
      <c r="J85" s="199">
        <f t="shared" si="6"/>
        <v>0.126884</v>
      </c>
      <c r="K85" s="106" t="s">
        <v>448</v>
      </c>
      <c r="L85" s="4" t="s">
        <v>536</v>
      </c>
      <c r="M85" s="4" t="s">
        <v>332</v>
      </c>
      <c r="N85" s="106" t="s">
        <v>332</v>
      </c>
      <c r="O85" s="146" t="str">
        <f>_xlfn.XLOOKUP(N85,costcategory[Account Code],costcategory[Cost Category],"ERROR")</f>
        <v>Bank Charges</v>
      </c>
      <c r="P85" s="4" t="s">
        <v>333</v>
      </c>
      <c r="Q85" s="147" t="str">
        <f>_xlfn.XLOOKUP(P85,Table2[Department],Table2[Group],"ERROR")</f>
        <v>General &amp; Administrative</v>
      </c>
      <c r="R85" s="18"/>
      <c r="S85" s="18"/>
      <c r="T85" s="18"/>
      <c r="V85" s="18"/>
    </row>
    <row r="86" spans="1:22" ht="12.95" customHeight="1" x14ac:dyDescent="0.2">
      <c r="A86" s="2" t="s">
        <v>15</v>
      </c>
      <c r="B86" s="2" t="s">
        <v>2</v>
      </c>
      <c r="C86" s="3">
        <v>46080</v>
      </c>
      <c r="D86" s="3">
        <v>46080</v>
      </c>
      <c r="E86" s="3">
        <v>46080</v>
      </c>
      <c r="F86" s="2" t="s">
        <v>82</v>
      </c>
      <c r="G86" s="199">
        <v>0.5</v>
      </c>
      <c r="H86" s="204">
        <v>0</v>
      </c>
      <c r="I86" s="205">
        <f t="shared" si="12"/>
        <v>0.5</v>
      </c>
      <c r="J86" s="199">
        <f t="shared" si="6"/>
        <v>0.126884</v>
      </c>
      <c r="K86" s="106" t="s">
        <v>448</v>
      </c>
      <c r="L86" s="4" t="s">
        <v>536</v>
      </c>
      <c r="M86" s="4" t="s">
        <v>332</v>
      </c>
      <c r="N86" s="106" t="s">
        <v>332</v>
      </c>
      <c r="O86" s="146" t="str">
        <f>_xlfn.XLOOKUP(N86,costcategory[Account Code],costcategory[Cost Category],"ERROR")</f>
        <v>Bank Charges</v>
      </c>
      <c r="P86" s="4" t="s">
        <v>333</v>
      </c>
      <c r="Q86" s="147" t="str">
        <f>_xlfn.XLOOKUP(P86,Table2[Department],Table2[Group],"ERROR")</f>
        <v>General &amp; Administrative</v>
      </c>
      <c r="R86" s="18"/>
      <c r="S86" s="18"/>
      <c r="T86" s="18"/>
      <c r="V86" s="18"/>
    </row>
    <row r="87" spans="1:22" ht="12.95" customHeight="1" x14ac:dyDescent="0.2">
      <c r="A87" s="2" t="s">
        <v>15</v>
      </c>
      <c r="B87" s="2" t="s">
        <v>2</v>
      </c>
      <c r="C87" s="3">
        <v>46080</v>
      </c>
      <c r="D87" s="3">
        <v>46080</v>
      </c>
      <c r="E87" s="3">
        <v>46080</v>
      </c>
      <c r="F87" s="2" t="s">
        <v>82</v>
      </c>
      <c r="G87" s="199">
        <v>0.5</v>
      </c>
      <c r="H87" s="204">
        <v>0</v>
      </c>
      <c r="I87" s="205">
        <f t="shared" si="12"/>
        <v>0.5</v>
      </c>
      <c r="J87" s="199">
        <f t="shared" si="6"/>
        <v>0.126884</v>
      </c>
      <c r="K87" s="106" t="s">
        <v>448</v>
      </c>
      <c r="L87" s="4" t="s">
        <v>536</v>
      </c>
      <c r="M87" s="4" t="s">
        <v>332</v>
      </c>
      <c r="N87" s="106" t="s">
        <v>332</v>
      </c>
      <c r="O87" s="146" t="str">
        <f>_xlfn.XLOOKUP(N87,costcategory[Account Code],costcategory[Cost Category],"ERROR")</f>
        <v>Bank Charges</v>
      </c>
      <c r="P87" s="4" t="s">
        <v>333</v>
      </c>
      <c r="Q87" s="147" t="str">
        <f>_xlfn.XLOOKUP(P87,Table2[Department],Table2[Group],"ERROR")</f>
        <v>General &amp; Administrative</v>
      </c>
      <c r="R87" s="18"/>
      <c r="S87" s="18"/>
      <c r="T87" s="18"/>
      <c r="V87" s="18"/>
    </row>
    <row r="88" spans="1:22" ht="12.95" customHeight="1" x14ac:dyDescent="0.2">
      <c r="A88" s="2" t="s">
        <v>15</v>
      </c>
      <c r="B88" s="2" t="s">
        <v>2</v>
      </c>
      <c r="C88" s="3">
        <v>46080</v>
      </c>
      <c r="D88" s="3">
        <v>46080</v>
      </c>
      <c r="E88" s="3">
        <v>46080</v>
      </c>
      <c r="F88" s="2" t="s">
        <v>82</v>
      </c>
      <c r="G88" s="199">
        <v>0.5</v>
      </c>
      <c r="H88" s="204">
        <v>0</v>
      </c>
      <c r="I88" s="205">
        <f t="shared" si="12"/>
        <v>0.5</v>
      </c>
      <c r="J88" s="199">
        <f t="shared" si="6"/>
        <v>0.126884</v>
      </c>
      <c r="K88" s="106" t="s">
        <v>448</v>
      </c>
      <c r="L88" s="4" t="s">
        <v>536</v>
      </c>
      <c r="M88" s="4" t="s">
        <v>332</v>
      </c>
      <c r="N88" s="106" t="s">
        <v>332</v>
      </c>
      <c r="O88" s="146" t="str">
        <f>_xlfn.XLOOKUP(N88,costcategory[Account Code],costcategory[Cost Category],"ERROR")</f>
        <v>Bank Charges</v>
      </c>
      <c r="P88" s="4" t="s">
        <v>333</v>
      </c>
      <c r="Q88" s="147" t="str">
        <f>_xlfn.XLOOKUP(P88,Table2[Department],Table2[Group],"ERROR")</f>
        <v>General &amp; Administrative</v>
      </c>
      <c r="R88" s="18"/>
      <c r="S88" s="18"/>
      <c r="T88" s="18"/>
      <c r="V88" s="18"/>
    </row>
    <row r="89" spans="1:22" ht="12.95" customHeight="1" x14ac:dyDescent="0.2">
      <c r="A89" s="2" t="s">
        <v>15</v>
      </c>
      <c r="B89" s="2" t="s">
        <v>2</v>
      </c>
      <c r="C89" s="3">
        <v>46080</v>
      </c>
      <c r="D89" s="3">
        <v>46080</v>
      </c>
      <c r="E89" s="3">
        <v>46080</v>
      </c>
      <c r="F89" s="2" t="s">
        <v>82</v>
      </c>
      <c r="G89" s="199">
        <v>0.5</v>
      </c>
      <c r="H89" s="204">
        <v>0</v>
      </c>
      <c r="I89" s="205">
        <f t="shared" ref="I89:I93" si="13">SUM(G89:H89)</f>
        <v>0.5</v>
      </c>
      <c r="J89" s="199">
        <f t="shared" si="6"/>
        <v>0.126884</v>
      </c>
      <c r="K89" s="106" t="s">
        <v>448</v>
      </c>
      <c r="L89" s="4" t="s">
        <v>536</v>
      </c>
      <c r="M89" s="4" t="s">
        <v>332</v>
      </c>
      <c r="N89" s="106" t="s">
        <v>332</v>
      </c>
      <c r="O89" s="146" t="str">
        <f>_xlfn.XLOOKUP(N89,costcategory[Account Code],costcategory[Cost Category],"ERROR")</f>
        <v>Bank Charges</v>
      </c>
      <c r="P89" s="4" t="s">
        <v>333</v>
      </c>
      <c r="Q89" s="147" t="str">
        <f>_xlfn.XLOOKUP(P89,Table2[Department],Table2[Group],"ERROR")</f>
        <v>General &amp; Administrative</v>
      </c>
      <c r="R89" s="18"/>
      <c r="S89" s="18"/>
      <c r="T89" s="18"/>
      <c r="V89" s="18"/>
    </row>
    <row r="90" spans="1:22" ht="12.95" customHeight="1" x14ac:dyDescent="0.2">
      <c r="A90" s="2" t="s">
        <v>15</v>
      </c>
      <c r="B90" s="2" t="s">
        <v>2</v>
      </c>
      <c r="C90" s="3">
        <v>46080</v>
      </c>
      <c r="D90" s="3">
        <v>46080</v>
      </c>
      <c r="E90" s="3">
        <v>46080</v>
      </c>
      <c r="F90" s="2" t="s">
        <v>82</v>
      </c>
      <c r="G90" s="199">
        <v>2700</v>
      </c>
      <c r="H90" s="204"/>
      <c r="I90" s="205">
        <f t="shared" si="13"/>
        <v>2700</v>
      </c>
      <c r="J90" s="199">
        <f t="shared" si="6"/>
        <v>685.17359999999996</v>
      </c>
      <c r="K90" s="106" t="s">
        <v>485</v>
      </c>
      <c r="L90" s="4" t="s">
        <v>530</v>
      </c>
      <c r="M90" s="4" t="s">
        <v>531</v>
      </c>
      <c r="N90" s="106" t="s">
        <v>409</v>
      </c>
      <c r="O90" s="146" t="str">
        <f>_xlfn.XLOOKUP(N90,costcategory[Account Code],costcategory[Cost Category],"ERROR")</f>
        <v>Rental</v>
      </c>
      <c r="P90" s="4" t="s">
        <v>340</v>
      </c>
      <c r="Q90" s="147" t="str">
        <f>_xlfn.XLOOKUP(P90,Table2[Department],Table2[Group],"ERROR")</f>
        <v>General &amp; Administrative</v>
      </c>
      <c r="R90" s="18"/>
      <c r="S90" s="18"/>
      <c r="T90" s="18"/>
      <c r="V90" s="18"/>
    </row>
    <row r="91" spans="1:22" ht="12.95" customHeight="1" x14ac:dyDescent="0.2">
      <c r="A91" s="2" t="s">
        <v>15</v>
      </c>
      <c r="B91" s="2" t="s">
        <v>2</v>
      </c>
      <c r="C91" s="3">
        <v>46080</v>
      </c>
      <c r="D91" s="3">
        <v>46080</v>
      </c>
      <c r="E91" s="3">
        <v>46080</v>
      </c>
      <c r="F91" s="2" t="s">
        <v>82</v>
      </c>
      <c r="G91" s="199">
        <v>0.5</v>
      </c>
      <c r="H91" s="204">
        <v>0</v>
      </c>
      <c r="I91" s="205">
        <f t="shared" si="13"/>
        <v>0.5</v>
      </c>
      <c r="J91" s="199">
        <f t="shared" si="6"/>
        <v>0.126884</v>
      </c>
      <c r="K91" s="106" t="s">
        <v>448</v>
      </c>
      <c r="L91" s="4" t="s">
        <v>536</v>
      </c>
      <c r="M91" s="4" t="s">
        <v>332</v>
      </c>
      <c r="N91" s="106" t="s">
        <v>332</v>
      </c>
      <c r="O91" s="146" t="str">
        <f>_xlfn.XLOOKUP(N91,costcategory[Account Code],costcategory[Cost Category],"ERROR")</f>
        <v>Bank Charges</v>
      </c>
      <c r="P91" s="4" t="s">
        <v>333</v>
      </c>
      <c r="Q91" s="147" t="str">
        <f>_xlfn.XLOOKUP(P91,Table2[Department],Table2[Group],"ERROR")</f>
        <v>General &amp; Administrative</v>
      </c>
      <c r="R91" s="18"/>
      <c r="S91" s="18"/>
      <c r="T91" s="18"/>
      <c r="V91" s="18"/>
    </row>
    <row r="92" spans="1:22" ht="12.95" customHeight="1" x14ac:dyDescent="0.2">
      <c r="A92" s="2" t="s">
        <v>15</v>
      </c>
      <c r="B92" s="2" t="s">
        <v>2</v>
      </c>
      <c r="C92" s="3">
        <v>46080</v>
      </c>
      <c r="D92" s="3">
        <v>46080</v>
      </c>
      <c r="E92" s="3">
        <v>46080</v>
      </c>
      <c r="F92" s="2" t="s">
        <v>82</v>
      </c>
      <c r="G92" s="199">
        <v>5764</v>
      </c>
      <c r="H92" s="204"/>
      <c r="I92" s="205">
        <f t="shared" si="13"/>
        <v>5764</v>
      </c>
      <c r="J92" s="199">
        <f t="shared" si="6"/>
        <v>1462.718752</v>
      </c>
      <c r="K92" s="106" t="s">
        <v>532</v>
      </c>
      <c r="L92" s="150" t="s">
        <v>533</v>
      </c>
      <c r="M92" s="4" t="s">
        <v>534</v>
      </c>
      <c r="N92" s="106" t="s">
        <v>374</v>
      </c>
      <c r="O92" s="146" t="s">
        <v>535</v>
      </c>
      <c r="P92" s="4" t="s">
        <v>376</v>
      </c>
      <c r="Q92" s="147" t="str">
        <f>_xlfn.XLOOKUP(P92,Table2[Department],Table2[Group],"ERROR")</f>
        <v>General &amp; Administrative</v>
      </c>
      <c r="R92" s="18"/>
      <c r="S92" s="18"/>
      <c r="T92" s="18"/>
      <c r="V92" s="18"/>
    </row>
    <row r="93" spans="1:22" ht="12.95" customHeight="1" x14ac:dyDescent="0.2">
      <c r="A93" s="2" t="s">
        <v>15</v>
      </c>
      <c r="B93" s="2" t="s">
        <v>2</v>
      </c>
      <c r="C93" s="3">
        <v>46080</v>
      </c>
      <c r="D93" s="3">
        <v>46080</v>
      </c>
      <c r="E93" s="3">
        <v>46080</v>
      </c>
      <c r="F93" s="2" t="s">
        <v>82</v>
      </c>
      <c r="G93" s="199">
        <v>0.5</v>
      </c>
      <c r="H93" s="204">
        <v>0</v>
      </c>
      <c r="I93" s="205">
        <f t="shared" si="13"/>
        <v>0.5</v>
      </c>
      <c r="J93" s="199">
        <f t="shared" si="6"/>
        <v>0.126884</v>
      </c>
      <c r="K93" s="106" t="s">
        <v>448</v>
      </c>
      <c r="L93" s="4" t="s">
        <v>536</v>
      </c>
      <c r="M93" s="4" t="s">
        <v>332</v>
      </c>
      <c r="N93" s="106" t="s">
        <v>332</v>
      </c>
      <c r="O93" s="146" t="str">
        <f>_xlfn.XLOOKUP(N93,costcategory[Account Code],costcategory[Cost Category],"ERROR")</f>
        <v>Bank Charges</v>
      </c>
      <c r="P93" s="4" t="s">
        <v>333</v>
      </c>
      <c r="Q93" s="147" t="str">
        <f>_xlfn.XLOOKUP(P93,Table2[Department],Table2[Group],"ERROR")</f>
        <v>General &amp; Administrative</v>
      </c>
      <c r="R93" s="18"/>
      <c r="S93" s="18"/>
      <c r="T93" s="18"/>
      <c r="V93" s="18"/>
    </row>
    <row r="94" spans="1:22" ht="12.95" customHeight="1" x14ac:dyDescent="0.2">
      <c r="A94" s="2" t="s">
        <v>15</v>
      </c>
      <c r="B94" s="2" t="s">
        <v>2</v>
      </c>
      <c r="C94" s="3">
        <v>46080</v>
      </c>
      <c r="D94" s="3">
        <v>46089</v>
      </c>
      <c r="E94" s="3">
        <v>46080</v>
      </c>
      <c r="F94" s="2" t="s">
        <v>82</v>
      </c>
      <c r="G94" s="199">
        <v>3900</v>
      </c>
      <c r="H94" s="199">
        <v>0</v>
      </c>
      <c r="I94" s="212">
        <f t="shared" si="5"/>
        <v>3900</v>
      </c>
      <c r="J94" s="199">
        <f t="shared" si="6"/>
        <v>989.6952</v>
      </c>
      <c r="K94" s="106" t="s">
        <v>541</v>
      </c>
      <c r="L94" s="4" t="s">
        <v>542</v>
      </c>
      <c r="M94" s="145" t="s">
        <v>543</v>
      </c>
      <c r="N94" s="106" t="s">
        <v>409</v>
      </c>
      <c r="O94" s="146" t="str">
        <f>_xlfn.XLOOKUP(N94,costcategory[Account Code],costcategory[Cost Category],"ERROR")</f>
        <v>Rental</v>
      </c>
      <c r="P94" s="4" t="s">
        <v>340</v>
      </c>
      <c r="Q94" s="147" t="str">
        <f>_xlfn.XLOOKUP(P94,Table2[Department],Table2[Group],"ERROR")</f>
        <v>General &amp; Administrative</v>
      </c>
      <c r="R94" s="18"/>
      <c r="S94" s="18"/>
      <c r="T94" s="18"/>
      <c r="V94" s="18"/>
    </row>
    <row r="95" spans="1:22" ht="12.95" customHeight="1" x14ac:dyDescent="0.2">
      <c r="A95" s="2" t="s">
        <v>15</v>
      </c>
      <c r="B95" s="2" t="s">
        <v>2</v>
      </c>
      <c r="C95" s="3">
        <v>46080</v>
      </c>
      <c r="D95" s="3">
        <v>46083</v>
      </c>
      <c r="E95" s="3">
        <v>46080</v>
      </c>
      <c r="F95" s="2" t="s">
        <v>82</v>
      </c>
      <c r="G95" s="199">
        <v>783.07</v>
      </c>
      <c r="H95" s="199">
        <v>0</v>
      </c>
      <c r="I95" s="212">
        <f t="shared" si="5"/>
        <v>783.07</v>
      </c>
      <c r="J95" s="199">
        <f t="shared" si="6"/>
        <v>198.71810776000001</v>
      </c>
      <c r="K95" s="106" t="s">
        <v>537</v>
      </c>
      <c r="L95" s="4" t="s">
        <v>538</v>
      </c>
      <c r="M95" s="145" t="s">
        <v>539</v>
      </c>
      <c r="N95" s="106" t="s">
        <v>540</v>
      </c>
      <c r="O95" s="146" t="str">
        <f>_xlfn.XLOOKUP(N95,costcategory[Account Code],costcategory[Cost Category],"ERROR")</f>
        <v>Employee Benefits</v>
      </c>
      <c r="P95" s="4" t="s">
        <v>350</v>
      </c>
      <c r="Q95" s="147" t="str">
        <f>_xlfn.XLOOKUP(P95,Table2[Department],Table2[Group],"ERROR")</f>
        <v>General &amp; Administrative</v>
      </c>
      <c r="R95" s="18"/>
      <c r="S95" s="18"/>
      <c r="T95" s="18"/>
      <c r="V95" s="18"/>
    </row>
    <row r="96" spans="1:22" ht="12.95" customHeight="1" x14ac:dyDescent="0.2">
      <c r="A96" s="2" t="s">
        <v>15</v>
      </c>
      <c r="B96" s="2" t="s">
        <v>2</v>
      </c>
      <c r="C96" s="3">
        <v>46081</v>
      </c>
      <c r="D96" s="3">
        <v>46081</v>
      </c>
      <c r="E96" s="3">
        <v>46081</v>
      </c>
      <c r="F96" s="2" t="s">
        <v>82</v>
      </c>
      <c r="G96" s="199">
        <v>-459.64</v>
      </c>
      <c r="H96" s="199">
        <v>0</v>
      </c>
      <c r="I96" s="212">
        <f t="shared" si="5"/>
        <v>-459.64</v>
      </c>
      <c r="J96" s="199">
        <f t="shared" si="6"/>
        <v>-116.64192351999999</v>
      </c>
      <c r="K96" s="106" t="s">
        <v>448</v>
      </c>
      <c r="M96" s="4" t="s">
        <v>384</v>
      </c>
      <c r="N96" s="106" t="s">
        <v>384</v>
      </c>
      <c r="O96" s="146" t="str">
        <f>_xlfn.XLOOKUP(N96,costcategory[Account Code],costcategory[Cost Category],"ERROR")</f>
        <v>Other Income</v>
      </c>
      <c r="P96" s="4" t="s">
        <v>333</v>
      </c>
      <c r="Q96" s="147" t="str">
        <f>_xlfn.XLOOKUP(P96,Table2[Department],Table2[Group],"ERROR")</f>
        <v>General &amp; Administrative</v>
      </c>
      <c r="R96" s="18"/>
      <c r="S96" s="18"/>
      <c r="T96" s="18"/>
      <c r="V96" s="18"/>
    </row>
    <row r="97" spans="1:23" ht="12.95" customHeight="1" x14ac:dyDescent="0.2">
      <c r="A97" s="2" t="s">
        <v>15</v>
      </c>
      <c r="B97" s="2" t="s">
        <v>2</v>
      </c>
      <c r="C97" s="3">
        <v>46081</v>
      </c>
      <c r="D97" s="3">
        <v>46081</v>
      </c>
      <c r="E97" s="3">
        <v>46081</v>
      </c>
      <c r="F97" s="2" t="s">
        <v>82</v>
      </c>
      <c r="G97" s="199">
        <v>10</v>
      </c>
      <c r="H97" s="199">
        <v>0</v>
      </c>
      <c r="I97" s="212">
        <f t="shared" si="5"/>
        <v>10</v>
      </c>
      <c r="J97" s="199">
        <f t="shared" si="6"/>
        <v>2.5376799999999999</v>
      </c>
      <c r="K97" s="106" t="s">
        <v>448</v>
      </c>
      <c r="L97" s="4" t="s">
        <v>544</v>
      </c>
      <c r="M97" s="4" t="s">
        <v>332</v>
      </c>
      <c r="N97" s="106" t="s">
        <v>332</v>
      </c>
      <c r="O97" s="146" t="str">
        <f>_xlfn.XLOOKUP(N97,costcategory[Account Code],costcategory[Cost Category],"ERROR")</f>
        <v>Bank Charges</v>
      </c>
      <c r="P97" s="4" t="s">
        <v>333</v>
      </c>
      <c r="Q97" s="147" t="str">
        <f>_xlfn.XLOOKUP(P97,Table2[Department],Table2[Group],"ERROR")</f>
        <v>General &amp; Administrative</v>
      </c>
      <c r="R97" s="18"/>
      <c r="S97" s="18"/>
      <c r="T97" s="18"/>
      <c r="V97" s="18"/>
    </row>
    <row r="98" spans="1:23" ht="12.95" customHeight="1" x14ac:dyDescent="0.2">
      <c r="G98" s="199"/>
      <c r="H98" s="199"/>
      <c r="I98" s="212">
        <f>SUM(I49:I97)</f>
        <v>-834463.43</v>
      </c>
      <c r="J98" s="199"/>
      <c r="K98" s="106"/>
    </row>
    <row r="99" spans="1:23" ht="12.95" customHeight="1" x14ac:dyDescent="0.2">
      <c r="A99" s="329" t="s">
        <v>1173</v>
      </c>
      <c r="B99" s="329"/>
      <c r="C99" s="329"/>
      <c r="D99" s="329"/>
      <c r="E99" s="14">
        <v>46081</v>
      </c>
      <c r="F99" s="13" t="s">
        <v>82</v>
      </c>
      <c r="G99" s="202"/>
      <c r="H99" s="207"/>
      <c r="I99" s="208">
        <f>I48-I98</f>
        <v>1010053.5800000001</v>
      </c>
      <c r="J99" s="207"/>
      <c r="K99" s="17"/>
      <c r="L99" s="17"/>
      <c r="M99" s="17"/>
      <c r="N99" s="17"/>
      <c r="O99" s="17"/>
      <c r="P99" s="17"/>
      <c r="Q99" s="17"/>
      <c r="R99" s="20"/>
      <c r="S99" s="20"/>
      <c r="T99" s="20"/>
      <c r="U99" s="20"/>
      <c r="V99" s="20"/>
    </row>
    <row r="100" spans="1:23" ht="12.95" customHeight="1" x14ac:dyDescent="0.2">
      <c r="A100" s="33"/>
      <c r="B100" s="33"/>
      <c r="C100" s="33"/>
      <c r="D100" s="33"/>
      <c r="E100" s="71"/>
      <c r="F100" s="33"/>
      <c r="G100" s="237"/>
      <c r="H100" s="197"/>
      <c r="I100" s="210"/>
      <c r="J100" s="197"/>
      <c r="K100" s="4"/>
    </row>
    <row r="101" spans="1:23" s="2" customFormat="1" ht="12.95" customHeight="1" x14ac:dyDescent="0.2">
      <c r="C101" s="3"/>
      <c r="D101" s="3"/>
      <c r="E101" s="3"/>
      <c r="G101" s="199"/>
      <c r="H101" s="199"/>
      <c r="I101" s="212"/>
      <c r="J101" s="257">
        <f>FOREX!G3</f>
        <v>0.25691199999999997</v>
      </c>
      <c r="K101" s="106"/>
      <c r="L101" s="4"/>
      <c r="M101" s="4"/>
      <c r="N101" s="4"/>
      <c r="O101" s="4"/>
      <c r="P101" s="4"/>
      <c r="Q101" s="4"/>
      <c r="W101" s="4"/>
    </row>
    <row r="102" spans="1:23" s="2" customFormat="1" ht="12.95" customHeight="1" x14ac:dyDescent="0.2">
      <c r="A102" s="7" t="s">
        <v>87</v>
      </c>
      <c r="B102" s="7" t="s">
        <v>43</v>
      </c>
      <c r="C102" s="8" t="s">
        <v>54</v>
      </c>
      <c r="D102" s="8" t="s">
        <v>88</v>
      </c>
      <c r="E102" s="185" t="s">
        <v>1083</v>
      </c>
      <c r="F102" s="7" t="s">
        <v>70</v>
      </c>
      <c r="G102" s="236" t="s">
        <v>90</v>
      </c>
      <c r="H102" s="236" t="s">
        <v>91</v>
      </c>
      <c r="I102" s="236" t="s">
        <v>92</v>
      </c>
      <c r="J102" s="236" t="s">
        <v>72</v>
      </c>
      <c r="K102" s="149" t="s">
        <v>325</v>
      </c>
      <c r="L102" s="149" t="s">
        <v>94</v>
      </c>
      <c r="M102" s="7" t="s">
        <v>95</v>
      </c>
      <c r="N102" s="7" t="s">
        <v>1315</v>
      </c>
      <c r="O102" s="7" t="s">
        <v>64</v>
      </c>
      <c r="P102" s="95" t="s">
        <v>67</v>
      </c>
      <c r="Q102" s="95"/>
      <c r="R102" s="7" t="s">
        <v>326</v>
      </c>
      <c r="S102" s="7" t="s">
        <v>327</v>
      </c>
      <c r="T102" s="7" t="s">
        <v>328</v>
      </c>
      <c r="U102" s="7" t="s">
        <v>98</v>
      </c>
      <c r="V102" s="7" t="s">
        <v>1316</v>
      </c>
    </row>
    <row r="103" spans="1:23" s="33" customFormat="1" ht="12.95" customHeight="1" x14ac:dyDescent="0.2">
      <c r="A103" s="329" t="s">
        <v>1172</v>
      </c>
      <c r="B103" s="329"/>
      <c r="C103" s="329"/>
      <c r="D103" s="329"/>
      <c r="E103" s="14">
        <v>46082</v>
      </c>
      <c r="F103" s="13" t="s">
        <v>82</v>
      </c>
      <c r="G103" s="202"/>
      <c r="H103" s="202"/>
      <c r="I103" s="203">
        <v>1010053.5800000001</v>
      </c>
      <c r="J103" s="202"/>
      <c r="K103" s="133"/>
      <c r="L103" s="133"/>
      <c r="M103" s="13"/>
      <c r="N103" s="13"/>
      <c r="O103" s="13"/>
      <c r="P103" s="96"/>
      <c r="Q103" s="96"/>
      <c r="R103" s="13"/>
      <c r="S103" s="13"/>
      <c r="T103" s="13"/>
      <c r="U103" s="13"/>
      <c r="V103" s="13"/>
    </row>
    <row r="104" spans="1:23" ht="12.95" customHeight="1" x14ac:dyDescent="0.2">
      <c r="A104" s="2" t="s">
        <v>15</v>
      </c>
      <c r="B104" s="2" t="s">
        <v>2</v>
      </c>
      <c r="C104" s="3">
        <v>46085</v>
      </c>
      <c r="D104" s="3">
        <v>46085</v>
      </c>
      <c r="E104" s="3">
        <v>46085</v>
      </c>
      <c r="F104" s="2" t="s">
        <v>82</v>
      </c>
      <c r="G104" s="204">
        <v>1195.3900000000001</v>
      </c>
      <c r="H104" s="199">
        <v>0</v>
      </c>
      <c r="I104" s="205">
        <f t="shared" ref="I104:I153" si="14">SUM(G104:H104)</f>
        <v>1195.3900000000001</v>
      </c>
      <c r="J104" s="213">
        <f>I104*$J$101</f>
        <v>307.11003568000001</v>
      </c>
      <c r="K104" s="106" t="s">
        <v>1325</v>
      </c>
      <c r="L104" s="4" t="s">
        <v>1338</v>
      </c>
      <c r="M104" s="4" t="s">
        <v>1339</v>
      </c>
      <c r="N104" s="106" t="s">
        <v>387</v>
      </c>
      <c r="O104" s="146" t="str">
        <f>_xlfn.XLOOKUP(N104,costcategory[Account Code],costcategory[Cost Category],"ERROR")</f>
        <v>Headcount Costs</v>
      </c>
      <c r="P104" s="4" t="s">
        <v>350</v>
      </c>
      <c r="Q104" s="147" t="str">
        <f>_xlfn.XLOOKUP(P104,Table2[Department],Table2[Group],"ERROR")</f>
        <v>General &amp; Administrative</v>
      </c>
      <c r="R104" s="18"/>
      <c r="S104" s="18"/>
      <c r="T104" s="18"/>
      <c r="V104" s="18"/>
    </row>
    <row r="105" spans="1:23" ht="12.95" customHeight="1" x14ac:dyDescent="0.2">
      <c r="A105" s="2" t="s">
        <v>15</v>
      </c>
      <c r="B105" s="2" t="s">
        <v>2</v>
      </c>
      <c r="C105" s="3">
        <v>46085</v>
      </c>
      <c r="D105" s="3">
        <v>46085</v>
      </c>
      <c r="E105" s="3">
        <v>46085</v>
      </c>
      <c r="F105" s="2" t="s">
        <v>82</v>
      </c>
      <c r="G105" s="204">
        <v>0.1</v>
      </c>
      <c r="H105" s="199">
        <v>0</v>
      </c>
      <c r="I105" s="205">
        <f t="shared" si="14"/>
        <v>0.1</v>
      </c>
      <c r="J105" s="213">
        <f t="shared" ref="J105:J153" si="15">I105*$J$101</f>
        <v>2.5691199999999997E-2</v>
      </c>
      <c r="K105" s="106" t="s">
        <v>448</v>
      </c>
      <c r="L105" s="4" t="s">
        <v>548</v>
      </c>
      <c r="M105" s="4" t="s">
        <v>332</v>
      </c>
      <c r="N105" s="106" t="s">
        <v>332</v>
      </c>
      <c r="O105" s="146" t="str">
        <f>_xlfn.XLOOKUP(N105,costcategory[Account Code],costcategory[Cost Category],"ERROR")</f>
        <v>Bank Charges</v>
      </c>
      <c r="P105" s="4" t="s">
        <v>333</v>
      </c>
      <c r="Q105" s="147" t="str">
        <f>_xlfn.XLOOKUP(P105,Table2[Department],Table2[Group],"ERROR")</f>
        <v>General &amp; Administrative</v>
      </c>
      <c r="R105" s="18"/>
      <c r="S105" s="18"/>
      <c r="T105" s="18"/>
      <c r="V105" s="18"/>
    </row>
    <row r="106" spans="1:23" ht="12.95" customHeight="1" x14ac:dyDescent="0.2">
      <c r="A106" s="2" t="s">
        <v>15</v>
      </c>
      <c r="B106" s="2" t="s">
        <v>2</v>
      </c>
      <c r="C106" s="3">
        <v>46085</v>
      </c>
      <c r="D106" s="3">
        <v>46085</v>
      </c>
      <c r="E106" s="3">
        <v>46085</v>
      </c>
      <c r="F106" s="2" t="s">
        <v>82</v>
      </c>
      <c r="G106" s="204">
        <v>-616.15</v>
      </c>
      <c r="H106" s="199">
        <v>0</v>
      </c>
      <c r="I106" s="205">
        <f t="shared" si="14"/>
        <v>-616.15</v>
      </c>
      <c r="J106" s="213">
        <f t="shared" si="15"/>
        <v>-158.29632879999997</v>
      </c>
      <c r="K106" s="106" t="s">
        <v>545</v>
      </c>
      <c r="M106" s="145" t="s">
        <v>546</v>
      </c>
      <c r="N106" s="106" t="s">
        <v>547</v>
      </c>
      <c r="O106" s="146" t="str">
        <f>_xlfn.XLOOKUP(N106,costcategory[Account Code],costcategory[Cost Category],"ERROR")</f>
        <v>Interest Expenses</v>
      </c>
      <c r="P106" s="4" t="s">
        <v>350</v>
      </c>
      <c r="Q106" s="147" t="str">
        <f>_xlfn.XLOOKUP(P106,Table2[Department],Table2[Group],"ERROR")</f>
        <v>General &amp; Administrative</v>
      </c>
      <c r="R106" s="18"/>
      <c r="S106" s="18"/>
      <c r="T106" s="18"/>
      <c r="V106" s="18"/>
    </row>
    <row r="107" spans="1:23" ht="12.95" customHeight="1" x14ac:dyDescent="0.2">
      <c r="A107" s="2" t="s">
        <v>15</v>
      </c>
      <c r="B107" s="2" t="s">
        <v>2</v>
      </c>
      <c r="C107" s="3">
        <v>46091</v>
      </c>
      <c r="D107" s="3">
        <v>46091</v>
      </c>
      <c r="E107" s="3">
        <v>46091</v>
      </c>
      <c r="F107" s="2" t="s">
        <v>82</v>
      </c>
      <c r="G107" s="204">
        <v>23</v>
      </c>
      <c r="H107" s="199">
        <v>0</v>
      </c>
      <c r="I107" s="205">
        <f t="shared" si="14"/>
        <v>23</v>
      </c>
      <c r="J107" s="213">
        <f t="shared" si="15"/>
        <v>5.9089759999999991</v>
      </c>
      <c r="K107" s="106" t="s">
        <v>1330</v>
      </c>
      <c r="L107" s="4" t="s">
        <v>1340</v>
      </c>
      <c r="M107" s="4" t="s">
        <v>1341</v>
      </c>
      <c r="N107" s="4" t="s">
        <v>364</v>
      </c>
      <c r="O107" s="146" t="str">
        <f>_xlfn.XLOOKUP(N107,costcategory[Account Code],costcategory[Cost Category],"ERROR")</f>
        <v>Headcount Costs</v>
      </c>
      <c r="P107" s="4" t="s">
        <v>350</v>
      </c>
      <c r="Q107" s="147" t="str">
        <f>_xlfn.XLOOKUP(P107,Table2[Department],Table2[Group],"ERROR")</f>
        <v>General &amp; Administrative</v>
      </c>
      <c r="R107" s="18"/>
      <c r="S107" s="18"/>
      <c r="T107" s="18"/>
      <c r="V107" s="18"/>
    </row>
    <row r="108" spans="1:23" ht="12.95" customHeight="1" x14ac:dyDescent="0.2">
      <c r="A108" s="2" t="s">
        <v>15</v>
      </c>
      <c r="B108" s="2" t="s">
        <v>2</v>
      </c>
      <c r="C108" s="3">
        <v>46094</v>
      </c>
      <c r="D108" s="3">
        <v>46091</v>
      </c>
      <c r="E108" s="3">
        <v>46091</v>
      </c>
      <c r="F108" s="2" t="s">
        <v>82</v>
      </c>
      <c r="G108" s="204">
        <v>2107.1</v>
      </c>
      <c r="H108" s="199">
        <v>0</v>
      </c>
      <c r="I108" s="205">
        <f t="shared" si="14"/>
        <v>2107.1</v>
      </c>
      <c r="J108" s="213">
        <f t="shared" si="15"/>
        <v>541.33927519999997</v>
      </c>
      <c r="K108" s="106" t="s">
        <v>1105</v>
      </c>
      <c r="M108" s="145" t="s">
        <v>1342</v>
      </c>
      <c r="N108" s="106" t="s">
        <v>364</v>
      </c>
      <c r="O108" s="146" t="str">
        <f>_xlfn.XLOOKUP(N108,costcategory[Account Code],costcategory[Cost Category],"ERROR")</f>
        <v>Headcount Costs</v>
      </c>
      <c r="P108" s="4" t="s">
        <v>350</v>
      </c>
      <c r="Q108" s="147" t="str">
        <f>_xlfn.XLOOKUP(P108,Table2[Department],Table2[Group],"ERROR")</f>
        <v>General &amp; Administrative</v>
      </c>
      <c r="R108" s="18"/>
      <c r="S108" s="18"/>
      <c r="T108" s="18"/>
      <c r="V108" s="18"/>
    </row>
    <row r="109" spans="1:23" ht="12.95" customHeight="1" x14ac:dyDescent="0.2">
      <c r="A109" s="2" t="s">
        <v>15</v>
      </c>
      <c r="B109" s="2" t="s">
        <v>2</v>
      </c>
      <c r="C109" s="3">
        <v>46094</v>
      </c>
      <c r="D109" s="3">
        <v>46091</v>
      </c>
      <c r="E109" s="3">
        <v>46091</v>
      </c>
      <c r="F109" s="2" t="s">
        <v>82</v>
      </c>
      <c r="G109" s="204">
        <v>1622.2</v>
      </c>
      <c r="H109" s="199">
        <v>0</v>
      </c>
      <c r="I109" s="205">
        <f t="shared" si="14"/>
        <v>1622.2</v>
      </c>
      <c r="J109" s="213">
        <f t="shared" si="15"/>
        <v>416.76264639999999</v>
      </c>
      <c r="K109" s="106" t="s">
        <v>1330</v>
      </c>
      <c r="L109" s="4" t="s">
        <v>1331</v>
      </c>
      <c r="M109" s="4" t="s">
        <v>1343</v>
      </c>
      <c r="N109" s="106" t="s">
        <v>364</v>
      </c>
      <c r="O109" s="146" t="str">
        <f>_xlfn.XLOOKUP(N109,costcategory[Account Code],costcategory[Cost Category],"ERROR")</f>
        <v>Headcount Costs</v>
      </c>
      <c r="P109" s="4" t="s">
        <v>350</v>
      </c>
      <c r="Q109" s="147" t="str">
        <f>_xlfn.XLOOKUP(P109,Table2[Department],Table2[Group],"ERROR")</f>
        <v>General &amp; Administrative</v>
      </c>
      <c r="R109" s="18"/>
      <c r="S109" s="18"/>
      <c r="T109" s="18"/>
      <c r="V109" s="18"/>
    </row>
    <row r="110" spans="1:23" ht="12.95" customHeight="1" x14ac:dyDescent="0.2">
      <c r="A110" s="2" t="s">
        <v>15</v>
      </c>
      <c r="B110" s="2" t="s">
        <v>2</v>
      </c>
      <c r="C110" s="3">
        <v>46094</v>
      </c>
      <c r="D110" s="3">
        <v>46094</v>
      </c>
      <c r="E110" s="3">
        <v>46094</v>
      </c>
      <c r="F110" s="2" t="s">
        <v>82</v>
      </c>
      <c r="G110" s="199">
        <v>40778</v>
      </c>
      <c r="H110" s="199">
        <v>0</v>
      </c>
      <c r="I110" s="205">
        <f t="shared" si="14"/>
        <v>40778</v>
      </c>
      <c r="J110" s="213">
        <f t="shared" si="15"/>
        <v>10476.357536</v>
      </c>
      <c r="K110" s="106" t="s">
        <v>1333</v>
      </c>
      <c r="M110" s="4" t="s">
        <v>1344</v>
      </c>
      <c r="N110" s="106" t="s">
        <v>364</v>
      </c>
      <c r="O110" s="146" t="str">
        <f>_xlfn.XLOOKUP(N110,costcategory[Account Code],costcategory[Cost Category],"ERROR")</f>
        <v>Headcount Costs</v>
      </c>
      <c r="P110" s="4" t="s">
        <v>350</v>
      </c>
      <c r="Q110" s="147" t="str">
        <f>_xlfn.XLOOKUP(P110,Table2[Department],Table2[Group],"ERROR")</f>
        <v>General &amp; Administrative</v>
      </c>
      <c r="R110" s="18"/>
      <c r="S110" s="18"/>
      <c r="T110" s="18"/>
      <c r="V110" s="18"/>
    </row>
    <row r="111" spans="1:23" ht="12.95" customHeight="1" x14ac:dyDescent="0.2">
      <c r="A111" s="2" t="s">
        <v>15</v>
      </c>
      <c r="B111" s="2" t="s">
        <v>2</v>
      </c>
      <c r="C111" s="3">
        <v>46094</v>
      </c>
      <c r="D111" s="3">
        <v>46094</v>
      </c>
      <c r="E111" s="3">
        <v>46094</v>
      </c>
      <c r="F111" s="2" t="s">
        <v>82</v>
      </c>
      <c r="G111" s="199">
        <v>5764</v>
      </c>
      <c r="H111" s="199">
        <v>0</v>
      </c>
      <c r="I111" s="205">
        <f t="shared" si="14"/>
        <v>5764</v>
      </c>
      <c r="J111" s="213">
        <f t="shared" si="15"/>
        <v>1480.8407679999998</v>
      </c>
      <c r="K111" s="106" t="s">
        <v>532</v>
      </c>
      <c r="L111" s="150" t="s">
        <v>556</v>
      </c>
      <c r="M111" s="4" t="s">
        <v>534</v>
      </c>
      <c r="N111" s="106" t="s">
        <v>535</v>
      </c>
      <c r="O111" s="146" t="str">
        <f>_xlfn.XLOOKUP(N111,costcategory[Account Code],costcategory[Cost Category],"ERROR")</f>
        <v>ERROR</v>
      </c>
      <c r="P111" s="4" t="s">
        <v>376</v>
      </c>
      <c r="Q111" s="147" t="str">
        <f>_xlfn.XLOOKUP(P111,Table2[Department],Table2[Group],"ERROR")</f>
        <v>General &amp; Administrative</v>
      </c>
      <c r="R111" s="18"/>
      <c r="S111" s="18"/>
      <c r="T111" s="18"/>
      <c r="V111" s="18"/>
    </row>
    <row r="112" spans="1:23" ht="12.95" customHeight="1" x14ac:dyDescent="0.2">
      <c r="A112" s="2" t="s">
        <v>15</v>
      </c>
      <c r="B112" s="2" t="s">
        <v>2</v>
      </c>
      <c r="C112" s="3">
        <v>46094</v>
      </c>
      <c r="D112" s="3">
        <v>46094</v>
      </c>
      <c r="E112" s="3">
        <v>46094</v>
      </c>
      <c r="F112" s="2" t="s">
        <v>82</v>
      </c>
      <c r="G112" s="199">
        <v>0.5</v>
      </c>
      <c r="H112" s="199">
        <v>0</v>
      </c>
      <c r="I112" s="205">
        <f t="shared" si="14"/>
        <v>0.5</v>
      </c>
      <c r="J112" s="213">
        <f t="shared" si="15"/>
        <v>0.12845599999999999</v>
      </c>
      <c r="K112" s="106" t="s">
        <v>448</v>
      </c>
      <c r="L112" s="4" t="s">
        <v>563</v>
      </c>
      <c r="M112" s="4" t="s">
        <v>332</v>
      </c>
      <c r="N112" s="106" t="s">
        <v>332</v>
      </c>
      <c r="O112" s="146" t="str">
        <f>_xlfn.XLOOKUP(N112,costcategory[Account Code],costcategory[Cost Category],"ERROR")</f>
        <v>Bank Charges</v>
      </c>
      <c r="P112" s="4" t="s">
        <v>333</v>
      </c>
      <c r="Q112" s="147" t="str">
        <f>_xlfn.XLOOKUP(P112,Table2[Department],Table2[Group],"ERROR")</f>
        <v>General &amp; Administrative</v>
      </c>
      <c r="R112" s="18"/>
      <c r="S112" s="18"/>
      <c r="T112" s="18"/>
      <c r="V112" s="18"/>
    </row>
    <row r="113" spans="1:22" ht="12.95" customHeight="1" x14ac:dyDescent="0.2">
      <c r="A113" s="2" t="s">
        <v>15</v>
      </c>
      <c r="B113" s="2" t="s">
        <v>2</v>
      </c>
      <c r="C113" s="3">
        <v>46094</v>
      </c>
      <c r="D113" s="3">
        <v>46094</v>
      </c>
      <c r="E113" s="3">
        <v>46094</v>
      </c>
      <c r="F113" s="2" t="s">
        <v>82</v>
      </c>
      <c r="G113" s="199">
        <v>75</v>
      </c>
      <c r="H113" s="199">
        <v>0</v>
      </c>
      <c r="I113" s="205">
        <f t="shared" si="14"/>
        <v>75</v>
      </c>
      <c r="J113" s="213">
        <f t="shared" si="15"/>
        <v>19.2684</v>
      </c>
      <c r="K113" s="106" t="s">
        <v>553</v>
      </c>
      <c r="L113" s="4" t="s">
        <v>554</v>
      </c>
      <c r="M113" s="4" t="s">
        <v>555</v>
      </c>
      <c r="N113" s="106" t="s">
        <v>397</v>
      </c>
      <c r="O113" s="146" t="str">
        <f>_xlfn.XLOOKUP(N113,costcategory[Account Code],costcategory[Cost Category],"ERROR")</f>
        <v>Intercompany</v>
      </c>
      <c r="P113" s="4" t="s">
        <v>340</v>
      </c>
      <c r="Q113" s="147" t="str">
        <f>_xlfn.XLOOKUP(P113,Table2[Department],Table2[Group],"ERROR")</f>
        <v>General &amp; Administrative</v>
      </c>
      <c r="R113" s="18"/>
      <c r="S113" s="18"/>
      <c r="T113" s="18"/>
      <c r="V113" s="18"/>
    </row>
    <row r="114" spans="1:22" ht="12.95" customHeight="1" x14ac:dyDescent="0.2">
      <c r="A114" s="2" t="s">
        <v>15</v>
      </c>
      <c r="B114" s="2" t="s">
        <v>2</v>
      </c>
      <c r="C114" s="3">
        <v>46094</v>
      </c>
      <c r="D114" s="3">
        <v>46094</v>
      </c>
      <c r="E114" s="3">
        <v>46094</v>
      </c>
      <c r="F114" s="2" t="s">
        <v>82</v>
      </c>
      <c r="G114" s="199">
        <v>16837</v>
      </c>
      <c r="H114" s="199">
        <v>0</v>
      </c>
      <c r="I114" s="205">
        <f t="shared" si="14"/>
        <v>16837</v>
      </c>
      <c r="J114" s="213">
        <f t="shared" si="15"/>
        <v>4325.6273439999995</v>
      </c>
      <c r="K114" s="106" t="s">
        <v>461</v>
      </c>
      <c r="L114" s="150" t="s">
        <v>561</v>
      </c>
      <c r="M114" s="4" t="s">
        <v>562</v>
      </c>
      <c r="N114" s="106" t="s">
        <v>509</v>
      </c>
      <c r="O114" s="146" t="str">
        <f>_xlfn.XLOOKUP(N114,costcategory[Account Code],costcategory[Cost Category],"ERROR")</f>
        <v>Corporate Tax Expenses</v>
      </c>
      <c r="P114" s="4" t="s">
        <v>340</v>
      </c>
      <c r="Q114" s="147" t="str">
        <f>_xlfn.XLOOKUP(P114,Table2[Department],Table2[Group],"ERROR")</f>
        <v>General &amp; Administrative</v>
      </c>
      <c r="R114" s="18"/>
      <c r="S114" s="18"/>
      <c r="T114" s="18"/>
      <c r="V114" s="18"/>
    </row>
    <row r="115" spans="1:22" ht="12.95" customHeight="1" x14ac:dyDescent="0.2">
      <c r="A115" s="2" t="s">
        <v>15</v>
      </c>
      <c r="B115" s="2" t="s">
        <v>2</v>
      </c>
      <c r="C115" s="3">
        <v>46094</v>
      </c>
      <c r="D115" s="3">
        <v>46094</v>
      </c>
      <c r="E115" s="3">
        <v>46094</v>
      </c>
      <c r="F115" s="2" t="s">
        <v>82</v>
      </c>
      <c r="G115" s="199">
        <v>400</v>
      </c>
      <c r="H115" s="199">
        <v>0</v>
      </c>
      <c r="I115" s="205">
        <f t="shared" si="14"/>
        <v>400</v>
      </c>
      <c r="J115" s="213">
        <f t="shared" si="15"/>
        <v>102.76479999999999</v>
      </c>
      <c r="K115" s="106" t="s">
        <v>550</v>
      </c>
      <c r="L115" s="4" t="s">
        <v>551</v>
      </c>
      <c r="M115" s="4" t="s">
        <v>552</v>
      </c>
      <c r="N115" s="106" t="s">
        <v>367</v>
      </c>
      <c r="O115" s="146" t="str">
        <f>_xlfn.XLOOKUP(N115,costcategory[Account Code],costcategory[Cost Category],"ERROR")</f>
        <v>Professional &amp; Consultancy Fees</v>
      </c>
      <c r="P115" s="4" t="s">
        <v>340</v>
      </c>
      <c r="Q115" s="147" t="str">
        <f>_xlfn.XLOOKUP(P115,Table2[Department],Table2[Group],"ERROR")</f>
        <v>General &amp; Administrative</v>
      </c>
      <c r="R115" s="18"/>
      <c r="S115" s="18"/>
      <c r="T115" s="18"/>
      <c r="V115" s="18"/>
    </row>
    <row r="116" spans="1:22" ht="12.95" customHeight="1" x14ac:dyDescent="0.2">
      <c r="A116" s="2" t="s">
        <v>15</v>
      </c>
      <c r="B116" s="2" t="s">
        <v>2</v>
      </c>
      <c r="C116" s="3">
        <v>46094</v>
      </c>
      <c r="D116" s="3">
        <v>46094</v>
      </c>
      <c r="E116" s="3">
        <v>46094</v>
      </c>
      <c r="F116" s="2" t="s">
        <v>82</v>
      </c>
      <c r="G116" s="199">
        <v>196275</v>
      </c>
      <c r="H116" s="199">
        <v>0</v>
      </c>
      <c r="I116" s="205">
        <f t="shared" si="14"/>
        <v>196275</v>
      </c>
      <c r="J116" s="213">
        <f t="shared" si="15"/>
        <v>50425.402799999996</v>
      </c>
      <c r="K116" s="106" t="s">
        <v>557</v>
      </c>
      <c r="L116" s="4" t="s">
        <v>558</v>
      </c>
      <c r="M116" s="4" t="s">
        <v>559</v>
      </c>
      <c r="N116" s="106" t="s">
        <v>560</v>
      </c>
      <c r="O116" s="146" t="str">
        <f>_xlfn.XLOOKUP(N116,costcategory[Account Code],costcategory[Cost Category],"ERROR")</f>
        <v>Direct Costs</v>
      </c>
      <c r="P116" s="4" t="s">
        <v>45</v>
      </c>
      <c r="Q116" s="147" t="str">
        <f>_xlfn.XLOOKUP(P116,Table2[Department],Table2[Group],"ERROR")</f>
        <v>DSC</v>
      </c>
      <c r="R116" s="18"/>
      <c r="S116" s="18"/>
      <c r="T116" s="18"/>
      <c r="V116" s="18"/>
    </row>
    <row r="117" spans="1:22" ht="12.95" customHeight="1" x14ac:dyDescent="0.2">
      <c r="A117" s="2" t="s">
        <v>15</v>
      </c>
      <c r="B117" s="2" t="s">
        <v>2</v>
      </c>
      <c r="C117" s="3">
        <v>46094</v>
      </c>
      <c r="D117" s="3">
        <v>46094</v>
      </c>
      <c r="E117" s="3">
        <v>46094</v>
      </c>
      <c r="F117" s="2" t="s">
        <v>82</v>
      </c>
      <c r="G117" s="199">
        <v>0.5</v>
      </c>
      <c r="H117" s="199">
        <v>0</v>
      </c>
      <c r="I117" s="205">
        <f t="shared" si="14"/>
        <v>0.5</v>
      </c>
      <c r="J117" s="213">
        <f t="shared" si="15"/>
        <v>0.12845599999999999</v>
      </c>
      <c r="K117" s="106" t="s">
        <v>448</v>
      </c>
      <c r="L117" s="4" t="s">
        <v>563</v>
      </c>
      <c r="M117" s="4" t="s">
        <v>332</v>
      </c>
      <c r="N117" s="106" t="s">
        <v>332</v>
      </c>
      <c r="O117" s="146" t="str">
        <f>_xlfn.XLOOKUP(N117,costcategory[Account Code],costcategory[Cost Category],"ERROR")</f>
        <v>Bank Charges</v>
      </c>
      <c r="P117" s="4" t="s">
        <v>333</v>
      </c>
      <c r="Q117" s="147" t="str">
        <f>_xlfn.XLOOKUP(P117,Table2[Department],Table2[Group],"ERROR")</f>
        <v>General &amp; Administrative</v>
      </c>
      <c r="R117" s="18"/>
      <c r="S117" s="18"/>
      <c r="T117" s="18"/>
      <c r="V117" s="18"/>
    </row>
    <row r="118" spans="1:22" ht="12.95" customHeight="1" x14ac:dyDescent="0.2">
      <c r="A118" s="2" t="s">
        <v>15</v>
      </c>
      <c r="B118" s="2" t="s">
        <v>2</v>
      </c>
      <c r="C118" s="3">
        <v>46094</v>
      </c>
      <c r="D118" s="3">
        <v>46094</v>
      </c>
      <c r="E118" s="3">
        <v>46094</v>
      </c>
      <c r="F118" s="2" t="s">
        <v>82</v>
      </c>
      <c r="G118" s="199">
        <v>26205.5</v>
      </c>
      <c r="H118" s="199">
        <v>0</v>
      </c>
      <c r="I118" s="205">
        <f t="shared" si="14"/>
        <v>26205.5</v>
      </c>
      <c r="J118" s="213">
        <f t="shared" si="15"/>
        <v>6732.5074159999995</v>
      </c>
      <c r="K118" s="106" t="s">
        <v>1328</v>
      </c>
      <c r="M118" s="4" t="s">
        <v>1345</v>
      </c>
      <c r="N118" s="106" t="s">
        <v>509</v>
      </c>
      <c r="O118" s="146" t="str">
        <f>_xlfn.XLOOKUP(N118,costcategory[Account Code],costcategory[Cost Category],"ERROR")</f>
        <v>Corporate Tax Expenses</v>
      </c>
      <c r="P118" s="4" t="s">
        <v>350</v>
      </c>
      <c r="Q118" s="147" t="str">
        <f>_xlfn.XLOOKUP(P118,Table2[Department],Table2[Group],"ERROR")</f>
        <v>General &amp; Administrative</v>
      </c>
      <c r="R118" s="18"/>
      <c r="S118" s="18"/>
      <c r="T118" s="18"/>
      <c r="V118" s="18"/>
    </row>
    <row r="119" spans="1:22" ht="12.95" customHeight="1" x14ac:dyDescent="0.2">
      <c r="A119" s="2" t="s">
        <v>15</v>
      </c>
      <c r="B119" s="2" t="s">
        <v>2</v>
      </c>
      <c r="C119" s="3">
        <v>46094</v>
      </c>
      <c r="D119" s="3">
        <v>46087</v>
      </c>
      <c r="E119" s="3">
        <v>46094</v>
      </c>
      <c r="F119" s="2" t="s">
        <v>82</v>
      </c>
      <c r="G119" s="199">
        <v>-32000</v>
      </c>
      <c r="H119" s="199">
        <v>0</v>
      </c>
      <c r="I119" s="205">
        <f t="shared" si="14"/>
        <v>-32000</v>
      </c>
      <c r="J119" s="213">
        <f t="shared" si="15"/>
        <v>-8221.1839999999993</v>
      </c>
      <c r="K119" s="106" t="s">
        <v>511</v>
      </c>
      <c r="L119" s="4" t="s">
        <v>117</v>
      </c>
      <c r="M119" s="145" t="s">
        <v>549</v>
      </c>
      <c r="N119" s="106" t="s">
        <v>382</v>
      </c>
      <c r="O119" s="146" t="str">
        <f>_xlfn.XLOOKUP(N119,costcategory[Account Code],costcategory[Cost Category],"ERROR")</f>
        <v>Revenue</v>
      </c>
      <c r="P119" s="4" t="s">
        <v>438</v>
      </c>
      <c r="Q119" s="147" t="str">
        <f>_xlfn.XLOOKUP(P119,Table2[Department],Table2[Group],"ERROR")</f>
        <v>Sales &amp; Marketing</v>
      </c>
      <c r="R119" s="18"/>
      <c r="S119" s="18"/>
      <c r="T119" s="18"/>
      <c r="V119" s="18"/>
    </row>
    <row r="120" spans="1:22" ht="12.95" customHeight="1" x14ac:dyDescent="0.2">
      <c r="A120" s="2" t="s">
        <v>15</v>
      </c>
      <c r="B120" s="2" t="s">
        <v>2</v>
      </c>
      <c r="C120" s="3">
        <v>46097</v>
      </c>
      <c r="D120" s="3">
        <v>46096</v>
      </c>
      <c r="E120" s="3">
        <v>46097</v>
      </c>
      <c r="F120" s="2" t="s">
        <v>82</v>
      </c>
      <c r="G120" s="199">
        <f>3310.02-G121-G122</f>
        <v>2000.14</v>
      </c>
      <c r="H120" s="199">
        <v>0</v>
      </c>
      <c r="I120" s="227">
        <f t="shared" si="14"/>
        <v>2000.14</v>
      </c>
      <c r="J120" s="213">
        <f t="shared" si="15"/>
        <v>513.85996767999995</v>
      </c>
      <c r="K120" s="4" t="s">
        <v>564</v>
      </c>
      <c r="L120" s="4" t="s">
        <v>564</v>
      </c>
      <c r="M120" s="4" t="s">
        <v>474</v>
      </c>
      <c r="N120" s="106" t="s">
        <v>475</v>
      </c>
      <c r="O120" s="146" t="str">
        <f>_xlfn.XLOOKUP(N120,costcategory[Account Code],costcategory[Cost Category],"ERROR")</f>
        <v>Travelling Expenses</v>
      </c>
      <c r="P120" s="4" t="s">
        <v>354</v>
      </c>
      <c r="Q120" s="147" t="str">
        <f>_xlfn.XLOOKUP(P120,Table2[Department],Table2[Group],"ERROR")</f>
        <v>Sales &amp; Marketing</v>
      </c>
      <c r="R120" s="18"/>
      <c r="S120" s="18"/>
      <c r="T120" s="18"/>
      <c r="V120" s="18"/>
    </row>
    <row r="121" spans="1:22" ht="12.95" customHeight="1" x14ac:dyDescent="0.2">
      <c r="A121" s="2" t="s">
        <v>15</v>
      </c>
      <c r="B121" s="2" t="s">
        <v>2</v>
      </c>
      <c r="C121" s="3">
        <v>46097</v>
      </c>
      <c r="D121" s="3">
        <v>46096</v>
      </c>
      <c r="E121" s="3">
        <v>46097</v>
      </c>
      <c r="F121" s="2" t="s">
        <v>82</v>
      </c>
      <c r="G121" s="199">
        <v>568.16</v>
      </c>
      <c r="H121" s="199">
        <v>0</v>
      </c>
      <c r="I121" s="228">
        <f t="shared" ref="I121:I122" si="16">SUM(G121:H121)</f>
        <v>568.16</v>
      </c>
      <c r="J121" s="213">
        <f t="shared" si="15"/>
        <v>145.96712191999998</v>
      </c>
      <c r="K121" s="4" t="s">
        <v>564</v>
      </c>
      <c r="L121" s="4" t="s">
        <v>564</v>
      </c>
      <c r="M121" s="4" t="s">
        <v>474</v>
      </c>
      <c r="N121" s="106" t="s">
        <v>475</v>
      </c>
      <c r="O121" s="146" t="str">
        <f>_xlfn.XLOOKUP(N121,costcategory[Account Code],costcategory[Cost Category],"ERROR")</f>
        <v>Travelling Expenses</v>
      </c>
      <c r="P121" s="4" t="s">
        <v>45</v>
      </c>
      <c r="Q121" s="147" t="str">
        <f>_xlfn.XLOOKUP(P121,Table2[Department],Table2[Group],"ERROR")</f>
        <v>DSC</v>
      </c>
      <c r="R121" s="18"/>
      <c r="S121" s="18"/>
      <c r="T121" s="18"/>
      <c r="V121" s="18"/>
    </row>
    <row r="122" spans="1:22" ht="12.95" customHeight="1" x14ac:dyDescent="0.2">
      <c r="A122" s="2" t="s">
        <v>15</v>
      </c>
      <c r="B122" s="2" t="s">
        <v>2</v>
      </c>
      <c r="C122" s="3">
        <v>46097</v>
      </c>
      <c r="D122" s="3">
        <v>46096</v>
      </c>
      <c r="E122" s="3">
        <v>46097</v>
      </c>
      <c r="F122" s="2" t="s">
        <v>82</v>
      </c>
      <c r="G122" s="199">
        <v>741.72</v>
      </c>
      <c r="H122" s="199">
        <v>0</v>
      </c>
      <c r="I122" s="228">
        <f t="shared" si="16"/>
        <v>741.72</v>
      </c>
      <c r="J122" s="213">
        <f t="shared" si="15"/>
        <v>190.55676864</v>
      </c>
      <c r="K122" s="4" t="s">
        <v>564</v>
      </c>
      <c r="L122" s="4" t="s">
        <v>564</v>
      </c>
      <c r="M122" s="4" t="s">
        <v>474</v>
      </c>
      <c r="N122" s="106" t="s">
        <v>475</v>
      </c>
      <c r="O122" s="146" t="str">
        <f>_xlfn.XLOOKUP(N122,costcategory[Account Code],costcategory[Cost Category],"ERROR")</f>
        <v>Travelling Expenses</v>
      </c>
      <c r="P122" s="4" t="s">
        <v>350</v>
      </c>
      <c r="Q122" s="147" t="str">
        <f>_xlfn.XLOOKUP(P122,Table2[Department],Table2[Group],"ERROR")</f>
        <v>General &amp; Administrative</v>
      </c>
      <c r="R122" s="18"/>
      <c r="S122" s="18"/>
      <c r="T122" s="18"/>
      <c r="V122" s="18"/>
    </row>
    <row r="123" spans="1:22" ht="12.95" customHeight="1" x14ac:dyDescent="0.2">
      <c r="A123" s="2" t="s">
        <v>15</v>
      </c>
      <c r="B123" s="2" t="s">
        <v>2</v>
      </c>
      <c r="C123" s="3">
        <v>46097</v>
      </c>
      <c r="D123" s="3">
        <v>46096</v>
      </c>
      <c r="E123" s="3">
        <v>46097</v>
      </c>
      <c r="F123" s="2" t="s">
        <v>82</v>
      </c>
      <c r="G123" s="199">
        <v>280</v>
      </c>
      <c r="H123" s="199">
        <v>0</v>
      </c>
      <c r="I123" s="228">
        <f t="shared" ref="I123:I140" si="17">SUM(G123:H123)</f>
        <v>280</v>
      </c>
      <c r="J123" s="213">
        <f t="shared" si="15"/>
        <v>71.935359999999989</v>
      </c>
      <c r="K123" s="4" t="s">
        <v>564</v>
      </c>
      <c r="L123" s="4" t="s">
        <v>564</v>
      </c>
      <c r="M123" s="4" t="s">
        <v>476</v>
      </c>
      <c r="N123" s="106" t="s">
        <v>339</v>
      </c>
      <c r="O123" s="146" t="str">
        <f>_xlfn.XLOOKUP(N123,costcategory[Account Code],costcategory[Cost Category],"ERROR")</f>
        <v>Travelling Expenses</v>
      </c>
      <c r="P123" s="4" t="s">
        <v>438</v>
      </c>
      <c r="Q123" s="147" t="str">
        <f>_xlfn.XLOOKUP(P123,Table2[Department],Table2[Group],"ERROR")</f>
        <v>Sales &amp; Marketing</v>
      </c>
      <c r="R123" s="18"/>
      <c r="S123" s="18"/>
      <c r="T123" s="18"/>
      <c r="V123" s="18"/>
    </row>
    <row r="124" spans="1:22" ht="12.95" customHeight="1" x14ac:dyDescent="0.2">
      <c r="A124" s="2" t="s">
        <v>15</v>
      </c>
      <c r="B124" s="2" t="s">
        <v>2</v>
      </c>
      <c r="C124" s="3">
        <v>46097</v>
      </c>
      <c r="D124" s="3">
        <v>46096</v>
      </c>
      <c r="E124" s="3">
        <v>46097</v>
      </c>
      <c r="F124" s="2" t="s">
        <v>82</v>
      </c>
      <c r="G124" s="199">
        <v>56.05</v>
      </c>
      <c r="H124" s="199">
        <v>0</v>
      </c>
      <c r="I124" s="228">
        <f t="shared" si="17"/>
        <v>56.05</v>
      </c>
      <c r="J124" s="213">
        <f t="shared" si="15"/>
        <v>14.399917599999998</v>
      </c>
      <c r="K124" s="4" t="s">
        <v>564</v>
      </c>
      <c r="L124" s="4" t="s">
        <v>564</v>
      </c>
      <c r="M124" s="4" t="s">
        <v>526</v>
      </c>
      <c r="N124" s="106" t="s">
        <v>527</v>
      </c>
      <c r="O124" s="146" t="str">
        <f>_xlfn.XLOOKUP(N124,costcategory[Account Code],costcategory[Cost Category],"ERROR")</f>
        <v>Sales Expenses</v>
      </c>
      <c r="P124" s="4" t="s">
        <v>438</v>
      </c>
      <c r="Q124" s="147" t="str">
        <f>_xlfn.XLOOKUP(P124,Table2[Department],Table2[Group],"ERROR")</f>
        <v>Sales &amp; Marketing</v>
      </c>
      <c r="R124" s="18"/>
      <c r="S124" s="18"/>
      <c r="T124" s="18"/>
      <c r="V124" s="18"/>
    </row>
    <row r="125" spans="1:22" ht="12.95" customHeight="1" x14ac:dyDescent="0.2">
      <c r="A125" s="2" t="s">
        <v>15</v>
      </c>
      <c r="B125" s="2" t="s">
        <v>2</v>
      </c>
      <c r="C125" s="3">
        <v>46097</v>
      </c>
      <c r="D125" s="3">
        <v>46096</v>
      </c>
      <c r="E125" s="3">
        <v>46097</v>
      </c>
      <c r="F125" s="2" t="s">
        <v>82</v>
      </c>
      <c r="G125" s="199">
        <v>132.69999999999999</v>
      </c>
      <c r="H125" s="199">
        <v>0</v>
      </c>
      <c r="I125" s="228">
        <f t="shared" si="17"/>
        <v>132.69999999999999</v>
      </c>
      <c r="J125" s="213">
        <f t="shared" si="15"/>
        <v>34.09222239999999</v>
      </c>
      <c r="K125" s="4" t="s">
        <v>564</v>
      </c>
      <c r="L125" s="4" t="s">
        <v>564</v>
      </c>
      <c r="M125" s="4" t="s">
        <v>348</v>
      </c>
      <c r="N125" s="106" t="s">
        <v>349</v>
      </c>
      <c r="O125" s="146" t="str">
        <f>_xlfn.XLOOKUP(N125,costcategory[Account Code],costcategory[Cost Category],"ERROR")</f>
        <v>Employee Benefits</v>
      </c>
      <c r="P125" s="4" t="s">
        <v>350</v>
      </c>
      <c r="Q125" s="147" t="str">
        <f>_xlfn.XLOOKUP(P125,Table2[Department],Table2[Group],"ERROR")</f>
        <v>General &amp; Administrative</v>
      </c>
      <c r="R125" s="18"/>
      <c r="S125" s="18"/>
      <c r="T125" s="18"/>
      <c r="V125" s="18"/>
    </row>
    <row r="126" spans="1:22" ht="12.95" customHeight="1" x14ac:dyDescent="0.2">
      <c r="A126" s="2" t="s">
        <v>15</v>
      </c>
      <c r="B126" s="2" t="s">
        <v>2</v>
      </c>
      <c r="C126" s="3">
        <v>46097</v>
      </c>
      <c r="D126" s="3">
        <v>46096</v>
      </c>
      <c r="E126" s="3">
        <v>46097</v>
      </c>
      <c r="F126" s="2" t="s">
        <v>82</v>
      </c>
      <c r="G126" s="199">
        <v>70.73</v>
      </c>
      <c r="H126" s="199">
        <v>0</v>
      </c>
      <c r="I126" s="228">
        <f t="shared" ref="I126" si="18">SUM(G126:H126)</f>
        <v>70.73</v>
      </c>
      <c r="J126" s="213">
        <f t="shared" si="15"/>
        <v>18.17138576</v>
      </c>
      <c r="K126" s="4" t="s">
        <v>564</v>
      </c>
      <c r="L126" s="4" t="s">
        <v>564</v>
      </c>
      <c r="M126" s="4" t="s">
        <v>352</v>
      </c>
      <c r="N126" s="106" t="s">
        <v>391</v>
      </c>
      <c r="O126" s="146" t="str">
        <f>_xlfn.XLOOKUP(N126,costcategory[Account Code],costcategory[Cost Category],"ERROR")</f>
        <v>Travelling Expenses</v>
      </c>
      <c r="P126" s="4" t="s">
        <v>354</v>
      </c>
      <c r="Q126" s="147" t="str">
        <f>_xlfn.XLOOKUP(P126,Table2[Department],Table2[Group],"ERROR")</f>
        <v>Sales &amp; Marketing</v>
      </c>
      <c r="R126" s="18"/>
      <c r="S126" s="18"/>
      <c r="T126" s="18"/>
      <c r="V126" s="18"/>
    </row>
    <row r="127" spans="1:22" ht="12.95" customHeight="1" x14ac:dyDescent="0.2">
      <c r="A127" s="2" t="s">
        <v>15</v>
      </c>
      <c r="B127" s="2" t="s">
        <v>2</v>
      </c>
      <c r="C127" s="3">
        <v>46097</v>
      </c>
      <c r="D127" s="3">
        <v>46096</v>
      </c>
      <c r="E127" s="3">
        <v>46097</v>
      </c>
      <c r="F127" s="2" t="s">
        <v>82</v>
      </c>
      <c r="G127" s="199">
        <v>222.82</v>
      </c>
      <c r="H127" s="199">
        <v>0</v>
      </c>
      <c r="I127" s="228">
        <f t="shared" si="17"/>
        <v>222.82</v>
      </c>
      <c r="J127" s="213">
        <f t="shared" si="15"/>
        <v>57.245131839999992</v>
      </c>
      <c r="K127" s="4" t="s">
        <v>564</v>
      </c>
      <c r="L127" s="4" t="s">
        <v>564</v>
      </c>
      <c r="M127" s="4" t="s">
        <v>352</v>
      </c>
      <c r="N127" s="106" t="s">
        <v>391</v>
      </c>
      <c r="O127" s="146" t="str">
        <f>_xlfn.XLOOKUP(N127,costcategory[Account Code],costcategory[Cost Category],"ERROR")</f>
        <v>Travelling Expenses</v>
      </c>
      <c r="P127" s="4" t="s">
        <v>45</v>
      </c>
      <c r="Q127" s="147" t="str">
        <f>_xlfn.XLOOKUP(P127,Table2[Department],Table2[Group],"ERROR")</f>
        <v>DSC</v>
      </c>
      <c r="R127" s="18"/>
      <c r="S127" s="18"/>
      <c r="T127" s="18"/>
      <c r="V127" s="18"/>
    </row>
    <row r="128" spans="1:22" ht="12.75" customHeight="1" x14ac:dyDescent="0.2">
      <c r="A128" s="2" t="s">
        <v>15</v>
      </c>
      <c r="B128" s="2" t="s">
        <v>2</v>
      </c>
      <c r="C128" s="3">
        <v>46097</v>
      </c>
      <c r="D128" s="3">
        <v>46096</v>
      </c>
      <c r="E128" s="3">
        <v>46097</v>
      </c>
      <c r="F128" s="2" t="s">
        <v>82</v>
      </c>
      <c r="G128" s="199">
        <v>23.95</v>
      </c>
      <c r="H128" s="199">
        <v>0</v>
      </c>
      <c r="I128" s="228">
        <f t="shared" si="17"/>
        <v>23.95</v>
      </c>
      <c r="J128" s="213">
        <f t="shared" si="15"/>
        <v>6.1530423999999995</v>
      </c>
      <c r="K128" s="4" t="s">
        <v>564</v>
      </c>
      <c r="L128" s="4" t="s">
        <v>564</v>
      </c>
      <c r="M128" s="4" t="s">
        <v>355</v>
      </c>
      <c r="N128" s="106" t="s">
        <v>402</v>
      </c>
      <c r="O128" s="146" t="str">
        <f>_xlfn.XLOOKUP(N128,costcategory[Account Code],costcategory[Cost Category],"ERROR")</f>
        <v>Travelling Expenses</v>
      </c>
      <c r="P128" s="4" t="s">
        <v>438</v>
      </c>
      <c r="Q128" s="147" t="str">
        <f>_xlfn.XLOOKUP(P128,Table2[Department],Table2[Group],"ERROR")</f>
        <v>Sales &amp; Marketing</v>
      </c>
      <c r="R128" s="18"/>
      <c r="S128" s="18"/>
      <c r="T128" s="18"/>
      <c r="V128" s="18"/>
    </row>
    <row r="129" spans="1:22" ht="12.75" customHeight="1" x14ac:dyDescent="0.2">
      <c r="A129" s="2" t="s">
        <v>15</v>
      </c>
      <c r="B129" s="2" t="s">
        <v>2</v>
      </c>
      <c r="C129" s="3">
        <v>46097</v>
      </c>
      <c r="D129" s="3">
        <v>46096</v>
      </c>
      <c r="E129" s="3">
        <v>46097</v>
      </c>
      <c r="F129" s="2" t="s">
        <v>82</v>
      </c>
      <c r="G129" s="199">
        <v>29.3</v>
      </c>
      <c r="H129" s="199">
        <v>0</v>
      </c>
      <c r="I129" s="228">
        <f t="shared" ref="I129" si="19">SUM(G129:H129)</f>
        <v>29.3</v>
      </c>
      <c r="J129" s="213">
        <f t="shared" si="15"/>
        <v>7.5275215999999991</v>
      </c>
      <c r="K129" s="4" t="s">
        <v>564</v>
      </c>
      <c r="L129" s="4" t="s">
        <v>564</v>
      </c>
      <c r="M129" s="4" t="s">
        <v>355</v>
      </c>
      <c r="N129" s="106" t="s">
        <v>402</v>
      </c>
      <c r="O129" s="146" t="str">
        <f>_xlfn.XLOOKUP(N129,costcategory[Account Code],costcategory[Cost Category],"ERROR")</f>
        <v>Travelling Expenses</v>
      </c>
      <c r="P129" s="4" t="s">
        <v>45</v>
      </c>
      <c r="Q129" s="147" t="str">
        <f>_xlfn.XLOOKUP(P129,Table2[Department],Table2[Group],"ERROR")</f>
        <v>DSC</v>
      </c>
      <c r="R129" s="18"/>
      <c r="S129" s="18"/>
      <c r="T129" s="18"/>
      <c r="V129" s="18"/>
    </row>
    <row r="130" spans="1:22" ht="12.75" customHeight="1" x14ac:dyDescent="0.2">
      <c r="A130" s="2" t="s">
        <v>15</v>
      </c>
      <c r="B130" s="2" t="s">
        <v>2</v>
      </c>
      <c r="C130" s="3">
        <v>46097</v>
      </c>
      <c r="D130" s="3">
        <v>46096</v>
      </c>
      <c r="E130" s="3">
        <v>46097</v>
      </c>
      <c r="F130" s="2" t="s">
        <v>82</v>
      </c>
      <c r="G130" s="199">
        <v>388.5</v>
      </c>
      <c r="H130" s="199">
        <v>0</v>
      </c>
      <c r="I130" s="228">
        <f t="shared" si="17"/>
        <v>388.5</v>
      </c>
      <c r="J130" s="213">
        <f t="shared" si="15"/>
        <v>99.810311999999996</v>
      </c>
      <c r="K130" s="4" t="s">
        <v>564</v>
      </c>
      <c r="L130" s="4" t="s">
        <v>564</v>
      </c>
      <c r="M130" s="4" t="s">
        <v>392</v>
      </c>
      <c r="N130" s="106" t="s">
        <v>393</v>
      </c>
      <c r="O130" s="146" t="str">
        <f>_xlfn.XLOOKUP(N130,costcategory[Account Code],costcategory[Cost Category],"ERROR")</f>
        <v>Employee Benefits</v>
      </c>
      <c r="P130" s="4" t="s">
        <v>350</v>
      </c>
      <c r="Q130" s="147" t="str">
        <f>_xlfn.XLOOKUP(P130,Table2[Department],Table2[Group],"ERROR")</f>
        <v>General &amp; Administrative</v>
      </c>
      <c r="R130" s="18"/>
      <c r="S130" s="18"/>
      <c r="T130" s="18"/>
      <c r="V130" s="18"/>
    </row>
    <row r="131" spans="1:22" ht="12.95" customHeight="1" x14ac:dyDescent="0.2">
      <c r="A131" s="2" t="s">
        <v>15</v>
      </c>
      <c r="B131" s="2" t="s">
        <v>2</v>
      </c>
      <c r="C131" s="3">
        <v>46097</v>
      </c>
      <c r="D131" s="3">
        <v>46096</v>
      </c>
      <c r="E131" s="3">
        <v>46097</v>
      </c>
      <c r="F131" s="2" t="s">
        <v>82</v>
      </c>
      <c r="G131" s="199">
        <v>1350.29</v>
      </c>
      <c r="H131" s="199">
        <v>0</v>
      </c>
      <c r="I131" s="228">
        <f t="shared" si="17"/>
        <v>1350.29</v>
      </c>
      <c r="J131" s="213">
        <f t="shared" si="15"/>
        <v>346.90570447999994</v>
      </c>
      <c r="K131" s="4" t="s">
        <v>564</v>
      </c>
      <c r="L131" s="4" t="s">
        <v>564</v>
      </c>
      <c r="M131" s="4" t="s">
        <v>416</v>
      </c>
      <c r="N131" s="106" t="s">
        <v>390</v>
      </c>
      <c r="O131" s="146" t="str">
        <f>_xlfn.XLOOKUP(N131,costcategory[Account Code],costcategory[Cost Category],"ERROR")</f>
        <v>Employee Benefits</v>
      </c>
      <c r="P131" s="4" t="s">
        <v>45</v>
      </c>
      <c r="Q131" s="147" t="str">
        <f>_xlfn.XLOOKUP(P131,Table2[Department],Table2[Group],"ERROR")</f>
        <v>DSC</v>
      </c>
      <c r="R131" s="18"/>
      <c r="S131" s="18"/>
      <c r="T131" s="18"/>
      <c r="V131" s="18"/>
    </row>
    <row r="132" spans="1:22" ht="12.95" customHeight="1" x14ac:dyDescent="0.2">
      <c r="A132" s="2" t="s">
        <v>15</v>
      </c>
      <c r="B132" s="2" t="s">
        <v>2</v>
      </c>
      <c r="C132" s="3">
        <v>46097</v>
      </c>
      <c r="D132" s="3">
        <v>46096</v>
      </c>
      <c r="E132" s="3">
        <v>46097</v>
      </c>
      <c r="F132" s="2" t="s">
        <v>82</v>
      </c>
      <c r="G132" s="199">
        <v>67</v>
      </c>
      <c r="H132" s="199">
        <v>0</v>
      </c>
      <c r="I132" s="228">
        <f t="shared" si="17"/>
        <v>67</v>
      </c>
      <c r="J132" s="213">
        <f t="shared" si="15"/>
        <v>17.213103999999998</v>
      </c>
      <c r="K132" s="4" t="s">
        <v>564</v>
      </c>
      <c r="L132" s="4" t="s">
        <v>564</v>
      </c>
      <c r="M132" s="4" t="s">
        <v>359</v>
      </c>
      <c r="N132" s="106" t="s">
        <v>52</v>
      </c>
      <c r="O132" s="146" t="str">
        <f>_xlfn.XLOOKUP(N132,costcategory[Account Code],costcategory[Cost Category],"ERROR")</f>
        <v>Telecommunication</v>
      </c>
      <c r="P132" s="4" t="s">
        <v>354</v>
      </c>
      <c r="Q132" s="147" t="str">
        <f>_xlfn.XLOOKUP(P132,Table2[Department],Table2[Group],"ERROR")</f>
        <v>Sales &amp; Marketing</v>
      </c>
      <c r="R132" s="18"/>
      <c r="S132" s="18"/>
      <c r="T132" s="18"/>
      <c r="V132" s="18"/>
    </row>
    <row r="133" spans="1:22" ht="12.95" customHeight="1" x14ac:dyDescent="0.2">
      <c r="A133" s="2" t="s">
        <v>15</v>
      </c>
      <c r="B133" s="2" t="s">
        <v>2</v>
      </c>
      <c r="C133" s="3">
        <v>46097</v>
      </c>
      <c r="D133" s="3">
        <v>46096</v>
      </c>
      <c r="E133" s="3">
        <v>46097</v>
      </c>
      <c r="F133" s="2" t="s">
        <v>82</v>
      </c>
      <c r="G133" s="199">
        <v>67</v>
      </c>
      <c r="H133" s="199">
        <v>0</v>
      </c>
      <c r="I133" s="228">
        <f t="shared" si="17"/>
        <v>67</v>
      </c>
      <c r="J133" s="213">
        <f t="shared" si="15"/>
        <v>17.213103999999998</v>
      </c>
      <c r="K133" s="4" t="s">
        <v>564</v>
      </c>
      <c r="L133" s="4" t="s">
        <v>564</v>
      </c>
      <c r="M133" s="4" t="s">
        <v>359</v>
      </c>
      <c r="N133" s="106" t="s">
        <v>52</v>
      </c>
      <c r="O133" s="146" t="str">
        <f>_xlfn.XLOOKUP(N133,costcategory[Account Code],costcategory[Cost Category],"ERROR")</f>
        <v>Telecommunication</v>
      </c>
      <c r="P133" s="4" t="s">
        <v>45</v>
      </c>
      <c r="Q133" s="147" t="str">
        <f>_xlfn.XLOOKUP(P133,Table2[Department],Table2[Group],"ERROR")</f>
        <v>DSC</v>
      </c>
      <c r="R133" s="18"/>
      <c r="S133" s="18"/>
      <c r="T133" s="18"/>
      <c r="V133" s="18"/>
    </row>
    <row r="134" spans="1:22" ht="12.95" customHeight="1" x14ac:dyDescent="0.2">
      <c r="A134" s="2" t="s">
        <v>15</v>
      </c>
      <c r="B134" s="2" t="s">
        <v>2</v>
      </c>
      <c r="C134" s="3">
        <v>46097</v>
      </c>
      <c r="D134" s="3">
        <v>46096</v>
      </c>
      <c r="E134" s="3">
        <v>46097</v>
      </c>
      <c r="F134" s="2" t="s">
        <v>82</v>
      </c>
      <c r="G134" s="199">
        <v>2618.3500000000004</v>
      </c>
      <c r="H134" s="199">
        <v>0</v>
      </c>
      <c r="I134" s="228">
        <f t="shared" si="17"/>
        <v>2618.3500000000004</v>
      </c>
      <c r="J134" s="213">
        <f t="shared" si="15"/>
        <v>672.6855352</v>
      </c>
      <c r="K134" s="4" t="s">
        <v>564</v>
      </c>
      <c r="L134" s="4" t="s">
        <v>564</v>
      </c>
      <c r="M134" s="4" t="s">
        <v>360</v>
      </c>
      <c r="N134" s="106" t="s">
        <v>353</v>
      </c>
      <c r="O134" s="146" t="str">
        <f>_xlfn.XLOOKUP(N134,costcategory[Account Code],costcategory[Cost Category],"ERROR")</f>
        <v>Travelling Expenses</v>
      </c>
      <c r="P134" s="4" t="s">
        <v>354</v>
      </c>
      <c r="Q134" s="147" t="str">
        <f>_xlfn.XLOOKUP(P134,Table2[Department],Table2[Group],"ERROR")</f>
        <v>Sales &amp; Marketing</v>
      </c>
      <c r="R134" s="18"/>
      <c r="S134" s="18"/>
      <c r="T134" s="18"/>
      <c r="V134" s="18"/>
    </row>
    <row r="135" spans="1:22" ht="12.95" customHeight="1" x14ac:dyDescent="0.2">
      <c r="A135" s="2" t="s">
        <v>15</v>
      </c>
      <c r="B135" s="2" t="s">
        <v>2</v>
      </c>
      <c r="C135" s="3">
        <v>46097</v>
      </c>
      <c r="D135" s="3">
        <v>46096</v>
      </c>
      <c r="E135" s="3">
        <v>46097</v>
      </c>
      <c r="F135" s="2" t="s">
        <v>82</v>
      </c>
      <c r="G135" s="199">
        <v>2545.0299999999997</v>
      </c>
      <c r="H135" s="199">
        <v>0</v>
      </c>
      <c r="I135" s="228">
        <f t="shared" si="17"/>
        <v>2545.0299999999997</v>
      </c>
      <c r="J135" s="213">
        <f t="shared" si="15"/>
        <v>653.84874735999983</v>
      </c>
      <c r="K135" s="4" t="s">
        <v>564</v>
      </c>
      <c r="L135" s="4" t="s">
        <v>564</v>
      </c>
      <c r="M135" s="4" t="s">
        <v>360</v>
      </c>
      <c r="N135" s="106" t="s">
        <v>353</v>
      </c>
      <c r="O135" s="146" t="str">
        <f>_xlfn.XLOOKUP(N135,costcategory[Account Code],costcategory[Cost Category],"ERROR")</f>
        <v>Travelling Expenses</v>
      </c>
      <c r="P135" s="4" t="s">
        <v>45</v>
      </c>
      <c r="Q135" s="147" t="str">
        <f>_xlfn.XLOOKUP(P135,Table2[Department],Table2[Group],"ERROR")</f>
        <v>DSC</v>
      </c>
      <c r="R135" s="18"/>
      <c r="S135" s="18"/>
      <c r="T135" s="18"/>
      <c r="V135" s="18"/>
    </row>
    <row r="136" spans="1:22" ht="12.95" customHeight="1" x14ac:dyDescent="0.2">
      <c r="A136" s="2" t="s">
        <v>15</v>
      </c>
      <c r="B136" s="2" t="s">
        <v>2</v>
      </c>
      <c r="C136" s="3">
        <v>46097</v>
      </c>
      <c r="D136" s="3">
        <v>46096</v>
      </c>
      <c r="E136" s="3">
        <v>46097</v>
      </c>
      <c r="F136" s="2" t="s">
        <v>82</v>
      </c>
      <c r="G136" s="199">
        <v>1868.69</v>
      </c>
      <c r="H136" s="199">
        <v>0</v>
      </c>
      <c r="I136" s="228">
        <f t="shared" si="17"/>
        <v>1868.69</v>
      </c>
      <c r="J136" s="213">
        <f t="shared" si="15"/>
        <v>480.08888527999994</v>
      </c>
      <c r="K136" s="4" t="s">
        <v>564</v>
      </c>
      <c r="L136" s="4" t="s">
        <v>564</v>
      </c>
      <c r="M136" s="4" t="s">
        <v>360</v>
      </c>
      <c r="N136" s="106" t="s">
        <v>353</v>
      </c>
      <c r="O136" s="146" t="str">
        <f>_xlfn.XLOOKUP(N136,costcategory[Account Code],costcategory[Cost Category],"ERROR")</f>
        <v>Travelling Expenses</v>
      </c>
      <c r="P136" s="4" t="s">
        <v>350</v>
      </c>
      <c r="Q136" s="147" t="str">
        <f>_xlfn.XLOOKUP(P136,Table2[Department],Table2[Group],"ERROR")</f>
        <v>General &amp; Administrative</v>
      </c>
      <c r="R136" s="18"/>
      <c r="S136" s="18"/>
      <c r="T136" s="18"/>
      <c r="V136" s="18"/>
    </row>
    <row r="137" spans="1:22" ht="12.75" customHeight="1" x14ac:dyDescent="0.2">
      <c r="A137" s="2" t="s">
        <v>1346</v>
      </c>
      <c r="B137" s="2" t="s">
        <v>2</v>
      </c>
      <c r="C137" s="3">
        <v>46097</v>
      </c>
      <c r="D137" s="3">
        <v>46096</v>
      </c>
      <c r="E137" s="3">
        <v>46097</v>
      </c>
      <c r="F137" s="2" t="s">
        <v>82</v>
      </c>
      <c r="G137" s="199">
        <v>300</v>
      </c>
      <c r="H137" s="199">
        <v>0</v>
      </c>
      <c r="I137" s="228">
        <f t="shared" si="17"/>
        <v>300</v>
      </c>
      <c r="J137" s="213">
        <f t="shared" si="15"/>
        <v>77.073599999999999</v>
      </c>
      <c r="K137" s="4" t="s">
        <v>564</v>
      </c>
      <c r="L137" s="4" t="s">
        <v>564</v>
      </c>
      <c r="M137" s="4" t="s">
        <v>361</v>
      </c>
      <c r="N137" s="106" t="s">
        <v>356</v>
      </c>
      <c r="O137" s="146" t="str">
        <f>_xlfn.XLOOKUP(N137,costcategory[Account Code],costcategory[Cost Category],"ERROR")</f>
        <v>Travelling Expenses</v>
      </c>
      <c r="P137" s="4" t="s">
        <v>354</v>
      </c>
      <c r="Q137" s="147" t="str">
        <f>_xlfn.XLOOKUP(P137,Table2[Department],Table2[Group],"ERROR")</f>
        <v>Sales &amp; Marketing</v>
      </c>
      <c r="R137" s="18"/>
      <c r="S137" s="18"/>
      <c r="T137" s="18"/>
      <c r="V137" s="18"/>
    </row>
    <row r="138" spans="1:22" ht="12.75" customHeight="1" x14ac:dyDescent="0.2">
      <c r="A138" s="2" t="s">
        <v>15</v>
      </c>
      <c r="B138" s="2" t="s">
        <v>2</v>
      </c>
      <c r="C138" s="3">
        <v>46097</v>
      </c>
      <c r="D138" s="3">
        <v>46096</v>
      </c>
      <c r="E138" s="3">
        <v>46097</v>
      </c>
      <c r="F138" s="2" t="s">
        <v>82</v>
      </c>
      <c r="G138" s="199">
        <v>1652.89</v>
      </c>
      <c r="H138" s="199">
        <v>0</v>
      </c>
      <c r="I138" s="228">
        <f t="shared" si="17"/>
        <v>1652.89</v>
      </c>
      <c r="J138" s="213">
        <f t="shared" si="15"/>
        <v>424.64727568000001</v>
      </c>
      <c r="K138" s="4" t="s">
        <v>564</v>
      </c>
      <c r="L138" s="4" t="s">
        <v>564</v>
      </c>
      <c r="M138" s="4" t="s">
        <v>361</v>
      </c>
      <c r="N138" s="106" t="s">
        <v>356</v>
      </c>
      <c r="O138" s="146" t="str">
        <f>_xlfn.XLOOKUP(N138,costcategory[Account Code],costcategory[Cost Category],"ERROR")</f>
        <v>Travelling Expenses</v>
      </c>
      <c r="P138" s="4" t="s">
        <v>45</v>
      </c>
      <c r="Q138" s="147" t="str">
        <f>_xlfn.XLOOKUP(P138,Table2[Department],Table2[Group],"ERROR")</f>
        <v>DSC</v>
      </c>
      <c r="R138" s="18"/>
      <c r="S138" s="18"/>
      <c r="T138" s="18"/>
      <c r="V138" s="18"/>
    </row>
    <row r="139" spans="1:22" ht="12.75" customHeight="1" x14ac:dyDescent="0.2">
      <c r="A139" s="2" t="s">
        <v>15</v>
      </c>
      <c r="B139" s="2" t="s">
        <v>2</v>
      </c>
      <c r="C139" s="3">
        <v>46097</v>
      </c>
      <c r="D139" s="3">
        <v>46096</v>
      </c>
      <c r="E139" s="3">
        <v>46097</v>
      </c>
      <c r="F139" s="2" t="s">
        <v>82</v>
      </c>
      <c r="G139" s="199">
        <v>292.12</v>
      </c>
      <c r="H139" s="199">
        <v>0</v>
      </c>
      <c r="I139" s="228">
        <f t="shared" ref="I139" si="20">SUM(G139:H139)</f>
        <v>292.12</v>
      </c>
      <c r="J139" s="213">
        <f t="shared" si="15"/>
        <v>75.049133439999991</v>
      </c>
      <c r="K139" s="4" t="s">
        <v>564</v>
      </c>
      <c r="L139" s="4" t="s">
        <v>564</v>
      </c>
      <c r="M139" s="4" t="s">
        <v>361</v>
      </c>
      <c r="N139" s="106" t="s">
        <v>356</v>
      </c>
      <c r="O139" s="146" t="str">
        <f>_xlfn.XLOOKUP(N139,costcategory[Account Code],costcategory[Cost Category],"ERROR")</f>
        <v>Travelling Expenses</v>
      </c>
      <c r="P139" s="4" t="s">
        <v>438</v>
      </c>
      <c r="Q139" s="147" t="str">
        <f>_xlfn.XLOOKUP(P139,Table2[Department],Table2[Group],"ERROR")</f>
        <v>Sales &amp; Marketing</v>
      </c>
      <c r="R139" s="18"/>
      <c r="S139" s="18"/>
      <c r="T139" s="18"/>
      <c r="V139" s="18"/>
    </row>
    <row r="140" spans="1:22" ht="12.75" customHeight="1" x14ac:dyDescent="0.2">
      <c r="A140" s="2" t="s">
        <v>15</v>
      </c>
      <c r="B140" s="2" t="s">
        <v>2</v>
      </c>
      <c r="C140" s="3">
        <v>46097</v>
      </c>
      <c r="D140" s="3">
        <v>46096</v>
      </c>
      <c r="E140" s="3">
        <v>46097</v>
      </c>
      <c r="F140" s="2" t="s">
        <v>82</v>
      </c>
      <c r="G140" s="199">
        <v>33</v>
      </c>
      <c r="H140" s="199">
        <v>0</v>
      </c>
      <c r="I140" s="229">
        <f t="shared" si="17"/>
        <v>33</v>
      </c>
      <c r="J140" s="213">
        <f t="shared" si="15"/>
        <v>8.478095999999999</v>
      </c>
      <c r="K140" s="4" t="s">
        <v>564</v>
      </c>
      <c r="L140" s="4" t="s">
        <v>564</v>
      </c>
      <c r="M140" s="4" t="s">
        <v>361</v>
      </c>
      <c r="N140" s="106" t="s">
        <v>356</v>
      </c>
      <c r="O140" s="146" t="str">
        <f>_xlfn.XLOOKUP(N140,costcategory[Account Code],costcategory[Cost Category],"ERROR")</f>
        <v>Travelling Expenses</v>
      </c>
      <c r="P140" s="4" t="s">
        <v>350</v>
      </c>
      <c r="Q140" s="147" t="str">
        <f>_xlfn.XLOOKUP(P140,Table2[Department],Table2[Group],"ERROR")</f>
        <v>General &amp; Administrative</v>
      </c>
      <c r="R140" s="18"/>
      <c r="S140" s="18"/>
      <c r="T140" s="18"/>
      <c r="V140" s="18"/>
    </row>
    <row r="141" spans="1:22" ht="12.95" customHeight="1" x14ac:dyDescent="0.2">
      <c r="A141" s="2" t="s">
        <v>15</v>
      </c>
      <c r="B141" s="2" t="s">
        <v>2</v>
      </c>
      <c r="C141" s="3">
        <v>46097</v>
      </c>
      <c r="D141" s="3">
        <v>46097</v>
      </c>
      <c r="E141" s="3">
        <v>46097</v>
      </c>
      <c r="F141" s="2" t="s">
        <v>82</v>
      </c>
      <c r="G141" s="199">
        <v>0.8</v>
      </c>
      <c r="H141" s="199">
        <v>0</v>
      </c>
      <c r="I141" s="205">
        <f t="shared" si="14"/>
        <v>0.8</v>
      </c>
      <c r="J141" s="213">
        <f t="shared" si="15"/>
        <v>0.20552959999999998</v>
      </c>
      <c r="K141" s="106" t="s">
        <v>448</v>
      </c>
      <c r="L141" s="4" t="s">
        <v>565</v>
      </c>
      <c r="M141" s="4" t="s">
        <v>332</v>
      </c>
      <c r="N141" s="106" t="s">
        <v>332</v>
      </c>
      <c r="O141" s="146" t="str">
        <f>_xlfn.XLOOKUP(N141,costcategory[Account Code],costcategory[Cost Category],"ERROR")</f>
        <v>Bank Charges</v>
      </c>
      <c r="P141" s="4" t="s">
        <v>333</v>
      </c>
      <c r="Q141" s="147" t="str">
        <f>_xlfn.XLOOKUP(P141,Table2[Department],Table2[Group],"ERROR")</f>
        <v>General &amp; Administrative</v>
      </c>
      <c r="R141" s="18"/>
      <c r="S141" s="18"/>
      <c r="T141" s="18"/>
      <c r="V141" s="18"/>
    </row>
    <row r="142" spans="1:22" ht="12.95" customHeight="1" x14ac:dyDescent="0.2">
      <c r="A142" s="2" t="s">
        <v>15</v>
      </c>
      <c r="B142" s="2" t="s">
        <v>2</v>
      </c>
      <c r="C142" s="3">
        <v>46100</v>
      </c>
      <c r="D142" s="3">
        <v>46100</v>
      </c>
      <c r="E142" s="3">
        <v>46100</v>
      </c>
      <c r="F142" s="2" t="s">
        <v>82</v>
      </c>
      <c r="G142" s="199">
        <v>-30.38</v>
      </c>
      <c r="H142" s="199">
        <v>0</v>
      </c>
      <c r="I142" s="205">
        <f t="shared" si="14"/>
        <v>-30.38</v>
      </c>
      <c r="J142" s="213">
        <f t="shared" si="15"/>
        <v>-7.8049865599999988</v>
      </c>
      <c r="K142" s="106" t="s">
        <v>1347</v>
      </c>
      <c r="M142" s="4" t="s">
        <v>1348</v>
      </c>
      <c r="N142" s="4" t="s">
        <v>464</v>
      </c>
      <c r="O142" s="146" t="str">
        <f>_xlfn.XLOOKUP(N142,costcategory[Account Code],costcategory[Cost Category],"ERROR")</f>
        <v>Accrual - Expenses of 2025</v>
      </c>
      <c r="P142" s="4" t="s">
        <v>350</v>
      </c>
      <c r="Q142" s="147" t="str">
        <f>_xlfn.XLOOKUP(P142,Table2[Department],Table2[Group],"ERROR")</f>
        <v>General &amp; Administrative</v>
      </c>
      <c r="R142" s="18"/>
      <c r="S142" s="18"/>
      <c r="T142" s="18"/>
      <c r="V142" s="18"/>
    </row>
    <row r="143" spans="1:22" ht="12.95" customHeight="1" x14ac:dyDescent="0.2">
      <c r="A143" s="2" t="s">
        <v>15</v>
      </c>
      <c r="B143" s="2" t="s">
        <v>2</v>
      </c>
      <c r="C143" s="3">
        <v>46112</v>
      </c>
      <c r="D143" s="3">
        <v>46112</v>
      </c>
      <c r="E143" s="3">
        <v>46112</v>
      </c>
      <c r="F143" s="2" t="s">
        <v>82</v>
      </c>
      <c r="G143" s="199">
        <v>165504.70000000001</v>
      </c>
      <c r="H143" s="199">
        <v>0</v>
      </c>
      <c r="I143" s="205">
        <f t="shared" si="14"/>
        <v>165504.70000000001</v>
      </c>
      <c r="J143" s="213">
        <f t="shared" si="15"/>
        <v>42520.143486399997</v>
      </c>
      <c r="K143" s="106" t="s">
        <v>1325</v>
      </c>
      <c r="L143" s="4" t="s">
        <v>1338</v>
      </c>
      <c r="M143" s="4" t="s">
        <v>1339</v>
      </c>
      <c r="N143" s="106" t="s">
        <v>387</v>
      </c>
      <c r="O143" s="146" t="str">
        <f>_xlfn.XLOOKUP(N143,costcategory[Account Code],costcategory[Cost Category],"ERROR")</f>
        <v>Headcount Costs</v>
      </c>
      <c r="P143" s="4" t="s">
        <v>350</v>
      </c>
      <c r="Q143" s="147" t="str">
        <f>_xlfn.XLOOKUP(P143,Table2[Department],Table2[Group],"ERROR")</f>
        <v>General &amp; Administrative</v>
      </c>
      <c r="R143" s="18"/>
      <c r="S143" s="18"/>
      <c r="T143" s="18"/>
      <c r="V143" s="18"/>
    </row>
    <row r="144" spans="1:22" ht="12.95" customHeight="1" x14ac:dyDescent="0.2">
      <c r="A144" s="2" t="s">
        <v>15</v>
      </c>
      <c r="B144" s="2" t="s">
        <v>2</v>
      </c>
      <c r="C144" s="3">
        <v>46112</v>
      </c>
      <c r="D144" s="3">
        <v>46112</v>
      </c>
      <c r="E144" s="3">
        <v>46112</v>
      </c>
      <c r="F144" s="2" t="s">
        <v>82</v>
      </c>
      <c r="G144" s="199">
        <v>1.3</v>
      </c>
      <c r="H144" s="199">
        <v>0</v>
      </c>
      <c r="I144" s="205">
        <f t="shared" si="14"/>
        <v>1.3</v>
      </c>
      <c r="J144" s="213">
        <f t="shared" si="15"/>
        <v>0.33398559999999999</v>
      </c>
      <c r="K144" s="106" t="s">
        <v>448</v>
      </c>
      <c r="L144" s="4" t="s">
        <v>581</v>
      </c>
      <c r="M144" s="4" t="s">
        <v>332</v>
      </c>
      <c r="N144" s="106" t="s">
        <v>332</v>
      </c>
      <c r="O144" s="146" t="str">
        <f>_xlfn.XLOOKUP(N144,costcategory[Account Code],costcategory[Cost Category],"ERROR")</f>
        <v>Bank Charges</v>
      </c>
      <c r="P144" s="4" t="s">
        <v>333</v>
      </c>
      <c r="Q144" s="147" t="str">
        <f>_xlfn.XLOOKUP(P144,Table2[Department],Table2[Group],"ERROR")</f>
        <v>General &amp; Administrative</v>
      </c>
      <c r="R144" s="18"/>
      <c r="S144" s="18"/>
      <c r="T144" s="18"/>
      <c r="V144" s="18"/>
    </row>
    <row r="145" spans="1:23" ht="12.95" customHeight="1" x14ac:dyDescent="0.2">
      <c r="A145" s="2" t="s">
        <v>15</v>
      </c>
      <c r="B145" s="2" t="s">
        <v>2</v>
      </c>
      <c r="C145" s="3">
        <v>46112</v>
      </c>
      <c r="D145" s="3">
        <v>46112</v>
      </c>
      <c r="E145" s="3">
        <v>46112</v>
      </c>
      <c r="F145" s="2" t="s">
        <v>82</v>
      </c>
      <c r="G145" s="199">
        <v>30</v>
      </c>
      <c r="H145" s="199">
        <v>0</v>
      </c>
      <c r="I145" s="205">
        <f t="shared" si="14"/>
        <v>30</v>
      </c>
      <c r="J145" s="213">
        <f t="shared" si="15"/>
        <v>7.7073599999999995</v>
      </c>
      <c r="K145" s="106" t="s">
        <v>578</v>
      </c>
      <c r="M145" s="4" t="s">
        <v>579</v>
      </c>
      <c r="N145" s="106" t="s">
        <v>472</v>
      </c>
      <c r="O145" s="146" t="str">
        <f>_xlfn.XLOOKUP(N145,costcategory[Account Code],costcategory[Cost Category],"ERROR")</f>
        <v>Compliance Costs</v>
      </c>
      <c r="P145" s="4" t="s">
        <v>340</v>
      </c>
      <c r="Q145" s="147" t="str">
        <f>_xlfn.XLOOKUP(P145,Table2[Department],Table2[Group],"ERROR")</f>
        <v>General &amp; Administrative</v>
      </c>
      <c r="R145" s="18"/>
      <c r="S145" s="18"/>
      <c r="T145" s="18"/>
      <c r="V145" s="18"/>
    </row>
    <row r="146" spans="1:23" ht="12.95" customHeight="1" x14ac:dyDescent="0.2">
      <c r="A146" s="2" t="s">
        <v>15</v>
      </c>
      <c r="B146" s="2" t="s">
        <v>2</v>
      </c>
      <c r="C146" s="3">
        <v>46112</v>
      </c>
      <c r="D146" s="3">
        <v>46112</v>
      </c>
      <c r="E146" s="3">
        <v>46112</v>
      </c>
      <c r="F146" s="2" t="s">
        <v>82</v>
      </c>
      <c r="G146" s="199">
        <v>489</v>
      </c>
      <c r="H146" s="199">
        <v>0</v>
      </c>
      <c r="I146" s="205">
        <f t="shared" si="14"/>
        <v>489</v>
      </c>
      <c r="J146" s="213">
        <f t="shared" si="15"/>
        <v>125.62996799999999</v>
      </c>
      <c r="K146" s="106" t="s">
        <v>578</v>
      </c>
      <c r="M146" s="4" t="s">
        <v>580</v>
      </c>
      <c r="N146" s="106" t="s">
        <v>472</v>
      </c>
      <c r="O146" s="146" t="str">
        <f>_xlfn.XLOOKUP(N146,costcategory[Account Code],costcategory[Cost Category],"ERROR")</f>
        <v>Compliance Costs</v>
      </c>
      <c r="P146" s="4" t="s">
        <v>340</v>
      </c>
      <c r="Q146" s="147" t="str">
        <f>_xlfn.XLOOKUP(P146,Table2[Department],Table2[Group],"ERROR")</f>
        <v>General &amp; Administrative</v>
      </c>
      <c r="R146" s="18"/>
      <c r="S146" s="18"/>
      <c r="T146" s="18"/>
      <c r="V146" s="18"/>
    </row>
    <row r="147" spans="1:23" ht="12.95" customHeight="1" x14ac:dyDescent="0.2">
      <c r="A147" s="2" t="s">
        <v>15</v>
      </c>
      <c r="B147" s="2" t="s">
        <v>2</v>
      </c>
      <c r="C147" s="3">
        <v>46112</v>
      </c>
      <c r="D147" s="3">
        <v>46112</v>
      </c>
      <c r="E147" s="3">
        <v>46112</v>
      </c>
      <c r="F147" s="2" t="s">
        <v>82</v>
      </c>
      <c r="G147" s="199">
        <v>1060</v>
      </c>
      <c r="H147" s="199">
        <v>0</v>
      </c>
      <c r="I147" s="205">
        <f t="shared" si="14"/>
        <v>1060</v>
      </c>
      <c r="J147" s="213">
        <f t="shared" si="15"/>
        <v>272.32671999999997</v>
      </c>
      <c r="K147" s="106" t="s">
        <v>566</v>
      </c>
      <c r="L147" s="150" t="s">
        <v>567</v>
      </c>
      <c r="M147" s="4" t="s">
        <v>568</v>
      </c>
      <c r="N147" s="106" t="s">
        <v>367</v>
      </c>
      <c r="O147" s="146" t="str">
        <f>_xlfn.XLOOKUP(N147,costcategory[Account Code],costcategory[Cost Category],"ERROR")</f>
        <v>Professional &amp; Consultancy Fees</v>
      </c>
      <c r="P147" s="4" t="s">
        <v>340</v>
      </c>
      <c r="Q147" s="147" t="str">
        <f>_xlfn.XLOOKUP(P147,Table2[Department],Table2[Group],"ERROR")</f>
        <v>General &amp; Administrative</v>
      </c>
      <c r="R147" s="18"/>
      <c r="S147" s="18"/>
      <c r="T147" s="18"/>
      <c r="V147" s="18"/>
    </row>
    <row r="148" spans="1:23" ht="12.95" customHeight="1" x14ac:dyDescent="0.2">
      <c r="A148" s="2" t="s">
        <v>15</v>
      </c>
      <c r="B148" s="2" t="s">
        <v>2</v>
      </c>
      <c r="C148" s="3">
        <v>46112</v>
      </c>
      <c r="D148" s="3">
        <v>46112</v>
      </c>
      <c r="E148" s="3">
        <v>46112</v>
      </c>
      <c r="F148" s="2" t="s">
        <v>82</v>
      </c>
      <c r="G148" s="199">
        <v>34770.879999999997</v>
      </c>
      <c r="H148" s="199">
        <v>0</v>
      </c>
      <c r="I148" s="205">
        <f t="shared" ref="I148" si="21">SUM(G148:H148)</f>
        <v>34770.879999999997</v>
      </c>
      <c r="J148" s="213">
        <f t="shared" si="15"/>
        <v>8933.0563225599981</v>
      </c>
      <c r="K148" s="106" t="s">
        <v>566</v>
      </c>
      <c r="L148" s="150" t="s">
        <v>569</v>
      </c>
      <c r="M148" s="4" t="s">
        <v>570</v>
      </c>
      <c r="N148" s="4" t="s">
        <v>571</v>
      </c>
      <c r="O148" s="146" t="str">
        <f>_xlfn.XLOOKUP(N148,costcategory[Account Code],costcategory[Cost Category],"ERROR")</f>
        <v>Current Asset</v>
      </c>
      <c r="P148" s="4" t="s">
        <v>340</v>
      </c>
      <c r="Q148" s="147" t="str">
        <f>_xlfn.XLOOKUP(P148,Table2[Department],Table2[Group],"ERROR")</f>
        <v>General &amp; Administrative</v>
      </c>
      <c r="R148" s="18"/>
      <c r="S148" s="18"/>
      <c r="T148" s="18"/>
      <c r="V148" s="18"/>
    </row>
    <row r="149" spans="1:23" ht="12.95" customHeight="1" x14ac:dyDescent="0.2">
      <c r="A149" s="2" t="s">
        <v>15</v>
      </c>
      <c r="B149" s="2" t="s">
        <v>2</v>
      </c>
      <c r="C149" s="3">
        <v>46112</v>
      </c>
      <c r="D149" s="3">
        <v>46112</v>
      </c>
      <c r="E149" s="3">
        <v>46112</v>
      </c>
      <c r="F149" s="2" t="s">
        <v>82</v>
      </c>
      <c r="G149" s="199">
        <v>0.5</v>
      </c>
      <c r="H149" s="199">
        <v>0</v>
      </c>
      <c r="I149" s="205">
        <f t="shared" si="14"/>
        <v>0.5</v>
      </c>
      <c r="J149" s="213">
        <f t="shared" si="15"/>
        <v>0.12845599999999999</v>
      </c>
      <c r="K149" s="106" t="s">
        <v>448</v>
      </c>
      <c r="L149" s="4" t="s">
        <v>581</v>
      </c>
      <c r="M149" s="4" t="s">
        <v>332</v>
      </c>
      <c r="N149" s="106" t="s">
        <v>332</v>
      </c>
      <c r="O149" s="146" t="str">
        <f>_xlfn.XLOOKUP(N149,costcategory[Account Code],costcategory[Cost Category],"ERROR")</f>
        <v>Bank Charges</v>
      </c>
      <c r="P149" s="4" t="s">
        <v>333</v>
      </c>
      <c r="Q149" s="147" t="str">
        <f>_xlfn.XLOOKUP(P149,Table2[Department],Table2[Group],"ERROR")</f>
        <v>General &amp; Administrative</v>
      </c>
      <c r="R149" s="18"/>
      <c r="S149" s="18"/>
      <c r="T149" s="18"/>
      <c r="V149" s="18"/>
    </row>
    <row r="150" spans="1:23" ht="12.95" customHeight="1" x14ac:dyDescent="0.2">
      <c r="A150" s="2" t="s">
        <v>15</v>
      </c>
      <c r="B150" s="2" t="s">
        <v>2</v>
      </c>
      <c r="C150" s="3">
        <v>46112</v>
      </c>
      <c r="D150" s="3">
        <v>46112</v>
      </c>
      <c r="E150" s="3">
        <v>46112</v>
      </c>
      <c r="F150" s="2" t="s">
        <v>82</v>
      </c>
      <c r="G150" s="199">
        <v>1000</v>
      </c>
      <c r="H150" s="199">
        <v>0</v>
      </c>
      <c r="I150" s="212">
        <f t="shared" si="14"/>
        <v>1000</v>
      </c>
      <c r="J150" s="213">
        <f t="shared" si="15"/>
        <v>256.91199999999998</v>
      </c>
      <c r="K150" s="106" t="s">
        <v>521</v>
      </c>
      <c r="L150" s="4" t="s">
        <v>576</v>
      </c>
      <c r="M150" s="4" t="s">
        <v>577</v>
      </c>
      <c r="N150" s="106" t="s">
        <v>367</v>
      </c>
      <c r="O150" s="146" t="str">
        <f>_xlfn.XLOOKUP(N150,costcategory[Account Code],costcategory[Cost Category],"ERROR")</f>
        <v>Professional &amp; Consultancy Fees</v>
      </c>
      <c r="P150" s="4" t="s">
        <v>333</v>
      </c>
      <c r="Q150" s="147" t="str">
        <f>_xlfn.XLOOKUP(P150,Table2[Department],Table2[Group],"ERROR")</f>
        <v>General &amp; Administrative</v>
      </c>
      <c r="R150" s="18"/>
      <c r="S150" s="18"/>
      <c r="T150" s="18"/>
      <c r="V150" s="18"/>
    </row>
    <row r="151" spans="1:23" ht="12.95" customHeight="1" x14ac:dyDescent="0.2">
      <c r="A151" s="2" t="s">
        <v>15</v>
      </c>
      <c r="B151" s="2" t="s">
        <v>2</v>
      </c>
      <c r="C151" s="3">
        <v>46112</v>
      </c>
      <c r="D151" s="3">
        <v>46112</v>
      </c>
      <c r="E151" s="3">
        <v>46112</v>
      </c>
      <c r="F151" s="2" t="s">
        <v>82</v>
      </c>
      <c r="G151" s="199">
        <v>769.32</v>
      </c>
      <c r="H151" s="199">
        <v>0</v>
      </c>
      <c r="I151" s="212">
        <f t="shared" si="14"/>
        <v>769.32</v>
      </c>
      <c r="J151" s="213">
        <f t="shared" si="15"/>
        <v>197.64753983999998</v>
      </c>
      <c r="K151" s="106" t="s">
        <v>573</v>
      </c>
      <c r="L151" s="4" t="s">
        <v>574</v>
      </c>
      <c r="M151" s="4" t="s">
        <v>575</v>
      </c>
      <c r="N151" s="106" t="s">
        <v>409</v>
      </c>
      <c r="O151" s="146" t="str">
        <f>_xlfn.XLOOKUP(N151,costcategory[Account Code],costcategory[Cost Category],"ERROR")</f>
        <v>Rental</v>
      </c>
      <c r="P151" s="4" t="s">
        <v>340</v>
      </c>
      <c r="Q151" s="147" t="str">
        <f>_xlfn.XLOOKUP(P151,Table2[Department],Table2[Group],"ERROR")</f>
        <v>General &amp; Administrative</v>
      </c>
      <c r="R151" s="18"/>
      <c r="S151" s="18"/>
      <c r="T151" s="18"/>
      <c r="V151" s="18"/>
    </row>
    <row r="152" spans="1:23" ht="12.95" customHeight="1" x14ac:dyDescent="0.2">
      <c r="A152" s="2" t="s">
        <v>15</v>
      </c>
      <c r="B152" s="2" t="s">
        <v>2</v>
      </c>
      <c r="C152" s="3">
        <v>46112</v>
      </c>
      <c r="D152" s="3">
        <v>46112</v>
      </c>
      <c r="E152" s="3">
        <v>46112</v>
      </c>
      <c r="F152" s="2" t="s">
        <v>82</v>
      </c>
      <c r="G152" s="199">
        <v>-447.79</v>
      </c>
      <c r="H152" s="199">
        <v>0</v>
      </c>
      <c r="I152" s="212">
        <f t="shared" si="14"/>
        <v>-447.79</v>
      </c>
      <c r="J152" s="213">
        <f t="shared" si="15"/>
        <v>-115.04262447999999</v>
      </c>
      <c r="K152" s="106" t="s">
        <v>448</v>
      </c>
      <c r="M152" s="4" t="s">
        <v>384</v>
      </c>
      <c r="N152" s="106" t="s">
        <v>384</v>
      </c>
      <c r="O152" s="146" t="str">
        <f>_xlfn.XLOOKUP(N152,costcategory[Account Code],costcategory[Cost Category],"ERROR")</f>
        <v>Other Income</v>
      </c>
      <c r="P152" s="4" t="s">
        <v>333</v>
      </c>
      <c r="Q152" s="147" t="str">
        <f>_xlfn.XLOOKUP(P152,Table2[Department],Table2[Group],"ERROR")</f>
        <v>General &amp; Administrative</v>
      </c>
      <c r="R152" s="18"/>
      <c r="S152" s="18"/>
      <c r="T152" s="18"/>
      <c r="V152" s="18"/>
    </row>
    <row r="153" spans="1:23" ht="12.95" customHeight="1" x14ac:dyDescent="0.2">
      <c r="A153" s="2" t="s">
        <v>15</v>
      </c>
      <c r="B153" s="2" t="s">
        <v>2</v>
      </c>
      <c r="C153" s="3">
        <v>46112</v>
      </c>
      <c r="D153" s="3">
        <v>46112</v>
      </c>
      <c r="E153" s="3">
        <v>46112</v>
      </c>
      <c r="F153" s="2" t="s">
        <v>82</v>
      </c>
      <c r="G153" s="199">
        <v>10</v>
      </c>
      <c r="H153" s="199">
        <v>0</v>
      </c>
      <c r="I153" s="212">
        <f t="shared" si="14"/>
        <v>10</v>
      </c>
      <c r="J153" s="213">
        <f t="shared" si="15"/>
        <v>2.5691199999999998</v>
      </c>
      <c r="K153" s="106" t="s">
        <v>448</v>
      </c>
      <c r="L153" s="4" t="s">
        <v>581</v>
      </c>
      <c r="M153" s="4" t="s">
        <v>332</v>
      </c>
      <c r="N153" s="106" t="s">
        <v>332</v>
      </c>
      <c r="O153" s="146" t="str">
        <f>_xlfn.XLOOKUP(N153,costcategory[Account Code],costcategory[Cost Category],"ERROR")</f>
        <v>Bank Charges</v>
      </c>
      <c r="P153" s="4" t="s">
        <v>333</v>
      </c>
      <c r="Q153" s="147" t="str">
        <f>_xlfn.XLOOKUP(P153,Table2[Department],Table2[Group],"ERROR")</f>
        <v>General &amp; Administrative</v>
      </c>
      <c r="R153" s="18"/>
      <c r="S153" s="18"/>
      <c r="T153" s="18"/>
      <c r="V153" s="18"/>
    </row>
    <row r="154" spans="1:23" ht="12.95" customHeight="1" x14ac:dyDescent="0.2">
      <c r="G154" s="199"/>
      <c r="H154" s="199"/>
      <c r="I154" s="212">
        <f>SUM(I104:I153)</f>
        <v>477133.91000000003</v>
      </c>
      <c r="J154" s="199"/>
      <c r="K154" s="106"/>
    </row>
    <row r="155" spans="1:23" ht="12.95" customHeight="1" x14ac:dyDescent="0.2">
      <c r="A155" s="329" t="s">
        <v>1173</v>
      </c>
      <c r="B155" s="329"/>
      <c r="C155" s="329"/>
      <c r="D155" s="329"/>
      <c r="E155" s="14">
        <v>46112</v>
      </c>
      <c r="F155" s="13" t="s">
        <v>82</v>
      </c>
      <c r="G155" s="202"/>
      <c r="H155" s="207"/>
      <c r="I155" s="208">
        <f>I103-I154</f>
        <v>532919.67000000004</v>
      </c>
      <c r="J155" s="207"/>
      <c r="K155" s="17"/>
      <c r="L155" s="17"/>
      <c r="M155" s="17"/>
      <c r="N155" s="17"/>
      <c r="O155" s="17"/>
      <c r="P155" s="17"/>
      <c r="Q155" s="17"/>
      <c r="R155" s="20"/>
      <c r="S155" s="20"/>
      <c r="T155" s="20"/>
      <c r="U155" s="20"/>
      <c r="V155" s="20"/>
    </row>
    <row r="156" spans="1:23" ht="12.95" customHeight="1" x14ac:dyDescent="0.2">
      <c r="A156" s="33"/>
      <c r="B156" s="33"/>
      <c r="C156" s="33"/>
      <c r="D156" s="33"/>
      <c r="E156" s="71"/>
      <c r="F156" s="33"/>
      <c r="G156" s="237"/>
      <c r="H156" s="197"/>
      <c r="I156" s="210"/>
      <c r="J156" s="197"/>
      <c r="K156" s="4"/>
    </row>
    <row r="157" spans="1:23" x14ac:dyDescent="0.2">
      <c r="G157" s="199"/>
      <c r="H157" s="199"/>
      <c r="I157" s="212"/>
      <c r="J157" s="257">
        <f>FOREX!G4</f>
        <v>0.247005</v>
      </c>
      <c r="K157" s="106"/>
    </row>
    <row r="158" spans="1:23" x14ac:dyDescent="0.2">
      <c r="A158" s="7" t="s">
        <v>87</v>
      </c>
      <c r="B158" s="7" t="s">
        <v>43</v>
      </c>
      <c r="C158" s="8" t="s">
        <v>54</v>
      </c>
      <c r="D158" s="8" t="s">
        <v>88</v>
      </c>
      <c r="E158" s="185" t="s">
        <v>1083</v>
      </c>
      <c r="F158" s="7" t="s">
        <v>70</v>
      </c>
      <c r="G158" s="236" t="s">
        <v>90</v>
      </c>
      <c r="H158" s="236" t="s">
        <v>91</v>
      </c>
      <c r="I158" s="236" t="s">
        <v>92</v>
      </c>
      <c r="J158" s="236" t="s">
        <v>72</v>
      </c>
      <c r="K158" s="149" t="s">
        <v>325</v>
      </c>
      <c r="L158" s="149" t="s">
        <v>94</v>
      </c>
      <c r="M158" s="7" t="s">
        <v>95</v>
      </c>
      <c r="N158" s="7" t="s">
        <v>1315</v>
      </c>
      <c r="O158" s="7" t="s">
        <v>64</v>
      </c>
      <c r="P158" s="95" t="s">
        <v>67</v>
      </c>
      <c r="Q158" s="95"/>
      <c r="R158" s="7" t="s">
        <v>326</v>
      </c>
      <c r="S158" s="7" t="s">
        <v>327</v>
      </c>
      <c r="T158" s="7" t="s">
        <v>328</v>
      </c>
      <c r="U158" s="7" t="s">
        <v>98</v>
      </c>
      <c r="V158" s="7" t="s">
        <v>1316</v>
      </c>
      <c r="W158" s="2"/>
    </row>
    <row r="159" spans="1:23" s="33" customFormat="1" ht="12.95" customHeight="1" x14ac:dyDescent="0.2">
      <c r="A159" s="329" t="s">
        <v>1172</v>
      </c>
      <c r="B159" s="329"/>
      <c r="C159" s="329"/>
      <c r="D159" s="329"/>
      <c r="E159" s="14">
        <v>46113</v>
      </c>
      <c r="F159" s="13" t="s">
        <v>82</v>
      </c>
      <c r="G159" s="202"/>
      <c r="H159" s="202"/>
      <c r="I159" s="203">
        <v>532919.67000000004</v>
      </c>
      <c r="J159" s="202"/>
      <c r="K159" s="133"/>
      <c r="L159" s="133"/>
      <c r="M159" s="13"/>
      <c r="N159" s="13"/>
      <c r="O159" s="13"/>
      <c r="P159" s="96"/>
      <c r="Q159" s="96"/>
      <c r="R159" s="13"/>
      <c r="S159" s="13"/>
      <c r="T159" s="13"/>
      <c r="U159" s="13"/>
      <c r="V159" s="13"/>
    </row>
    <row r="160" spans="1:23" ht="12.95" customHeight="1" x14ac:dyDescent="0.2">
      <c r="A160" s="2" t="s">
        <v>15</v>
      </c>
      <c r="B160" s="2" t="s">
        <v>2</v>
      </c>
      <c r="C160" s="3">
        <v>46127</v>
      </c>
      <c r="D160" s="3">
        <v>46127</v>
      </c>
      <c r="E160" s="3">
        <v>46127</v>
      </c>
      <c r="F160" s="2" t="s">
        <v>82</v>
      </c>
      <c r="G160" s="204">
        <v>1540.33</v>
      </c>
      <c r="H160" s="199">
        <v>0</v>
      </c>
      <c r="I160" s="205">
        <f t="shared" ref="I160:I186" si="22">SUM(G160:H160)</f>
        <v>1540.33</v>
      </c>
      <c r="J160" s="213">
        <f>I160*$J$157</f>
        <v>380.46921164999998</v>
      </c>
      <c r="K160" s="106" t="s">
        <v>1330</v>
      </c>
      <c r="L160" s="4" t="s">
        <v>1331</v>
      </c>
      <c r="M160" s="4" t="s">
        <v>1349</v>
      </c>
      <c r="N160" s="106" t="s">
        <v>364</v>
      </c>
      <c r="O160" s="146" t="str">
        <f>_xlfn.XLOOKUP(N160,costcategory[Account Code],costcategory[Cost Category],"ERROR")</f>
        <v>Headcount Costs</v>
      </c>
      <c r="P160" s="4" t="s">
        <v>350</v>
      </c>
      <c r="Q160" s="147" t="str">
        <f>_xlfn.XLOOKUP(P160,Table2[Department],Table2[Group],"ERROR")</f>
        <v>General &amp; Administrative</v>
      </c>
      <c r="R160" s="18"/>
      <c r="S160" s="18"/>
      <c r="T160" s="18"/>
      <c r="V160" s="18"/>
    </row>
    <row r="161" spans="1:22" ht="12.95" customHeight="1" x14ac:dyDescent="0.2">
      <c r="A161" s="2" t="s">
        <v>15</v>
      </c>
      <c r="B161" s="2" t="s">
        <v>2</v>
      </c>
      <c r="C161" s="3">
        <v>46127</v>
      </c>
      <c r="D161" s="3">
        <v>46127</v>
      </c>
      <c r="E161" s="3">
        <v>46127</v>
      </c>
      <c r="F161" s="2" t="s">
        <v>82</v>
      </c>
      <c r="G161" s="204">
        <v>1985.2</v>
      </c>
      <c r="H161" s="199">
        <v>0</v>
      </c>
      <c r="I161" s="205">
        <f t="shared" si="22"/>
        <v>1985.2</v>
      </c>
      <c r="J161" s="204">
        <f t="shared" ref="J161:J186" si="23">IF(F161="MYR",I161*$J$3, I161)</f>
        <v>503.78023359999997</v>
      </c>
      <c r="K161" s="106" t="s">
        <v>1105</v>
      </c>
      <c r="M161" s="145" t="s">
        <v>1350</v>
      </c>
      <c r="N161" s="106" t="s">
        <v>364</v>
      </c>
      <c r="O161" s="146" t="str">
        <f>_xlfn.XLOOKUP(N161,costcategory[Account Code],costcategory[Cost Category],"ERROR")</f>
        <v>Headcount Costs</v>
      </c>
      <c r="P161" s="4" t="s">
        <v>350</v>
      </c>
      <c r="Q161" s="147" t="str">
        <f>_xlfn.XLOOKUP(P161,Table2[Department],Table2[Group],"ERROR")</f>
        <v>General &amp; Administrative</v>
      </c>
      <c r="R161" s="18"/>
      <c r="S161" s="18"/>
      <c r="T161" s="18"/>
      <c r="V161" s="18"/>
    </row>
    <row r="162" spans="1:22" ht="12.95" customHeight="1" x14ac:dyDescent="0.2">
      <c r="A162" s="2" t="s">
        <v>15</v>
      </c>
      <c r="B162" s="2" t="s">
        <v>2</v>
      </c>
      <c r="C162" s="3">
        <v>46127</v>
      </c>
      <c r="D162" s="3">
        <v>46127</v>
      </c>
      <c r="E162" s="3">
        <v>46127</v>
      </c>
      <c r="F162" s="2" t="s">
        <v>82</v>
      </c>
      <c r="G162" s="204">
        <v>48611</v>
      </c>
      <c r="H162" s="199">
        <v>0</v>
      </c>
      <c r="I162" s="205">
        <f t="shared" si="22"/>
        <v>48611</v>
      </c>
      <c r="J162" s="204">
        <f t="shared" si="23"/>
        <v>12335.916248</v>
      </c>
      <c r="K162" s="106" t="s">
        <v>1333</v>
      </c>
      <c r="M162" s="4" t="s">
        <v>1351</v>
      </c>
      <c r="N162" s="106" t="s">
        <v>364</v>
      </c>
      <c r="O162" s="146" t="str">
        <f>_xlfn.XLOOKUP(N162,costcategory[Account Code],costcategory[Cost Category],"ERROR")</f>
        <v>Headcount Costs</v>
      </c>
      <c r="P162" s="4" t="s">
        <v>350</v>
      </c>
      <c r="Q162" s="147" t="str">
        <f>_xlfn.XLOOKUP(P162,Table2[Department],Table2[Group],"ERROR")</f>
        <v>General &amp; Administrative</v>
      </c>
      <c r="R162" s="18"/>
      <c r="S162" s="18"/>
      <c r="T162" s="18"/>
      <c r="V162" s="18"/>
    </row>
    <row r="163" spans="1:22" ht="12.95" customHeight="1" x14ac:dyDescent="0.2">
      <c r="A163" s="2" t="s">
        <v>15</v>
      </c>
      <c r="B163" s="2" t="s">
        <v>2</v>
      </c>
      <c r="C163" s="3">
        <v>46127</v>
      </c>
      <c r="D163" s="3">
        <v>46127</v>
      </c>
      <c r="E163" s="3">
        <v>46127</v>
      </c>
      <c r="F163" s="2" t="s">
        <v>82</v>
      </c>
      <c r="G163" s="204">
        <v>16837</v>
      </c>
      <c r="H163" s="199">
        <v>0</v>
      </c>
      <c r="I163" s="205">
        <f t="shared" si="22"/>
        <v>16837</v>
      </c>
      <c r="J163" s="204">
        <f t="shared" si="23"/>
        <v>4272.6918159999996</v>
      </c>
      <c r="K163" s="106" t="s">
        <v>461</v>
      </c>
      <c r="L163" s="150" t="s">
        <v>587</v>
      </c>
      <c r="M163" s="4" t="s">
        <v>588</v>
      </c>
      <c r="N163" s="106" t="s">
        <v>509</v>
      </c>
      <c r="O163" s="146" t="str">
        <f>_xlfn.XLOOKUP(N163,costcategory[Account Code],costcategory[Cost Category],"ERROR")</f>
        <v>Corporate Tax Expenses</v>
      </c>
      <c r="P163" s="4" t="s">
        <v>340</v>
      </c>
      <c r="Q163" s="147" t="str">
        <f>_xlfn.XLOOKUP(P163,Table2[Department],Table2[Group],"ERROR")</f>
        <v>General &amp; Administrative</v>
      </c>
      <c r="R163" s="18"/>
      <c r="S163" s="18"/>
      <c r="T163" s="18"/>
      <c r="V163" s="18"/>
    </row>
    <row r="164" spans="1:22" ht="12.95" customHeight="1" x14ac:dyDescent="0.2">
      <c r="A164" s="2" t="s">
        <v>15</v>
      </c>
      <c r="B164" s="2" t="s">
        <v>2</v>
      </c>
      <c r="C164" s="3">
        <v>46127</v>
      </c>
      <c r="D164" s="3">
        <v>46127</v>
      </c>
      <c r="E164" s="3">
        <v>46127</v>
      </c>
      <c r="F164" s="2" t="s">
        <v>82</v>
      </c>
      <c r="G164" s="204">
        <v>100</v>
      </c>
      <c r="H164" s="199">
        <v>0</v>
      </c>
      <c r="I164" s="205">
        <f t="shared" si="22"/>
        <v>100</v>
      </c>
      <c r="J164" s="204">
        <f t="shared" si="23"/>
        <v>25.376799999999999</v>
      </c>
      <c r="K164" s="106" t="s">
        <v>582</v>
      </c>
      <c r="L164" s="4" t="s">
        <v>583</v>
      </c>
      <c r="M164" s="145" t="s">
        <v>584</v>
      </c>
      <c r="N164" s="106" t="s">
        <v>346</v>
      </c>
      <c r="O164" s="146" t="str">
        <f>_xlfn.XLOOKUP(N164,costcategory[Account Code],costcategory[Cost Category],"ERROR")</f>
        <v>General Expenses</v>
      </c>
      <c r="P164" s="4" t="s">
        <v>340</v>
      </c>
      <c r="Q164" s="147" t="str">
        <f>_xlfn.XLOOKUP(P164,Table2[Department],Table2[Group],"ERROR")</f>
        <v>General &amp; Administrative</v>
      </c>
      <c r="R164" s="18"/>
      <c r="S164" s="18"/>
      <c r="T164" s="18"/>
      <c r="V164" s="18"/>
    </row>
    <row r="165" spans="1:22" ht="12.95" customHeight="1" x14ac:dyDescent="0.2">
      <c r="A165" s="2" t="s">
        <v>15</v>
      </c>
      <c r="B165" s="2" t="s">
        <v>2</v>
      </c>
      <c r="C165" s="3">
        <v>46127</v>
      </c>
      <c r="D165" s="3">
        <v>46127</v>
      </c>
      <c r="E165" s="3">
        <v>46127</v>
      </c>
      <c r="F165" s="2" t="s">
        <v>82</v>
      </c>
      <c r="G165" s="204">
        <v>412.35</v>
      </c>
      <c r="H165" s="199">
        <v>0</v>
      </c>
      <c r="I165" s="205">
        <f t="shared" si="22"/>
        <v>412.35</v>
      </c>
      <c r="J165" s="204">
        <f t="shared" si="23"/>
        <v>104.64123480000001</v>
      </c>
      <c r="K165" s="106" t="s">
        <v>595</v>
      </c>
      <c r="L165" s="150" t="s">
        <v>596</v>
      </c>
      <c r="M165" s="4" t="s">
        <v>597</v>
      </c>
      <c r="N165" s="106" t="s">
        <v>58</v>
      </c>
      <c r="O165" s="146" t="str">
        <f>_xlfn.XLOOKUP(N165,costcategory[Account Code],costcategory[Cost Category],"ERROR")</f>
        <v>Network &amp; Server</v>
      </c>
      <c r="P165" s="4" t="s">
        <v>376</v>
      </c>
      <c r="Q165" s="147" t="str">
        <f>_xlfn.XLOOKUP(P165,Table2[Department],Table2[Group],"ERROR")</f>
        <v>General &amp; Administrative</v>
      </c>
      <c r="R165" s="18"/>
      <c r="S165" s="18"/>
      <c r="T165" s="18"/>
      <c r="V165" s="18"/>
    </row>
    <row r="166" spans="1:22" ht="12.95" customHeight="1" x14ac:dyDescent="0.2">
      <c r="A166" s="2" t="s">
        <v>15</v>
      </c>
      <c r="B166" s="2" t="s">
        <v>2</v>
      </c>
      <c r="C166" s="3">
        <v>46127</v>
      </c>
      <c r="D166" s="3">
        <v>46127</v>
      </c>
      <c r="E166" s="3">
        <v>46127</v>
      </c>
      <c r="F166" s="2" t="s">
        <v>82</v>
      </c>
      <c r="G166" s="199">
        <v>1388.82</v>
      </c>
      <c r="H166" s="199">
        <v>0</v>
      </c>
      <c r="I166" s="205">
        <f t="shared" si="22"/>
        <v>1388.82</v>
      </c>
      <c r="J166" s="204">
        <f t="shared" si="23"/>
        <v>352.43807375999995</v>
      </c>
      <c r="K166" s="106" t="s">
        <v>592</v>
      </c>
      <c r="L166" s="4" t="s">
        <v>593</v>
      </c>
      <c r="M166" s="4" t="s">
        <v>594</v>
      </c>
      <c r="N166" s="106" t="s">
        <v>464</v>
      </c>
      <c r="O166" s="146" t="str">
        <f>_xlfn.XLOOKUP(N166,costcategory[Account Code],costcategory[Cost Category],"ERROR")</f>
        <v>Accrual - Expenses of 2025</v>
      </c>
      <c r="P166" s="4" t="s">
        <v>376</v>
      </c>
      <c r="Q166" s="147" t="str">
        <f>_xlfn.XLOOKUP(P166,Table2[Department],Table2[Group],"ERROR")</f>
        <v>General &amp; Administrative</v>
      </c>
      <c r="R166" s="18"/>
      <c r="S166" s="18"/>
      <c r="T166" s="18"/>
      <c r="V166" s="18"/>
    </row>
    <row r="167" spans="1:22" ht="12.75" customHeight="1" x14ac:dyDescent="0.2">
      <c r="A167" s="2" t="s">
        <v>15</v>
      </c>
      <c r="B167" s="2" t="s">
        <v>2</v>
      </c>
      <c r="C167" s="3">
        <v>46127</v>
      </c>
      <c r="D167" s="3">
        <v>46127</v>
      </c>
      <c r="E167" s="3">
        <v>46127</v>
      </c>
      <c r="F167" s="2" t="s">
        <v>82</v>
      </c>
      <c r="G167" s="199">
        <v>196</v>
      </c>
      <c r="H167" s="199">
        <v>0</v>
      </c>
      <c r="I167" s="205">
        <f t="shared" si="22"/>
        <v>196</v>
      </c>
      <c r="J167" s="204">
        <f t="shared" si="23"/>
        <v>49.738528000000002</v>
      </c>
      <c r="K167" s="106" t="s">
        <v>598</v>
      </c>
      <c r="L167" s="106" t="s">
        <v>586</v>
      </c>
      <c r="M167" s="4" t="s">
        <v>599</v>
      </c>
      <c r="N167" s="106" t="s">
        <v>393</v>
      </c>
      <c r="O167" s="146" t="str">
        <f>_xlfn.XLOOKUP(N167,costcategory[Account Code],costcategory[Cost Category],"ERROR")</f>
        <v>Employee Benefits</v>
      </c>
      <c r="P167" s="4" t="s">
        <v>350</v>
      </c>
      <c r="Q167" s="147" t="str">
        <f>_xlfn.XLOOKUP(P167,Table2[Department],Table2[Group],"ERROR")</f>
        <v>General &amp; Administrative</v>
      </c>
      <c r="R167" s="18"/>
      <c r="S167" s="18"/>
      <c r="T167" s="18"/>
      <c r="V167" s="18"/>
    </row>
    <row r="168" spans="1:22" ht="12.95" customHeight="1" x14ac:dyDescent="0.2">
      <c r="A168" s="2" t="s">
        <v>15</v>
      </c>
      <c r="B168" s="2" t="s">
        <v>2</v>
      </c>
      <c r="C168" s="3">
        <v>46127</v>
      </c>
      <c r="D168" s="3">
        <v>46127</v>
      </c>
      <c r="E168" s="3">
        <v>46127</v>
      </c>
      <c r="F168" s="2" t="s">
        <v>82</v>
      </c>
      <c r="G168" s="199">
        <v>379.95</v>
      </c>
      <c r="H168" s="199">
        <v>0</v>
      </c>
      <c r="I168" s="227">
        <v>379.95</v>
      </c>
      <c r="J168" s="204">
        <f t="shared" si="23"/>
        <v>96.419151599999992</v>
      </c>
      <c r="K168" s="106" t="s">
        <v>585</v>
      </c>
      <c r="L168" s="106" t="s">
        <v>586</v>
      </c>
      <c r="M168" s="4" t="s">
        <v>351</v>
      </c>
      <c r="N168" s="106" t="s">
        <v>50</v>
      </c>
      <c r="O168" s="146" t="str">
        <f>_xlfn.XLOOKUP(N168,costcategory[Account Code],costcategory[Cost Category],"ERROR")</f>
        <v>Office Supplies</v>
      </c>
      <c r="P168" s="4" t="s">
        <v>350</v>
      </c>
      <c r="Q168" s="147" t="str">
        <f>_xlfn.XLOOKUP(P168,Table2[Department],Table2[Group],"ERROR")</f>
        <v>General &amp; Administrative</v>
      </c>
      <c r="R168" s="18"/>
      <c r="S168" s="18"/>
      <c r="T168" s="18"/>
      <c r="V168" s="18"/>
    </row>
    <row r="169" spans="1:22" ht="12.95" customHeight="1" x14ac:dyDescent="0.2">
      <c r="A169" s="2" t="s">
        <v>15</v>
      </c>
      <c r="B169" s="2" t="s">
        <v>2</v>
      </c>
      <c r="C169" s="3">
        <v>46127</v>
      </c>
      <c r="D169" s="3">
        <v>46127</v>
      </c>
      <c r="E169" s="3">
        <v>46127</v>
      </c>
      <c r="F169" s="2" t="s">
        <v>82</v>
      </c>
      <c r="G169" s="199">
        <v>88.77000000000001</v>
      </c>
      <c r="H169" s="199">
        <v>0</v>
      </c>
      <c r="I169" s="228">
        <v>88.77000000000001</v>
      </c>
      <c r="J169" s="204">
        <f t="shared" ref="J169:J170" si="24">IF(F169="MYR",I169*$J$3, I169)</f>
        <v>22.526985360000001</v>
      </c>
      <c r="K169" s="106" t="s">
        <v>585</v>
      </c>
      <c r="L169" s="106" t="s">
        <v>586</v>
      </c>
      <c r="M169" s="4" t="s">
        <v>469</v>
      </c>
      <c r="N169" s="106" t="s">
        <v>470</v>
      </c>
      <c r="O169" s="146" t="str">
        <f>_xlfn.XLOOKUP(N169,costcategory[Account Code],costcategory[Cost Category],"ERROR")</f>
        <v>Office Supplies</v>
      </c>
      <c r="P169" s="4" t="s">
        <v>350</v>
      </c>
      <c r="Q169" s="147" t="str">
        <f>_xlfn.XLOOKUP(P169,Table2[Department],Table2[Group],"ERROR")</f>
        <v>General &amp; Administrative</v>
      </c>
      <c r="R169" s="18"/>
      <c r="S169" s="18"/>
      <c r="T169" s="18"/>
      <c r="V169" s="18"/>
    </row>
    <row r="170" spans="1:22" ht="12.95" customHeight="1" x14ac:dyDescent="0.2">
      <c r="A170" s="2" t="s">
        <v>15</v>
      </c>
      <c r="B170" s="2" t="s">
        <v>2</v>
      </c>
      <c r="C170" s="3">
        <v>46127</v>
      </c>
      <c r="D170" s="3">
        <v>46127</v>
      </c>
      <c r="E170" s="3">
        <v>46127</v>
      </c>
      <c r="F170" s="2" t="s">
        <v>82</v>
      </c>
      <c r="G170" s="199">
        <v>398</v>
      </c>
      <c r="H170" s="199">
        <v>0</v>
      </c>
      <c r="I170" s="229">
        <v>398</v>
      </c>
      <c r="J170" s="204">
        <f t="shared" si="24"/>
        <v>100.999664</v>
      </c>
      <c r="K170" s="106" t="s">
        <v>585</v>
      </c>
      <c r="L170" s="106" t="s">
        <v>586</v>
      </c>
      <c r="M170" s="4" t="s">
        <v>416</v>
      </c>
      <c r="N170" s="106" t="s">
        <v>390</v>
      </c>
      <c r="O170" s="146" t="str">
        <f>_xlfn.XLOOKUP(N170,costcategory[Account Code],costcategory[Cost Category],"ERROR")</f>
        <v>Employee Benefits</v>
      </c>
      <c r="P170" s="4" t="s">
        <v>350</v>
      </c>
      <c r="Q170" s="147" t="str">
        <f>_xlfn.XLOOKUP(P170,Table2[Department],Table2[Group],"ERROR")</f>
        <v>General &amp; Administrative</v>
      </c>
      <c r="R170" s="18"/>
      <c r="S170" s="18"/>
      <c r="T170" s="18"/>
      <c r="V170" s="18"/>
    </row>
    <row r="171" spans="1:22" ht="12.95" customHeight="1" x14ac:dyDescent="0.2">
      <c r="A171" s="2" t="s">
        <v>15</v>
      </c>
      <c r="B171" s="2" t="s">
        <v>2</v>
      </c>
      <c r="C171" s="3">
        <v>46127</v>
      </c>
      <c r="D171" s="3">
        <v>46127</v>
      </c>
      <c r="E171" s="3">
        <v>46127</v>
      </c>
      <c r="F171" s="2" t="s">
        <v>82</v>
      </c>
      <c r="G171" s="199">
        <v>485.24</v>
      </c>
      <c r="H171" s="199">
        <v>0</v>
      </c>
      <c r="I171" s="205">
        <f t="shared" si="22"/>
        <v>485.24</v>
      </c>
      <c r="J171" s="204">
        <f t="shared" si="23"/>
        <v>123.13838432</v>
      </c>
      <c r="K171" s="106" t="s">
        <v>589</v>
      </c>
      <c r="L171" s="106" t="s">
        <v>586</v>
      </c>
      <c r="M171" s="4" t="s">
        <v>356</v>
      </c>
      <c r="N171" s="106" t="s">
        <v>356</v>
      </c>
      <c r="O171" s="146" t="str">
        <f>_xlfn.XLOOKUP(N171,costcategory[Account Code],costcategory[Cost Category],"ERROR")</f>
        <v>Travelling Expenses</v>
      </c>
      <c r="P171" s="4" t="s">
        <v>45</v>
      </c>
      <c r="Q171" s="147" t="str">
        <f>_xlfn.XLOOKUP(P171,Table2[Department],Table2[Group],"ERROR")</f>
        <v>DSC</v>
      </c>
      <c r="R171" s="18"/>
      <c r="S171" s="18"/>
      <c r="T171" s="18"/>
      <c r="V171" s="18"/>
    </row>
    <row r="172" spans="1:22" ht="12.95" customHeight="1" x14ac:dyDescent="0.2">
      <c r="A172" s="2" t="s">
        <v>15</v>
      </c>
      <c r="B172" s="2" t="s">
        <v>2</v>
      </c>
      <c r="C172" s="3">
        <v>46127</v>
      </c>
      <c r="D172" s="3">
        <v>46127</v>
      </c>
      <c r="E172" s="3">
        <v>46127</v>
      </c>
      <c r="F172" s="2" t="s">
        <v>82</v>
      </c>
      <c r="G172" s="199">
        <v>803.5</v>
      </c>
      <c r="H172" s="199">
        <v>0</v>
      </c>
      <c r="I172" s="205">
        <f t="shared" si="22"/>
        <v>803.5</v>
      </c>
      <c r="J172" s="204">
        <f t="shared" si="23"/>
        <v>203.90258800000001</v>
      </c>
      <c r="K172" s="106" t="s">
        <v>590</v>
      </c>
      <c r="L172" s="106" t="s">
        <v>586</v>
      </c>
      <c r="M172" s="4" t="s">
        <v>58</v>
      </c>
      <c r="N172" s="106" t="s">
        <v>58</v>
      </c>
      <c r="O172" s="146" t="str">
        <f>_xlfn.XLOOKUP(N172,costcategory[Account Code],costcategory[Cost Category],"ERROR")</f>
        <v>Network &amp; Server</v>
      </c>
      <c r="P172" s="4" t="s">
        <v>340</v>
      </c>
      <c r="Q172" s="147" t="str">
        <f>_xlfn.XLOOKUP(P172,Table2[Department],Table2[Group],"ERROR")</f>
        <v>General &amp; Administrative</v>
      </c>
      <c r="R172" s="18"/>
      <c r="S172" s="18"/>
      <c r="T172" s="18"/>
      <c r="V172" s="18"/>
    </row>
    <row r="173" spans="1:22" ht="12.95" customHeight="1" x14ac:dyDescent="0.2">
      <c r="A173" s="2" t="s">
        <v>15</v>
      </c>
      <c r="B173" s="2" t="s">
        <v>2</v>
      </c>
      <c r="C173" s="3">
        <v>46127</v>
      </c>
      <c r="D173" s="3">
        <v>46127</v>
      </c>
      <c r="E173" s="3">
        <v>46127</v>
      </c>
      <c r="F173" s="2" t="s">
        <v>82</v>
      </c>
      <c r="G173" s="199">
        <v>386.4</v>
      </c>
      <c r="H173" s="199">
        <v>0</v>
      </c>
      <c r="I173" s="205">
        <f t="shared" si="22"/>
        <v>386.4</v>
      </c>
      <c r="J173" s="204">
        <f t="shared" si="23"/>
        <v>98.055955199999985</v>
      </c>
      <c r="K173" s="106" t="s">
        <v>591</v>
      </c>
      <c r="L173" s="106" t="s">
        <v>586</v>
      </c>
      <c r="M173" s="4" t="s">
        <v>356</v>
      </c>
      <c r="N173" s="106" t="s">
        <v>356</v>
      </c>
      <c r="O173" s="146" t="str">
        <f>_xlfn.XLOOKUP(N173,costcategory[Account Code],costcategory[Cost Category],"ERROR")</f>
        <v>Travelling Expenses</v>
      </c>
      <c r="P173" s="4" t="s">
        <v>45</v>
      </c>
      <c r="Q173" s="147" t="str">
        <f>_xlfn.XLOOKUP(P173,Table2[Department],Table2[Group],"ERROR")</f>
        <v>DSC</v>
      </c>
      <c r="R173" s="18"/>
      <c r="S173" s="18"/>
      <c r="T173" s="18"/>
      <c r="V173" s="18"/>
    </row>
    <row r="174" spans="1:22" ht="12.75" customHeight="1" x14ac:dyDescent="0.2">
      <c r="A174" s="2" t="s">
        <v>15</v>
      </c>
      <c r="B174" s="2" t="s">
        <v>2</v>
      </c>
      <c r="C174" s="3">
        <v>46128</v>
      </c>
      <c r="D174" s="3">
        <v>46128</v>
      </c>
      <c r="E174" s="3">
        <v>46128</v>
      </c>
      <c r="F174" s="2" t="s">
        <v>82</v>
      </c>
      <c r="G174" s="199">
        <v>-139.71</v>
      </c>
      <c r="H174" s="199">
        <v>0</v>
      </c>
      <c r="I174" s="205">
        <f t="shared" si="22"/>
        <v>-139.71</v>
      </c>
      <c r="J174" s="204">
        <f t="shared" si="23"/>
        <v>-35.453927280000002</v>
      </c>
      <c r="K174" s="106" t="s">
        <v>1330</v>
      </c>
      <c r="M174" s="4" t="s">
        <v>1352</v>
      </c>
      <c r="N174" s="4" t="s">
        <v>464</v>
      </c>
      <c r="O174" s="146" t="str">
        <f>_xlfn.XLOOKUP(N174,costcategory[Account Code],costcategory[Cost Category],"ERROR")</f>
        <v>Accrual - Expenses of 2025</v>
      </c>
      <c r="P174" s="4" t="s">
        <v>350</v>
      </c>
      <c r="Q174" s="147" t="str">
        <f>_xlfn.XLOOKUP(P174,Table2[Department],Table2[Group],"ERROR")</f>
        <v>General &amp; Administrative</v>
      </c>
      <c r="R174" s="18"/>
      <c r="S174" s="18"/>
      <c r="T174" s="18"/>
      <c r="V174" s="18"/>
    </row>
    <row r="175" spans="1:22" ht="12.95" customHeight="1" x14ac:dyDescent="0.2">
      <c r="A175" s="2" t="s">
        <v>15</v>
      </c>
      <c r="B175" s="2" t="s">
        <v>2</v>
      </c>
      <c r="C175" s="3">
        <v>46135</v>
      </c>
      <c r="D175" s="3">
        <v>46135</v>
      </c>
      <c r="E175" s="3">
        <v>46128</v>
      </c>
      <c r="F175" s="2" t="s">
        <v>82</v>
      </c>
      <c r="G175" s="199">
        <v>-11700</v>
      </c>
      <c r="H175" s="199">
        <v>0</v>
      </c>
      <c r="I175" s="205">
        <f t="shared" si="22"/>
        <v>-11700</v>
      </c>
      <c r="J175" s="204">
        <f t="shared" si="23"/>
        <v>-2969.0855999999999</v>
      </c>
      <c r="K175" s="106" t="s">
        <v>491</v>
      </c>
      <c r="M175" s="4" t="s">
        <v>600</v>
      </c>
      <c r="N175" s="106" t="s">
        <v>571</v>
      </c>
      <c r="O175" s="146" t="str">
        <f>_xlfn.XLOOKUP(N175,costcategory[Account Code],costcategory[Cost Category],"ERROR")</f>
        <v>Current Asset</v>
      </c>
      <c r="P175" s="4" t="s">
        <v>340</v>
      </c>
      <c r="Q175" s="147" t="str">
        <f>_xlfn.XLOOKUP(P175,Table2[Department],Table2[Group],"ERROR")</f>
        <v>General &amp; Administrative</v>
      </c>
      <c r="R175" s="18"/>
      <c r="S175" s="18"/>
      <c r="T175" s="18"/>
      <c r="V175" s="18"/>
    </row>
    <row r="176" spans="1:22" ht="12.95" customHeight="1" x14ac:dyDescent="0.2">
      <c r="A176" s="2" t="s">
        <v>15</v>
      </c>
      <c r="B176" s="2" t="s">
        <v>2</v>
      </c>
      <c r="C176" s="3">
        <v>46135</v>
      </c>
      <c r="D176" s="3">
        <v>46135</v>
      </c>
      <c r="E176" s="3">
        <v>46135</v>
      </c>
      <c r="F176" s="2" t="s">
        <v>82</v>
      </c>
      <c r="G176" s="213">
        <v>-213516</v>
      </c>
      <c r="H176" s="199">
        <v>0</v>
      </c>
      <c r="I176" s="205">
        <f t="shared" si="22"/>
        <v>-213516</v>
      </c>
      <c r="J176" s="204">
        <f t="shared" si="23"/>
        <v>-54183.528288000001</v>
      </c>
      <c r="K176" s="106" t="s">
        <v>601</v>
      </c>
      <c r="L176" s="4" t="s">
        <v>288</v>
      </c>
      <c r="M176" s="4" t="s">
        <v>289</v>
      </c>
      <c r="N176" s="105" t="s">
        <v>382</v>
      </c>
      <c r="O176" s="146" t="str">
        <f>_xlfn.XLOOKUP(N176,costcategory[Account Code],costcategory[Cost Category],"ERROR")</f>
        <v>Revenue</v>
      </c>
      <c r="P176" s="4" t="s">
        <v>438</v>
      </c>
      <c r="Q176" s="147" t="str">
        <f>_xlfn.XLOOKUP(P176,Table2[Department],Table2[Group],"ERROR")</f>
        <v>Sales &amp; Marketing</v>
      </c>
      <c r="R176" s="18"/>
      <c r="S176" s="18"/>
      <c r="T176" s="18"/>
      <c r="V176" s="18"/>
    </row>
    <row r="177" spans="1:23" ht="12.95" customHeight="1" x14ac:dyDescent="0.2">
      <c r="A177" s="2" t="s">
        <v>15</v>
      </c>
      <c r="B177" s="2" t="s">
        <v>2</v>
      </c>
      <c r="C177" s="3">
        <v>46141</v>
      </c>
      <c r="D177" s="3">
        <v>46141</v>
      </c>
      <c r="E177" s="3">
        <v>46141</v>
      </c>
      <c r="F177" s="2" t="s">
        <v>82</v>
      </c>
      <c r="G177" s="213">
        <v>-61.54</v>
      </c>
      <c r="H177" s="199">
        <v>0</v>
      </c>
      <c r="I177" s="205">
        <f t="shared" si="22"/>
        <v>-61.54</v>
      </c>
      <c r="J177" s="204">
        <f t="shared" si="23"/>
        <v>-15.61688272</v>
      </c>
      <c r="K177" s="106" t="s">
        <v>1330</v>
      </c>
      <c r="M177" s="145" t="s">
        <v>1353</v>
      </c>
      <c r="N177" s="105" t="s">
        <v>464</v>
      </c>
      <c r="O177" s="146" t="str">
        <f>_xlfn.XLOOKUP(N177,costcategory[Account Code],costcategory[Cost Category],"ERROR")</f>
        <v>Accrual - Expenses of 2025</v>
      </c>
      <c r="P177" s="4" t="s">
        <v>350</v>
      </c>
      <c r="Q177" s="147" t="str">
        <f>_xlfn.XLOOKUP(P177,Table2[Department],Table2[Group],"ERROR")</f>
        <v>General &amp; Administrative</v>
      </c>
      <c r="R177" s="31" t="s">
        <v>448</v>
      </c>
      <c r="S177" s="18"/>
      <c r="T177" s="18"/>
      <c r="U177" s="2" t="s">
        <v>1107</v>
      </c>
      <c r="W177" s="18"/>
    </row>
    <row r="178" spans="1:23" ht="12.75" customHeight="1" x14ac:dyDescent="0.2">
      <c r="A178" s="2" t="s">
        <v>15</v>
      </c>
      <c r="B178" s="2" t="s">
        <v>2</v>
      </c>
      <c r="C178" s="3">
        <v>46142</v>
      </c>
      <c r="D178" s="3">
        <v>46142</v>
      </c>
      <c r="E178" s="3">
        <v>46142</v>
      </c>
      <c r="F178" s="2" t="s">
        <v>82</v>
      </c>
      <c r="G178" s="199">
        <v>131526.45000000001</v>
      </c>
      <c r="H178" s="199">
        <v>0</v>
      </c>
      <c r="I178" s="205">
        <f t="shared" si="22"/>
        <v>131526.45000000001</v>
      </c>
      <c r="J178" s="204">
        <f t="shared" si="23"/>
        <v>33377.204163599999</v>
      </c>
      <c r="K178" s="106" t="s">
        <v>1325</v>
      </c>
      <c r="L178" s="4" t="s">
        <v>1354</v>
      </c>
      <c r="M178" s="4" t="s">
        <v>1355</v>
      </c>
      <c r="N178" s="106" t="s">
        <v>387</v>
      </c>
      <c r="O178" s="146" t="str">
        <f>_xlfn.XLOOKUP(N178,costcategory[Account Code],costcategory[Cost Category],"ERROR")</f>
        <v>Headcount Costs</v>
      </c>
      <c r="P178" s="4" t="s">
        <v>350</v>
      </c>
      <c r="Q178" s="147" t="str">
        <f>_xlfn.XLOOKUP(P178,Table2[Department],Table2[Group],"ERROR")</f>
        <v>General &amp; Administrative</v>
      </c>
      <c r="R178" s="31" t="s">
        <v>448</v>
      </c>
      <c r="S178" s="18"/>
      <c r="T178" s="18"/>
      <c r="U178" s="2" t="s">
        <v>1264</v>
      </c>
      <c r="W178" s="18"/>
    </row>
    <row r="179" spans="1:23" ht="12.95" customHeight="1" x14ac:dyDescent="0.2">
      <c r="A179" s="2" t="s">
        <v>15</v>
      </c>
      <c r="B179" s="2" t="s">
        <v>2</v>
      </c>
      <c r="C179" s="3">
        <v>46142</v>
      </c>
      <c r="D179" s="3">
        <v>46142</v>
      </c>
      <c r="E179" s="3">
        <v>46142</v>
      </c>
      <c r="F179" s="2" t="s">
        <v>82</v>
      </c>
      <c r="G179" s="199">
        <v>1.2</v>
      </c>
      <c r="H179" s="199">
        <v>0</v>
      </c>
      <c r="I179" s="205">
        <f t="shared" si="22"/>
        <v>1.2</v>
      </c>
      <c r="J179" s="204">
        <f t="shared" si="23"/>
        <v>0.3045216</v>
      </c>
      <c r="K179" s="106" t="s">
        <v>607</v>
      </c>
      <c r="L179" s="4" t="s">
        <v>1356</v>
      </c>
      <c r="M179" s="4" t="s">
        <v>609</v>
      </c>
      <c r="N179" s="4" t="s">
        <v>609</v>
      </c>
      <c r="O179" s="146" t="str">
        <f>_xlfn.XLOOKUP(N179,costcategory[Account Code],costcategory[Cost Category],"ERROR")</f>
        <v>Bank Charges</v>
      </c>
      <c r="P179" s="4" t="s">
        <v>333</v>
      </c>
      <c r="Q179" s="147" t="str">
        <f>_xlfn.XLOOKUP(P179,Table2[Department],Table2[Group],"ERROR")</f>
        <v>General &amp; Administrative</v>
      </c>
      <c r="R179" s="31" t="s">
        <v>448</v>
      </c>
      <c r="S179" s="18"/>
      <c r="T179" s="18"/>
      <c r="U179" s="2" t="s">
        <v>1265</v>
      </c>
      <c r="W179" s="18"/>
    </row>
    <row r="180" spans="1:23" ht="12.95" customHeight="1" x14ac:dyDescent="0.2">
      <c r="A180" s="2" t="s">
        <v>15</v>
      </c>
      <c r="B180" s="2" t="s">
        <v>2</v>
      </c>
      <c r="C180" s="3">
        <v>46139</v>
      </c>
      <c r="D180" s="3">
        <v>46139</v>
      </c>
      <c r="E180" s="3">
        <v>46142</v>
      </c>
      <c r="F180" s="2" t="s">
        <v>82</v>
      </c>
      <c r="G180" s="199">
        <v>200</v>
      </c>
      <c r="H180" s="199">
        <v>0</v>
      </c>
      <c r="I180" s="205">
        <f t="shared" si="22"/>
        <v>200</v>
      </c>
      <c r="J180" s="204">
        <f t="shared" si="23"/>
        <v>50.753599999999999</v>
      </c>
      <c r="K180" s="106" t="s">
        <v>550</v>
      </c>
      <c r="L180" s="4" t="s">
        <v>602</v>
      </c>
      <c r="M180" s="4" t="s">
        <v>603</v>
      </c>
      <c r="N180" s="106" t="s">
        <v>367</v>
      </c>
      <c r="O180" s="146" t="str">
        <f>_xlfn.XLOOKUP(N180,costcategory[Account Code],costcategory[Cost Category],"ERROR")</f>
        <v>Professional &amp; Consultancy Fees</v>
      </c>
      <c r="P180" s="4" t="s">
        <v>340</v>
      </c>
      <c r="Q180" s="147" t="str">
        <f>_xlfn.XLOOKUP(P180,Table2[Department],Table2[Group],"ERROR")</f>
        <v>General &amp; Administrative</v>
      </c>
      <c r="R180" s="31" t="s">
        <v>448</v>
      </c>
      <c r="S180" s="18"/>
      <c r="T180" s="18"/>
      <c r="U180" s="2" t="s">
        <v>419</v>
      </c>
      <c r="W180" s="18"/>
    </row>
    <row r="181" spans="1:23" ht="12.95" customHeight="1" x14ac:dyDescent="0.2">
      <c r="A181" s="2" t="s">
        <v>15</v>
      </c>
      <c r="B181" s="2" t="s">
        <v>2</v>
      </c>
      <c r="C181" s="3">
        <v>46113</v>
      </c>
      <c r="D181" s="3">
        <v>46142</v>
      </c>
      <c r="E181" s="3">
        <v>46142</v>
      </c>
      <c r="F181" s="2" t="s">
        <v>82</v>
      </c>
      <c r="G181" s="213">
        <v>5764</v>
      </c>
      <c r="H181" s="199">
        <v>0</v>
      </c>
      <c r="I181" s="205">
        <f t="shared" si="22"/>
        <v>5764</v>
      </c>
      <c r="J181" s="204">
        <f t="shared" si="23"/>
        <v>1462.718752</v>
      </c>
      <c r="K181" s="106" t="s">
        <v>444</v>
      </c>
      <c r="L181" s="4" t="s">
        <v>604</v>
      </c>
      <c r="M181" s="4" t="s">
        <v>605</v>
      </c>
      <c r="N181" s="105" t="s">
        <v>535</v>
      </c>
      <c r="O181" s="146" t="str">
        <f>_xlfn.XLOOKUP(N181,costcategory[Account Code],costcategory[Cost Category],"ERROR")</f>
        <v>ERROR</v>
      </c>
      <c r="P181" s="4" t="s">
        <v>376</v>
      </c>
      <c r="Q181" s="147" t="str">
        <f>_xlfn.XLOOKUP(P181,Table2[Department],Table2[Group],"ERROR")</f>
        <v>General &amp; Administrative</v>
      </c>
      <c r="R181" s="31" t="s">
        <v>448</v>
      </c>
      <c r="S181" s="18"/>
      <c r="T181" s="18"/>
      <c r="U181" s="2" t="s">
        <v>606</v>
      </c>
      <c r="W181" s="18"/>
    </row>
    <row r="182" spans="1:23" ht="12.95" customHeight="1" x14ac:dyDescent="0.2">
      <c r="A182" s="2" t="s">
        <v>15</v>
      </c>
      <c r="B182" s="2" t="s">
        <v>2</v>
      </c>
      <c r="C182" s="3">
        <v>46142</v>
      </c>
      <c r="D182" s="3">
        <v>46142</v>
      </c>
      <c r="E182" s="3">
        <v>46142</v>
      </c>
      <c r="F182" s="2" t="s">
        <v>82</v>
      </c>
      <c r="G182" s="213">
        <v>0.5</v>
      </c>
      <c r="H182" s="199">
        <v>0</v>
      </c>
      <c r="I182" s="205">
        <f t="shared" si="22"/>
        <v>0.5</v>
      </c>
      <c r="J182" s="204">
        <f t="shared" si="23"/>
        <v>0.126884</v>
      </c>
      <c r="K182" s="106" t="s">
        <v>607</v>
      </c>
      <c r="L182" s="4" t="s">
        <v>1356</v>
      </c>
      <c r="M182" s="4" t="s">
        <v>609</v>
      </c>
      <c r="N182" s="4" t="s">
        <v>609</v>
      </c>
      <c r="O182" s="146" t="str">
        <f>_xlfn.XLOOKUP(N182,costcategory[Account Code],costcategory[Cost Category],"ERROR")</f>
        <v>Bank Charges</v>
      </c>
      <c r="P182" s="4" t="s">
        <v>333</v>
      </c>
      <c r="Q182" s="147" t="str">
        <f>_xlfn.XLOOKUP(P182,Table2[Department],Table2[Group],"ERROR")</f>
        <v>General &amp; Administrative</v>
      </c>
      <c r="R182" s="31" t="s">
        <v>448</v>
      </c>
      <c r="S182" s="18"/>
      <c r="T182" s="18"/>
      <c r="U182" s="2" t="s">
        <v>1357</v>
      </c>
      <c r="W182" s="18"/>
    </row>
    <row r="183" spans="1:23" ht="12.95" customHeight="1" x14ac:dyDescent="0.2">
      <c r="A183" s="2" t="s">
        <v>15</v>
      </c>
      <c r="B183" s="2" t="s">
        <v>2</v>
      </c>
      <c r="C183" s="3">
        <v>46143</v>
      </c>
      <c r="D183" s="3">
        <v>46143</v>
      </c>
      <c r="E183" s="3">
        <v>46142</v>
      </c>
      <c r="F183" s="2" t="s">
        <v>82</v>
      </c>
      <c r="G183" s="213">
        <v>10350.69</v>
      </c>
      <c r="H183" s="199">
        <v>0</v>
      </c>
      <c r="I183" s="205">
        <f t="shared" si="22"/>
        <v>10350.69</v>
      </c>
      <c r="J183" s="204">
        <f t="shared" si="23"/>
        <v>2626.6738999200002</v>
      </c>
      <c r="K183" s="106" t="s">
        <v>582</v>
      </c>
      <c r="L183" s="4" t="s">
        <v>611</v>
      </c>
      <c r="M183" s="4" t="s">
        <v>612</v>
      </c>
      <c r="N183" s="105" t="s">
        <v>409</v>
      </c>
      <c r="O183" s="146" t="str">
        <f>_xlfn.XLOOKUP(N183,costcategory[Account Code],costcategory[Cost Category],"ERROR")</f>
        <v>Rental</v>
      </c>
      <c r="P183" s="4" t="s">
        <v>340</v>
      </c>
      <c r="Q183" s="147" t="str">
        <f>_xlfn.XLOOKUP(P183,Table2[Department],Table2[Group],"ERROR")</f>
        <v>General &amp; Administrative</v>
      </c>
      <c r="R183" s="31" t="s">
        <v>448</v>
      </c>
      <c r="S183" s="18"/>
      <c r="T183" s="18"/>
      <c r="U183" s="2" t="s">
        <v>1358</v>
      </c>
      <c r="W183" s="18"/>
    </row>
    <row r="184" spans="1:23" ht="12.95" customHeight="1" x14ac:dyDescent="0.2">
      <c r="A184" s="2" t="s">
        <v>15</v>
      </c>
      <c r="B184" s="2" t="s">
        <v>2</v>
      </c>
      <c r="C184" s="3">
        <v>46142</v>
      </c>
      <c r="D184" s="3">
        <v>46142</v>
      </c>
      <c r="E184" s="3">
        <v>46142</v>
      </c>
      <c r="F184" s="2" t="s">
        <v>82</v>
      </c>
      <c r="G184" s="213">
        <v>0.5</v>
      </c>
      <c r="H184" s="199">
        <v>0</v>
      </c>
      <c r="I184" s="205">
        <f t="shared" si="22"/>
        <v>0.5</v>
      </c>
      <c r="J184" s="204">
        <f t="shared" si="23"/>
        <v>0.126884</v>
      </c>
      <c r="K184" s="106" t="s">
        <v>607</v>
      </c>
      <c r="L184" s="4" t="s">
        <v>1356</v>
      </c>
      <c r="M184" s="4" t="s">
        <v>609</v>
      </c>
      <c r="N184" s="4" t="s">
        <v>609</v>
      </c>
      <c r="O184" s="146" t="str">
        <f>_xlfn.XLOOKUP(N184,costcategory[Account Code],costcategory[Cost Category],"ERROR")</f>
        <v>Bank Charges</v>
      </c>
      <c r="P184" s="4" t="s">
        <v>333</v>
      </c>
      <c r="Q184" s="147" t="str">
        <f>_xlfn.XLOOKUP(P184,Table2[Department],Table2[Group],"ERROR")</f>
        <v>General &amp; Administrative</v>
      </c>
      <c r="R184" s="31" t="s">
        <v>448</v>
      </c>
      <c r="S184" s="18"/>
      <c r="T184" s="18"/>
      <c r="U184" s="2" t="s">
        <v>1359</v>
      </c>
      <c r="W184" s="18"/>
    </row>
    <row r="185" spans="1:23" ht="12.95" customHeight="1" x14ac:dyDescent="0.2">
      <c r="A185" s="2" t="s">
        <v>15</v>
      </c>
      <c r="B185" s="2" t="s">
        <v>2</v>
      </c>
      <c r="C185" s="3">
        <v>46142</v>
      </c>
      <c r="D185" s="3">
        <v>46142</v>
      </c>
      <c r="E185" s="3">
        <v>46142</v>
      </c>
      <c r="F185" s="2" t="s">
        <v>82</v>
      </c>
      <c r="G185" s="213">
        <v>-223.82</v>
      </c>
      <c r="H185" s="199">
        <v>0</v>
      </c>
      <c r="I185" s="205">
        <f t="shared" si="22"/>
        <v>-223.82</v>
      </c>
      <c r="J185" s="204">
        <f t="shared" si="23"/>
        <v>-56.798353759999998</v>
      </c>
      <c r="K185" s="106" t="s">
        <v>448</v>
      </c>
      <c r="M185" s="4" t="s">
        <v>384</v>
      </c>
      <c r="N185" s="105" t="s">
        <v>384</v>
      </c>
      <c r="O185" s="146" t="str">
        <f>_xlfn.XLOOKUP(N185,costcategory[Account Code],costcategory[Cost Category],"ERROR")</f>
        <v>Other Income</v>
      </c>
      <c r="P185" s="4" t="s">
        <v>333</v>
      </c>
      <c r="Q185" s="147" t="str">
        <f>_xlfn.XLOOKUP(P185,Table2[Department],Table2[Group],"ERROR")</f>
        <v>General &amp; Administrative</v>
      </c>
      <c r="R185" s="31" t="s">
        <v>448</v>
      </c>
      <c r="S185" s="18"/>
      <c r="T185" s="18"/>
      <c r="U185" s="2" t="s">
        <v>610</v>
      </c>
      <c r="W185" s="18"/>
    </row>
    <row r="186" spans="1:23" ht="12.95" customHeight="1" x14ac:dyDescent="0.2">
      <c r="A186" s="2" t="s">
        <v>15</v>
      </c>
      <c r="B186" s="2" t="s">
        <v>2</v>
      </c>
      <c r="C186" s="3">
        <v>46142</v>
      </c>
      <c r="D186" s="3">
        <v>46142</v>
      </c>
      <c r="E186" s="3">
        <v>46142</v>
      </c>
      <c r="F186" s="2" t="s">
        <v>82</v>
      </c>
      <c r="G186" s="213">
        <v>10</v>
      </c>
      <c r="H186" s="199">
        <v>0</v>
      </c>
      <c r="I186" s="205">
        <f t="shared" si="22"/>
        <v>10</v>
      </c>
      <c r="J186" s="204">
        <f t="shared" si="23"/>
        <v>2.5376799999999999</v>
      </c>
      <c r="K186" s="106" t="s">
        <v>448</v>
      </c>
      <c r="L186" s="4" t="s">
        <v>608</v>
      </c>
      <c r="M186" s="4" t="s">
        <v>332</v>
      </c>
      <c r="N186" s="105" t="s">
        <v>332</v>
      </c>
      <c r="O186" s="146" t="str">
        <f>_xlfn.XLOOKUP(N186,costcategory[Account Code],costcategory[Cost Category],"ERROR")</f>
        <v>Bank Charges</v>
      </c>
      <c r="P186" s="4" t="s">
        <v>333</v>
      </c>
      <c r="Q186" s="147" t="str">
        <f>_xlfn.XLOOKUP(P186,Table2[Department],Table2[Group],"ERROR")</f>
        <v>General &amp; Administrative</v>
      </c>
      <c r="R186" s="31" t="s">
        <v>448</v>
      </c>
      <c r="S186" s="18"/>
      <c r="T186" s="18"/>
      <c r="U186" s="2" t="s">
        <v>1360</v>
      </c>
      <c r="W186" s="18"/>
    </row>
    <row r="187" spans="1:23" ht="12.95" customHeight="1" x14ac:dyDescent="0.2">
      <c r="I187" s="220">
        <f>SUM(I160:I186)</f>
        <v>-4175.1699999999892</v>
      </c>
      <c r="J187" s="199"/>
      <c r="K187" s="106"/>
    </row>
    <row r="188" spans="1:23" ht="12.95" customHeight="1" x14ac:dyDescent="0.2">
      <c r="A188" s="329" t="s">
        <v>1173</v>
      </c>
      <c r="B188" s="329"/>
      <c r="C188" s="329"/>
      <c r="D188" s="329"/>
      <c r="E188" s="14">
        <v>46142</v>
      </c>
      <c r="F188" s="13" t="s">
        <v>82</v>
      </c>
      <c r="G188" s="202"/>
      <c r="H188" s="207"/>
      <c r="I188" s="208">
        <f>I159-I187</f>
        <v>537094.84000000008</v>
      </c>
      <c r="J188" s="207">
        <f>I188*FOREX!G4</f>
        <v>132665.11095420003</v>
      </c>
      <c r="K188" s="17"/>
      <c r="L188" s="17"/>
      <c r="M188" s="17"/>
      <c r="N188" s="17"/>
      <c r="O188" s="17"/>
      <c r="P188" s="17"/>
      <c r="Q188" s="17"/>
      <c r="R188" s="20"/>
      <c r="S188" s="20"/>
      <c r="T188" s="20"/>
      <c r="U188" s="20"/>
      <c r="V188" s="20"/>
    </row>
    <row r="190" spans="1:23" x14ac:dyDescent="0.2">
      <c r="J190" s="257">
        <f>FOREX!G5</f>
        <v>0.25188296866867399</v>
      </c>
    </row>
    <row r="191" spans="1:23" x14ac:dyDescent="0.2">
      <c r="A191" s="7" t="s">
        <v>87</v>
      </c>
      <c r="B191" s="7" t="s">
        <v>43</v>
      </c>
      <c r="C191" s="8" t="s">
        <v>54</v>
      </c>
      <c r="D191" s="8" t="s">
        <v>88</v>
      </c>
      <c r="E191" s="185" t="s">
        <v>1083</v>
      </c>
      <c r="F191" s="7" t="s">
        <v>70</v>
      </c>
      <c r="G191" s="236" t="s">
        <v>90</v>
      </c>
      <c r="H191" s="236" t="s">
        <v>91</v>
      </c>
      <c r="I191" s="236" t="s">
        <v>92</v>
      </c>
      <c r="J191" s="236" t="s">
        <v>72</v>
      </c>
      <c r="K191" s="149" t="s">
        <v>325</v>
      </c>
      <c r="L191" s="149" t="s">
        <v>94</v>
      </c>
      <c r="M191" s="7" t="s">
        <v>95</v>
      </c>
      <c r="N191" s="7" t="s">
        <v>1315</v>
      </c>
      <c r="O191" s="7" t="s">
        <v>64</v>
      </c>
      <c r="P191" s="95" t="s">
        <v>67</v>
      </c>
      <c r="Q191" s="95"/>
      <c r="R191" s="7" t="s">
        <v>326</v>
      </c>
      <c r="S191" s="7" t="s">
        <v>327</v>
      </c>
      <c r="T191" s="7" t="s">
        <v>328</v>
      </c>
      <c r="U191" s="7" t="s">
        <v>98</v>
      </c>
      <c r="V191" s="7" t="s">
        <v>1316</v>
      </c>
      <c r="W191" s="2"/>
    </row>
    <row r="192" spans="1:23" ht="12.95" customHeight="1" x14ac:dyDescent="0.2">
      <c r="A192" s="329" t="s">
        <v>1172</v>
      </c>
      <c r="B192" s="329"/>
      <c r="C192" s="329"/>
      <c r="D192" s="329"/>
      <c r="E192" s="14">
        <v>46143</v>
      </c>
      <c r="F192" s="13" t="s">
        <v>82</v>
      </c>
      <c r="G192" s="202"/>
      <c r="H192" s="207"/>
      <c r="I192" s="208">
        <f>I188</f>
        <v>537094.84000000008</v>
      </c>
      <c r="J192" s="207">
        <f>I192*FOREX!G9</f>
        <v>135355.9561026</v>
      </c>
      <c r="K192" s="17"/>
      <c r="L192" s="17"/>
      <c r="M192" s="17"/>
      <c r="N192" s="17"/>
      <c r="O192" s="17"/>
      <c r="P192" s="17"/>
      <c r="Q192" s="17"/>
      <c r="R192" s="20"/>
      <c r="S192" s="20"/>
      <c r="T192" s="20"/>
      <c r="U192" s="20"/>
      <c r="V192" s="20"/>
    </row>
    <row r="193" spans="1:23" ht="12.95" customHeight="1" x14ac:dyDescent="0.2">
      <c r="A193" s="2" t="s">
        <v>15</v>
      </c>
      <c r="B193" s="2" t="s">
        <v>2</v>
      </c>
      <c r="C193" s="3">
        <v>46147</v>
      </c>
      <c r="D193" s="3">
        <v>46147</v>
      </c>
      <c r="E193" s="3">
        <v>46147</v>
      </c>
      <c r="F193" s="2" t="s">
        <v>82</v>
      </c>
      <c r="G193" s="204">
        <v>1463.52</v>
      </c>
      <c r="H193" s="199">
        <v>0</v>
      </c>
      <c r="I193" s="205">
        <f>SUM(G193:H193)</f>
        <v>1463.52</v>
      </c>
      <c r="J193" s="199">
        <f>I193*$J$190</f>
        <v>368.63576230597778</v>
      </c>
      <c r="K193" s="106" t="s">
        <v>1361</v>
      </c>
      <c r="L193" s="4" t="s">
        <v>1362</v>
      </c>
      <c r="M193" s="4" t="s">
        <v>1363</v>
      </c>
      <c r="N193" s="106" t="s">
        <v>387</v>
      </c>
      <c r="O193" s="146" t="str">
        <f>_xlfn.XLOOKUP(N193,costcategory[Account Code],costcategory[Cost Category],"ERROR")</f>
        <v>Headcount Costs</v>
      </c>
      <c r="P193" s="4" t="s">
        <v>350</v>
      </c>
      <c r="Q193" s="147" t="str">
        <f>_xlfn.XLOOKUP(P193,Table2[Department],Table2[Group],"ERROR")</f>
        <v>General &amp; Administrative</v>
      </c>
      <c r="R193" s="31"/>
      <c r="S193" s="18"/>
      <c r="T193" s="18"/>
      <c r="U193" s="2" t="s">
        <v>1108</v>
      </c>
      <c r="W193" s="18"/>
    </row>
    <row r="194" spans="1:23" ht="12.95" customHeight="1" x14ac:dyDescent="0.2">
      <c r="A194" s="2" t="s">
        <v>15</v>
      </c>
      <c r="B194" s="2" t="s">
        <v>2</v>
      </c>
      <c r="C194" s="3">
        <v>46149</v>
      </c>
      <c r="D194" s="3">
        <v>46149</v>
      </c>
      <c r="E194" s="3">
        <v>46149</v>
      </c>
      <c r="F194" s="2" t="s">
        <v>82</v>
      </c>
      <c r="G194" s="204">
        <v>40</v>
      </c>
      <c r="H194" s="199">
        <v>0</v>
      </c>
      <c r="I194" s="205">
        <f>SUM(G194:H194)</f>
        <v>40</v>
      </c>
      <c r="J194" s="213">
        <f t="shared" ref="J194:J232" si="25">I194*$J$190</f>
        <v>10.075318746746959</v>
      </c>
      <c r="K194" s="106" t="s">
        <v>448</v>
      </c>
      <c r="L194" s="4" t="s">
        <v>613</v>
      </c>
      <c r="M194" s="4" t="s">
        <v>332</v>
      </c>
      <c r="N194" s="106" t="s">
        <v>332</v>
      </c>
      <c r="O194" s="146" t="str">
        <f>_xlfn.XLOOKUP(N194,costcategory[Account Code],costcategory[Cost Category],"ERROR")</f>
        <v>Bank Charges</v>
      </c>
      <c r="P194" s="4" t="s">
        <v>333</v>
      </c>
      <c r="Q194" s="147" t="str">
        <f>_xlfn.XLOOKUP(P194,Table2[Department],Table2[Group],"ERROR")</f>
        <v>General &amp; Administrative</v>
      </c>
      <c r="R194" s="31"/>
      <c r="S194" s="18"/>
      <c r="T194" s="18"/>
      <c r="U194" s="2" t="s">
        <v>422</v>
      </c>
      <c r="W194" s="18"/>
    </row>
    <row r="195" spans="1:23" ht="12.95" customHeight="1" x14ac:dyDescent="0.2">
      <c r="A195" s="2" t="s">
        <v>15</v>
      </c>
      <c r="B195" s="2" t="s">
        <v>2</v>
      </c>
      <c r="C195" s="3">
        <v>46149</v>
      </c>
      <c r="D195" s="3">
        <v>46149</v>
      </c>
      <c r="E195" s="3">
        <v>46149</v>
      </c>
      <c r="F195" s="2" t="s">
        <v>82</v>
      </c>
      <c r="G195" s="204">
        <v>3.2</v>
      </c>
      <c r="H195" s="199">
        <v>0</v>
      </c>
      <c r="I195" s="205">
        <f>SUM(G195:H195)</f>
        <v>3.2</v>
      </c>
      <c r="J195" s="213">
        <f t="shared" si="25"/>
        <v>0.80602549973975679</v>
      </c>
      <c r="K195" s="106" t="s">
        <v>448</v>
      </c>
      <c r="L195" s="4" t="s">
        <v>613</v>
      </c>
      <c r="M195" s="4" t="s">
        <v>332</v>
      </c>
      <c r="N195" s="106" t="s">
        <v>332</v>
      </c>
      <c r="O195" s="146" t="str">
        <f>_xlfn.XLOOKUP(N195,costcategory[Account Code],costcategory[Cost Category],"ERROR")</f>
        <v>Bank Charges</v>
      </c>
      <c r="P195" s="4" t="s">
        <v>333</v>
      </c>
      <c r="Q195" s="147" t="str">
        <f>_xlfn.XLOOKUP(P195,Table2[Department],Table2[Group],"ERROR")</f>
        <v>General &amp; Administrative</v>
      </c>
      <c r="R195" s="31"/>
      <c r="S195" s="18"/>
      <c r="T195" s="18"/>
      <c r="U195" s="2" t="s">
        <v>423</v>
      </c>
      <c r="W195" s="18"/>
    </row>
    <row r="196" spans="1:23" ht="12.95" customHeight="1" x14ac:dyDescent="0.2">
      <c r="A196" s="2" t="s">
        <v>15</v>
      </c>
      <c r="B196" s="2" t="s">
        <v>2</v>
      </c>
      <c r="C196" s="3">
        <v>46136</v>
      </c>
      <c r="D196" s="3">
        <v>46136</v>
      </c>
      <c r="E196" s="3">
        <v>46157</v>
      </c>
      <c r="F196" s="2" t="s">
        <v>82</v>
      </c>
      <c r="G196" s="199">
        <v>3701.74</v>
      </c>
      <c r="H196" s="199">
        <v>0</v>
      </c>
      <c r="I196" s="227">
        <f t="shared" ref="I196:I221" si="26">SUM(G196:H196)</f>
        <v>3701.74</v>
      </c>
      <c r="J196" s="213">
        <f t="shared" si="25"/>
        <v>932.40526043957721</v>
      </c>
      <c r="K196" s="106" t="s">
        <v>626</v>
      </c>
      <c r="M196" s="4" t="s">
        <v>474</v>
      </c>
      <c r="N196" s="106" t="s">
        <v>475</v>
      </c>
      <c r="O196" s="146" t="str">
        <f>_xlfn.XLOOKUP(N196,costcategory[Account Code],costcategory[Cost Category],"ERROR")</f>
        <v>Travelling Expenses</v>
      </c>
      <c r="P196" s="4" t="s">
        <v>45</v>
      </c>
      <c r="Q196" s="147" t="str">
        <f>_xlfn.XLOOKUP(P196,Table2[Department],Table2[Group],"ERROR")</f>
        <v>DSC</v>
      </c>
      <c r="R196" s="31"/>
      <c r="S196" s="18"/>
      <c r="T196" s="18"/>
      <c r="U196" s="2" t="s">
        <v>1268</v>
      </c>
      <c r="W196" s="18"/>
    </row>
    <row r="197" spans="1:23" ht="12.95" customHeight="1" x14ac:dyDescent="0.2">
      <c r="A197" s="2" t="s">
        <v>15</v>
      </c>
      <c r="B197" s="2" t="s">
        <v>2</v>
      </c>
      <c r="C197" s="3">
        <v>46136</v>
      </c>
      <c r="D197" s="3">
        <v>46136</v>
      </c>
      <c r="E197" s="3">
        <v>46157</v>
      </c>
      <c r="F197" s="2" t="s">
        <v>82</v>
      </c>
      <c r="G197" s="213">
        <v>350</v>
      </c>
      <c r="H197" s="199">
        <v>0</v>
      </c>
      <c r="I197" s="228">
        <f t="shared" si="26"/>
        <v>350</v>
      </c>
      <c r="J197" s="213">
        <f t="shared" si="25"/>
        <v>88.159039034035899</v>
      </c>
      <c r="K197" s="106" t="s">
        <v>626</v>
      </c>
      <c r="M197" s="4" t="s">
        <v>476</v>
      </c>
      <c r="N197" s="106" t="s">
        <v>339</v>
      </c>
      <c r="O197" s="146" t="str">
        <f>_xlfn.XLOOKUP(N197,costcategory[Account Code],costcategory[Cost Category],"ERROR")</f>
        <v>Travelling Expenses</v>
      </c>
      <c r="P197" s="4" t="s">
        <v>333</v>
      </c>
      <c r="Q197" s="147" t="str">
        <f>_xlfn.XLOOKUP(P197,Table2[Department],Table2[Group],"ERROR")</f>
        <v>General &amp; Administrative</v>
      </c>
      <c r="R197" s="31"/>
      <c r="S197" s="18"/>
      <c r="T197" s="18"/>
      <c r="U197" s="2" t="s">
        <v>1268</v>
      </c>
      <c r="W197" s="18"/>
    </row>
    <row r="198" spans="1:23" ht="12.95" customHeight="1" x14ac:dyDescent="0.2">
      <c r="A198" s="2" t="s">
        <v>15</v>
      </c>
      <c r="B198" s="2" t="s">
        <v>2</v>
      </c>
      <c r="C198" s="3">
        <v>46136</v>
      </c>
      <c r="D198" s="3">
        <v>46136</v>
      </c>
      <c r="E198" s="3">
        <v>46157</v>
      </c>
      <c r="F198" s="2" t="s">
        <v>82</v>
      </c>
      <c r="G198" s="213">
        <v>519.68000000000006</v>
      </c>
      <c r="H198" s="199">
        <v>0</v>
      </c>
      <c r="I198" s="228">
        <f t="shared" si="26"/>
        <v>519.68000000000006</v>
      </c>
      <c r="J198" s="213">
        <f t="shared" si="25"/>
        <v>130.8985411577365</v>
      </c>
      <c r="K198" s="106" t="s">
        <v>626</v>
      </c>
      <c r="M198" s="4" t="s">
        <v>352</v>
      </c>
      <c r="N198" s="106" t="s">
        <v>391</v>
      </c>
      <c r="O198" s="146" t="str">
        <f>_xlfn.XLOOKUP(N198,costcategory[Account Code],costcategory[Cost Category],"ERROR")</f>
        <v>Travelling Expenses</v>
      </c>
      <c r="P198" s="4" t="s">
        <v>45</v>
      </c>
      <c r="Q198" s="147" t="str">
        <f>_xlfn.XLOOKUP(P198,Table2[Department],Table2[Group],"ERROR")</f>
        <v>DSC</v>
      </c>
      <c r="R198" s="31"/>
      <c r="S198" s="18"/>
      <c r="T198" s="18"/>
      <c r="U198" s="2" t="s">
        <v>1268</v>
      </c>
      <c r="W198" s="18"/>
    </row>
    <row r="199" spans="1:23" ht="12.95" customHeight="1" x14ac:dyDescent="0.2">
      <c r="A199" s="2" t="s">
        <v>15</v>
      </c>
      <c r="B199" s="2" t="s">
        <v>2</v>
      </c>
      <c r="C199" s="3">
        <v>46136</v>
      </c>
      <c r="D199" s="3">
        <v>46136</v>
      </c>
      <c r="E199" s="3">
        <v>46157</v>
      </c>
      <c r="F199" s="2" t="s">
        <v>82</v>
      </c>
      <c r="G199" s="213">
        <v>93.93</v>
      </c>
      <c r="H199" s="199">
        <v>0</v>
      </c>
      <c r="I199" s="228">
        <f t="shared" si="26"/>
        <v>93.93</v>
      </c>
      <c r="J199" s="213">
        <f t="shared" si="25"/>
        <v>23.65936724704855</v>
      </c>
      <c r="K199" s="106" t="s">
        <v>626</v>
      </c>
      <c r="M199" s="4" t="s">
        <v>352</v>
      </c>
      <c r="N199" s="106" t="s">
        <v>391</v>
      </c>
      <c r="O199" s="146" t="str">
        <f>_xlfn.XLOOKUP(N199,costcategory[Account Code],costcategory[Cost Category],"ERROR")</f>
        <v>Travelling Expenses</v>
      </c>
      <c r="P199" s="4" t="s">
        <v>333</v>
      </c>
      <c r="Q199" s="147" t="str">
        <f>_xlfn.XLOOKUP(P199,Table2[Department],Table2[Group],"ERROR")</f>
        <v>General &amp; Administrative</v>
      </c>
      <c r="R199" s="31"/>
      <c r="S199" s="18"/>
      <c r="T199" s="18"/>
      <c r="U199" s="2" t="s">
        <v>1268</v>
      </c>
      <c r="W199" s="18"/>
    </row>
    <row r="200" spans="1:23" ht="12.95" customHeight="1" x14ac:dyDescent="0.2">
      <c r="A200" s="2" t="s">
        <v>15</v>
      </c>
      <c r="B200" s="2" t="s">
        <v>2</v>
      </c>
      <c r="C200" s="3">
        <v>46136</v>
      </c>
      <c r="D200" s="3">
        <v>46136</v>
      </c>
      <c r="E200" s="3">
        <v>46157</v>
      </c>
      <c r="F200" s="2" t="s">
        <v>82</v>
      </c>
      <c r="G200" s="213">
        <v>37.049999999999997</v>
      </c>
      <c r="H200" s="199">
        <v>0</v>
      </c>
      <c r="I200" s="228">
        <f t="shared" si="26"/>
        <v>37.049999999999997</v>
      </c>
      <c r="J200" s="213">
        <f t="shared" si="25"/>
        <v>9.3322639891743702</v>
      </c>
      <c r="K200" s="106" t="s">
        <v>626</v>
      </c>
      <c r="M200" s="4" t="s">
        <v>355</v>
      </c>
      <c r="N200" s="106" t="s">
        <v>402</v>
      </c>
      <c r="O200" s="146" t="str">
        <f>_xlfn.XLOOKUP(N200,costcategory[Account Code],costcategory[Cost Category],"ERROR")</f>
        <v>Travelling Expenses</v>
      </c>
      <c r="P200" s="4" t="s">
        <v>45</v>
      </c>
      <c r="Q200" s="147" t="str">
        <f>_xlfn.XLOOKUP(P200,Table2[Department],Table2[Group],"ERROR")</f>
        <v>DSC</v>
      </c>
      <c r="R200" s="31"/>
      <c r="S200" s="18"/>
      <c r="T200" s="18"/>
      <c r="U200" s="2" t="s">
        <v>1268</v>
      </c>
      <c r="W200" s="18"/>
    </row>
    <row r="201" spans="1:23" ht="12.95" customHeight="1" x14ac:dyDescent="0.2">
      <c r="A201" s="2" t="s">
        <v>15</v>
      </c>
      <c r="B201" s="2" t="s">
        <v>2</v>
      </c>
      <c r="C201" s="3">
        <v>46136</v>
      </c>
      <c r="D201" s="3">
        <v>46136</v>
      </c>
      <c r="E201" s="3">
        <v>46157</v>
      </c>
      <c r="F201" s="2" t="s">
        <v>82</v>
      </c>
      <c r="G201" s="213">
        <v>60.25</v>
      </c>
      <c r="H201" s="199">
        <v>0</v>
      </c>
      <c r="I201" s="228">
        <f t="shared" si="26"/>
        <v>60.25</v>
      </c>
      <c r="J201" s="213">
        <f t="shared" si="25"/>
        <v>15.175948862287608</v>
      </c>
      <c r="K201" s="106" t="s">
        <v>626</v>
      </c>
      <c r="M201" s="4" t="s">
        <v>355</v>
      </c>
      <c r="N201" s="106" t="s">
        <v>402</v>
      </c>
      <c r="O201" s="146" t="str">
        <f>_xlfn.XLOOKUP(N201,costcategory[Account Code],costcategory[Cost Category],"ERROR")</f>
        <v>Travelling Expenses</v>
      </c>
      <c r="P201" s="4" t="s">
        <v>45</v>
      </c>
      <c r="Q201" s="147" t="str">
        <f>_xlfn.XLOOKUP(P201,Table2[Department],Table2[Group],"ERROR")</f>
        <v>DSC</v>
      </c>
      <c r="R201" s="31"/>
      <c r="S201" s="18"/>
      <c r="T201" s="18"/>
      <c r="U201" s="2" t="s">
        <v>1268</v>
      </c>
      <c r="W201" s="18"/>
    </row>
    <row r="202" spans="1:23" ht="12.95" customHeight="1" x14ac:dyDescent="0.2">
      <c r="A202" s="2" t="s">
        <v>15</v>
      </c>
      <c r="B202" s="2" t="s">
        <v>2</v>
      </c>
      <c r="C202" s="3">
        <v>46142</v>
      </c>
      <c r="D202" s="3">
        <v>46142</v>
      </c>
      <c r="E202" s="3">
        <v>46157</v>
      </c>
      <c r="F202" s="2" t="s">
        <v>82</v>
      </c>
      <c r="G202" s="213">
        <v>28</v>
      </c>
      <c r="H202" s="199">
        <v>0</v>
      </c>
      <c r="I202" s="228">
        <f t="shared" si="26"/>
        <v>28</v>
      </c>
      <c r="J202" s="213">
        <f t="shared" si="25"/>
        <v>7.0527231227228722</v>
      </c>
      <c r="K202" s="106" t="s">
        <v>626</v>
      </c>
      <c r="M202" s="4" t="s">
        <v>359</v>
      </c>
      <c r="N202" s="106" t="s">
        <v>52</v>
      </c>
      <c r="O202" s="146" t="str">
        <f>_xlfn.XLOOKUP(N202,costcategory[Account Code],costcategory[Cost Category],"ERROR")</f>
        <v>Telecommunication</v>
      </c>
      <c r="P202" s="4" t="s">
        <v>333</v>
      </c>
      <c r="Q202" s="147" t="str">
        <f>_xlfn.XLOOKUP(P202,Table2[Department],Table2[Group],"ERROR")</f>
        <v>General &amp; Administrative</v>
      </c>
      <c r="R202" s="31"/>
      <c r="S202" s="18"/>
      <c r="T202" s="18"/>
      <c r="U202" s="2" t="s">
        <v>1268</v>
      </c>
      <c r="W202" s="18"/>
    </row>
    <row r="203" spans="1:23" ht="12.95" customHeight="1" x14ac:dyDescent="0.2">
      <c r="A203" s="2" t="s">
        <v>15</v>
      </c>
      <c r="B203" s="2" t="s">
        <v>2</v>
      </c>
      <c r="C203" s="3">
        <v>46150</v>
      </c>
      <c r="D203" s="3">
        <v>46150</v>
      </c>
      <c r="E203" s="3">
        <v>46157</v>
      </c>
      <c r="F203" s="2" t="s">
        <v>82</v>
      </c>
      <c r="G203" s="204">
        <v>1633.58</v>
      </c>
      <c r="H203" s="199">
        <v>0</v>
      </c>
      <c r="I203" s="228">
        <f t="shared" si="26"/>
        <v>1633.58</v>
      </c>
      <c r="J203" s="213">
        <f t="shared" si="25"/>
        <v>411.47097995777244</v>
      </c>
      <c r="K203" s="106" t="s">
        <v>627</v>
      </c>
      <c r="M203" s="4" t="s">
        <v>360</v>
      </c>
      <c r="N203" s="106" t="s">
        <v>353</v>
      </c>
      <c r="O203" s="146" t="str">
        <f>_xlfn.XLOOKUP(N203,costcategory[Account Code],costcategory[Cost Category],"ERROR")</f>
        <v>Travelling Expenses</v>
      </c>
      <c r="P203" s="4" t="s">
        <v>45</v>
      </c>
      <c r="Q203" s="147" t="str">
        <f>_xlfn.XLOOKUP(P203,Table2[Department],Table2[Group],"ERROR")</f>
        <v>DSC</v>
      </c>
      <c r="R203" s="31"/>
      <c r="S203" s="18"/>
      <c r="T203" s="18"/>
      <c r="U203" s="2" t="s">
        <v>1268</v>
      </c>
      <c r="W203" s="18"/>
    </row>
    <row r="204" spans="1:23" ht="12.95" customHeight="1" x14ac:dyDescent="0.2">
      <c r="A204" s="2" t="s">
        <v>15</v>
      </c>
      <c r="B204" s="2" t="s">
        <v>2</v>
      </c>
      <c r="C204" s="3">
        <v>46150</v>
      </c>
      <c r="D204" s="3">
        <v>46150</v>
      </c>
      <c r="E204" s="3">
        <v>46157</v>
      </c>
      <c r="F204" s="2" t="s">
        <v>82</v>
      </c>
      <c r="G204" s="204">
        <v>899.26</v>
      </c>
      <c r="H204" s="199">
        <v>0</v>
      </c>
      <c r="I204" s="228">
        <f t="shared" si="26"/>
        <v>899.26</v>
      </c>
      <c r="J204" s="213">
        <f t="shared" si="25"/>
        <v>226.50827840499176</v>
      </c>
      <c r="K204" s="106" t="s">
        <v>627</v>
      </c>
      <c r="M204" s="4" t="s">
        <v>360</v>
      </c>
      <c r="N204" s="106" t="s">
        <v>353</v>
      </c>
      <c r="O204" s="146" t="str">
        <f>_xlfn.XLOOKUP(N204,costcategory[Account Code],costcategory[Cost Category],"ERROR")</f>
        <v>Travelling Expenses</v>
      </c>
      <c r="P204" s="4" t="s">
        <v>523</v>
      </c>
      <c r="Q204" s="147" t="str">
        <f>_xlfn.XLOOKUP(P204,Table2[Department],Table2[Group],"ERROR")</f>
        <v>General &amp; Administrative</v>
      </c>
      <c r="R204" s="31"/>
      <c r="S204" s="18"/>
      <c r="T204" s="18"/>
      <c r="U204" s="2" t="s">
        <v>1268</v>
      </c>
      <c r="W204" s="18"/>
    </row>
    <row r="205" spans="1:23" ht="12.95" customHeight="1" x14ac:dyDescent="0.2">
      <c r="A205" s="2" t="s">
        <v>15</v>
      </c>
      <c r="B205" s="2" t="s">
        <v>2</v>
      </c>
      <c r="C205" s="3">
        <v>46150</v>
      </c>
      <c r="D205" s="3">
        <v>46150</v>
      </c>
      <c r="E205" s="3">
        <v>46157</v>
      </c>
      <c r="F205" s="2" t="s">
        <v>82</v>
      </c>
      <c r="G205" s="204">
        <v>200</v>
      </c>
      <c r="H205" s="199">
        <v>0</v>
      </c>
      <c r="I205" s="228">
        <f t="shared" si="26"/>
        <v>200</v>
      </c>
      <c r="J205" s="213">
        <f t="shared" si="25"/>
        <v>50.376593733734801</v>
      </c>
      <c r="K205" s="106" t="s">
        <v>627</v>
      </c>
      <c r="M205" s="4" t="s">
        <v>361</v>
      </c>
      <c r="N205" s="106" t="s">
        <v>356</v>
      </c>
      <c r="O205" s="146" t="str">
        <f>_xlfn.XLOOKUP(N205,costcategory[Account Code],costcategory[Cost Category],"ERROR")</f>
        <v>Travelling Expenses</v>
      </c>
      <c r="P205" s="4" t="s">
        <v>333</v>
      </c>
      <c r="Q205" s="147" t="str">
        <f>_xlfn.XLOOKUP(P205,Table2[Department],Table2[Group],"ERROR")</f>
        <v>General &amp; Administrative</v>
      </c>
      <c r="R205" s="31"/>
      <c r="S205" s="18"/>
      <c r="T205" s="18"/>
      <c r="U205" s="2" t="s">
        <v>1268</v>
      </c>
      <c r="W205" s="18"/>
    </row>
    <row r="206" spans="1:23" ht="12.95" customHeight="1" x14ac:dyDescent="0.2">
      <c r="A206" s="2" t="s">
        <v>15</v>
      </c>
      <c r="B206" s="2" t="s">
        <v>2</v>
      </c>
      <c r="C206" s="3">
        <v>46150</v>
      </c>
      <c r="D206" s="3">
        <v>46150</v>
      </c>
      <c r="E206" s="3">
        <v>46157</v>
      </c>
      <c r="F206" s="2" t="s">
        <v>82</v>
      </c>
      <c r="G206" s="199">
        <v>249.02</v>
      </c>
      <c r="H206" s="199">
        <v>0</v>
      </c>
      <c r="I206" s="228">
        <f t="shared" si="26"/>
        <v>249.02</v>
      </c>
      <c r="J206" s="213">
        <f>I206*$J$190</f>
        <v>62.7238968578732</v>
      </c>
      <c r="K206" s="106" t="s">
        <v>627</v>
      </c>
      <c r="M206" s="4" t="s">
        <v>361</v>
      </c>
      <c r="N206" s="106" t="s">
        <v>356</v>
      </c>
      <c r="O206" s="146" t="str">
        <f>_xlfn.XLOOKUP(N206,costcategory[Account Code],costcategory[Cost Category],"ERROR")</f>
        <v>Travelling Expenses</v>
      </c>
      <c r="P206" s="4" t="s">
        <v>45</v>
      </c>
      <c r="Q206" s="147" t="str">
        <f>_xlfn.XLOOKUP(P206,Table2[Department],Table2[Group],"ERROR")</f>
        <v>DSC</v>
      </c>
      <c r="R206" s="31"/>
      <c r="S206" s="18"/>
      <c r="T206" s="18"/>
      <c r="U206" s="2" t="s">
        <v>1268</v>
      </c>
      <c r="W206" s="18"/>
    </row>
    <row r="207" spans="1:23" ht="12.95" customHeight="1" x14ac:dyDescent="0.2">
      <c r="A207" s="2" t="s">
        <v>15</v>
      </c>
      <c r="B207" s="2" t="s">
        <v>2</v>
      </c>
      <c r="C207" s="3">
        <v>46150</v>
      </c>
      <c r="D207" s="3">
        <v>46150</v>
      </c>
      <c r="E207" s="3">
        <v>46157</v>
      </c>
      <c r="F207" s="2" t="s">
        <v>82</v>
      </c>
      <c r="G207" s="199">
        <v>2332.46</v>
      </c>
      <c r="H207" s="199">
        <v>0</v>
      </c>
      <c r="I207" s="229">
        <f t="shared" si="26"/>
        <v>2332.46</v>
      </c>
      <c r="J207" s="213">
        <f t="shared" si="25"/>
        <v>587.50694910093534</v>
      </c>
      <c r="K207" s="106" t="s">
        <v>627</v>
      </c>
      <c r="M207" s="4" t="s">
        <v>361</v>
      </c>
      <c r="N207" s="106" t="s">
        <v>356</v>
      </c>
      <c r="O207" s="146" t="str">
        <f>_xlfn.XLOOKUP(N207,costcategory[Account Code],costcategory[Cost Category],"ERROR")</f>
        <v>Travelling Expenses</v>
      </c>
      <c r="P207" s="4" t="s">
        <v>333</v>
      </c>
      <c r="Q207" s="147" t="str">
        <f>_xlfn.XLOOKUP(P207,Table2[Department],Table2[Group],"ERROR")</f>
        <v>General &amp; Administrative</v>
      </c>
      <c r="R207" s="31"/>
      <c r="S207" s="18"/>
      <c r="T207" s="18"/>
      <c r="U207" s="2" t="s">
        <v>1268</v>
      </c>
      <c r="W207" s="18"/>
    </row>
    <row r="208" spans="1:23" ht="12.95" customHeight="1" x14ac:dyDescent="0.2">
      <c r="A208" s="2" t="s">
        <v>15</v>
      </c>
      <c r="B208" s="2" t="s">
        <v>2</v>
      </c>
      <c r="C208" s="3">
        <v>46157</v>
      </c>
      <c r="D208" s="3">
        <v>46157</v>
      </c>
      <c r="E208" s="3">
        <v>46157</v>
      </c>
      <c r="F208" s="2" t="s">
        <v>82</v>
      </c>
      <c r="G208" s="204">
        <v>0.5</v>
      </c>
      <c r="H208" s="199">
        <v>0</v>
      </c>
      <c r="I208" s="205">
        <f t="shared" si="26"/>
        <v>0.5</v>
      </c>
      <c r="J208" s="213">
        <f t="shared" si="25"/>
        <v>0.12594148433433699</v>
      </c>
      <c r="K208" s="106" t="s">
        <v>448</v>
      </c>
      <c r="L208" s="4" t="s">
        <v>1364</v>
      </c>
      <c r="M208" s="4" t="s">
        <v>1365</v>
      </c>
      <c r="N208" s="106" t="s">
        <v>332</v>
      </c>
      <c r="O208" s="146" t="str">
        <f>_xlfn.XLOOKUP(N208,costcategory[Account Code],costcategory[Cost Category],"ERROR")</f>
        <v>Bank Charges</v>
      </c>
      <c r="P208" s="4" t="s">
        <v>350</v>
      </c>
      <c r="Q208" s="147" t="str">
        <f>_xlfn.XLOOKUP(P208,Table2[Department],Table2[Group],"ERROR")</f>
        <v>General &amp; Administrative</v>
      </c>
      <c r="R208" s="31"/>
      <c r="S208" s="18"/>
      <c r="T208" s="18"/>
      <c r="U208" s="2" t="s">
        <v>1269</v>
      </c>
      <c r="W208" s="18"/>
    </row>
    <row r="209" spans="1:23" ht="12.95" customHeight="1" x14ac:dyDescent="0.2">
      <c r="A209" s="2" t="s">
        <v>15</v>
      </c>
      <c r="B209" s="2" t="s">
        <v>2</v>
      </c>
      <c r="C209" s="3">
        <v>46142</v>
      </c>
      <c r="D209" s="3">
        <v>46142</v>
      </c>
      <c r="E209" s="3">
        <v>46157</v>
      </c>
      <c r="F209" s="2" t="s">
        <v>82</v>
      </c>
      <c r="G209" s="204">
        <v>1533.72</v>
      </c>
      <c r="H209" s="199">
        <v>0</v>
      </c>
      <c r="I209" s="205">
        <f t="shared" si="26"/>
        <v>1533.72</v>
      </c>
      <c r="J209" s="213">
        <f t="shared" si="25"/>
        <v>386.31794670651868</v>
      </c>
      <c r="K209" s="106" t="s">
        <v>1366</v>
      </c>
      <c r="M209" s="4" t="s">
        <v>1367</v>
      </c>
      <c r="N209" s="106" t="s">
        <v>447</v>
      </c>
      <c r="O209" s="146" t="str">
        <f>_xlfn.XLOOKUP(N209,costcategory[Account Code],costcategory[Cost Category],"ERROR")</f>
        <v>Accrual</v>
      </c>
      <c r="P209" s="4" t="s">
        <v>340</v>
      </c>
      <c r="Q209" s="147" t="str">
        <f>_xlfn.XLOOKUP(P209,Table2[Department],Table2[Group],"ERROR")</f>
        <v>General &amp; Administrative</v>
      </c>
      <c r="R209" s="31"/>
      <c r="S209" s="18"/>
      <c r="T209" s="18"/>
      <c r="U209" s="2" t="s">
        <v>1113</v>
      </c>
      <c r="W209" s="18"/>
    </row>
    <row r="210" spans="1:23" ht="12.95" customHeight="1" x14ac:dyDescent="0.2">
      <c r="A210" s="2" t="s">
        <v>15</v>
      </c>
      <c r="B210" s="2" t="s">
        <v>2</v>
      </c>
      <c r="C210" s="3">
        <v>46157</v>
      </c>
      <c r="D210" s="3">
        <v>46157</v>
      </c>
      <c r="E210" s="3">
        <v>46157</v>
      </c>
      <c r="F210" s="2" t="s">
        <v>82</v>
      </c>
      <c r="G210" s="204">
        <v>16837</v>
      </c>
      <c r="H210" s="199">
        <v>0</v>
      </c>
      <c r="I210" s="205">
        <f t="shared" si="26"/>
        <v>16837</v>
      </c>
      <c r="J210" s="213">
        <f t="shared" si="25"/>
        <v>4240.9535434744639</v>
      </c>
      <c r="K210" s="106" t="s">
        <v>630</v>
      </c>
      <c r="M210" s="4" t="s">
        <v>631</v>
      </c>
      <c r="N210" s="106" t="s">
        <v>509</v>
      </c>
      <c r="O210" s="146" t="str">
        <f>_xlfn.XLOOKUP(N210,costcategory[Account Code],costcategory[Cost Category],"ERROR")</f>
        <v>Corporate Tax Expenses</v>
      </c>
      <c r="P210" s="4" t="s">
        <v>350</v>
      </c>
      <c r="Q210" s="147" t="str">
        <f>_xlfn.XLOOKUP(P210,Table2[Department],Table2[Group],"ERROR")</f>
        <v>General &amp; Administrative</v>
      </c>
      <c r="R210" s="31"/>
      <c r="S210" s="18"/>
      <c r="T210" s="18"/>
      <c r="U210" s="2" t="s">
        <v>1271</v>
      </c>
      <c r="W210" s="18"/>
    </row>
    <row r="211" spans="1:23" ht="12.95" customHeight="1" x14ac:dyDescent="0.2">
      <c r="A211" s="2" t="s">
        <v>15</v>
      </c>
      <c r="B211" s="2" t="s">
        <v>2</v>
      </c>
      <c r="C211" s="3">
        <v>46157</v>
      </c>
      <c r="D211" s="3">
        <v>46157</v>
      </c>
      <c r="E211" s="3">
        <v>46157</v>
      </c>
      <c r="F211" s="2" t="s">
        <v>82</v>
      </c>
      <c r="G211" s="204">
        <v>5138.79</v>
      </c>
      <c r="H211" s="199">
        <v>0</v>
      </c>
      <c r="I211" s="212">
        <f>SUM(G211:H211)</f>
        <v>5138.79</v>
      </c>
      <c r="J211" s="213">
        <f t="shared" si="25"/>
        <v>1294.3736805648953</v>
      </c>
      <c r="K211" s="106" t="s">
        <v>1111</v>
      </c>
      <c r="M211" s="4" t="s">
        <v>1368</v>
      </c>
      <c r="N211" s="106" t="s">
        <v>387</v>
      </c>
      <c r="O211" s="146" t="str">
        <f>_xlfn.XLOOKUP(N211,costcategory[Account Code],costcategory[Cost Category],"ERROR")</f>
        <v>Headcount Costs</v>
      </c>
      <c r="P211" s="4" t="s">
        <v>333</v>
      </c>
      <c r="Q211" s="147" t="str">
        <f>_xlfn.XLOOKUP(P211,Table2[Department],Table2[Group],"ERROR")</f>
        <v>General &amp; Administrative</v>
      </c>
      <c r="R211" s="31"/>
      <c r="S211" s="18"/>
      <c r="T211" s="18"/>
      <c r="U211" s="2" t="s">
        <v>1112</v>
      </c>
      <c r="W211" s="18"/>
    </row>
    <row r="212" spans="1:23" ht="12.95" customHeight="1" x14ac:dyDescent="0.2">
      <c r="A212" s="2" t="s">
        <v>15</v>
      </c>
      <c r="B212" s="2" t="s">
        <v>2</v>
      </c>
      <c r="C212" s="3">
        <v>46157</v>
      </c>
      <c r="D212" s="3">
        <v>46157</v>
      </c>
      <c r="E212" s="3">
        <v>46157</v>
      </c>
      <c r="F212" s="2" t="s">
        <v>82</v>
      </c>
      <c r="G212" s="204">
        <v>0.5</v>
      </c>
      <c r="H212" s="199">
        <v>0</v>
      </c>
      <c r="I212" s="205">
        <f>SUM(G212:H212)</f>
        <v>0.5</v>
      </c>
      <c r="J212" s="213">
        <f t="shared" si="25"/>
        <v>0.12594148433433699</v>
      </c>
      <c r="K212" s="106" t="s">
        <v>448</v>
      </c>
      <c r="L212" s="4" t="s">
        <v>1364</v>
      </c>
      <c r="M212" s="4" t="s">
        <v>332</v>
      </c>
      <c r="N212" s="106" t="s">
        <v>332</v>
      </c>
      <c r="O212" s="146" t="str">
        <f>_xlfn.XLOOKUP(N212,costcategory[Account Code],costcategory[Cost Category],"ERROR")</f>
        <v>Bank Charges</v>
      </c>
      <c r="P212" s="4" t="s">
        <v>350</v>
      </c>
      <c r="Q212" s="147" t="str">
        <f>_xlfn.XLOOKUP(P212,Table2[Department],Table2[Group],"ERROR")</f>
        <v>General &amp; Administrative</v>
      </c>
      <c r="R212" s="31"/>
      <c r="S212" s="18"/>
      <c r="T212" s="18"/>
      <c r="U212" s="2" t="s">
        <v>432</v>
      </c>
      <c r="W212" s="18"/>
    </row>
    <row r="213" spans="1:23" ht="12.95" customHeight="1" x14ac:dyDescent="0.2">
      <c r="A213" s="2" t="s">
        <v>15</v>
      </c>
      <c r="B213" s="2" t="s">
        <v>2</v>
      </c>
      <c r="C213" s="3">
        <v>46142</v>
      </c>
      <c r="D213" s="3">
        <v>46142</v>
      </c>
      <c r="E213" s="3">
        <v>46157</v>
      </c>
      <c r="F213" s="2" t="s">
        <v>82</v>
      </c>
      <c r="G213" s="213">
        <v>38400</v>
      </c>
      <c r="H213" s="199">
        <v>0</v>
      </c>
      <c r="I213" s="205">
        <f>SUM(G213:H213)</f>
        <v>38400</v>
      </c>
      <c r="J213" s="213">
        <f t="shared" si="25"/>
        <v>9672.3059968770813</v>
      </c>
      <c r="K213" s="106" t="s">
        <v>1104</v>
      </c>
      <c r="M213" s="4" t="s">
        <v>1369</v>
      </c>
      <c r="N213" s="106" t="s">
        <v>447</v>
      </c>
      <c r="O213" s="146" t="str">
        <f>_xlfn.XLOOKUP(N213,costcategory[Account Code],costcategory[Cost Category],"ERROR")</f>
        <v>Accrual</v>
      </c>
      <c r="P213" s="4" t="s">
        <v>350</v>
      </c>
      <c r="Q213" s="147" t="str">
        <f>_xlfn.XLOOKUP(P213,Table2[Department],Table2[Group],"ERROR")</f>
        <v>General &amp; Administrative</v>
      </c>
      <c r="R213" s="31"/>
      <c r="S213" s="18"/>
      <c r="T213" s="18"/>
      <c r="U213" s="2" t="s">
        <v>1109</v>
      </c>
      <c r="W213" s="18"/>
    </row>
    <row r="214" spans="1:23" ht="12.95" customHeight="1" x14ac:dyDescent="0.2">
      <c r="A214" s="2" t="s">
        <v>15</v>
      </c>
      <c r="B214" s="2" t="s">
        <v>2</v>
      </c>
      <c r="C214" s="3">
        <v>46142</v>
      </c>
      <c r="D214" s="3">
        <v>46142</v>
      </c>
      <c r="E214" s="3">
        <v>46157</v>
      </c>
      <c r="F214" s="2" t="s">
        <v>82</v>
      </c>
      <c r="G214" s="213">
        <v>1550.5</v>
      </c>
      <c r="H214" s="199">
        <v>0</v>
      </c>
      <c r="I214" s="227">
        <f t="shared" si="26"/>
        <v>1550.5</v>
      </c>
      <c r="J214" s="213">
        <f t="shared" si="25"/>
        <v>390.54454292077901</v>
      </c>
      <c r="K214" s="106" t="s">
        <v>1105</v>
      </c>
      <c r="M214" s="4" t="s">
        <v>1370</v>
      </c>
      <c r="N214" s="106" t="s">
        <v>447</v>
      </c>
      <c r="O214" s="146" t="str">
        <f>_xlfn.XLOOKUP(N214,costcategory[Account Code],costcategory[Cost Category],"ERROR")</f>
        <v>Accrual</v>
      </c>
      <c r="P214" s="4" t="s">
        <v>350</v>
      </c>
      <c r="Q214" s="147" t="str">
        <f>_xlfn.XLOOKUP(P214,Table2[Department],Table2[Group],"ERROR")</f>
        <v>General &amp; Administrative</v>
      </c>
      <c r="R214" s="31"/>
      <c r="S214" s="18"/>
      <c r="T214" s="18"/>
      <c r="U214" s="2" t="s">
        <v>1100</v>
      </c>
      <c r="W214" s="18"/>
    </row>
    <row r="215" spans="1:23" x14ac:dyDescent="0.2">
      <c r="A215" s="2" t="s">
        <v>15</v>
      </c>
      <c r="B215" s="2" t="s">
        <v>2</v>
      </c>
      <c r="C215" s="3">
        <v>46142</v>
      </c>
      <c r="D215" s="3">
        <v>46142</v>
      </c>
      <c r="E215" s="3">
        <v>46157</v>
      </c>
      <c r="F215" s="2" t="s">
        <v>82</v>
      </c>
      <c r="G215" s="213">
        <v>251.8</v>
      </c>
      <c r="H215" s="199">
        <v>0</v>
      </c>
      <c r="I215" s="229">
        <f t="shared" si="26"/>
        <v>251.8</v>
      </c>
      <c r="J215" s="213">
        <f t="shared" si="25"/>
        <v>63.424131510772114</v>
      </c>
      <c r="K215" s="105" t="s">
        <v>1105</v>
      </c>
      <c r="M215" s="4" t="s">
        <v>1371</v>
      </c>
      <c r="N215" s="4" t="s">
        <v>447</v>
      </c>
      <c r="O215" s="146" t="str">
        <f>_xlfn.XLOOKUP(N215,costcategory[Account Code],costcategory[Cost Category],"ERROR")</f>
        <v>Accrual</v>
      </c>
      <c r="P215" s="4" t="s">
        <v>350</v>
      </c>
      <c r="Q215" s="147" t="str">
        <f>_xlfn.XLOOKUP(P215,Table2[Department],Table2[Group],"ERROR")</f>
        <v>General &amp; Administrative</v>
      </c>
      <c r="U215" s="2" t="s">
        <v>1100</v>
      </c>
    </row>
    <row r="216" spans="1:23" x14ac:dyDescent="0.2">
      <c r="A216" s="2" t="s">
        <v>15</v>
      </c>
      <c r="B216" s="2" t="s">
        <v>2</v>
      </c>
      <c r="C216" s="3">
        <v>46142</v>
      </c>
      <c r="D216" s="3">
        <v>46142</v>
      </c>
      <c r="E216" s="3">
        <v>46157</v>
      </c>
      <c r="F216" s="2" t="s">
        <v>82</v>
      </c>
      <c r="G216" s="213">
        <v>26537.15</v>
      </c>
      <c r="H216" s="199">
        <v>0</v>
      </c>
      <c r="I216" s="205">
        <f t="shared" si="26"/>
        <v>26537.15</v>
      </c>
      <c r="J216" s="213">
        <f t="shared" si="25"/>
        <v>6684.2561220059024</v>
      </c>
      <c r="K216" s="105" t="s">
        <v>446</v>
      </c>
      <c r="M216" s="4" t="s">
        <v>1372</v>
      </c>
      <c r="N216" s="4" t="s">
        <v>447</v>
      </c>
      <c r="O216" s="146" t="str">
        <f>_xlfn.XLOOKUP(N216,costcategory[Account Code],costcategory[Cost Category],"ERROR")</f>
        <v>Accrual</v>
      </c>
      <c r="P216" s="4" t="s">
        <v>340</v>
      </c>
      <c r="Q216" s="147" t="str">
        <f>_xlfn.XLOOKUP(P216,Table2[Department],Table2[Group],"ERROR")</f>
        <v>General &amp; Administrative</v>
      </c>
      <c r="U216" s="2" t="s">
        <v>1110</v>
      </c>
    </row>
    <row r="217" spans="1:23" x14ac:dyDescent="0.2">
      <c r="A217" s="2" t="s">
        <v>15</v>
      </c>
      <c r="B217" s="2" t="s">
        <v>2</v>
      </c>
      <c r="C217" s="3">
        <v>46122</v>
      </c>
      <c r="D217" s="3">
        <v>46129</v>
      </c>
      <c r="E217" s="3">
        <v>46157</v>
      </c>
      <c r="F217" s="2" t="s">
        <v>82</v>
      </c>
      <c r="G217" s="213">
        <v>370</v>
      </c>
      <c r="H217" s="199">
        <v>0</v>
      </c>
      <c r="I217" s="227">
        <f t="shared" si="26"/>
        <v>370</v>
      </c>
      <c r="J217" s="213">
        <f t="shared" si="25"/>
        <v>93.196698407409372</v>
      </c>
      <c r="K217" s="105" t="s">
        <v>614</v>
      </c>
      <c r="L217" s="4" t="s">
        <v>615</v>
      </c>
      <c r="M217" s="4" t="s">
        <v>616</v>
      </c>
      <c r="N217" s="4" t="s">
        <v>617</v>
      </c>
      <c r="O217" s="146" t="str">
        <f>_xlfn.XLOOKUP(N217,costcategory[Account Code],costcategory[Cost Category],"ERROR")</f>
        <v>Upkeep of Office</v>
      </c>
      <c r="P217" s="4" t="s">
        <v>340</v>
      </c>
      <c r="Q217" s="147" t="str">
        <f>_xlfn.XLOOKUP(P217,Table2[Department],Table2[Group],"ERROR")</f>
        <v>General &amp; Administrative</v>
      </c>
      <c r="U217" s="2" t="s">
        <v>1290</v>
      </c>
    </row>
    <row r="218" spans="1:23" x14ac:dyDescent="0.2">
      <c r="A218" s="2" t="s">
        <v>15</v>
      </c>
      <c r="B218" s="2" t="s">
        <v>2</v>
      </c>
      <c r="C218" s="3">
        <v>46122</v>
      </c>
      <c r="D218" s="3">
        <v>46129</v>
      </c>
      <c r="E218" s="3">
        <v>46157</v>
      </c>
      <c r="F218" s="2" t="s">
        <v>82</v>
      </c>
      <c r="G218" s="213">
        <v>180</v>
      </c>
      <c r="H218" s="199">
        <v>0</v>
      </c>
      <c r="I218" s="228">
        <f t="shared" si="26"/>
        <v>180</v>
      </c>
      <c r="J218" s="213">
        <f t="shared" si="25"/>
        <v>45.338934360361321</v>
      </c>
      <c r="K218" s="105" t="s">
        <v>614</v>
      </c>
      <c r="L218" s="4" t="s">
        <v>619</v>
      </c>
      <c r="M218" s="4" t="s">
        <v>620</v>
      </c>
      <c r="N218" s="4" t="s">
        <v>621</v>
      </c>
      <c r="O218" s="146" t="str">
        <f>_xlfn.XLOOKUP(N218,costcategory[Account Code],costcategory[Cost Category],"ERROR")</f>
        <v>Upkeep of Office</v>
      </c>
      <c r="P218" s="4" t="s">
        <v>340</v>
      </c>
      <c r="Q218" s="147" t="str">
        <f>_xlfn.XLOOKUP(P218,Table2[Department],Table2[Group],"ERROR")</f>
        <v>General &amp; Administrative</v>
      </c>
      <c r="U218" s="2" t="s">
        <v>1290</v>
      </c>
    </row>
    <row r="219" spans="1:23" x14ac:dyDescent="0.2">
      <c r="A219" s="2" t="s">
        <v>15</v>
      </c>
      <c r="B219" s="2" t="s">
        <v>2</v>
      </c>
      <c r="C219" s="3">
        <v>46122</v>
      </c>
      <c r="D219" s="3">
        <v>46129</v>
      </c>
      <c r="E219" s="3">
        <v>46157</v>
      </c>
      <c r="F219" s="2" t="s">
        <v>82</v>
      </c>
      <c r="G219" s="213">
        <v>470</v>
      </c>
      <c r="H219" s="199">
        <v>0</v>
      </c>
      <c r="I219" s="228">
        <f t="shared" si="26"/>
        <v>470</v>
      </c>
      <c r="J219" s="213">
        <f t="shared" si="25"/>
        <v>118.38499527427678</v>
      </c>
      <c r="K219" s="105" t="s">
        <v>614</v>
      </c>
      <c r="L219" s="4" t="s">
        <v>622</v>
      </c>
      <c r="M219" s="4" t="s">
        <v>623</v>
      </c>
      <c r="N219" s="4" t="s">
        <v>621</v>
      </c>
      <c r="O219" s="146" t="str">
        <f>_xlfn.XLOOKUP(N219,costcategory[Account Code],costcategory[Cost Category],"ERROR")</f>
        <v>Upkeep of Office</v>
      </c>
      <c r="P219" s="4" t="s">
        <v>340</v>
      </c>
      <c r="Q219" s="147" t="str">
        <f>_xlfn.XLOOKUP(P219,Table2[Department],Table2[Group],"ERROR")</f>
        <v>General &amp; Administrative</v>
      </c>
      <c r="U219" s="2" t="s">
        <v>1290</v>
      </c>
    </row>
    <row r="220" spans="1:23" x14ac:dyDescent="0.2">
      <c r="A220" s="2" t="s">
        <v>15</v>
      </c>
      <c r="B220" s="2" t="s">
        <v>2</v>
      </c>
      <c r="C220" s="3">
        <v>46122</v>
      </c>
      <c r="D220" s="3">
        <v>46129</v>
      </c>
      <c r="E220" s="3">
        <v>46157</v>
      </c>
      <c r="F220" s="2" t="s">
        <v>82</v>
      </c>
      <c r="G220" s="204">
        <v>105</v>
      </c>
      <c r="H220" s="199">
        <v>0</v>
      </c>
      <c r="I220" s="228">
        <f t="shared" si="26"/>
        <v>105</v>
      </c>
      <c r="J220" s="213">
        <f t="shared" si="25"/>
        <v>26.447711710210768</v>
      </c>
      <c r="K220" s="105" t="s">
        <v>614</v>
      </c>
      <c r="L220" s="4" t="s">
        <v>624</v>
      </c>
      <c r="M220" s="4" t="s">
        <v>625</v>
      </c>
      <c r="N220" s="4" t="s">
        <v>50</v>
      </c>
      <c r="O220" s="146" t="str">
        <f>_xlfn.XLOOKUP(N220,costcategory[Account Code],costcategory[Cost Category],"ERROR")</f>
        <v>Office Supplies</v>
      </c>
      <c r="P220" s="4" t="s">
        <v>340</v>
      </c>
      <c r="Q220" s="147" t="str">
        <f>_xlfn.XLOOKUP(P220,Table2[Department],Table2[Group],"ERROR")</f>
        <v>General &amp; Administrative</v>
      </c>
      <c r="U220" s="2" t="s">
        <v>1290</v>
      </c>
    </row>
    <row r="221" spans="1:23" x14ac:dyDescent="0.2">
      <c r="A221" s="2" t="s">
        <v>15</v>
      </c>
      <c r="B221" s="2" t="s">
        <v>2</v>
      </c>
      <c r="C221" s="3">
        <v>46148</v>
      </c>
      <c r="D221" s="3">
        <v>46155</v>
      </c>
      <c r="E221" s="3">
        <v>46157</v>
      </c>
      <c r="F221" s="2" t="s">
        <v>82</v>
      </c>
      <c r="G221" s="204">
        <v>450</v>
      </c>
      <c r="H221" s="199">
        <v>0</v>
      </c>
      <c r="I221" s="229">
        <f t="shared" si="26"/>
        <v>450</v>
      </c>
      <c r="J221" s="213">
        <f t="shared" si="25"/>
        <v>113.34733590090329</v>
      </c>
      <c r="K221" s="105" t="s">
        <v>614</v>
      </c>
      <c r="L221" s="4" t="s">
        <v>628</v>
      </c>
      <c r="M221" s="4" t="s">
        <v>629</v>
      </c>
      <c r="N221" s="4" t="s">
        <v>621</v>
      </c>
      <c r="O221" s="146" t="str">
        <f>_xlfn.XLOOKUP(N221,costcategory[Account Code],costcategory[Cost Category],"ERROR")</f>
        <v>Upkeep of Office</v>
      </c>
      <c r="P221" s="4" t="s">
        <v>340</v>
      </c>
      <c r="Q221" s="147" t="str">
        <f>_xlfn.XLOOKUP(P221,Table2[Department],Table2[Group],"ERROR")</f>
        <v>General &amp; Administrative</v>
      </c>
      <c r="U221" s="2" t="s">
        <v>1290</v>
      </c>
    </row>
    <row r="222" spans="1:23" x14ac:dyDescent="0.2">
      <c r="A222" s="2" t="s">
        <v>15</v>
      </c>
      <c r="B222" s="2" t="s">
        <v>2</v>
      </c>
      <c r="C222" s="3" t="s">
        <v>1373</v>
      </c>
      <c r="D222" s="3" t="s">
        <v>1284</v>
      </c>
      <c r="E222" s="3" t="s">
        <v>1282</v>
      </c>
      <c r="F222" s="2" t="s">
        <v>82</v>
      </c>
      <c r="G222" s="213">
        <v>40107.839999999997</v>
      </c>
      <c r="H222" s="213">
        <v>3208.63</v>
      </c>
      <c r="I222" s="220">
        <f>SUM(G222:H222)</f>
        <v>43316.469999999994</v>
      </c>
      <c r="J222" s="213">
        <f t="shared" si="25"/>
        <v>10910.681055847555</v>
      </c>
      <c r="K222" s="105" t="s">
        <v>592</v>
      </c>
      <c r="L222" s="4" t="s">
        <v>633</v>
      </c>
      <c r="M222" s="4" t="s">
        <v>634</v>
      </c>
      <c r="N222" s="4" t="s">
        <v>60</v>
      </c>
      <c r="O222" s="146" t="str">
        <f>_xlfn.XLOOKUP(N222,costcategory[Account Code],costcategory[Cost Category],"ERROR")</f>
        <v>Subscription Fee</v>
      </c>
      <c r="P222" s="4" t="s">
        <v>376</v>
      </c>
      <c r="Q222" s="147" t="str">
        <f>_xlfn.XLOOKUP(P222,Table2[Department],Table2[Group],"ERROR")</f>
        <v>General &amp; Administrative</v>
      </c>
      <c r="U222" s="2" t="s">
        <v>635</v>
      </c>
    </row>
    <row r="223" spans="1:23" x14ac:dyDescent="0.2">
      <c r="A223" s="2" t="s">
        <v>15</v>
      </c>
      <c r="B223" s="2" t="s">
        <v>2</v>
      </c>
      <c r="C223" s="3" t="s">
        <v>1282</v>
      </c>
      <c r="D223" s="3" t="s">
        <v>1282</v>
      </c>
      <c r="E223" s="3" t="s">
        <v>1282</v>
      </c>
      <c r="F223" s="2" t="s">
        <v>82</v>
      </c>
      <c r="G223" s="213">
        <v>0.5</v>
      </c>
      <c r="H223" s="199">
        <v>0</v>
      </c>
      <c r="I223" s="220">
        <f>SUM(G223:H223)</f>
        <v>0.5</v>
      </c>
      <c r="J223" s="213">
        <f t="shared" si="25"/>
        <v>0.12594148433433699</v>
      </c>
      <c r="K223" s="105" t="s">
        <v>448</v>
      </c>
      <c r="L223" s="4" t="s">
        <v>632</v>
      </c>
      <c r="M223" s="4" t="s">
        <v>332</v>
      </c>
      <c r="N223" s="4" t="s">
        <v>332</v>
      </c>
      <c r="O223" s="146" t="str">
        <f>_xlfn.XLOOKUP(N223,costcategory[Account Code],costcategory[Cost Category],"ERROR")</f>
        <v>Bank Charges</v>
      </c>
      <c r="P223" s="4" t="s">
        <v>333</v>
      </c>
      <c r="Q223" s="147" t="str">
        <f>_xlfn.XLOOKUP(P223,Table2[Department],Table2[Group],"ERROR")</f>
        <v>General &amp; Administrative</v>
      </c>
      <c r="U223" s="2" t="s">
        <v>1374</v>
      </c>
    </row>
    <row r="224" spans="1:23" x14ac:dyDescent="0.2">
      <c r="A224" s="2" t="s">
        <v>15</v>
      </c>
      <c r="B224" s="2" t="s">
        <v>2</v>
      </c>
      <c r="C224" s="3">
        <v>46137</v>
      </c>
      <c r="D224" s="3">
        <v>46158</v>
      </c>
      <c r="E224" s="3">
        <v>46167</v>
      </c>
      <c r="F224" s="2" t="s">
        <v>82</v>
      </c>
      <c r="G224" s="213">
        <v>379</v>
      </c>
      <c r="H224" s="213">
        <v>22.75</v>
      </c>
      <c r="I224" s="220">
        <f>SUM(G224:H224)</f>
        <v>401.75</v>
      </c>
      <c r="J224" s="213">
        <f t="shared" si="25"/>
        <v>101.19398266263977</v>
      </c>
      <c r="K224" s="105" t="s">
        <v>1375</v>
      </c>
      <c r="L224" s="4" t="s">
        <v>640</v>
      </c>
      <c r="M224" s="4" t="s">
        <v>597</v>
      </c>
      <c r="N224" s="4" t="s">
        <v>58</v>
      </c>
      <c r="O224" s="146" t="str">
        <f>_xlfn.XLOOKUP(N224,costcategory[Account Code],costcategory[Cost Category],"ERROR")</f>
        <v>Network &amp; Server</v>
      </c>
      <c r="P224" s="4" t="s">
        <v>376</v>
      </c>
      <c r="Q224" s="147" t="str">
        <f>_xlfn.XLOOKUP(P224,Table2[Department],Table2[Group],"ERROR")</f>
        <v>General &amp; Administrative</v>
      </c>
      <c r="U224" s="2" t="s">
        <v>641</v>
      </c>
    </row>
    <row r="225" spans="1:23" x14ac:dyDescent="0.2">
      <c r="A225" s="2" t="s">
        <v>15</v>
      </c>
      <c r="B225" s="2" t="s">
        <v>2</v>
      </c>
      <c r="C225" s="3">
        <v>46149</v>
      </c>
      <c r="D225" s="3">
        <v>46149</v>
      </c>
      <c r="E225" s="3">
        <v>46167</v>
      </c>
      <c r="F225" s="2" t="s">
        <v>82</v>
      </c>
      <c r="G225" s="213">
        <v>978.78</v>
      </c>
      <c r="H225" s="213">
        <v>0</v>
      </c>
      <c r="I225" s="220">
        <f t="shared" ref="I225:I229" si="27">SUM(G225:H225)</f>
        <v>978.78</v>
      </c>
      <c r="J225" s="213">
        <f t="shared" si="25"/>
        <v>246.53801207352473</v>
      </c>
      <c r="K225" s="105" t="s">
        <v>636</v>
      </c>
      <c r="L225" s="4" t="s">
        <v>637</v>
      </c>
      <c r="M225" s="4" t="s">
        <v>638</v>
      </c>
      <c r="N225" s="4" t="s">
        <v>349</v>
      </c>
      <c r="O225" s="146" t="str">
        <f>_xlfn.XLOOKUP(N225,costcategory[Account Code],costcategory[Cost Category],"ERROR")</f>
        <v>Employee Benefits</v>
      </c>
      <c r="P225" s="4" t="s">
        <v>340</v>
      </c>
      <c r="Q225" s="147" t="str">
        <f>_xlfn.XLOOKUP(P225,Table2[Department],Table2[Group],"ERROR")</f>
        <v>General &amp; Administrative</v>
      </c>
      <c r="U225" s="2" t="s">
        <v>639</v>
      </c>
    </row>
    <row r="226" spans="1:23" x14ac:dyDescent="0.2">
      <c r="A226" s="2" t="s">
        <v>15</v>
      </c>
      <c r="B226" s="2" t="s">
        <v>2</v>
      </c>
      <c r="C226" s="3">
        <v>46171</v>
      </c>
      <c r="D226" s="3">
        <v>46171</v>
      </c>
      <c r="E226" s="3">
        <v>46171</v>
      </c>
      <c r="F226" s="2" t="s">
        <v>82</v>
      </c>
      <c r="G226" s="199">
        <v>274.22000000000003</v>
      </c>
      <c r="H226" s="199">
        <v>0</v>
      </c>
      <c r="I226" s="212">
        <f t="shared" si="27"/>
        <v>274.22000000000003</v>
      </c>
      <c r="J226" s="199">
        <f t="shared" si="25"/>
        <v>69.071347668323781</v>
      </c>
      <c r="K226" s="106" t="s">
        <v>1115</v>
      </c>
      <c r="L226" s="4" t="s">
        <v>1362</v>
      </c>
      <c r="M226" s="4" t="s">
        <v>1363</v>
      </c>
      <c r="N226" s="4" t="s">
        <v>447</v>
      </c>
      <c r="O226" s="146" t="str">
        <f>_xlfn.XLOOKUP(N226,costcategory[Account Code],costcategory[Cost Category],"ERROR")</f>
        <v>Accrual</v>
      </c>
      <c r="P226" s="4" t="s">
        <v>350</v>
      </c>
      <c r="Q226" s="147" t="str">
        <f>_xlfn.XLOOKUP(P226,Table2[Department],Table2[Group],"ERROR")</f>
        <v>General &amp; Administrative</v>
      </c>
      <c r="U226" s="2" t="s">
        <v>1116</v>
      </c>
    </row>
    <row r="227" spans="1:23" x14ac:dyDescent="0.2">
      <c r="A227" s="2" t="s">
        <v>15</v>
      </c>
      <c r="B227" s="2" t="s">
        <v>2</v>
      </c>
      <c r="C227" s="3">
        <v>46171</v>
      </c>
      <c r="D227" s="3">
        <v>46171</v>
      </c>
      <c r="E227" s="3">
        <v>46171</v>
      </c>
      <c r="F227" s="2" t="s">
        <v>82</v>
      </c>
      <c r="G227" s="213">
        <v>0.1</v>
      </c>
      <c r="H227" s="213">
        <v>0</v>
      </c>
      <c r="I227" s="220">
        <f t="shared" si="27"/>
        <v>0.1</v>
      </c>
      <c r="J227" s="213">
        <f t="shared" si="25"/>
        <v>2.51882968668674E-2</v>
      </c>
      <c r="K227" s="105" t="s">
        <v>607</v>
      </c>
      <c r="L227" s="4" t="s">
        <v>642</v>
      </c>
      <c r="M227" s="4" t="s">
        <v>609</v>
      </c>
      <c r="N227" s="4" t="s">
        <v>609</v>
      </c>
      <c r="O227" s="146" t="str">
        <f>_xlfn.XLOOKUP(N227,costcategory[Account Code],costcategory[Cost Category],"ERROR")</f>
        <v>Bank Charges</v>
      </c>
      <c r="P227" s="4" t="s">
        <v>333</v>
      </c>
      <c r="Q227" s="147" t="str">
        <f>_xlfn.XLOOKUP(P227,Table2[Department],Table2[Group],"ERROR")</f>
        <v>General &amp; Administrative</v>
      </c>
      <c r="U227" s="2" t="s">
        <v>1376</v>
      </c>
    </row>
    <row r="228" spans="1:23" x14ac:dyDescent="0.2">
      <c r="A228" s="2" t="s">
        <v>15</v>
      </c>
      <c r="B228" s="2" t="s">
        <v>2</v>
      </c>
      <c r="C228" s="3">
        <v>46171</v>
      </c>
      <c r="D228" s="3">
        <v>46171</v>
      </c>
      <c r="E228" s="3">
        <v>46171</v>
      </c>
      <c r="F228" s="2" t="s">
        <v>82</v>
      </c>
      <c r="G228" s="213">
        <v>108028.25</v>
      </c>
      <c r="H228" s="213">
        <v>0</v>
      </c>
      <c r="I228" s="220">
        <f t="shared" si="27"/>
        <v>108028.25</v>
      </c>
      <c r="J228" s="213">
        <f t="shared" si="25"/>
        <v>27210.476310081682</v>
      </c>
      <c r="K228" s="105" t="s">
        <v>1085</v>
      </c>
      <c r="L228" s="4" t="s">
        <v>1362</v>
      </c>
      <c r="M228" s="4" t="s">
        <v>1363</v>
      </c>
      <c r="N228" s="4" t="s">
        <v>387</v>
      </c>
      <c r="O228" s="146" t="str">
        <f>_xlfn.XLOOKUP(N228,costcategory[Account Code],costcategory[Cost Category],"ERROR")</f>
        <v>Headcount Costs</v>
      </c>
      <c r="P228" s="4" t="s">
        <v>350</v>
      </c>
      <c r="Q228" s="147" t="str">
        <f>_xlfn.XLOOKUP(P228,Table2[Department],Table2[Group],"ERROR")</f>
        <v>General &amp; Administrative</v>
      </c>
      <c r="U228" s="2" t="s">
        <v>1114</v>
      </c>
    </row>
    <row r="229" spans="1:23" x14ac:dyDescent="0.2">
      <c r="A229" s="2" t="s">
        <v>15</v>
      </c>
      <c r="B229" s="2" t="s">
        <v>2</v>
      </c>
      <c r="C229" s="3">
        <v>46171</v>
      </c>
      <c r="D229" s="3">
        <v>46171</v>
      </c>
      <c r="E229" s="3">
        <v>46171</v>
      </c>
      <c r="F229" s="2" t="s">
        <v>82</v>
      </c>
      <c r="G229" s="213">
        <v>1.2</v>
      </c>
      <c r="H229" s="213">
        <v>0</v>
      </c>
      <c r="I229" s="220">
        <f t="shared" si="27"/>
        <v>1.2</v>
      </c>
      <c r="J229" s="213">
        <f t="shared" si="25"/>
        <v>0.30225956240240875</v>
      </c>
      <c r="K229" s="105" t="s">
        <v>607</v>
      </c>
      <c r="L229" s="4" t="s">
        <v>642</v>
      </c>
      <c r="M229" s="4" t="s">
        <v>609</v>
      </c>
      <c r="N229" s="4" t="s">
        <v>609</v>
      </c>
      <c r="O229" s="146" t="str">
        <f>_xlfn.XLOOKUP(N229,costcategory[Account Code],costcategory[Cost Category],"ERROR")</f>
        <v>Bank Charges</v>
      </c>
      <c r="P229" s="4" t="s">
        <v>333</v>
      </c>
      <c r="Q229" s="147" t="str">
        <f>_xlfn.XLOOKUP(P229,Table2[Department],Table2[Group],"ERROR")</f>
        <v>General &amp; Administrative</v>
      </c>
      <c r="U229" s="2" t="s">
        <v>1377</v>
      </c>
    </row>
    <row r="230" spans="1:23" x14ac:dyDescent="0.2">
      <c r="A230" s="2" t="s">
        <v>15</v>
      </c>
      <c r="B230" s="2" t="s">
        <v>2</v>
      </c>
      <c r="C230" s="3">
        <v>46149</v>
      </c>
      <c r="D230" s="3">
        <v>46179</v>
      </c>
      <c r="E230" s="3">
        <v>46171</v>
      </c>
      <c r="F230" s="2" t="s">
        <v>82</v>
      </c>
      <c r="G230" s="213">
        <v>-4000</v>
      </c>
      <c r="H230" s="213">
        <v>0</v>
      </c>
      <c r="I230" s="220">
        <v>-4000</v>
      </c>
      <c r="J230" s="213">
        <f t="shared" si="25"/>
        <v>-1007.5318746746959</v>
      </c>
      <c r="K230" s="105" t="s">
        <v>292</v>
      </c>
      <c r="L230" s="4" t="s">
        <v>195</v>
      </c>
      <c r="M230" s="4" t="s">
        <v>305</v>
      </c>
      <c r="N230" s="4" t="s">
        <v>382</v>
      </c>
      <c r="O230" s="146" t="str">
        <f>_xlfn.XLOOKUP(N230,costcategory[Account Code],costcategory[Cost Category],"ERROR")</f>
        <v>Revenue</v>
      </c>
      <c r="P230" s="4" t="s">
        <v>438</v>
      </c>
      <c r="Q230" s="147" t="str">
        <f>_xlfn.XLOOKUP(P230,Table2[Department],Table2[Group],"ERROR")</f>
        <v>Sales &amp; Marketing</v>
      </c>
      <c r="U230" s="2" t="s">
        <v>424</v>
      </c>
    </row>
    <row r="231" spans="1:23" x14ac:dyDescent="0.2">
      <c r="A231" s="2" t="s">
        <v>15</v>
      </c>
      <c r="B231" s="2" t="s">
        <v>2</v>
      </c>
      <c r="C231" s="3">
        <v>46173</v>
      </c>
      <c r="D231" s="3">
        <v>46173</v>
      </c>
      <c r="E231" s="3">
        <v>46173</v>
      </c>
      <c r="F231" s="2" t="s">
        <v>82</v>
      </c>
      <c r="G231" s="213">
        <v>-134.93</v>
      </c>
      <c r="H231" s="213">
        <v>0</v>
      </c>
      <c r="I231" s="220">
        <v>-134.93</v>
      </c>
      <c r="J231" s="213">
        <f t="shared" si="25"/>
        <v>-33.986568962464183</v>
      </c>
      <c r="K231" s="105" t="s">
        <v>448</v>
      </c>
      <c r="M231" s="4" t="s">
        <v>384</v>
      </c>
      <c r="N231" s="4" t="s">
        <v>384</v>
      </c>
      <c r="O231" s="146" t="str">
        <f>_xlfn.XLOOKUP(N231,costcategory[Account Code],costcategory[Cost Category],"ERROR")</f>
        <v>Other Income</v>
      </c>
      <c r="P231" s="4" t="s">
        <v>333</v>
      </c>
      <c r="Q231" s="147" t="str">
        <f>_xlfn.XLOOKUP(P231,Table2[Department],Table2[Group],"ERROR")</f>
        <v>General &amp; Administrative</v>
      </c>
      <c r="U231" s="2" t="s">
        <v>425</v>
      </c>
    </row>
    <row r="232" spans="1:23" x14ac:dyDescent="0.2">
      <c r="A232" s="2" t="s">
        <v>15</v>
      </c>
      <c r="B232" s="2" t="s">
        <v>2</v>
      </c>
      <c r="C232" s="3">
        <v>46173</v>
      </c>
      <c r="D232" s="3">
        <v>46173</v>
      </c>
      <c r="E232" s="3">
        <v>46173</v>
      </c>
      <c r="F232" s="2" t="s">
        <v>82</v>
      </c>
      <c r="G232" s="213">
        <v>10</v>
      </c>
      <c r="H232" s="213">
        <v>0</v>
      </c>
      <c r="I232" s="220">
        <v>10</v>
      </c>
      <c r="J232" s="213">
        <f t="shared" si="25"/>
        <v>2.5188296866867397</v>
      </c>
      <c r="K232" s="105" t="s">
        <v>448</v>
      </c>
      <c r="L232" s="4" t="s">
        <v>643</v>
      </c>
      <c r="M232" s="4" t="s">
        <v>332</v>
      </c>
      <c r="N232" s="4" t="s">
        <v>332</v>
      </c>
      <c r="O232" s="146" t="str">
        <f>_xlfn.XLOOKUP(N232,costcategory[Account Code],costcategory[Cost Category],"ERROR")</f>
        <v>Bank Charges</v>
      </c>
      <c r="P232" s="4" t="s">
        <v>333</v>
      </c>
      <c r="Q232" s="147" t="str">
        <f>_xlfn.XLOOKUP(P232,Table2[Department],Table2[Group],"ERROR")</f>
        <v>General &amp; Administrative</v>
      </c>
      <c r="U232" s="2" t="s">
        <v>1378</v>
      </c>
    </row>
    <row r="233" spans="1:23" x14ac:dyDescent="0.2">
      <c r="F233" s="2" t="s">
        <v>82</v>
      </c>
      <c r="I233" s="220">
        <f>SUM(I193:I232)</f>
        <v>252312.99000000005</v>
      </c>
    </row>
    <row r="234" spans="1:23" ht="12.95" customHeight="1" x14ac:dyDescent="0.2">
      <c r="A234" s="329" t="s">
        <v>1173</v>
      </c>
      <c r="B234" s="329"/>
      <c r="C234" s="329"/>
      <c r="D234" s="329"/>
      <c r="E234" s="14">
        <v>46173</v>
      </c>
      <c r="F234" s="13" t="s">
        <v>82</v>
      </c>
      <c r="G234" s="202"/>
      <c r="H234" s="207"/>
      <c r="I234" s="208">
        <f>I192-I233</f>
        <v>284781.85000000003</v>
      </c>
      <c r="J234" s="207"/>
      <c r="K234" s="184" t="s">
        <v>1180</v>
      </c>
      <c r="L234" s="17"/>
      <c r="M234" s="17"/>
      <c r="N234" s="17"/>
      <c r="O234" s="17"/>
      <c r="P234" s="17"/>
      <c r="Q234" s="17"/>
      <c r="R234" s="20"/>
      <c r="S234" s="20"/>
      <c r="T234" s="20"/>
      <c r="U234" s="20"/>
      <c r="V234" s="20"/>
    </row>
    <row r="236" spans="1:23" x14ac:dyDescent="0.2">
      <c r="G236" s="197"/>
      <c r="H236" s="197"/>
      <c r="I236" s="197"/>
      <c r="J236" s="257">
        <f>FOREX!G6</f>
        <v>0.25201499999999999</v>
      </c>
      <c r="K236" s="4"/>
      <c r="R236" s="31"/>
      <c r="S236" s="31"/>
      <c r="T236" s="31"/>
    </row>
    <row r="237" spans="1:23" x14ac:dyDescent="0.2">
      <c r="A237" s="7" t="s">
        <v>87</v>
      </c>
      <c r="B237" s="7" t="s">
        <v>43</v>
      </c>
      <c r="C237" s="8" t="s">
        <v>54</v>
      </c>
      <c r="D237" s="8" t="s">
        <v>88</v>
      </c>
      <c r="E237" s="185" t="s">
        <v>1083</v>
      </c>
      <c r="F237" s="7" t="s">
        <v>70</v>
      </c>
      <c r="G237" s="201" t="s">
        <v>90</v>
      </c>
      <c r="H237" s="201" t="s">
        <v>91</v>
      </c>
      <c r="I237" s="201" t="s">
        <v>92</v>
      </c>
      <c r="J237" s="201" t="s">
        <v>72</v>
      </c>
      <c r="K237" s="132" t="s">
        <v>325</v>
      </c>
      <c r="L237" s="132" t="s">
        <v>94</v>
      </c>
      <c r="M237" s="7" t="s">
        <v>95</v>
      </c>
      <c r="N237" s="7" t="s">
        <v>53</v>
      </c>
      <c r="O237" s="7" t="s">
        <v>64</v>
      </c>
      <c r="P237" s="7" t="s">
        <v>67</v>
      </c>
      <c r="Q237" s="7" t="s">
        <v>44</v>
      </c>
      <c r="R237" s="23" t="s">
        <v>326</v>
      </c>
      <c r="S237" s="23" t="s">
        <v>327</v>
      </c>
      <c r="T237" s="23" t="s">
        <v>328</v>
      </c>
      <c r="U237" s="7" t="s">
        <v>98</v>
      </c>
      <c r="V237" s="7" t="s">
        <v>329</v>
      </c>
      <c r="W237" s="2"/>
    </row>
    <row r="238" spans="1:23" x14ac:dyDescent="0.2">
      <c r="A238" s="329" t="s">
        <v>1172</v>
      </c>
      <c r="B238" s="329"/>
      <c r="C238" s="329"/>
      <c r="D238" s="329"/>
      <c r="E238" s="14">
        <v>46174</v>
      </c>
      <c r="F238" s="13" t="s">
        <v>82</v>
      </c>
      <c r="G238" s="202"/>
      <c r="H238" s="202"/>
      <c r="I238" s="238">
        <f>I234</f>
        <v>284781.85000000003</v>
      </c>
      <c r="J238" s="206"/>
      <c r="K238" s="137"/>
      <c r="L238" s="137"/>
      <c r="M238" s="13"/>
      <c r="N238" s="13"/>
      <c r="O238" s="13"/>
      <c r="P238" s="13"/>
      <c r="Q238" s="13"/>
      <c r="R238" s="24"/>
      <c r="S238" s="24"/>
      <c r="T238" s="24"/>
      <c r="U238" s="13"/>
      <c r="V238" s="13"/>
      <c r="W238" s="33"/>
    </row>
    <row r="239" spans="1:23" x14ac:dyDescent="0.2">
      <c r="A239" s="2" t="s">
        <v>15</v>
      </c>
      <c r="B239" s="2" t="s">
        <v>2</v>
      </c>
      <c r="C239" s="3">
        <v>46174</v>
      </c>
      <c r="D239" s="3">
        <v>46174</v>
      </c>
      <c r="E239" s="3">
        <v>46175</v>
      </c>
      <c r="F239" s="2" t="s">
        <v>82</v>
      </c>
      <c r="G239" s="197">
        <v>9764.7999999999993</v>
      </c>
      <c r="H239" s="197">
        <v>585.89</v>
      </c>
      <c r="I239" s="220">
        <f>SUM(G239:H239)</f>
        <v>10350.689999999999</v>
      </c>
      <c r="J239" s="213">
        <v>2504.65</v>
      </c>
      <c r="K239" s="4" t="s">
        <v>582</v>
      </c>
      <c r="L239" s="4" t="s">
        <v>645</v>
      </c>
      <c r="M239" s="4" t="s">
        <v>646</v>
      </c>
      <c r="N239" s="4" t="s">
        <v>409</v>
      </c>
      <c r="O239" s="146" t="str">
        <f>_xlfn.XLOOKUP(N239,costcategory[Account Code],costcategory[Cost Category],"ERROR")</f>
        <v>Rental</v>
      </c>
      <c r="P239" s="4" t="s">
        <v>340</v>
      </c>
      <c r="Q239" s="147" t="str">
        <f>_xlfn.XLOOKUP(P239,Table2[Department],Table2[Group],"ERROR")</f>
        <v>General &amp; Administrative</v>
      </c>
      <c r="R239" s="31"/>
      <c r="S239" s="31"/>
      <c r="T239" s="31"/>
      <c r="U239" s="2" t="s">
        <v>1291</v>
      </c>
      <c r="V239" s="2" t="s">
        <v>104</v>
      </c>
    </row>
    <row r="240" spans="1:23" x14ac:dyDescent="0.2">
      <c r="A240" s="2" t="s">
        <v>15</v>
      </c>
      <c r="B240" s="2" t="s">
        <v>2</v>
      </c>
      <c r="C240" s="3">
        <v>46175</v>
      </c>
      <c r="D240" s="3">
        <v>46175</v>
      </c>
      <c r="E240" s="3">
        <v>46175</v>
      </c>
      <c r="F240" s="2" t="s">
        <v>82</v>
      </c>
      <c r="G240" s="197">
        <v>0.5</v>
      </c>
      <c r="H240" s="197">
        <v>0</v>
      </c>
      <c r="I240" s="220">
        <f>SUM(G240:H240)</f>
        <v>0.5</v>
      </c>
      <c r="J240" s="213">
        <f>I240*$J$236</f>
        <v>0.12600749999999999</v>
      </c>
      <c r="K240" s="105" t="s">
        <v>448</v>
      </c>
      <c r="L240" s="4" t="s">
        <v>647</v>
      </c>
      <c r="M240" s="4" t="s">
        <v>332</v>
      </c>
      <c r="N240" s="4" t="s">
        <v>332</v>
      </c>
      <c r="O240" s="146" t="str">
        <f>_xlfn.XLOOKUP(N240,costcategory[Account Code],costcategory[Cost Category],"ERROR")</f>
        <v>Bank Charges</v>
      </c>
      <c r="P240" s="4" t="s">
        <v>333</v>
      </c>
      <c r="Q240" s="147" t="str">
        <f>_xlfn.XLOOKUP(P240,Table2[Department],Table2[Group],"ERROR")</f>
        <v>General &amp; Administrative</v>
      </c>
      <c r="R240" s="31"/>
      <c r="S240" s="31"/>
      <c r="T240" s="31"/>
      <c r="U240" s="2" t="s">
        <v>1292</v>
      </c>
      <c r="V240" s="2" t="s">
        <v>113</v>
      </c>
    </row>
    <row r="241" spans="1:22" x14ac:dyDescent="0.2">
      <c r="A241" s="2" t="s">
        <v>15</v>
      </c>
      <c r="B241" s="2" t="s">
        <v>2</v>
      </c>
      <c r="C241" s="3">
        <v>46027</v>
      </c>
      <c r="D241" s="3" t="s">
        <v>651</v>
      </c>
      <c r="E241" s="3">
        <v>46175</v>
      </c>
      <c r="F241" s="2" t="s">
        <v>82</v>
      </c>
      <c r="G241" s="197">
        <v>5764</v>
      </c>
      <c r="H241" s="197">
        <v>0</v>
      </c>
      <c r="I241" s="220">
        <f t="shared" ref="I241:I266" si="28">SUM(G241:H241)</f>
        <v>5764</v>
      </c>
      <c r="J241" s="213">
        <v>1394.77</v>
      </c>
      <c r="K241" s="4" t="s">
        <v>444</v>
      </c>
      <c r="L241" s="135">
        <v>5136</v>
      </c>
      <c r="M241" s="4" t="s">
        <v>652</v>
      </c>
      <c r="N241" s="4" t="s">
        <v>374</v>
      </c>
      <c r="O241" s="146" t="str">
        <f>_xlfn.XLOOKUP(N241,costcategory[Account Code],costcategory[Cost Category],"ERROR")</f>
        <v>Non-Current Liabilities</v>
      </c>
      <c r="P241" s="4" t="s">
        <v>376</v>
      </c>
      <c r="Q241" s="147" t="str">
        <f>_xlfn.XLOOKUP(P241,Table2[Department],Table2[Group],"ERROR")</f>
        <v>General &amp; Administrative</v>
      </c>
      <c r="R241" s="31"/>
      <c r="S241" s="31"/>
      <c r="T241" s="31"/>
      <c r="U241" s="2" t="s">
        <v>1293</v>
      </c>
      <c r="V241" s="2" t="s">
        <v>113</v>
      </c>
    </row>
    <row r="242" spans="1:22" x14ac:dyDescent="0.2">
      <c r="A242" s="2" t="s">
        <v>15</v>
      </c>
      <c r="B242" s="2" t="s">
        <v>2</v>
      </c>
      <c r="C242" s="3">
        <v>46175</v>
      </c>
      <c r="D242" s="3">
        <v>46175</v>
      </c>
      <c r="E242" s="3">
        <v>46175</v>
      </c>
      <c r="F242" s="2" t="s">
        <v>82</v>
      </c>
      <c r="G242" s="197">
        <v>0.5</v>
      </c>
      <c r="H242" s="197">
        <v>0</v>
      </c>
      <c r="I242" s="220">
        <f t="shared" si="28"/>
        <v>0.5</v>
      </c>
      <c r="J242" s="213">
        <f t="shared" ref="J242:J244" si="29">I242*$J$236</f>
        <v>0.12600749999999999</v>
      </c>
      <c r="K242" s="105" t="s">
        <v>448</v>
      </c>
      <c r="L242" s="4" t="s">
        <v>647</v>
      </c>
      <c r="M242" s="4" t="s">
        <v>332</v>
      </c>
      <c r="N242" s="4" t="s">
        <v>332</v>
      </c>
      <c r="O242" s="146" t="str">
        <f>_xlfn.XLOOKUP(N242,costcategory[Account Code],costcategory[Cost Category],"ERROR")</f>
        <v>Bank Charges</v>
      </c>
      <c r="P242" s="4" t="s">
        <v>333</v>
      </c>
      <c r="Q242" s="147" t="str">
        <f>_xlfn.XLOOKUP(P242,Table2[Department],Table2[Group],"ERROR")</f>
        <v>General &amp; Administrative</v>
      </c>
      <c r="R242" s="31"/>
      <c r="S242" s="31"/>
      <c r="T242" s="31"/>
      <c r="U242" s="2" t="s">
        <v>1295</v>
      </c>
      <c r="V242" s="2" t="s">
        <v>113</v>
      </c>
    </row>
    <row r="243" spans="1:22" x14ac:dyDescent="0.2">
      <c r="A243" s="2" t="s">
        <v>15</v>
      </c>
      <c r="B243" s="2" t="s">
        <v>2</v>
      </c>
      <c r="C243" s="3">
        <v>46117</v>
      </c>
      <c r="D243" s="3">
        <v>46087</v>
      </c>
      <c r="E243" s="3">
        <v>46175</v>
      </c>
      <c r="F243" s="2" t="s">
        <v>82</v>
      </c>
      <c r="G243" s="197">
        <v>5780</v>
      </c>
      <c r="H243" s="197">
        <v>0</v>
      </c>
      <c r="I243" s="220">
        <f t="shared" si="28"/>
        <v>5780</v>
      </c>
      <c r="J243" s="213">
        <v>1398.64</v>
      </c>
      <c r="K243" s="4" t="s">
        <v>444</v>
      </c>
      <c r="L243" s="135">
        <v>5150</v>
      </c>
      <c r="M243" s="4" t="s">
        <v>644</v>
      </c>
      <c r="N243" s="4" t="s">
        <v>50</v>
      </c>
      <c r="O243" s="146" t="str">
        <f>_xlfn.XLOOKUP(N243,costcategory[Account Code],costcategory[Cost Category],"ERROR")</f>
        <v>Office Supplies</v>
      </c>
      <c r="P243" s="4" t="s">
        <v>376</v>
      </c>
      <c r="Q243" s="147" t="str">
        <f>_xlfn.XLOOKUP(P243,Table2[Department],Table2[Group],"ERROR")</f>
        <v>General &amp; Administrative</v>
      </c>
      <c r="R243" s="31"/>
      <c r="S243" s="31"/>
      <c r="T243" s="31"/>
      <c r="U243" s="2" t="s">
        <v>1297</v>
      </c>
      <c r="V243" s="2" t="s">
        <v>113</v>
      </c>
    </row>
    <row r="244" spans="1:22" x14ac:dyDescent="0.2">
      <c r="A244" s="2" t="s">
        <v>15</v>
      </c>
      <c r="B244" s="2" t="s">
        <v>2</v>
      </c>
      <c r="C244" s="3">
        <v>46175</v>
      </c>
      <c r="D244" s="3">
        <v>46175</v>
      </c>
      <c r="E244" s="3">
        <v>46175</v>
      </c>
      <c r="F244" s="2" t="s">
        <v>82</v>
      </c>
      <c r="G244" s="197">
        <v>0.5</v>
      </c>
      <c r="H244" s="197">
        <v>0</v>
      </c>
      <c r="I244" s="220">
        <f t="shared" si="28"/>
        <v>0.5</v>
      </c>
      <c r="J244" s="213">
        <f t="shared" si="29"/>
        <v>0.12600749999999999</v>
      </c>
      <c r="K244" s="105" t="s">
        <v>448</v>
      </c>
      <c r="L244" s="4" t="s">
        <v>647</v>
      </c>
      <c r="M244" s="4" t="s">
        <v>332</v>
      </c>
      <c r="N244" s="4" t="s">
        <v>332</v>
      </c>
      <c r="O244" s="146" t="str">
        <f>_xlfn.XLOOKUP(N244,costcategory[Account Code],costcategory[Cost Category],"ERROR")</f>
        <v>Bank Charges</v>
      </c>
      <c r="P244" s="4" t="s">
        <v>333</v>
      </c>
      <c r="Q244" s="147" t="str">
        <f>_xlfn.XLOOKUP(P244,Table2[Department],Table2[Group],"ERROR")</f>
        <v>General &amp; Administrative</v>
      </c>
      <c r="R244" s="31"/>
      <c r="S244" s="31"/>
      <c r="T244" s="31"/>
      <c r="U244" s="2" t="s">
        <v>1298</v>
      </c>
      <c r="V244" s="2" t="s">
        <v>113</v>
      </c>
    </row>
    <row r="245" spans="1:22" x14ac:dyDescent="0.2">
      <c r="A245" s="2" t="s">
        <v>15</v>
      </c>
      <c r="B245" s="2" t="s">
        <v>2</v>
      </c>
      <c r="C245" s="3">
        <v>46331</v>
      </c>
      <c r="D245" s="3" t="s">
        <v>648</v>
      </c>
      <c r="E245" s="3">
        <v>46175</v>
      </c>
      <c r="F245" s="2" t="s">
        <v>82</v>
      </c>
      <c r="G245" s="197">
        <v>1647.07</v>
      </c>
      <c r="H245" s="197">
        <v>131.77000000000001</v>
      </c>
      <c r="I245" s="220">
        <f t="shared" si="28"/>
        <v>1778.84</v>
      </c>
      <c r="J245" s="213">
        <v>430.44</v>
      </c>
      <c r="K245" s="4" t="s">
        <v>592</v>
      </c>
      <c r="L245" s="4" t="s">
        <v>649</v>
      </c>
      <c r="M245" s="4" t="s">
        <v>650</v>
      </c>
      <c r="N245" s="4" t="s">
        <v>60</v>
      </c>
      <c r="O245" s="146" t="str">
        <f>_xlfn.XLOOKUP(N245,costcategory[Account Code],costcategory[Cost Category],"ERROR")</f>
        <v>Subscription Fee</v>
      </c>
      <c r="P245" s="4" t="s">
        <v>376</v>
      </c>
      <c r="Q245" s="147" t="str">
        <f>_xlfn.XLOOKUP(P245,Table2[Department],Table2[Group],"ERROR")</f>
        <v>General &amp; Administrative</v>
      </c>
      <c r="R245" s="31"/>
      <c r="S245" s="31"/>
      <c r="T245" s="31"/>
      <c r="U245" s="2" t="s">
        <v>1379</v>
      </c>
      <c r="V245" s="2" t="s">
        <v>104</v>
      </c>
    </row>
    <row r="246" spans="1:22" x14ac:dyDescent="0.2">
      <c r="A246" s="2" t="s">
        <v>15</v>
      </c>
      <c r="B246" s="2" t="s">
        <v>2</v>
      </c>
      <c r="C246" s="3">
        <v>46173</v>
      </c>
      <c r="D246" s="3">
        <v>46173</v>
      </c>
      <c r="E246" s="3">
        <v>46188</v>
      </c>
      <c r="F246" s="2" t="s">
        <v>82</v>
      </c>
      <c r="G246" s="197">
        <v>20296.650000000001</v>
      </c>
      <c r="H246" s="197">
        <v>0</v>
      </c>
      <c r="I246" s="220">
        <f t="shared" si="28"/>
        <v>20296.650000000001</v>
      </c>
      <c r="J246" s="213">
        <f>I246*$J$236</f>
        <v>5115.0602497500004</v>
      </c>
      <c r="K246" s="105" t="s">
        <v>446</v>
      </c>
      <c r="L246" s="284" t="s">
        <v>957</v>
      </c>
      <c r="M246" s="4" t="s">
        <v>1380</v>
      </c>
      <c r="N246" s="4" t="s">
        <v>447</v>
      </c>
      <c r="O246" s="146" t="str">
        <f>_xlfn.XLOOKUP(N246,costcategory[Account Code],costcategory[Cost Category],"ERROR")</f>
        <v>Accrual</v>
      </c>
      <c r="P246" s="4" t="s">
        <v>340</v>
      </c>
      <c r="Q246" s="147" t="str">
        <f>_xlfn.XLOOKUP(P246,Table2[Department],Table2[Group],"ERROR")</f>
        <v>General &amp; Administrative</v>
      </c>
      <c r="R246" s="31"/>
      <c r="S246" s="31"/>
      <c r="T246" s="31"/>
      <c r="U246" s="2" t="s">
        <v>1117</v>
      </c>
      <c r="V246" s="2" t="s">
        <v>113</v>
      </c>
    </row>
    <row r="247" spans="1:22" x14ac:dyDescent="0.2">
      <c r="A247" s="2" t="s">
        <v>15</v>
      </c>
      <c r="B247" s="2" t="s">
        <v>2</v>
      </c>
      <c r="C247" s="3">
        <v>46173</v>
      </c>
      <c r="D247" s="3">
        <v>46173</v>
      </c>
      <c r="E247" s="3">
        <v>46188</v>
      </c>
      <c r="F247" s="2" t="s">
        <v>82</v>
      </c>
      <c r="G247" s="197">
        <v>1273.72</v>
      </c>
      <c r="H247" s="197">
        <v>0</v>
      </c>
      <c r="I247" s="220">
        <f t="shared" si="28"/>
        <v>1273.72</v>
      </c>
      <c r="J247" s="213">
        <f t="shared" ref="J247:J249" si="30">I247*$J$236</f>
        <v>320.99654579999998</v>
      </c>
      <c r="K247" s="106" t="s">
        <v>1366</v>
      </c>
      <c r="M247" s="4" t="s">
        <v>1381</v>
      </c>
      <c r="N247" s="106" t="s">
        <v>447</v>
      </c>
      <c r="O247" s="146" t="str">
        <f>_xlfn.XLOOKUP(N247,costcategory[Account Code],costcategory[Cost Category],"ERROR")</f>
        <v>Accrual</v>
      </c>
      <c r="P247" s="4" t="s">
        <v>340</v>
      </c>
      <c r="Q247" s="147" t="str">
        <f>_xlfn.XLOOKUP(P247,Table2[Department],Table2[Group],"ERROR")</f>
        <v>General &amp; Administrative</v>
      </c>
      <c r="R247" s="31"/>
      <c r="S247" s="31"/>
      <c r="T247" s="31"/>
      <c r="U247" s="2" t="s">
        <v>1118</v>
      </c>
      <c r="V247" s="2" t="s">
        <v>113</v>
      </c>
    </row>
    <row r="248" spans="1:22" x14ac:dyDescent="0.2">
      <c r="A248" s="2" t="s">
        <v>15</v>
      </c>
      <c r="B248" s="2" t="s">
        <v>2</v>
      </c>
      <c r="C248" s="3">
        <v>46173</v>
      </c>
      <c r="D248" s="3">
        <v>46173</v>
      </c>
      <c r="E248" s="3">
        <v>46188</v>
      </c>
      <c r="F248" s="2" t="s">
        <v>82</v>
      </c>
      <c r="G248" s="197">
        <v>32194</v>
      </c>
      <c r="H248" s="197">
        <v>0</v>
      </c>
      <c r="I248" s="220">
        <f t="shared" si="28"/>
        <v>32194</v>
      </c>
      <c r="J248" s="213">
        <f t="shared" si="30"/>
        <v>8113.3709099999996</v>
      </c>
      <c r="K248" s="106" t="s">
        <v>1104</v>
      </c>
      <c r="M248" s="4" t="s">
        <v>1382</v>
      </c>
      <c r="N248" s="106" t="s">
        <v>447</v>
      </c>
      <c r="O248" s="146" t="str">
        <f>_xlfn.XLOOKUP(N248,costcategory[Account Code],costcategory[Cost Category],"ERROR")</f>
        <v>Accrual</v>
      </c>
      <c r="P248" s="4" t="s">
        <v>350</v>
      </c>
      <c r="Q248" s="147" t="str">
        <f>_xlfn.XLOOKUP(P248,Table2[Department],Table2[Group],"ERROR")</f>
        <v>General &amp; Administrative</v>
      </c>
      <c r="R248" s="31"/>
      <c r="S248" s="31"/>
      <c r="T248" s="31"/>
      <c r="U248" s="2" t="s">
        <v>1119</v>
      </c>
      <c r="V248" s="2" t="s">
        <v>113</v>
      </c>
    </row>
    <row r="249" spans="1:22" x14ac:dyDescent="0.2">
      <c r="A249" s="2" t="s">
        <v>15</v>
      </c>
      <c r="B249" s="2" t="s">
        <v>2</v>
      </c>
      <c r="C249" s="3">
        <v>46173</v>
      </c>
      <c r="D249" s="3">
        <v>46173</v>
      </c>
      <c r="E249" s="3">
        <v>46188</v>
      </c>
      <c r="F249" s="2" t="s">
        <v>82</v>
      </c>
      <c r="G249" s="197">
        <v>1548.0999999999995</v>
      </c>
      <c r="H249" s="197">
        <v>0</v>
      </c>
      <c r="I249" s="286">
        <f t="shared" si="28"/>
        <v>1548.0999999999995</v>
      </c>
      <c r="J249" s="213">
        <f t="shared" si="30"/>
        <v>390.14442149999985</v>
      </c>
      <c r="K249" s="106" t="s">
        <v>1105</v>
      </c>
      <c r="M249" s="4" t="s">
        <v>1383</v>
      </c>
      <c r="N249" s="106" t="s">
        <v>447</v>
      </c>
      <c r="O249" s="146" t="str">
        <f>_xlfn.XLOOKUP(N249,costcategory[Account Code],costcategory[Cost Category],"ERROR")</f>
        <v>Accrual</v>
      </c>
      <c r="P249" s="4" t="s">
        <v>350</v>
      </c>
      <c r="Q249" s="147" t="str">
        <f>_xlfn.XLOOKUP(P249,Table2[Department],Table2[Group],"ERROR")</f>
        <v>General &amp; Administrative</v>
      </c>
      <c r="R249" s="31"/>
      <c r="S249" s="31"/>
      <c r="T249" s="31"/>
      <c r="U249" s="2" t="s">
        <v>1120</v>
      </c>
      <c r="V249" s="2" t="s">
        <v>113</v>
      </c>
    </row>
    <row r="250" spans="1:22" x14ac:dyDescent="0.2">
      <c r="A250" s="2" t="s">
        <v>15</v>
      </c>
      <c r="B250" s="2" t="s">
        <v>2</v>
      </c>
      <c r="C250" s="3">
        <v>46173</v>
      </c>
      <c r="D250" s="3">
        <v>46173</v>
      </c>
      <c r="E250" s="3">
        <v>46188</v>
      </c>
      <c r="F250" s="2" t="s">
        <v>82</v>
      </c>
      <c r="G250" s="197">
        <v>251.40000000000003</v>
      </c>
      <c r="H250" s="197">
        <v>0</v>
      </c>
      <c r="I250" s="287">
        <f t="shared" ref="I250" si="31">SUM(G250:H250)</f>
        <v>251.40000000000003</v>
      </c>
      <c r="J250" s="213">
        <f t="shared" ref="J250" si="32">I250*$J$236</f>
        <v>63.356571000000002</v>
      </c>
      <c r="K250" s="105" t="s">
        <v>1105</v>
      </c>
      <c r="M250" s="4" t="s">
        <v>1384</v>
      </c>
      <c r="N250" s="4" t="s">
        <v>447</v>
      </c>
      <c r="O250" s="146" t="str">
        <f>_xlfn.XLOOKUP(N250,costcategory[Account Code],costcategory[Cost Category],"ERROR")</f>
        <v>Accrual</v>
      </c>
      <c r="P250" s="4" t="s">
        <v>350</v>
      </c>
      <c r="Q250" s="147" t="str">
        <f>_xlfn.XLOOKUP(P250,Table2[Department],Table2[Group],"ERROR")</f>
        <v>General &amp; Administrative</v>
      </c>
      <c r="R250" s="31"/>
      <c r="S250" s="31"/>
      <c r="T250" s="31"/>
      <c r="U250" s="2" t="s">
        <v>1120</v>
      </c>
      <c r="V250" s="2" t="s">
        <v>113</v>
      </c>
    </row>
    <row r="251" spans="1:22" x14ac:dyDescent="0.2">
      <c r="A251" s="2" t="s">
        <v>15</v>
      </c>
      <c r="B251" s="2" t="s">
        <v>2</v>
      </c>
      <c r="C251" s="3">
        <v>46188</v>
      </c>
      <c r="D251" s="3">
        <v>46188</v>
      </c>
      <c r="E251" s="3">
        <v>46188</v>
      </c>
      <c r="F251" s="2" t="s">
        <v>82</v>
      </c>
      <c r="G251" s="111">
        <v>700</v>
      </c>
      <c r="H251" s="197">
        <v>0</v>
      </c>
      <c r="I251" s="278">
        <v>700</v>
      </c>
      <c r="J251" s="111">
        <f t="shared" ref="J251:J264" si="33">I251*0.25</f>
        <v>175</v>
      </c>
      <c r="K251" s="4" t="s">
        <v>627</v>
      </c>
      <c r="M251" s="4" t="s">
        <v>476</v>
      </c>
      <c r="N251" s="4" t="s">
        <v>339</v>
      </c>
      <c r="O251" s="146" t="str">
        <f>_xlfn.XLOOKUP(N251,costcategory[Account Code],costcategory[Cost Category],"ERROR")</f>
        <v>Travelling Expenses</v>
      </c>
      <c r="P251" s="4" t="s">
        <v>45</v>
      </c>
      <c r="Q251" s="89" t="str">
        <f>_xlfn.XLOOKUP(P251,Table2[Department],Table2[Group],"ERROR")</f>
        <v>DSC</v>
      </c>
      <c r="R251" s="4"/>
      <c r="S251" s="4"/>
      <c r="T251" s="4"/>
      <c r="U251" s="2" t="s">
        <v>1308</v>
      </c>
      <c r="V251" s="2" t="s">
        <v>113</v>
      </c>
    </row>
    <row r="252" spans="1:22" x14ac:dyDescent="0.2">
      <c r="A252" s="2" t="s">
        <v>15</v>
      </c>
      <c r="B252" s="2" t="s">
        <v>2</v>
      </c>
      <c r="C252" s="3">
        <v>46188</v>
      </c>
      <c r="D252" s="3">
        <v>46188</v>
      </c>
      <c r="E252" s="3">
        <v>46188</v>
      </c>
      <c r="F252" s="2" t="s">
        <v>82</v>
      </c>
      <c r="G252" s="111">
        <v>1484.8</v>
      </c>
      <c r="H252" s="197">
        <v>0</v>
      </c>
      <c r="I252" s="282">
        <v>1484.8</v>
      </c>
      <c r="J252" s="111">
        <f t="shared" si="33"/>
        <v>371.2</v>
      </c>
      <c r="K252" s="4" t="s">
        <v>627</v>
      </c>
      <c r="M252" s="4" t="s">
        <v>526</v>
      </c>
      <c r="N252" s="4" t="s">
        <v>527</v>
      </c>
      <c r="O252" s="146" t="str">
        <f>_xlfn.XLOOKUP(N252,costcategory[Account Code],costcategory[Cost Category],"ERROR")</f>
        <v>Sales Expenses</v>
      </c>
      <c r="P252" s="4" t="s">
        <v>45</v>
      </c>
      <c r="Q252" s="89" t="str">
        <f>_xlfn.XLOOKUP(P252,Table2[Department],Table2[Group],"ERROR")</f>
        <v>DSC</v>
      </c>
      <c r="R252" s="4"/>
      <c r="S252" s="4"/>
      <c r="T252" s="4"/>
      <c r="U252" s="2" t="s">
        <v>1308</v>
      </c>
      <c r="V252" s="2" t="s">
        <v>113</v>
      </c>
    </row>
    <row r="253" spans="1:22" ht="13.5" customHeight="1" x14ac:dyDescent="0.2">
      <c r="A253" s="2" t="s">
        <v>15</v>
      </c>
      <c r="B253" s="2" t="s">
        <v>2</v>
      </c>
      <c r="C253" s="3">
        <v>46188</v>
      </c>
      <c r="D253" s="3">
        <v>46188</v>
      </c>
      <c r="E253" s="3">
        <v>46188</v>
      </c>
      <c r="F253" s="2" t="s">
        <v>82</v>
      </c>
      <c r="G253" s="111">
        <v>967.82</v>
      </c>
      <c r="H253" s="197">
        <v>0</v>
      </c>
      <c r="I253" s="282">
        <v>967.82</v>
      </c>
      <c r="J253" s="111">
        <f t="shared" si="33"/>
        <v>241.95500000000001</v>
      </c>
      <c r="K253" s="4" t="s">
        <v>627</v>
      </c>
      <c r="M253" s="4" t="s">
        <v>345</v>
      </c>
      <c r="N253" s="4" t="s">
        <v>346</v>
      </c>
      <c r="O253" s="146" t="str">
        <f>_xlfn.XLOOKUP(N253,costcategory[Account Code],costcategory[Cost Category],"ERROR")</f>
        <v>General Expenses</v>
      </c>
      <c r="P253" s="4" t="s">
        <v>340</v>
      </c>
      <c r="Q253" s="89" t="str">
        <f>_xlfn.XLOOKUP(P253,Table2[Department],Table2[Group],"ERROR")</f>
        <v>General &amp; Administrative</v>
      </c>
      <c r="R253" s="4"/>
      <c r="S253" s="4"/>
      <c r="T253" s="4"/>
      <c r="U253" s="2" t="s">
        <v>1308</v>
      </c>
      <c r="V253" s="2" t="s">
        <v>113</v>
      </c>
    </row>
    <row r="254" spans="1:22" x14ac:dyDescent="0.2">
      <c r="A254" s="2" t="s">
        <v>15</v>
      </c>
      <c r="B254" s="2" t="s">
        <v>2</v>
      </c>
      <c r="C254" s="3">
        <v>46188</v>
      </c>
      <c r="D254" s="3">
        <v>46188</v>
      </c>
      <c r="E254" s="3">
        <v>46188</v>
      </c>
      <c r="F254" s="2" t="s">
        <v>82</v>
      </c>
      <c r="G254" s="111">
        <v>29.74</v>
      </c>
      <c r="H254" s="197">
        <v>0</v>
      </c>
      <c r="I254" s="282">
        <v>29.74</v>
      </c>
      <c r="J254" s="111">
        <f t="shared" si="33"/>
        <v>7.4349999999999996</v>
      </c>
      <c r="K254" s="4" t="s">
        <v>627</v>
      </c>
      <c r="M254" s="4" t="s">
        <v>345</v>
      </c>
      <c r="N254" s="4" t="s">
        <v>346</v>
      </c>
      <c r="O254" s="146" t="str">
        <f>_xlfn.XLOOKUP(N254,costcategory[Account Code],costcategory[Cost Category],"ERROR")</f>
        <v>General Expenses</v>
      </c>
      <c r="P254" s="4" t="s">
        <v>45</v>
      </c>
      <c r="Q254" s="89" t="str">
        <f>_xlfn.XLOOKUP(P254,Table2[Department],Table2[Group],"ERROR")</f>
        <v>DSC</v>
      </c>
      <c r="R254" s="4"/>
      <c r="S254" s="4"/>
      <c r="T254" s="4"/>
      <c r="U254" s="2" t="s">
        <v>1308</v>
      </c>
      <c r="V254" s="2" t="s">
        <v>113</v>
      </c>
    </row>
    <row r="255" spans="1:22" x14ac:dyDescent="0.2">
      <c r="A255" s="2" t="s">
        <v>15</v>
      </c>
      <c r="B255" s="2" t="s">
        <v>2</v>
      </c>
      <c r="C255" s="3">
        <v>46188</v>
      </c>
      <c r="D255" s="3">
        <v>46188</v>
      </c>
      <c r="E255" s="3">
        <v>46188</v>
      </c>
      <c r="F255" s="2" t="s">
        <v>82</v>
      </c>
      <c r="G255" s="111">
        <v>40.99</v>
      </c>
      <c r="H255" s="197">
        <v>0</v>
      </c>
      <c r="I255" s="282">
        <v>40.99</v>
      </c>
      <c r="J255" s="111">
        <f t="shared" si="33"/>
        <v>10.2475</v>
      </c>
      <c r="K255" s="4" t="s">
        <v>627</v>
      </c>
      <c r="M255" s="4" t="s">
        <v>351</v>
      </c>
      <c r="N255" s="4" t="s">
        <v>50</v>
      </c>
      <c r="O255" s="146" t="str">
        <f>_xlfn.XLOOKUP(N255,costcategory[Account Code],costcategory[Cost Category],"ERROR")</f>
        <v>Office Supplies</v>
      </c>
      <c r="P255" s="4" t="s">
        <v>340</v>
      </c>
      <c r="Q255" s="89" t="str">
        <f>_xlfn.XLOOKUP(P255,Table2[Department],Table2[Group],"ERROR")</f>
        <v>General &amp; Administrative</v>
      </c>
      <c r="R255" s="4"/>
      <c r="S255" s="4"/>
      <c r="T255" s="4"/>
      <c r="U255" s="2" t="s">
        <v>1308</v>
      </c>
      <c r="V255" s="2" t="s">
        <v>113</v>
      </c>
    </row>
    <row r="256" spans="1:22" x14ac:dyDescent="0.2">
      <c r="A256" s="2" t="s">
        <v>15</v>
      </c>
      <c r="B256" s="2" t="s">
        <v>2</v>
      </c>
      <c r="C256" s="3">
        <v>46188</v>
      </c>
      <c r="D256" s="3">
        <v>46188</v>
      </c>
      <c r="E256" s="3">
        <v>46188</v>
      </c>
      <c r="F256" s="2" t="s">
        <v>82</v>
      </c>
      <c r="G256" s="111">
        <v>204.1</v>
      </c>
      <c r="H256" s="197">
        <v>0</v>
      </c>
      <c r="I256" s="282">
        <v>204.1</v>
      </c>
      <c r="J256" s="111">
        <f t="shared" si="33"/>
        <v>51.024999999999999</v>
      </c>
      <c r="K256" s="4" t="s">
        <v>627</v>
      </c>
      <c r="M256" s="4" t="s">
        <v>355</v>
      </c>
      <c r="N256" s="4" t="s">
        <v>402</v>
      </c>
      <c r="O256" s="146" t="str">
        <f>_xlfn.XLOOKUP(N256,costcategory[Account Code],costcategory[Cost Category],"ERROR")</f>
        <v>Travelling Expenses</v>
      </c>
      <c r="P256" s="4" t="s">
        <v>45</v>
      </c>
      <c r="Q256" s="89" t="str">
        <f>_xlfn.XLOOKUP(P256,Table2[Department],Table2[Group],"ERROR")</f>
        <v>DSC</v>
      </c>
      <c r="R256" s="4"/>
      <c r="S256" s="4"/>
      <c r="T256" s="4"/>
      <c r="U256" s="2" t="s">
        <v>1308</v>
      </c>
      <c r="V256" s="2" t="s">
        <v>113</v>
      </c>
    </row>
    <row r="257" spans="1:23" x14ac:dyDescent="0.2">
      <c r="A257" s="2" t="s">
        <v>15</v>
      </c>
      <c r="B257" s="2" t="s">
        <v>2</v>
      </c>
      <c r="C257" s="3">
        <v>46188</v>
      </c>
      <c r="D257" s="3">
        <v>46188</v>
      </c>
      <c r="E257" s="3">
        <v>46188</v>
      </c>
      <c r="F257" s="2" t="s">
        <v>82</v>
      </c>
      <c r="G257" s="111">
        <v>198</v>
      </c>
      <c r="H257" s="197">
        <v>0</v>
      </c>
      <c r="I257" s="282">
        <v>198</v>
      </c>
      <c r="J257" s="111">
        <f t="shared" si="33"/>
        <v>49.5</v>
      </c>
      <c r="K257" s="4" t="s">
        <v>627</v>
      </c>
      <c r="M257" s="4" t="s">
        <v>392</v>
      </c>
      <c r="N257" s="4" t="s">
        <v>393</v>
      </c>
      <c r="O257" s="146" t="str">
        <f>_xlfn.XLOOKUP(N257,costcategory[Account Code],costcategory[Cost Category],"ERROR")</f>
        <v>Employee Benefits</v>
      </c>
      <c r="P257" s="4" t="s">
        <v>354</v>
      </c>
      <c r="Q257" s="89" t="str">
        <f>_xlfn.XLOOKUP(P257,Table2[Department],Table2[Group],"ERROR")</f>
        <v>Sales &amp; Marketing</v>
      </c>
      <c r="R257" s="4"/>
      <c r="S257" s="4"/>
      <c r="T257" s="4"/>
      <c r="U257" s="2" t="s">
        <v>1308</v>
      </c>
      <c r="V257" s="2" t="s">
        <v>113</v>
      </c>
    </row>
    <row r="258" spans="1:23" x14ac:dyDescent="0.2">
      <c r="A258" s="2" t="s">
        <v>15</v>
      </c>
      <c r="B258" s="2" t="s">
        <v>2</v>
      </c>
      <c r="C258" s="3">
        <v>46188</v>
      </c>
      <c r="D258" s="3">
        <v>46188</v>
      </c>
      <c r="E258" s="3">
        <v>46188</v>
      </c>
      <c r="F258" s="2" t="s">
        <v>82</v>
      </c>
      <c r="G258" s="111">
        <v>198.25</v>
      </c>
      <c r="H258" s="197">
        <v>0</v>
      </c>
      <c r="I258" s="282">
        <v>198.25</v>
      </c>
      <c r="J258" s="111">
        <f t="shared" si="33"/>
        <v>49.5625</v>
      </c>
      <c r="K258" s="4" t="s">
        <v>627</v>
      </c>
      <c r="M258" s="4" t="s">
        <v>392</v>
      </c>
      <c r="N258" s="4" t="s">
        <v>393</v>
      </c>
      <c r="O258" s="146" t="str">
        <f>_xlfn.XLOOKUP(N258,costcategory[Account Code],costcategory[Cost Category],"ERROR")</f>
        <v>Employee Benefits</v>
      </c>
      <c r="P258" s="4" t="s">
        <v>45</v>
      </c>
      <c r="Q258" s="89" t="str">
        <f>_xlfn.XLOOKUP(P258,Table2[Department],Table2[Group],"ERROR")</f>
        <v>DSC</v>
      </c>
      <c r="R258" s="4"/>
      <c r="S258" s="4"/>
      <c r="T258" s="4"/>
      <c r="U258" s="2" t="s">
        <v>1308</v>
      </c>
      <c r="V258" s="2" t="s">
        <v>113</v>
      </c>
    </row>
    <row r="259" spans="1:23" x14ac:dyDescent="0.2">
      <c r="A259" s="2" t="s">
        <v>15</v>
      </c>
      <c r="B259" s="2" t="s">
        <v>2</v>
      </c>
      <c r="C259" s="3">
        <v>46188</v>
      </c>
      <c r="D259" s="3">
        <v>46188</v>
      </c>
      <c r="E259" s="3">
        <v>46188</v>
      </c>
      <c r="F259" s="2" t="s">
        <v>82</v>
      </c>
      <c r="G259" s="111">
        <v>364.45</v>
      </c>
      <c r="H259" s="197">
        <v>0</v>
      </c>
      <c r="I259" s="282">
        <v>364.45</v>
      </c>
      <c r="J259" s="111">
        <f t="shared" si="33"/>
        <v>91.112499999999997</v>
      </c>
      <c r="K259" s="4" t="s">
        <v>627</v>
      </c>
      <c r="M259" s="4" t="s">
        <v>416</v>
      </c>
      <c r="N259" s="4" t="s">
        <v>390</v>
      </c>
      <c r="O259" s="146" t="str">
        <f>_xlfn.XLOOKUP(N259,costcategory[Account Code],costcategory[Cost Category],"ERROR")</f>
        <v>Employee Benefits</v>
      </c>
      <c r="P259" s="4" t="s">
        <v>340</v>
      </c>
      <c r="Q259" s="89" t="str">
        <f>_xlfn.XLOOKUP(P259,Table2[Department],Table2[Group],"ERROR")</f>
        <v>General &amp; Administrative</v>
      </c>
      <c r="R259" s="4"/>
      <c r="S259" s="4"/>
      <c r="T259" s="4"/>
      <c r="U259" s="2" t="s">
        <v>1308</v>
      </c>
      <c r="V259" s="2" t="s">
        <v>113</v>
      </c>
    </row>
    <row r="260" spans="1:23" x14ac:dyDescent="0.2">
      <c r="A260" s="2" t="s">
        <v>15</v>
      </c>
      <c r="B260" s="2" t="s">
        <v>2</v>
      </c>
      <c r="C260" s="3">
        <v>46188</v>
      </c>
      <c r="D260" s="3">
        <v>46188</v>
      </c>
      <c r="E260" s="3">
        <v>46188</v>
      </c>
      <c r="F260" s="2" t="s">
        <v>82</v>
      </c>
      <c r="G260" s="111">
        <v>6887</v>
      </c>
      <c r="H260" s="197">
        <v>0</v>
      </c>
      <c r="I260" s="282">
        <v>6887</v>
      </c>
      <c r="J260" s="111">
        <f t="shared" si="33"/>
        <v>1721.75</v>
      </c>
      <c r="K260" s="4" t="s">
        <v>627</v>
      </c>
      <c r="M260" s="4" t="s">
        <v>653</v>
      </c>
      <c r="N260" s="4" t="s">
        <v>654</v>
      </c>
      <c r="O260" s="146" t="str">
        <f>_xlfn.XLOOKUP(N260,costcategory[Account Code],costcategory[Cost Category],"ERROR")</f>
        <v>Employee Benefits</v>
      </c>
      <c r="P260" s="4" t="s">
        <v>350</v>
      </c>
      <c r="Q260" s="89" t="str">
        <f>_xlfn.XLOOKUP(P260,Table2[Department],Table2[Group],"ERROR")</f>
        <v>General &amp; Administrative</v>
      </c>
      <c r="R260" s="4"/>
      <c r="S260" s="4"/>
      <c r="T260" s="4"/>
      <c r="U260" s="2" t="s">
        <v>1308</v>
      </c>
      <c r="V260" s="2" t="s">
        <v>113</v>
      </c>
    </row>
    <row r="261" spans="1:23" x14ac:dyDescent="0.2">
      <c r="A261" s="2" t="s">
        <v>15</v>
      </c>
      <c r="B261" s="2" t="s">
        <v>2</v>
      </c>
      <c r="C261" s="3">
        <v>46188</v>
      </c>
      <c r="D261" s="3">
        <v>46188</v>
      </c>
      <c r="E261" s="3">
        <v>46188</v>
      </c>
      <c r="F261" s="2" t="s">
        <v>82</v>
      </c>
      <c r="G261" s="111">
        <v>28</v>
      </c>
      <c r="H261" s="197">
        <v>0</v>
      </c>
      <c r="I261" s="282">
        <v>28</v>
      </c>
      <c r="J261" s="111">
        <f t="shared" si="33"/>
        <v>7</v>
      </c>
      <c r="K261" s="4" t="s">
        <v>627</v>
      </c>
      <c r="M261" s="4" t="s">
        <v>359</v>
      </c>
      <c r="N261" s="4" t="s">
        <v>52</v>
      </c>
      <c r="O261" s="146" t="str">
        <f>_xlfn.XLOOKUP(N261,costcategory[Account Code],costcategory[Cost Category],"ERROR")</f>
        <v>Telecommunication</v>
      </c>
      <c r="P261" s="4" t="s">
        <v>45</v>
      </c>
      <c r="Q261" s="89" t="str">
        <f>_xlfn.XLOOKUP(P261,Table2[Department],Table2[Group],"ERROR")</f>
        <v>DSC</v>
      </c>
      <c r="R261" s="4"/>
      <c r="S261" s="4"/>
      <c r="T261" s="4"/>
      <c r="U261" s="2" t="s">
        <v>1308</v>
      </c>
      <c r="V261" s="2" t="s">
        <v>113</v>
      </c>
    </row>
    <row r="262" spans="1:23" x14ac:dyDescent="0.2">
      <c r="A262" s="2" t="s">
        <v>15</v>
      </c>
      <c r="B262" s="2" t="s">
        <v>2</v>
      </c>
      <c r="C262" s="3">
        <v>46188</v>
      </c>
      <c r="D262" s="3">
        <v>46188</v>
      </c>
      <c r="E262" s="3">
        <v>46188</v>
      </c>
      <c r="F262" s="2" t="s">
        <v>82</v>
      </c>
      <c r="G262" s="111">
        <v>905.55</v>
      </c>
      <c r="H262" s="197">
        <v>0</v>
      </c>
      <c r="I262" s="282">
        <v>905.55</v>
      </c>
      <c r="J262" s="111">
        <f t="shared" si="33"/>
        <v>226.38749999999999</v>
      </c>
      <c r="K262" s="4" t="s">
        <v>627</v>
      </c>
      <c r="M262" s="4" t="s">
        <v>360</v>
      </c>
      <c r="N262" s="4" t="s">
        <v>353</v>
      </c>
      <c r="O262" s="146" t="str">
        <f>_xlfn.XLOOKUP(N262,costcategory[Account Code],costcategory[Cost Category],"ERROR")</f>
        <v>Travelling Expenses</v>
      </c>
      <c r="P262" s="4" t="s">
        <v>45</v>
      </c>
      <c r="Q262" s="89" t="str">
        <f>_xlfn.XLOOKUP(P262,Table2[Department],Table2[Group],"ERROR")</f>
        <v>DSC</v>
      </c>
      <c r="R262" s="4"/>
      <c r="S262" s="4"/>
      <c r="T262" s="4"/>
      <c r="U262" s="2" t="s">
        <v>1308</v>
      </c>
      <c r="V262" s="2" t="s">
        <v>113</v>
      </c>
    </row>
    <row r="263" spans="1:23" x14ac:dyDescent="0.2">
      <c r="A263" s="2" t="s">
        <v>15</v>
      </c>
      <c r="B263" s="2" t="s">
        <v>2</v>
      </c>
      <c r="C263" s="3">
        <v>46188</v>
      </c>
      <c r="D263" s="3">
        <v>46188</v>
      </c>
      <c r="E263" s="3">
        <v>46188</v>
      </c>
      <c r="F263" s="2" t="s">
        <v>82</v>
      </c>
      <c r="G263" s="111">
        <v>395.3</v>
      </c>
      <c r="H263" s="197">
        <v>0</v>
      </c>
      <c r="I263" s="282">
        <v>395.3</v>
      </c>
      <c r="J263" s="111">
        <f t="shared" si="33"/>
        <v>98.825000000000003</v>
      </c>
      <c r="K263" s="4" t="s">
        <v>627</v>
      </c>
      <c r="M263" s="4" t="s">
        <v>361</v>
      </c>
      <c r="N263" s="4" t="s">
        <v>356</v>
      </c>
      <c r="O263" s="146" t="str">
        <f>_xlfn.XLOOKUP(N263,costcategory[Account Code],costcategory[Cost Category],"ERROR")</f>
        <v>Travelling Expenses</v>
      </c>
      <c r="P263" s="4" t="s">
        <v>354</v>
      </c>
      <c r="Q263" s="89" t="str">
        <f>_xlfn.XLOOKUP(P263,Table2[Department],Table2[Group],"ERROR")</f>
        <v>Sales &amp; Marketing</v>
      </c>
      <c r="R263" s="4"/>
      <c r="S263" s="4"/>
      <c r="T263" s="4"/>
      <c r="U263" s="2" t="s">
        <v>1308</v>
      </c>
      <c r="V263" s="2" t="s">
        <v>113</v>
      </c>
    </row>
    <row r="264" spans="1:23" x14ac:dyDescent="0.2">
      <c r="A264" s="2" t="s">
        <v>15</v>
      </c>
      <c r="B264" s="2" t="s">
        <v>2</v>
      </c>
      <c r="C264" s="3">
        <v>46188</v>
      </c>
      <c r="D264" s="3">
        <v>46188</v>
      </c>
      <c r="E264" s="3">
        <v>46188</v>
      </c>
      <c r="F264" s="2" t="s">
        <v>82</v>
      </c>
      <c r="G264" s="111">
        <f>2272.09-G263</f>
        <v>1876.7900000000002</v>
      </c>
      <c r="H264" s="197">
        <v>0</v>
      </c>
      <c r="I264" s="279">
        <v>1876.7900000000002</v>
      </c>
      <c r="J264" s="111">
        <f t="shared" si="33"/>
        <v>469.19750000000005</v>
      </c>
      <c r="K264" s="4" t="s">
        <v>627</v>
      </c>
      <c r="M264" s="4" t="s">
        <v>361</v>
      </c>
      <c r="N264" s="4" t="s">
        <v>356</v>
      </c>
      <c r="O264" s="146" t="str">
        <f>_xlfn.XLOOKUP(N264,costcategory[Account Code],costcategory[Cost Category],"ERROR")</f>
        <v>Travelling Expenses</v>
      </c>
      <c r="P264" s="4" t="s">
        <v>45</v>
      </c>
      <c r="Q264" s="89" t="str">
        <f>_xlfn.XLOOKUP(P264,Table2[Department],Table2[Group],"ERROR")</f>
        <v>DSC</v>
      </c>
      <c r="R264" s="4"/>
      <c r="S264" s="4"/>
      <c r="T264" s="4"/>
      <c r="U264" s="2" t="s">
        <v>1308</v>
      </c>
      <c r="V264" s="2" t="s">
        <v>113</v>
      </c>
    </row>
    <row r="265" spans="1:23" x14ac:dyDescent="0.2">
      <c r="A265" s="2" t="s">
        <v>15</v>
      </c>
      <c r="B265" s="2" t="s">
        <v>2</v>
      </c>
      <c r="C265" s="3">
        <v>46188</v>
      </c>
      <c r="D265" s="3">
        <v>46188</v>
      </c>
      <c r="E265" s="3">
        <v>46188</v>
      </c>
      <c r="F265" s="2" t="s">
        <v>82</v>
      </c>
      <c r="G265" s="197">
        <v>0.5</v>
      </c>
      <c r="H265" s="197">
        <v>0</v>
      </c>
      <c r="I265" s="220">
        <f t="shared" si="28"/>
        <v>0.5</v>
      </c>
      <c r="J265" s="213">
        <f t="shared" ref="J265" si="34">I265*$J$236</f>
        <v>0.12600749999999999</v>
      </c>
      <c r="K265" s="105" t="s">
        <v>448</v>
      </c>
      <c r="L265" s="4" t="s">
        <v>655</v>
      </c>
      <c r="M265" s="4" t="s">
        <v>332</v>
      </c>
      <c r="N265" s="4" t="s">
        <v>332</v>
      </c>
      <c r="O265" s="146" t="str">
        <f>_xlfn.XLOOKUP(N265,costcategory[Account Code],costcategory[Cost Category],"ERROR")</f>
        <v>Bank Charges</v>
      </c>
      <c r="P265" s="4" t="s">
        <v>333</v>
      </c>
      <c r="Q265" s="147" t="str">
        <f>_xlfn.XLOOKUP(P265,Table2[Department],Table2[Group],"ERROR")</f>
        <v>General &amp; Administrative</v>
      </c>
      <c r="R265" s="31"/>
      <c r="S265" s="31"/>
      <c r="T265" s="31"/>
      <c r="U265" s="2" t="s">
        <v>1309</v>
      </c>
      <c r="V265" s="2" t="s">
        <v>113</v>
      </c>
    </row>
    <row r="266" spans="1:23" x14ac:dyDescent="0.2">
      <c r="A266" s="2" t="s">
        <v>15</v>
      </c>
      <c r="B266" s="2" t="s">
        <v>2</v>
      </c>
      <c r="C266" s="3">
        <v>46191</v>
      </c>
      <c r="D266" s="3">
        <v>46191</v>
      </c>
      <c r="E266" s="3">
        <v>46191</v>
      </c>
      <c r="F266" s="2" t="s">
        <v>82</v>
      </c>
      <c r="G266" s="204">
        <v>16837</v>
      </c>
      <c r="H266" s="199">
        <v>0</v>
      </c>
      <c r="I266" s="205">
        <f t="shared" si="28"/>
        <v>16837</v>
      </c>
      <c r="J266" s="213">
        <f t="shared" ref="J266" si="35">I266*$J$190</f>
        <v>4240.9535434744639</v>
      </c>
      <c r="K266" s="106" t="s">
        <v>630</v>
      </c>
      <c r="M266" s="4" t="s">
        <v>656</v>
      </c>
      <c r="N266" s="106" t="s">
        <v>509</v>
      </c>
      <c r="O266" s="146" t="str">
        <f>_xlfn.XLOOKUP(N266,costcategory[Account Code],costcategory[Cost Category],"ERROR")</f>
        <v>Corporate Tax Expenses</v>
      </c>
      <c r="P266" s="4" t="s">
        <v>350</v>
      </c>
      <c r="Q266" s="147" t="str">
        <f>_xlfn.XLOOKUP(P266,Table2[Department],Table2[Group],"ERROR")</f>
        <v>General &amp; Administrative</v>
      </c>
      <c r="R266" s="31"/>
      <c r="S266" s="18"/>
      <c r="T266" s="18"/>
      <c r="U266" s="2" t="s">
        <v>1385</v>
      </c>
      <c r="V266" s="2" t="s">
        <v>113</v>
      </c>
      <c r="W266" s="18"/>
    </row>
    <row r="267" spans="1:23" x14ac:dyDescent="0.2">
      <c r="A267" s="2" t="s">
        <v>15</v>
      </c>
      <c r="B267" s="2" t="s">
        <v>2</v>
      </c>
      <c r="F267" s="2" t="s">
        <v>82</v>
      </c>
      <c r="G267" s="197"/>
      <c r="H267" s="197"/>
      <c r="I267" s="220">
        <f t="shared" ref="I267:I274" si="36">SUM(G267:H267)</f>
        <v>0</v>
      </c>
      <c r="J267" s="213">
        <f t="shared" ref="J267:J274" si="37">I267*$J$236</f>
        <v>0</v>
      </c>
      <c r="K267" s="4"/>
      <c r="O267" s="146" t="str">
        <f>_xlfn.XLOOKUP(N267,costcategory[Account Code],costcategory[Cost Category],"ERROR")</f>
        <v>ERROR</v>
      </c>
      <c r="Q267" s="147" t="str">
        <f>_xlfn.XLOOKUP(P267,Table2[Department],Table2[Group],"ERROR")</f>
        <v>ERROR</v>
      </c>
      <c r="R267" s="31"/>
      <c r="S267" s="31"/>
      <c r="T267" s="31"/>
    </row>
    <row r="268" spans="1:23" x14ac:dyDescent="0.2">
      <c r="A268" s="2" t="s">
        <v>15</v>
      </c>
      <c r="B268" s="2" t="s">
        <v>2</v>
      </c>
      <c r="F268" s="2" t="s">
        <v>82</v>
      </c>
      <c r="G268" s="197"/>
      <c r="H268" s="197"/>
      <c r="I268" s="220">
        <f t="shared" si="36"/>
        <v>0</v>
      </c>
      <c r="J268" s="213">
        <f t="shared" si="37"/>
        <v>0</v>
      </c>
      <c r="K268" s="4"/>
      <c r="O268" s="146" t="str">
        <f>_xlfn.XLOOKUP(N268,costcategory[Account Code],costcategory[Cost Category],"ERROR")</f>
        <v>ERROR</v>
      </c>
      <c r="Q268" s="147" t="str">
        <f>_xlfn.XLOOKUP(P268,Table2[Department],Table2[Group],"ERROR")</f>
        <v>ERROR</v>
      </c>
      <c r="R268" s="31"/>
      <c r="S268" s="31"/>
      <c r="T268" s="31"/>
    </row>
    <row r="269" spans="1:23" x14ac:dyDescent="0.2">
      <c r="A269" s="2" t="s">
        <v>15</v>
      </c>
      <c r="B269" s="2" t="s">
        <v>2</v>
      </c>
      <c r="F269" s="2" t="s">
        <v>82</v>
      </c>
      <c r="G269" s="197"/>
      <c r="H269" s="197"/>
      <c r="I269" s="220">
        <f t="shared" si="36"/>
        <v>0</v>
      </c>
      <c r="J269" s="213">
        <f t="shared" si="37"/>
        <v>0</v>
      </c>
      <c r="K269" s="4"/>
      <c r="O269" s="146" t="str">
        <f>_xlfn.XLOOKUP(N269,costcategory[Account Code],costcategory[Cost Category],"ERROR")</f>
        <v>ERROR</v>
      </c>
      <c r="Q269" s="147" t="str">
        <f>_xlfn.XLOOKUP(P269,Table2[Department],Table2[Group],"ERROR")</f>
        <v>ERROR</v>
      </c>
      <c r="R269" s="31"/>
      <c r="S269" s="31"/>
      <c r="T269" s="31"/>
    </row>
    <row r="270" spans="1:23" x14ac:dyDescent="0.2">
      <c r="A270" s="2" t="s">
        <v>15</v>
      </c>
      <c r="B270" s="2" t="s">
        <v>2</v>
      </c>
      <c r="F270" s="2" t="s">
        <v>82</v>
      </c>
      <c r="G270" s="197"/>
      <c r="H270" s="197"/>
      <c r="I270" s="220">
        <f t="shared" si="36"/>
        <v>0</v>
      </c>
      <c r="J270" s="213">
        <f t="shared" si="37"/>
        <v>0</v>
      </c>
      <c r="K270" s="4"/>
      <c r="O270" s="146" t="str">
        <f>_xlfn.XLOOKUP(N270,costcategory[Account Code],costcategory[Cost Category],"ERROR")</f>
        <v>ERROR</v>
      </c>
      <c r="Q270" s="147" t="str">
        <f>_xlfn.XLOOKUP(P270,Table2[Department],Table2[Group],"ERROR")</f>
        <v>ERROR</v>
      </c>
      <c r="R270" s="31"/>
      <c r="S270" s="31"/>
      <c r="T270" s="31"/>
    </row>
    <row r="271" spans="1:23" x14ac:dyDescent="0.2">
      <c r="A271" s="2" t="s">
        <v>15</v>
      </c>
      <c r="B271" s="2" t="s">
        <v>2</v>
      </c>
      <c r="F271" s="2" t="s">
        <v>82</v>
      </c>
      <c r="G271" s="197"/>
      <c r="H271" s="197"/>
      <c r="I271" s="220">
        <f t="shared" si="36"/>
        <v>0</v>
      </c>
      <c r="J271" s="213">
        <f t="shared" si="37"/>
        <v>0</v>
      </c>
      <c r="K271" s="4"/>
      <c r="O271" s="146" t="str">
        <f>_xlfn.XLOOKUP(N271,costcategory[Account Code],costcategory[Cost Category],"ERROR")</f>
        <v>ERROR</v>
      </c>
      <c r="Q271" s="147" t="str">
        <f>_xlfn.XLOOKUP(P271,Table2[Department],Table2[Group],"ERROR")</f>
        <v>ERROR</v>
      </c>
      <c r="R271" s="31"/>
      <c r="S271" s="31"/>
      <c r="T271" s="31"/>
    </row>
    <row r="272" spans="1:23" x14ac:dyDescent="0.2">
      <c r="A272" s="2" t="s">
        <v>15</v>
      </c>
      <c r="B272" s="2" t="s">
        <v>2</v>
      </c>
      <c r="F272" s="2" t="s">
        <v>82</v>
      </c>
      <c r="G272" s="197"/>
      <c r="H272" s="197"/>
      <c r="I272" s="220">
        <f t="shared" si="36"/>
        <v>0</v>
      </c>
      <c r="J272" s="213">
        <f t="shared" si="37"/>
        <v>0</v>
      </c>
      <c r="K272" s="4"/>
      <c r="O272" s="146" t="str">
        <f>_xlfn.XLOOKUP(N272,costcategory[Account Code],costcategory[Cost Category],"ERROR")</f>
        <v>ERROR</v>
      </c>
      <c r="Q272" s="147" t="str">
        <f>_xlfn.XLOOKUP(P272,Table2[Department],Table2[Group],"ERROR")</f>
        <v>ERROR</v>
      </c>
      <c r="R272" s="31"/>
      <c r="S272" s="31"/>
      <c r="T272" s="31"/>
    </row>
    <row r="273" spans="1:23" x14ac:dyDescent="0.2">
      <c r="A273" s="2" t="s">
        <v>15</v>
      </c>
      <c r="B273" s="2" t="s">
        <v>2</v>
      </c>
      <c r="F273" s="2" t="s">
        <v>82</v>
      </c>
      <c r="G273" s="197"/>
      <c r="H273" s="197"/>
      <c r="I273" s="220">
        <f t="shared" si="36"/>
        <v>0</v>
      </c>
      <c r="J273" s="213">
        <f t="shared" si="37"/>
        <v>0</v>
      </c>
      <c r="K273" s="4"/>
      <c r="O273" s="146" t="str">
        <f>_xlfn.XLOOKUP(N273,costcategory[Account Code],costcategory[Cost Category],"ERROR")</f>
        <v>ERROR</v>
      </c>
      <c r="Q273" s="147" t="str">
        <f>_xlfn.XLOOKUP(P273,Table2[Department],Table2[Group],"ERROR")</f>
        <v>ERROR</v>
      </c>
      <c r="R273" s="31"/>
      <c r="S273" s="31"/>
      <c r="T273" s="31"/>
    </row>
    <row r="274" spans="1:23" x14ac:dyDescent="0.2">
      <c r="A274" s="2" t="s">
        <v>15</v>
      </c>
      <c r="B274" s="2" t="s">
        <v>2</v>
      </c>
      <c r="F274" s="2" t="s">
        <v>82</v>
      </c>
      <c r="G274" s="197"/>
      <c r="H274" s="197"/>
      <c r="I274" s="220">
        <f t="shared" si="36"/>
        <v>0</v>
      </c>
      <c r="J274" s="213">
        <f t="shared" si="37"/>
        <v>0</v>
      </c>
      <c r="K274" s="4"/>
      <c r="O274" s="146" t="str">
        <f>_xlfn.XLOOKUP(N274,costcategory[Account Code],costcategory[Cost Category],"ERROR")</f>
        <v>ERROR</v>
      </c>
      <c r="Q274" s="147" t="str">
        <f>_xlfn.XLOOKUP(P274,Table2[Department],Table2[Group],"ERROR")</f>
        <v>ERROR</v>
      </c>
      <c r="R274" s="31"/>
      <c r="S274" s="31"/>
      <c r="T274" s="31"/>
    </row>
    <row r="275" spans="1:23" x14ac:dyDescent="0.2">
      <c r="F275" s="2" t="s">
        <v>82</v>
      </c>
      <c r="G275" s="197"/>
      <c r="H275" s="197"/>
      <c r="I275" s="197">
        <f>SUM(I239:I274)</f>
        <v>110357.19000000002</v>
      </c>
      <c r="K275" s="4"/>
      <c r="R275" s="31"/>
      <c r="S275" s="31"/>
      <c r="T275" s="31"/>
    </row>
    <row r="276" spans="1:23" x14ac:dyDescent="0.2">
      <c r="A276" s="329" t="s">
        <v>1173</v>
      </c>
      <c r="B276" s="329"/>
      <c r="C276" s="329"/>
      <c r="D276" s="329"/>
      <c r="E276" s="14">
        <v>46203</v>
      </c>
      <c r="F276" s="13" t="s">
        <v>82</v>
      </c>
      <c r="G276" s="202"/>
      <c r="H276" s="207"/>
      <c r="I276" s="239">
        <f>I238-I275</f>
        <v>174424.66000000003</v>
      </c>
      <c r="J276" s="207"/>
      <c r="K276" s="17"/>
      <c r="L276" s="17"/>
      <c r="M276" s="17"/>
      <c r="N276" s="17"/>
      <c r="O276" s="17"/>
      <c r="P276" s="17"/>
      <c r="Q276" s="17"/>
      <c r="R276" s="32"/>
      <c r="S276" s="32"/>
      <c r="T276" s="32"/>
      <c r="U276" s="20"/>
      <c r="V276" s="20"/>
    </row>
    <row r="277" spans="1:23" x14ac:dyDescent="0.2">
      <c r="G277" s="197"/>
      <c r="H277" s="197"/>
      <c r="I277" s="197"/>
      <c r="J277" s="197"/>
      <c r="K277" s="4"/>
      <c r="R277" s="31"/>
      <c r="S277" s="31"/>
      <c r="T277" s="31"/>
    </row>
    <row r="278" spans="1:23" x14ac:dyDescent="0.2">
      <c r="G278" s="197"/>
      <c r="H278" s="197"/>
      <c r="I278" s="197"/>
      <c r="J278" s="197">
        <f>FOREX!G7</f>
        <v>0.25201499999999999</v>
      </c>
      <c r="K278" s="4"/>
      <c r="R278" s="31"/>
      <c r="S278" s="31"/>
      <c r="T278" s="31"/>
    </row>
    <row r="279" spans="1:23" x14ac:dyDescent="0.2">
      <c r="A279" s="7" t="s">
        <v>87</v>
      </c>
      <c r="B279" s="7" t="s">
        <v>43</v>
      </c>
      <c r="C279" s="8" t="s">
        <v>54</v>
      </c>
      <c r="D279" s="8" t="s">
        <v>88</v>
      </c>
      <c r="E279" s="185" t="s">
        <v>1083</v>
      </c>
      <c r="F279" s="7" t="s">
        <v>70</v>
      </c>
      <c r="G279" s="201" t="s">
        <v>90</v>
      </c>
      <c r="H279" s="201" t="s">
        <v>91</v>
      </c>
      <c r="I279" s="201" t="s">
        <v>92</v>
      </c>
      <c r="J279" s="201" t="s">
        <v>72</v>
      </c>
      <c r="K279" s="132" t="s">
        <v>325</v>
      </c>
      <c r="L279" s="132" t="s">
        <v>94</v>
      </c>
      <c r="M279" s="7" t="s">
        <v>95</v>
      </c>
      <c r="N279" s="7" t="s">
        <v>53</v>
      </c>
      <c r="O279" s="7" t="s">
        <v>64</v>
      </c>
      <c r="P279" s="7" t="s">
        <v>67</v>
      </c>
      <c r="Q279" s="7" t="s">
        <v>44</v>
      </c>
      <c r="R279" s="23" t="s">
        <v>326</v>
      </c>
      <c r="S279" s="23" t="s">
        <v>327</v>
      </c>
      <c r="T279" s="23" t="s">
        <v>328</v>
      </c>
      <c r="U279" s="7" t="s">
        <v>98</v>
      </c>
      <c r="V279" s="7" t="s">
        <v>329</v>
      </c>
      <c r="W279" s="2"/>
    </row>
    <row r="280" spans="1:23" x14ac:dyDescent="0.2">
      <c r="A280" s="329" t="s">
        <v>1172</v>
      </c>
      <c r="B280" s="329"/>
      <c r="C280" s="329"/>
      <c r="D280" s="329"/>
      <c r="E280" s="14">
        <v>46204</v>
      </c>
      <c r="F280" s="13" t="s">
        <v>82</v>
      </c>
      <c r="G280" s="206"/>
      <c r="H280" s="206"/>
      <c r="I280" s="238">
        <f>I276</f>
        <v>174424.66000000003</v>
      </c>
      <c r="J280" s="206"/>
      <c r="K280" s="137"/>
      <c r="L280" s="137"/>
      <c r="M280" s="13"/>
      <c r="N280" s="13"/>
      <c r="O280" s="13"/>
      <c r="P280" s="13"/>
      <c r="Q280" s="13"/>
      <c r="R280" s="24"/>
      <c r="S280" s="24"/>
      <c r="T280" s="24"/>
      <c r="U280" s="13"/>
      <c r="V280" s="13"/>
      <c r="W280" s="33"/>
    </row>
    <row r="281" spans="1:23" x14ac:dyDescent="0.2">
      <c r="G281" s="197"/>
      <c r="H281" s="197"/>
      <c r="I281" s="197"/>
      <c r="J281" s="197"/>
      <c r="K281" s="4"/>
      <c r="O281" s="146" t="str">
        <f>_xlfn.XLOOKUP(N281,costcategory[Account Code],costcategory[Cost Category],"ERROR")</f>
        <v>ERROR</v>
      </c>
      <c r="Q281" s="147" t="str">
        <f>_xlfn.XLOOKUP(P281,Table2[Department],Table2[Group],"ERROR")</f>
        <v>ERROR</v>
      </c>
      <c r="R281" s="31"/>
      <c r="S281" s="31"/>
      <c r="T281" s="31"/>
    </row>
    <row r="282" spans="1:23" x14ac:dyDescent="0.2">
      <c r="G282" s="197"/>
      <c r="H282" s="197"/>
      <c r="I282" s="197"/>
      <c r="J282" s="197"/>
      <c r="K282" s="4"/>
      <c r="O282" s="146" t="str">
        <f>_xlfn.XLOOKUP(N282,costcategory[Account Code],costcategory[Cost Category],"ERROR")</f>
        <v>ERROR</v>
      </c>
      <c r="Q282" s="147" t="str">
        <f>_xlfn.XLOOKUP(P282,Table2[Department],Table2[Group],"ERROR")</f>
        <v>ERROR</v>
      </c>
      <c r="R282" s="31"/>
      <c r="S282" s="31"/>
      <c r="T282" s="31"/>
    </row>
    <row r="283" spans="1:23" x14ac:dyDescent="0.2">
      <c r="G283" s="197"/>
      <c r="H283" s="197"/>
      <c r="I283" s="197"/>
      <c r="J283" s="197"/>
      <c r="K283" s="4"/>
      <c r="R283" s="31"/>
      <c r="S283" s="31"/>
      <c r="T283" s="31"/>
    </row>
    <row r="284" spans="1:23" x14ac:dyDescent="0.2">
      <c r="A284" s="329" t="s">
        <v>1173</v>
      </c>
      <c r="B284" s="329"/>
      <c r="C284" s="329"/>
      <c r="D284" s="329"/>
      <c r="E284" s="14">
        <v>46234</v>
      </c>
      <c r="F284" s="13" t="s">
        <v>82</v>
      </c>
      <c r="G284" s="206"/>
      <c r="H284" s="207"/>
      <c r="I284" s="239">
        <f>I280-(SUM(I281:I283))</f>
        <v>174424.66000000003</v>
      </c>
      <c r="J284" s="207"/>
      <c r="K284" s="17"/>
      <c r="L284" s="17"/>
      <c r="M284" s="17"/>
      <c r="N284" s="17"/>
      <c r="O284" s="17"/>
      <c r="P284" s="17"/>
      <c r="Q284" s="17"/>
      <c r="R284" s="32"/>
      <c r="S284" s="32"/>
      <c r="T284" s="32"/>
      <c r="U284" s="20"/>
      <c r="V284" s="20"/>
    </row>
    <row r="285" spans="1:23" x14ac:dyDescent="0.2">
      <c r="A285" s="33"/>
      <c r="B285" s="33"/>
      <c r="C285" s="33"/>
      <c r="D285" s="33"/>
      <c r="E285" s="71"/>
      <c r="F285" s="33"/>
      <c r="G285" s="209"/>
      <c r="H285" s="197"/>
      <c r="I285" s="240"/>
      <c r="J285" s="197"/>
      <c r="K285" s="4"/>
      <c r="R285" s="31"/>
      <c r="S285" s="31"/>
      <c r="T285" s="31"/>
    </row>
    <row r="286" spans="1:23" x14ac:dyDescent="0.2">
      <c r="G286" s="197"/>
      <c r="H286" s="197"/>
      <c r="I286" s="197"/>
      <c r="J286" s="197">
        <f>FOREX!G8</f>
        <v>0.25201499999999999</v>
      </c>
      <c r="K286" s="4"/>
      <c r="R286" s="31"/>
      <c r="S286" s="31"/>
      <c r="T286" s="31"/>
    </row>
    <row r="287" spans="1:23" x14ac:dyDescent="0.2">
      <c r="A287" s="7" t="s">
        <v>87</v>
      </c>
      <c r="B287" s="7" t="s">
        <v>43</v>
      </c>
      <c r="C287" s="8" t="s">
        <v>54</v>
      </c>
      <c r="D287" s="8" t="s">
        <v>88</v>
      </c>
      <c r="E287" s="185" t="s">
        <v>1083</v>
      </c>
      <c r="F287" s="7" t="s">
        <v>70</v>
      </c>
      <c r="G287" s="201" t="s">
        <v>90</v>
      </c>
      <c r="H287" s="201" t="s">
        <v>91</v>
      </c>
      <c r="I287" s="201" t="s">
        <v>92</v>
      </c>
      <c r="J287" s="201" t="s">
        <v>72</v>
      </c>
      <c r="K287" s="132" t="s">
        <v>325</v>
      </c>
      <c r="L287" s="132" t="s">
        <v>94</v>
      </c>
      <c r="M287" s="7" t="s">
        <v>95</v>
      </c>
      <c r="N287" s="7" t="s">
        <v>53</v>
      </c>
      <c r="O287" s="7" t="s">
        <v>64</v>
      </c>
      <c r="P287" s="7" t="s">
        <v>67</v>
      </c>
      <c r="Q287" s="7" t="s">
        <v>44</v>
      </c>
      <c r="R287" s="23" t="s">
        <v>326</v>
      </c>
      <c r="S287" s="23" t="s">
        <v>327</v>
      </c>
      <c r="T287" s="23" t="s">
        <v>328</v>
      </c>
      <c r="U287" s="7" t="s">
        <v>98</v>
      </c>
      <c r="V287" s="7" t="s">
        <v>329</v>
      </c>
      <c r="W287" s="2"/>
    </row>
    <row r="288" spans="1:23" x14ac:dyDescent="0.2">
      <c r="A288" s="329" t="s">
        <v>1172</v>
      </c>
      <c r="B288" s="329"/>
      <c r="C288" s="329"/>
      <c r="D288" s="329"/>
      <c r="E288" s="14">
        <v>46235</v>
      </c>
      <c r="F288" s="13" t="s">
        <v>82</v>
      </c>
      <c r="G288" s="206"/>
      <c r="H288" s="206"/>
      <c r="I288" s="238">
        <f>I284</f>
        <v>174424.66000000003</v>
      </c>
      <c r="J288" s="206"/>
      <c r="K288" s="137"/>
      <c r="L288" s="137"/>
      <c r="M288" s="13"/>
      <c r="N288" s="13"/>
      <c r="O288" s="13"/>
      <c r="P288" s="13"/>
      <c r="Q288" s="13"/>
      <c r="R288" s="24"/>
      <c r="S288" s="24"/>
      <c r="T288" s="24"/>
      <c r="U288" s="13"/>
      <c r="V288" s="13"/>
      <c r="W288" s="33"/>
    </row>
    <row r="289" spans="1:23" x14ac:dyDescent="0.2">
      <c r="G289" s="197"/>
      <c r="H289" s="197"/>
      <c r="I289" s="197"/>
      <c r="J289" s="197"/>
      <c r="K289" s="4"/>
      <c r="O289" s="146" t="str">
        <f>_xlfn.XLOOKUP(N289,costcategory[Account Code],costcategory[Cost Category],"ERROR")</f>
        <v>ERROR</v>
      </c>
      <c r="Q289" s="147" t="str">
        <f>_xlfn.XLOOKUP(P289,Table2[Department],Table2[Group],"ERROR")</f>
        <v>ERROR</v>
      </c>
      <c r="R289" s="31"/>
      <c r="S289" s="31"/>
      <c r="T289" s="31"/>
    </row>
    <row r="290" spans="1:23" x14ac:dyDescent="0.2">
      <c r="G290" s="197"/>
      <c r="H290" s="197"/>
      <c r="I290" s="197"/>
      <c r="J290" s="197"/>
      <c r="K290" s="4"/>
      <c r="O290" s="146" t="str">
        <f>_xlfn.XLOOKUP(N290,costcategory[Account Code],costcategory[Cost Category],"ERROR")</f>
        <v>ERROR</v>
      </c>
      <c r="Q290" s="147" t="str">
        <f>_xlfn.XLOOKUP(P290,Table2[Department],Table2[Group],"ERROR")</f>
        <v>ERROR</v>
      </c>
      <c r="R290" s="31"/>
      <c r="S290" s="31"/>
      <c r="T290" s="31"/>
    </row>
    <row r="291" spans="1:23" x14ac:dyDescent="0.2">
      <c r="G291" s="197"/>
      <c r="H291" s="197"/>
      <c r="I291" s="197"/>
      <c r="J291" s="197"/>
      <c r="K291" s="4"/>
      <c r="R291" s="31"/>
      <c r="S291" s="31"/>
      <c r="T291" s="31"/>
    </row>
    <row r="292" spans="1:23" x14ac:dyDescent="0.2">
      <c r="A292" s="329" t="s">
        <v>1173</v>
      </c>
      <c r="B292" s="329"/>
      <c r="C292" s="329"/>
      <c r="D292" s="329"/>
      <c r="E292" s="14">
        <v>46265</v>
      </c>
      <c r="F292" s="13" t="s">
        <v>82</v>
      </c>
      <c r="G292" s="206"/>
      <c r="H292" s="207"/>
      <c r="I292" s="239">
        <f>I288-(SUM(I289:I291))</f>
        <v>174424.66000000003</v>
      </c>
      <c r="J292" s="207"/>
      <c r="K292" s="17"/>
      <c r="L292" s="17"/>
      <c r="M292" s="17"/>
      <c r="N292" s="17"/>
      <c r="O292" s="17"/>
      <c r="P292" s="17"/>
      <c r="Q292" s="17"/>
      <c r="R292" s="32"/>
      <c r="S292" s="32"/>
      <c r="T292" s="32"/>
      <c r="U292" s="20"/>
      <c r="V292" s="20"/>
    </row>
    <row r="293" spans="1:23" x14ac:dyDescent="0.2">
      <c r="G293" s="197"/>
      <c r="H293" s="197"/>
      <c r="I293" s="197"/>
      <c r="J293" s="197"/>
      <c r="K293" s="4"/>
      <c r="R293" s="31"/>
      <c r="S293" s="31"/>
      <c r="T293" s="31"/>
    </row>
    <row r="294" spans="1:23" x14ac:dyDescent="0.2">
      <c r="G294" s="197"/>
      <c r="H294" s="197"/>
      <c r="I294" s="197"/>
      <c r="J294" s="197">
        <f>FOREX!G9</f>
        <v>0.25201499999999999</v>
      </c>
      <c r="K294" s="4"/>
      <c r="R294" s="31"/>
      <c r="S294" s="31"/>
      <c r="T294" s="31"/>
    </row>
    <row r="295" spans="1:23" x14ac:dyDescent="0.2">
      <c r="A295" s="7" t="s">
        <v>87</v>
      </c>
      <c r="B295" s="7" t="s">
        <v>43</v>
      </c>
      <c r="C295" s="8" t="s">
        <v>54</v>
      </c>
      <c r="D295" s="8" t="s">
        <v>88</v>
      </c>
      <c r="E295" s="185" t="s">
        <v>1083</v>
      </c>
      <c r="F295" s="7" t="s">
        <v>70</v>
      </c>
      <c r="G295" s="201" t="s">
        <v>90</v>
      </c>
      <c r="H295" s="201" t="s">
        <v>91</v>
      </c>
      <c r="I295" s="201" t="s">
        <v>92</v>
      </c>
      <c r="J295" s="201" t="s">
        <v>72</v>
      </c>
      <c r="K295" s="132" t="s">
        <v>325</v>
      </c>
      <c r="L295" s="132" t="s">
        <v>94</v>
      </c>
      <c r="M295" s="7" t="s">
        <v>95</v>
      </c>
      <c r="N295" s="7" t="s">
        <v>53</v>
      </c>
      <c r="O295" s="7" t="s">
        <v>64</v>
      </c>
      <c r="P295" s="7" t="s">
        <v>67</v>
      </c>
      <c r="Q295" s="7" t="s">
        <v>44</v>
      </c>
      <c r="R295" s="23" t="s">
        <v>326</v>
      </c>
      <c r="S295" s="23" t="s">
        <v>327</v>
      </c>
      <c r="T295" s="23" t="s">
        <v>328</v>
      </c>
      <c r="U295" s="7" t="s">
        <v>98</v>
      </c>
      <c r="V295" s="7" t="s">
        <v>329</v>
      </c>
      <c r="W295" s="2"/>
    </row>
    <row r="296" spans="1:23" x14ac:dyDescent="0.2">
      <c r="A296" s="329" t="s">
        <v>1172</v>
      </c>
      <c r="B296" s="329"/>
      <c r="C296" s="329"/>
      <c r="D296" s="329"/>
      <c r="E296" s="14">
        <v>46266</v>
      </c>
      <c r="F296" s="13" t="s">
        <v>82</v>
      </c>
      <c r="G296" s="206"/>
      <c r="H296" s="206"/>
      <c r="I296" s="238">
        <f>I292</f>
        <v>174424.66000000003</v>
      </c>
      <c r="J296" s="206"/>
      <c r="K296" s="137"/>
      <c r="L296" s="137"/>
      <c r="M296" s="13"/>
      <c r="N296" s="13"/>
      <c r="O296" s="13"/>
      <c r="P296" s="13"/>
      <c r="Q296" s="13"/>
      <c r="R296" s="24"/>
      <c r="S296" s="24"/>
      <c r="T296" s="24"/>
      <c r="U296" s="13"/>
      <c r="V296" s="13"/>
      <c r="W296" s="33"/>
    </row>
    <row r="297" spans="1:23" x14ac:dyDescent="0.2">
      <c r="G297" s="197"/>
      <c r="H297" s="197"/>
      <c r="I297" s="197"/>
      <c r="J297" s="197"/>
      <c r="K297" s="4"/>
      <c r="O297" s="146" t="str">
        <f>_xlfn.XLOOKUP(N297,costcategory[Account Code],costcategory[Cost Category],"ERROR")</f>
        <v>ERROR</v>
      </c>
      <c r="Q297" s="147" t="str">
        <f>_xlfn.XLOOKUP(P297,Table2[Department],Table2[Group],"ERROR")</f>
        <v>ERROR</v>
      </c>
      <c r="R297" s="31"/>
      <c r="S297" s="31"/>
      <c r="T297" s="31"/>
    </row>
    <row r="298" spans="1:23" x14ac:dyDescent="0.2">
      <c r="G298" s="197"/>
      <c r="H298" s="197"/>
      <c r="I298" s="197"/>
      <c r="J298" s="197"/>
      <c r="K298" s="4"/>
      <c r="O298" s="146" t="str">
        <f>_xlfn.XLOOKUP(N298,costcategory[Account Code],costcategory[Cost Category],"ERROR")</f>
        <v>ERROR</v>
      </c>
      <c r="Q298" s="147" t="str">
        <f>_xlfn.XLOOKUP(P298,Table2[Department],Table2[Group],"ERROR")</f>
        <v>ERROR</v>
      </c>
      <c r="R298" s="31"/>
      <c r="S298" s="31"/>
      <c r="T298" s="31"/>
    </row>
    <row r="299" spans="1:23" x14ac:dyDescent="0.2">
      <c r="G299" s="197"/>
      <c r="H299" s="197"/>
      <c r="I299" s="197"/>
      <c r="J299" s="197"/>
      <c r="K299" s="4"/>
      <c r="R299" s="31"/>
      <c r="S299" s="31"/>
      <c r="T299" s="31"/>
    </row>
    <row r="300" spans="1:23" x14ac:dyDescent="0.2">
      <c r="A300" s="329" t="s">
        <v>1173</v>
      </c>
      <c r="B300" s="329"/>
      <c r="C300" s="329"/>
      <c r="D300" s="329"/>
      <c r="E300" s="14">
        <v>46295</v>
      </c>
      <c r="F300" s="13" t="s">
        <v>82</v>
      </c>
      <c r="G300" s="206"/>
      <c r="H300" s="207"/>
      <c r="I300" s="239">
        <f>I296-(SUM(I297:I299))</f>
        <v>174424.66000000003</v>
      </c>
      <c r="J300" s="207"/>
      <c r="K300" s="17"/>
      <c r="L300" s="17"/>
      <c r="M300" s="17"/>
      <c r="N300" s="17"/>
      <c r="O300" s="17"/>
      <c r="P300" s="17"/>
      <c r="Q300" s="17"/>
      <c r="R300" s="32"/>
      <c r="S300" s="32"/>
      <c r="T300" s="32"/>
      <c r="U300" s="20"/>
      <c r="V300" s="20"/>
    </row>
    <row r="301" spans="1:23" x14ac:dyDescent="0.2">
      <c r="G301" s="197"/>
      <c r="H301" s="197"/>
      <c r="I301" s="197"/>
      <c r="J301" s="197"/>
      <c r="K301" s="4"/>
      <c r="R301" s="31"/>
      <c r="S301" s="31"/>
      <c r="T301" s="31"/>
    </row>
    <row r="302" spans="1:23" x14ac:dyDescent="0.2">
      <c r="G302" s="197"/>
      <c r="H302" s="197"/>
      <c r="I302" s="197"/>
      <c r="J302" s="197">
        <f>FOREX!G10</f>
        <v>0.25201499999999999</v>
      </c>
      <c r="K302" s="4"/>
      <c r="R302" s="31"/>
      <c r="S302" s="31"/>
      <c r="T302" s="31"/>
    </row>
    <row r="303" spans="1:23" x14ac:dyDescent="0.2">
      <c r="A303" s="7" t="s">
        <v>87</v>
      </c>
      <c r="B303" s="7" t="s">
        <v>43</v>
      </c>
      <c r="C303" s="8" t="s">
        <v>54</v>
      </c>
      <c r="D303" s="8" t="s">
        <v>88</v>
      </c>
      <c r="E303" s="185" t="s">
        <v>1083</v>
      </c>
      <c r="F303" s="7" t="s">
        <v>70</v>
      </c>
      <c r="G303" s="201" t="s">
        <v>90</v>
      </c>
      <c r="H303" s="201" t="s">
        <v>91</v>
      </c>
      <c r="I303" s="201" t="s">
        <v>92</v>
      </c>
      <c r="J303" s="201" t="s">
        <v>72</v>
      </c>
      <c r="K303" s="132" t="s">
        <v>325</v>
      </c>
      <c r="L303" s="132" t="s">
        <v>94</v>
      </c>
      <c r="M303" s="7" t="s">
        <v>95</v>
      </c>
      <c r="N303" s="7" t="s">
        <v>53</v>
      </c>
      <c r="O303" s="7" t="s">
        <v>64</v>
      </c>
      <c r="P303" s="7" t="s">
        <v>67</v>
      </c>
      <c r="Q303" s="7" t="s">
        <v>44</v>
      </c>
      <c r="R303" s="23" t="s">
        <v>326</v>
      </c>
      <c r="S303" s="23" t="s">
        <v>327</v>
      </c>
      <c r="T303" s="23" t="s">
        <v>328</v>
      </c>
      <c r="U303" s="7" t="s">
        <v>98</v>
      </c>
      <c r="V303" s="7" t="s">
        <v>329</v>
      </c>
      <c r="W303" s="2"/>
    </row>
    <row r="304" spans="1:23" x14ac:dyDescent="0.2">
      <c r="A304" s="329" t="s">
        <v>1172</v>
      </c>
      <c r="B304" s="329"/>
      <c r="C304" s="329"/>
      <c r="D304" s="329"/>
      <c r="E304" s="14">
        <v>46296</v>
      </c>
      <c r="F304" s="13" t="s">
        <v>82</v>
      </c>
      <c r="G304" s="206"/>
      <c r="H304" s="206"/>
      <c r="I304" s="238">
        <f>I300</f>
        <v>174424.66000000003</v>
      </c>
      <c r="J304" s="206"/>
      <c r="K304" s="137"/>
      <c r="L304" s="137"/>
      <c r="M304" s="13"/>
      <c r="N304" s="13"/>
      <c r="O304" s="13"/>
      <c r="P304" s="13"/>
      <c r="Q304" s="13"/>
      <c r="R304" s="24"/>
      <c r="S304" s="24"/>
      <c r="T304" s="24"/>
      <c r="U304" s="13"/>
      <c r="V304" s="13"/>
      <c r="W304" s="33"/>
    </row>
    <row r="305" spans="1:23" x14ac:dyDescent="0.2">
      <c r="G305" s="197"/>
      <c r="H305" s="197"/>
      <c r="I305" s="197"/>
      <c r="J305" s="197"/>
      <c r="K305" s="4"/>
      <c r="O305" s="146" t="str">
        <f>_xlfn.XLOOKUP(N305,costcategory[Account Code],costcategory[Cost Category],"ERROR")</f>
        <v>ERROR</v>
      </c>
      <c r="Q305" s="147" t="str">
        <f>_xlfn.XLOOKUP(P305,Table2[Department],Table2[Group],"ERROR")</f>
        <v>ERROR</v>
      </c>
      <c r="R305" s="31"/>
      <c r="S305" s="31"/>
      <c r="T305" s="31"/>
    </row>
    <row r="306" spans="1:23" x14ac:dyDescent="0.2">
      <c r="G306" s="197"/>
      <c r="H306" s="197"/>
      <c r="I306" s="197"/>
      <c r="J306" s="197"/>
      <c r="K306" s="4"/>
      <c r="O306" s="146" t="str">
        <f>_xlfn.XLOOKUP(N306,costcategory[Account Code],costcategory[Cost Category],"ERROR")</f>
        <v>ERROR</v>
      </c>
      <c r="Q306" s="147" t="str">
        <f>_xlfn.XLOOKUP(P306,Table2[Department],Table2[Group],"ERROR")</f>
        <v>ERROR</v>
      </c>
      <c r="R306" s="31"/>
      <c r="S306" s="31"/>
      <c r="T306" s="31"/>
    </row>
    <row r="307" spans="1:23" x14ac:dyDescent="0.2">
      <c r="G307" s="197"/>
      <c r="H307" s="197"/>
      <c r="I307" s="197"/>
      <c r="J307" s="197"/>
      <c r="K307" s="4"/>
      <c r="R307" s="31"/>
      <c r="S307" s="31"/>
      <c r="T307" s="31"/>
    </row>
    <row r="308" spans="1:23" x14ac:dyDescent="0.2">
      <c r="A308" s="329" t="s">
        <v>1173</v>
      </c>
      <c r="B308" s="329"/>
      <c r="C308" s="329"/>
      <c r="D308" s="329"/>
      <c r="E308" s="14">
        <v>46326</v>
      </c>
      <c r="F308" s="13" t="s">
        <v>82</v>
      </c>
      <c r="G308" s="206"/>
      <c r="H308" s="207"/>
      <c r="I308" s="239">
        <f>I304-(SUM(I305:I307))</f>
        <v>174424.66000000003</v>
      </c>
      <c r="J308" s="207"/>
      <c r="K308" s="17"/>
      <c r="L308" s="17"/>
      <c r="M308" s="17"/>
      <c r="N308" s="17"/>
      <c r="O308" s="17"/>
      <c r="P308" s="17"/>
      <c r="Q308" s="17"/>
      <c r="R308" s="32"/>
      <c r="S308" s="32"/>
      <c r="T308" s="32"/>
      <c r="U308" s="20"/>
      <c r="V308" s="20"/>
    </row>
    <row r="309" spans="1:23" x14ac:dyDescent="0.2">
      <c r="G309" s="197"/>
      <c r="H309" s="197"/>
      <c r="I309" s="197"/>
      <c r="J309" s="197"/>
      <c r="K309" s="4"/>
      <c r="R309" s="31"/>
      <c r="S309" s="31"/>
      <c r="T309" s="31"/>
    </row>
    <row r="310" spans="1:23" x14ac:dyDescent="0.2">
      <c r="G310" s="197"/>
      <c r="H310" s="197"/>
      <c r="I310" s="197"/>
      <c r="J310" s="197">
        <f>FOREX!G11</f>
        <v>0.25201499999999999</v>
      </c>
      <c r="K310" s="4"/>
      <c r="R310" s="31"/>
      <c r="S310" s="31"/>
      <c r="T310" s="31"/>
    </row>
    <row r="311" spans="1:23" x14ac:dyDescent="0.2">
      <c r="A311" s="7" t="s">
        <v>87</v>
      </c>
      <c r="B311" s="7" t="s">
        <v>43</v>
      </c>
      <c r="C311" s="8" t="s">
        <v>54</v>
      </c>
      <c r="D311" s="8" t="s">
        <v>88</v>
      </c>
      <c r="E311" s="185" t="s">
        <v>1083</v>
      </c>
      <c r="F311" s="7" t="s">
        <v>70</v>
      </c>
      <c r="G311" s="201" t="s">
        <v>90</v>
      </c>
      <c r="H311" s="201" t="s">
        <v>91</v>
      </c>
      <c r="I311" s="201" t="s">
        <v>92</v>
      </c>
      <c r="J311" s="201" t="s">
        <v>72</v>
      </c>
      <c r="K311" s="132" t="s">
        <v>325</v>
      </c>
      <c r="L311" s="132" t="s">
        <v>94</v>
      </c>
      <c r="M311" s="7" t="s">
        <v>95</v>
      </c>
      <c r="N311" s="7" t="s">
        <v>53</v>
      </c>
      <c r="O311" s="7" t="s">
        <v>64</v>
      </c>
      <c r="P311" s="7" t="s">
        <v>67</v>
      </c>
      <c r="Q311" s="7" t="s">
        <v>44</v>
      </c>
      <c r="R311" s="23" t="s">
        <v>326</v>
      </c>
      <c r="S311" s="23" t="s">
        <v>327</v>
      </c>
      <c r="T311" s="23" t="s">
        <v>328</v>
      </c>
      <c r="U311" s="7" t="s">
        <v>98</v>
      </c>
      <c r="V311" s="7" t="s">
        <v>329</v>
      </c>
      <c r="W311" s="2"/>
    </row>
    <row r="312" spans="1:23" x14ac:dyDescent="0.2">
      <c r="A312" s="329" t="s">
        <v>1172</v>
      </c>
      <c r="B312" s="329"/>
      <c r="C312" s="329"/>
      <c r="D312" s="329"/>
      <c r="E312" s="14">
        <v>46327</v>
      </c>
      <c r="F312" s="13" t="s">
        <v>82</v>
      </c>
      <c r="G312" s="206"/>
      <c r="H312" s="206"/>
      <c r="I312" s="238">
        <f>I308</f>
        <v>174424.66000000003</v>
      </c>
      <c r="J312" s="206"/>
      <c r="K312" s="137"/>
      <c r="L312" s="137"/>
      <c r="M312" s="13"/>
      <c r="N312" s="13"/>
      <c r="O312" s="13"/>
      <c r="P312" s="13"/>
      <c r="Q312" s="13"/>
      <c r="R312" s="24"/>
      <c r="S312" s="24"/>
      <c r="T312" s="24"/>
      <c r="U312" s="13"/>
      <c r="V312" s="13"/>
      <c r="W312" s="33"/>
    </row>
    <row r="313" spans="1:23" x14ac:dyDescent="0.2">
      <c r="G313" s="197"/>
      <c r="H313" s="197"/>
      <c r="I313" s="197"/>
      <c r="J313" s="197"/>
      <c r="K313" s="4"/>
      <c r="O313" s="146" t="str">
        <f>_xlfn.XLOOKUP(N313,costcategory[Account Code],costcategory[Cost Category],"ERROR")</f>
        <v>ERROR</v>
      </c>
      <c r="Q313" s="147" t="str">
        <f>_xlfn.XLOOKUP(P313,Table2[Department],Table2[Group],"ERROR")</f>
        <v>ERROR</v>
      </c>
      <c r="R313" s="31"/>
      <c r="S313" s="31"/>
      <c r="T313" s="31"/>
    </row>
    <row r="314" spans="1:23" x14ac:dyDescent="0.2">
      <c r="G314" s="197"/>
      <c r="H314" s="197"/>
      <c r="I314" s="197"/>
      <c r="J314" s="197"/>
      <c r="K314" s="4"/>
      <c r="O314" s="146" t="str">
        <f>_xlfn.XLOOKUP(N314,costcategory[Account Code],costcategory[Cost Category],"ERROR")</f>
        <v>ERROR</v>
      </c>
      <c r="Q314" s="147" t="str">
        <f>_xlfn.XLOOKUP(P314,Table2[Department],Table2[Group],"ERROR")</f>
        <v>ERROR</v>
      </c>
      <c r="R314" s="31"/>
      <c r="S314" s="31"/>
      <c r="T314" s="31"/>
    </row>
    <row r="315" spans="1:23" x14ac:dyDescent="0.2">
      <c r="G315" s="197"/>
      <c r="H315" s="197"/>
      <c r="I315" s="197"/>
      <c r="J315" s="197"/>
      <c r="K315" s="4"/>
      <c r="R315" s="31"/>
      <c r="S315" s="31"/>
      <c r="T315" s="31"/>
    </row>
    <row r="316" spans="1:23" x14ac:dyDescent="0.2">
      <c r="A316" s="329" t="s">
        <v>1173</v>
      </c>
      <c r="B316" s="329"/>
      <c r="C316" s="329"/>
      <c r="D316" s="329"/>
      <c r="E316" s="14">
        <v>46356</v>
      </c>
      <c r="F316" s="13" t="s">
        <v>82</v>
      </c>
      <c r="G316" s="206"/>
      <c r="H316" s="207"/>
      <c r="I316" s="239">
        <f>I312-(SUM(I313:I315))</f>
        <v>174424.66000000003</v>
      </c>
      <c r="J316" s="207"/>
      <c r="K316" s="17"/>
      <c r="L316" s="17"/>
      <c r="M316" s="17"/>
      <c r="N316" s="17"/>
      <c r="O316" s="17"/>
      <c r="P316" s="17"/>
      <c r="Q316" s="17"/>
      <c r="R316" s="32"/>
      <c r="S316" s="32"/>
      <c r="T316" s="32"/>
      <c r="U316" s="20"/>
      <c r="V316" s="20"/>
    </row>
    <row r="317" spans="1:23" x14ac:dyDescent="0.2">
      <c r="G317" s="197"/>
      <c r="H317" s="197"/>
      <c r="I317" s="197"/>
      <c r="J317" s="197"/>
      <c r="K317" s="4"/>
      <c r="R317" s="31"/>
      <c r="S317" s="31"/>
      <c r="T317" s="31"/>
    </row>
    <row r="318" spans="1:23" x14ac:dyDescent="0.2">
      <c r="G318" s="197"/>
      <c r="H318" s="197"/>
      <c r="I318" s="197"/>
      <c r="J318" s="197">
        <f>FOREX!G12</f>
        <v>0.25201499999999999</v>
      </c>
      <c r="K318" s="4"/>
      <c r="R318" s="31"/>
      <c r="S318" s="31"/>
      <c r="T318" s="31"/>
    </row>
    <row r="319" spans="1:23" x14ac:dyDescent="0.2">
      <c r="A319" s="7" t="s">
        <v>87</v>
      </c>
      <c r="B319" s="7" t="s">
        <v>43</v>
      </c>
      <c r="C319" s="8" t="s">
        <v>54</v>
      </c>
      <c r="D319" s="8" t="s">
        <v>88</v>
      </c>
      <c r="E319" s="185" t="s">
        <v>1083</v>
      </c>
      <c r="F319" s="7" t="s">
        <v>70</v>
      </c>
      <c r="G319" s="201" t="s">
        <v>90</v>
      </c>
      <c r="H319" s="201" t="s">
        <v>91</v>
      </c>
      <c r="I319" s="201" t="s">
        <v>92</v>
      </c>
      <c r="J319" s="201" t="s">
        <v>72</v>
      </c>
      <c r="K319" s="132" t="s">
        <v>325</v>
      </c>
      <c r="L319" s="132" t="s">
        <v>94</v>
      </c>
      <c r="M319" s="7" t="s">
        <v>95</v>
      </c>
      <c r="N319" s="7" t="s">
        <v>53</v>
      </c>
      <c r="O319" s="7" t="s">
        <v>64</v>
      </c>
      <c r="P319" s="7" t="s">
        <v>67</v>
      </c>
      <c r="Q319" s="7" t="s">
        <v>44</v>
      </c>
      <c r="R319" s="23" t="s">
        <v>326</v>
      </c>
      <c r="S319" s="23" t="s">
        <v>327</v>
      </c>
      <c r="T319" s="23" t="s">
        <v>328</v>
      </c>
      <c r="U319" s="7" t="s">
        <v>98</v>
      </c>
      <c r="V319" s="7" t="s">
        <v>329</v>
      </c>
      <c r="W319" s="2"/>
    </row>
    <row r="320" spans="1:23" x14ac:dyDescent="0.2">
      <c r="A320" s="329" t="s">
        <v>1172</v>
      </c>
      <c r="B320" s="329"/>
      <c r="C320" s="329"/>
      <c r="D320" s="329"/>
      <c r="E320" s="14">
        <v>46357</v>
      </c>
      <c r="F320" s="13" t="s">
        <v>82</v>
      </c>
      <c r="G320" s="206"/>
      <c r="H320" s="206"/>
      <c r="I320" s="238">
        <f>I316</f>
        <v>174424.66000000003</v>
      </c>
      <c r="J320" s="206"/>
      <c r="K320" s="137"/>
      <c r="L320" s="137"/>
      <c r="M320" s="13"/>
      <c r="N320" s="13"/>
      <c r="O320" s="13"/>
      <c r="P320" s="13"/>
      <c r="Q320" s="13"/>
      <c r="R320" s="24"/>
      <c r="S320" s="24"/>
      <c r="T320" s="24"/>
      <c r="U320" s="13"/>
      <c r="V320" s="13"/>
      <c r="W320" s="33"/>
    </row>
    <row r="321" spans="1:22" x14ac:dyDescent="0.2">
      <c r="G321" s="197"/>
      <c r="H321" s="197"/>
      <c r="I321" s="197"/>
      <c r="J321" s="197"/>
      <c r="K321" s="4"/>
      <c r="O321" s="146" t="str">
        <f>_xlfn.XLOOKUP(N321,costcategory[Account Code],costcategory[Cost Category],"ERROR")</f>
        <v>ERROR</v>
      </c>
      <c r="Q321" s="147" t="str">
        <f>_xlfn.XLOOKUP(P321,Table2[Department],Table2[Group],"ERROR")</f>
        <v>ERROR</v>
      </c>
      <c r="R321" s="31"/>
      <c r="S321" s="31"/>
      <c r="T321" s="31"/>
    </row>
    <row r="322" spans="1:22" x14ac:dyDescent="0.2">
      <c r="G322" s="197"/>
      <c r="H322" s="197"/>
      <c r="I322" s="197"/>
      <c r="J322" s="197"/>
      <c r="K322" s="4"/>
      <c r="O322" s="146" t="str">
        <f>_xlfn.XLOOKUP(N322,costcategory[Account Code],costcategory[Cost Category],"ERROR")</f>
        <v>ERROR</v>
      </c>
      <c r="Q322" s="147" t="str">
        <f>_xlfn.XLOOKUP(P322,Table2[Department],Table2[Group],"ERROR")</f>
        <v>ERROR</v>
      </c>
      <c r="R322" s="31"/>
      <c r="S322" s="31"/>
      <c r="T322" s="31"/>
    </row>
    <row r="323" spans="1:22" x14ac:dyDescent="0.2">
      <c r="G323" s="197"/>
      <c r="H323" s="197"/>
      <c r="I323" s="197"/>
      <c r="J323" s="197"/>
      <c r="K323" s="4"/>
      <c r="R323" s="31"/>
      <c r="S323" s="31"/>
      <c r="T323" s="31"/>
    </row>
    <row r="324" spans="1:22" x14ac:dyDescent="0.2">
      <c r="A324" s="329" t="s">
        <v>1173</v>
      </c>
      <c r="B324" s="329"/>
      <c r="C324" s="329"/>
      <c r="D324" s="329"/>
      <c r="E324" s="14">
        <v>46387</v>
      </c>
      <c r="F324" s="13" t="s">
        <v>82</v>
      </c>
      <c r="G324" s="206"/>
      <c r="H324" s="207"/>
      <c r="I324" s="239">
        <f>I320-(SUM(I321:I323))</f>
        <v>174424.66000000003</v>
      </c>
      <c r="J324" s="207"/>
      <c r="K324" s="17"/>
      <c r="L324" s="17"/>
      <c r="M324" s="17"/>
      <c r="N324" s="17"/>
      <c r="O324" s="17"/>
      <c r="P324" s="17"/>
      <c r="Q324" s="17"/>
      <c r="R324" s="32"/>
      <c r="S324" s="32"/>
      <c r="T324" s="32"/>
      <c r="U324" s="20"/>
      <c r="V324" s="20"/>
    </row>
    <row r="325" spans="1:22" x14ac:dyDescent="0.2">
      <c r="G325" s="197"/>
      <c r="H325" s="197"/>
      <c r="I325" s="197"/>
      <c r="J325" s="197"/>
      <c r="K325" s="4"/>
      <c r="R325" s="31"/>
      <c r="S325" s="31"/>
      <c r="T325" s="31"/>
    </row>
    <row r="326" spans="1:22" x14ac:dyDescent="0.2">
      <c r="G326" s="197"/>
      <c r="H326" s="197"/>
      <c r="I326" s="197"/>
      <c r="J326" s="197"/>
      <c r="K326" s="4"/>
      <c r="R326" s="31"/>
      <c r="S326" s="31"/>
      <c r="T326" s="31"/>
    </row>
    <row r="327" spans="1:22" x14ac:dyDescent="0.2">
      <c r="G327" s="197"/>
      <c r="H327" s="197"/>
      <c r="I327" s="197"/>
      <c r="J327" s="197"/>
      <c r="K327" s="4"/>
      <c r="R327" s="31"/>
      <c r="S327" s="31"/>
      <c r="T327" s="31"/>
    </row>
    <row r="328" spans="1:22" x14ac:dyDescent="0.2">
      <c r="G328" s="197"/>
      <c r="H328" s="197"/>
      <c r="I328" s="197"/>
      <c r="J328" s="197"/>
      <c r="K328" s="4"/>
      <c r="R328" s="31"/>
      <c r="S328" s="31"/>
      <c r="T328" s="31"/>
    </row>
    <row r="329" spans="1:22" x14ac:dyDescent="0.2">
      <c r="G329" s="197"/>
      <c r="H329" s="197"/>
      <c r="I329" s="197"/>
      <c r="J329" s="197"/>
      <c r="K329" s="4"/>
      <c r="R329" s="31"/>
      <c r="S329" s="31"/>
      <c r="T329" s="31"/>
    </row>
  </sheetData>
  <autoFilter ref="A1:W276" xr:uid="{6892CE78-A0F0-4696-B3F6-E38E8E1860A0}"/>
  <mergeCells count="24">
    <mergeCell ref="A320:D320"/>
    <mergeCell ref="A324:D324"/>
    <mergeCell ref="A288:D288"/>
    <mergeCell ref="A300:D300"/>
    <mergeCell ref="A304:D304"/>
    <mergeCell ref="A308:D308"/>
    <mergeCell ref="A312:D312"/>
    <mergeCell ref="A292:D292"/>
    <mergeCell ref="A296:D296"/>
    <mergeCell ref="A316:D316"/>
    <mergeCell ref="A238:D238"/>
    <mergeCell ref="A276:D276"/>
    <mergeCell ref="A280:D280"/>
    <mergeCell ref="A284:D284"/>
    <mergeCell ref="A5:D5"/>
    <mergeCell ref="A44:D44"/>
    <mergeCell ref="A48:D48"/>
    <mergeCell ref="A99:D99"/>
    <mergeCell ref="A103:D103"/>
    <mergeCell ref="A192:D192"/>
    <mergeCell ref="A234:D234"/>
    <mergeCell ref="A155:D155"/>
    <mergeCell ref="A159:D159"/>
    <mergeCell ref="A188:D188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05F6B41-3DA0-4400-B54E-0BCDD6EF8B09}">
          <x14:formula1>
            <xm:f>Setting!$D$2:$D$15</xm:f>
          </x14:formula1>
          <xm:sqref>P6:P11 Q6:Q43 Q104:Q154 P160:P176 Q160:Q186 P187:Q187 P222:P223 Q193:Q232 P232 P321:Q322 P281:Q282 P289:Q290 P297:Q298 P305:Q306 P313:Q314 P49:Q98 P239:P245 Q239:Q250 P265:Q265 P267:Q274 Q266</xm:sqref>
        </x14:dataValidation>
        <x14:dataValidation type="list" allowBlank="1" showInputMessage="1" showErrorMessage="1" xr:uid="{C9FF4F93-FDD6-492C-97B3-9C0B028B1B65}">
          <x14:formula1>
            <xm:f>Setting!$B$2:$B$93</xm:f>
          </x14:formula1>
          <xm:sqref>O92 N312:N318 N160:N176 N104:N154 N49:N97 N187 N236 N217:N233 N320:N329 N280:N286 N288:N294 N296:N302 N304:N310 N6:N43 N238:N245 N251:N265 N267:N278</xm:sqref>
        </x14:dataValidation>
        <x14:dataValidation type="list" allowBlank="1" showInputMessage="1" showErrorMessage="1" xr:uid="{A850BF53-BD2B-42B3-A434-643B5B713E89}">
          <x14:formula1>
            <xm:f>Setting!$D$2:$D$16</xm:f>
          </x14:formula1>
          <xm:sqref>P104:P154 P236 P315:P318 P275:P278 P283:P286 P291:P294 P299:P302 P307:P310 P238 P280 P288 P296 P304 P312 P320 P323:P329 P12:P43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9DCD-0D17-4DF5-AACB-649C4293642B}">
  <dimension ref="A1:U85"/>
  <sheetViews>
    <sheetView zoomScale="90" zoomScaleNormal="90" workbookViewId="0">
      <pane ySplit="4" topLeftCell="A5" activePane="bottomLeft" state="frozen"/>
      <selection activeCell="E94" sqref="E94"/>
      <selection pane="bottomLeft" activeCell="J33" sqref="J33"/>
    </sheetView>
  </sheetViews>
  <sheetFormatPr defaultColWidth="9.140625" defaultRowHeight="12.75" customHeight="1" x14ac:dyDescent="0.2"/>
  <cols>
    <col min="1" max="2" width="5.7109375" style="2" customWidth="1"/>
    <col min="3" max="4" width="10.7109375" style="3" customWidth="1"/>
    <col min="5" max="5" width="10.7109375" style="126" customWidth="1"/>
    <col min="6" max="6" width="7.7109375" style="2" customWidth="1"/>
    <col min="7" max="9" width="12.7109375" style="213" customWidth="1"/>
    <col min="10" max="10" width="30.7109375" style="6" customWidth="1"/>
    <col min="11" max="11" width="20.7109375" style="22" customWidth="1"/>
    <col min="12" max="12" width="50.7109375" style="22" customWidth="1"/>
    <col min="13" max="13" width="20.7109375" style="22" customWidth="1"/>
    <col min="14" max="14" width="20.7109375" style="4" customWidth="1"/>
    <col min="15" max="16" width="20.7109375" style="31" customWidth="1"/>
    <col min="17" max="17" width="10.7109375" style="31" hidden="1" customWidth="1"/>
    <col min="18" max="19" width="10.7109375" style="2" hidden="1" customWidth="1"/>
    <col min="20" max="21" width="11.7109375" style="2" customWidth="1"/>
    <col min="22" max="16384" width="9.140625" style="4"/>
  </cols>
  <sheetData>
    <row r="1" spans="1:21" ht="12.95" customHeight="1" x14ac:dyDescent="0.2">
      <c r="G1" s="197"/>
      <c r="H1" s="197"/>
      <c r="I1" s="197"/>
      <c r="J1" s="4"/>
    </row>
    <row r="2" spans="1:21" ht="12.95" customHeight="1" x14ac:dyDescent="0.25">
      <c r="A2" s="187" t="s">
        <v>1386</v>
      </c>
      <c r="G2" s="197"/>
      <c r="H2" s="197"/>
      <c r="I2" s="197"/>
      <c r="J2" s="4"/>
    </row>
    <row r="3" spans="1:21" ht="12.95" customHeight="1" x14ac:dyDescent="0.2">
      <c r="A3" s="129"/>
      <c r="B3" s="120"/>
      <c r="C3" s="120"/>
      <c r="D3" s="121"/>
      <c r="E3" s="125"/>
      <c r="F3" s="121"/>
      <c r="G3" s="241"/>
      <c r="H3" s="241"/>
      <c r="I3" s="242" t="s">
        <v>4</v>
      </c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21"/>
      <c r="U3" s="116"/>
    </row>
    <row r="4" spans="1:21" s="2" customFormat="1" ht="12.95" customHeight="1" x14ac:dyDescent="0.2">
      <c r="A4" s="128" t="s">
        <v>87</v>
      </c>
      <c r="B4" s="128" t="s">
        <v>43</v>
      </c>
      <c r="C4" s="128" t="s">
        <v>54</v>
      </c>
      <c r="D4" s="128" t="s">
        <v>88</v>
      </c>
      <c r="E4" s="185" t="s">
        <v>1083</v>
      </c>
      <c r="F4" s="128" t="s">
        <v>70</v>
      </c>
      <c r="G4" s="243" t="s">
        <v>1387</v>
      </c>
      <c r="H4" s="243" t="s">
        <v>1388</v>
      </c>
      <c r="I4" s="243" t="s">
        <v>1389</v>
      </c>
      <c r="J4" s="128" t="s">
        <v>325</v>
      </c>
      <c r="K4" s="128" t="s">
        <v>94</v>
      </c>
      <c r="L4" s="128" t="s">
        <v>95</v>
      </c>
      <c r="M4" s="128" t="s">
        <v>53</v>
      </c>
      <c r="N4" s="128" t="s">
        <v>64</v>
      </c>
      <c r="O4" s="128" t="s">
        <v>67</v>
      </c>
      <c r="P4" s="128" t="s">
        <v>1390</v>
      </c>
      <c r="Q4" s="128" t="s">
        <v>326</v>
      </c>
      <c r="R4" s="128" t="s">
        <v>327</v>
      </c>
      <c r="S4" s="128" t="s">
        <v>328</v>
      </c>
      <c r="T4" s="128" t="s">
        <v>98</v>
      </c>
      <c r="U4" s="128" t="s">
        <v>1316</v>
      </c>
    </row>
    <row r="5" spans="1:21" s="2" customFormat="1" ht="12.95" customHeight="1" x14ac:dyDescent="0.2">
      <c r="A5" s="122"/>
      <c r="B5" s="122"/>
      <c r="C5" s="122"/>
      <c r="D5" s="122"/>
      <c r="E5" s="127"/>
      <c r="F5" s="122"/>
      <c r="G5" s="244"/>
      <c r="H5" s="244"/>
      <c r="I5" s="244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22"/>
      <c r="U5" s="117"/>
    </row>
    <row r="6" spans="1:21" s="33" customFormat="1" ht="12.95" customHeight="1" x14ac:dyDescent="0.2">
      <c r="A6" s="330" t="s">
        <v>1172</v>
      </c>
      <c r="B6" s="330"/>
      <c r="C6" s="330"/>
      <c r="D6" s="330"/>
      <c r="E6" s="14">
        <v>46023</v>
      </c>
      <c r="F6" s="123" t="s">
        <v>4</v>
      </c>
      <c r="G6" s="245" t="s">
        <v>1391</v>
      </c>
      <c r="H6" s="245" t="s">
        <v>1391</v>
      </c>
      <c r="I6" s="245">
        <v>11798.62</v>
      </c>
      <c r="J6" s="118" t="s">
        <v>1391</v>
      </c>
      <c r="K6" s="118" t="s">
        <v>1391</v>
      </c>
      <c r="L6" s="118" t="s">
        <v>1391</v>
      </c>
      <c r="M6" s="118" t="s">
        <v>1391</v>
      </c>
      <c r="N6" s="118" t="s">
        <v>1391</v>
      </c>
      <c r="O6" s="118" t="s">
        <v>1391</v>
      </c>
      <c r="P6" s="118" t="s">
        <v>1391</v>
      </c>
      <c r="Q6" s="118" t="s">
        <v>1391</v>
      </c>
      <c r="R6" s="118" t="s">
        <v>1391</v>
      </c>
      <c r="S6" s="118" t="s">
        <v>1391</v>
      </c>
      <c r="T6" s="123" t="s">
        <v>1391</v>
      </c>
      <c r="U6" s="118" t="s">
        <v>1391</v>
      </c>
    </row>
    <row r="7" spans="1:21" ht="12.95" customHeight="1" x14ac:dyDescent="0.2">
      <c r="A7" s="121" t="s">
        <v>15</v>
      </c>
      <c r="B7" s="121" t="s">
        <v>2</v>
      </c>
      <c r="C7" s="121" t="s">
        <v>1048</v>
      </c>
      <c r="D7" s="121" t="s">
        <v>1048</v>
      </c>
      <c r="E7" s="125" t="s">
        <v>1048</v>
      </c>
      <c r="F7" s="121" t="s">
        <v>4</v>
      </c>
      <c r="G7" s="241">
        <v>11698.62</v>
      </c>
      <c r="H7" s="204">
        <v>0</v>
      </c>
      <c r="I7" s="241">
        <v>11698.62</v>
      </c>
      <c r="J7" s="116" t="s">
        <v>448</v>
      </c>
      <c r="K7" s="116" t="s">
        <v>1049</v>
      </c>
      <c r="L7" s="116" t="s">
        <v>1050</v>
      </c>
      <c r="M7" s="4" t="s">
        <v>1049</v>
      </c>
      <c r="N7" s="146" t="str">
        <f>_xlfn.XLOOKUP(M7,costcategory[Account Code],costcategory[Cost Category],"ERROR")</f>
        <v>Bank</v>
      </c>
      <c r="O7" s="116" t="s">
        <v>333</v>
      </c>
      <c r="P7" s="147" t="str">
        <f>_xlfn.XLOOKUP(O7,Table2[Department],Table2[Group],"ERROR")</f>
        <v>General &amp; Administrative</v>
      </c>
      <c r="Q7" s="116"/>
      <c r="R7" s="116"/>
      <c r="S7" s="116"/>
      <c r="T7" s="121" t="s">
        <v>1189</v>
      </c>
      <c r="U7" s="116"/>
    </row>
    <row r="8" spans="1:21" ht="12.95" customHeight="1" x14ac:dyDescent="0.2">
      <c r="A8" s="121" t="s">
        <v>15</v>
      </c>
      <c r="B8" s="121" t="s">
        <v>2</v>
      </c>
      <c r="C8" s="121" t="s">
        <v>1051</v>
      </c>
      <c r="D8" s="121" t="s">
        <v>1051</v>
      </c>
      <c r="E8" s="125" t="s">
        <v>1051</v>
      </c>
      <c r="F8" s="121" t="s">
        <v>4</v>
      </c>
      <c r="G8" s="241">
        <v>-58000</v>
      </c>
      <c r="H8" s="204">
        <v>0</v>
      </c>
      <c r="I8" s="241">
        <v>-58000</v>
      </c>
      <c r="J8" s="116" t="s">
        <v>1052</v>
      </c>
      <c r="K8" s="116" t="s">
        <v>1047</v>
      </c>
      <c r="L8" s="116" t="s">
        <v>1053</v>
      </c>
      <c r="M8" s="4" t="s">
        <v>1047</v>
      </c>
      <c r="N8" s="146" t="str">
        <f>_xlfn.XLOOKUP(M8,costcategory[Account Code],costcategory[Cost Category],"ERROR")</f>
        <v>Current Liabilities</v>
      </c>
      <c r="O8" s="116" t="s">
        <v>340</v>
      </c>
      <c r="P8" s="147" t="str">
        <f>_xlfn.XLOOKUP(O8,Table2[Department],Table2[Group],"ERROR")</f>
        <v>General &amp; Administrative</v>
      </c>
      <c r="Q8" s="116"/>
      <c r="R8" s="116"/>
      <c r="S8" s="116"/>
      <c r="T8" s="121" t="s">
        <v>1392</v>
      </c>
      <c r="U8" s="116"/>
    </row>
    <row r="9" spans="1:21" ht="12.95" customHeight="1" x14ac:dyDescent="0.2">
      <c r="A9" s="121" t="s">
        <v>15</v>
      </c>
      <c r="B9" s="121" t="s">
        <v>2</v>
      </c>
      <c r="C9" s="121" t="s">
        <v>1051</v>
      </c>
      <c r="D9" s="121" t="s">
        <v>1051</v>
      </c>
      <c r="E9" s="125" t="s">
        <v>1051</v>
      </c>
      <c r="F9" s="121" t="s">
        <v>4</v>
      </c>
      <c r="G9" s="241">
        <v>2.5099999999999998</v>
      </c>
      <c r="H9" s="204">
        <v>0</v>
      </c>
      <c r="I9" s="241">
        <v>2.5099999999999998</v>
      </c>
      <c r="J9" s="116" t="s">
        <v>455</v>
      </c>
      <c r="K9" s="116" t="s">
        <v>332</v>
      </c>
      <c r="L9" s="116" t="s">
        <v>1054</v>
      </c>
      <c r="M9" s="4" t="s">
        <v>332</v>
      </c>
      <c r="N9" s="146" t="str">
        <f>_xlfn.XLOOKUP(M9,costcategory[Account Code],costcategory[Cost Category],"ERROR")</f>
        <v>Bank Charges</v>
      </c>
      <c r="O9" s="116" t="s">
        <v>340</v>
      </c>
      <c r="P9" s="147" t="str">
        <f>_xlfn.XLOOKUP(O9,Table2[Department],Table2[Group],"ERROR")</f>
        <v>General &amp; Administrative</v>
      </c>
      <c r="Q9" s="116"/>
      <c r="R9" s="116"/>
      <c r="S9" s="116"/>
      <c r="T9" s="121" t="s">
        <v>1393</v>
      </c>
      <c r="U9" s="116"/>
    </row>
    <row r="10" spans="1:21" ht="12.95" customHeight="1" x14ac:dyDescent="0.2">
      <c r="A10" s="121" t="s">
        <v>15</v>
      </c>
      <c r="B10" s="121" t="s">
        <v>2</v>
      </c>
      <c r="C10" s="121" t="s">
        <v>1051</v>
      </c>
      <c r="D10" s="121" t="s">
        <v>1051</v>
      </c>
      <c r="E10" s="125" t="s">
        <v>1051</v>
      </c>
      <c r="F10" s="121" t="s">
        <v>4</v>
      </c>
      <c r="G10" s="241">
        <v>58000</v>
      </c>
      <c r="H10" s="204">
        <v>0</v>
      </c>
      <c r="I10" s="241">
        <v>58000</v>
      </c>
      <c r="J10" s="116" t="s">
        <v>448</v>
      </c>
      <c r="K10" s="116" t="s">
        <v>1049</v>
      </c>
      <c r="L10" s="116" t="s">
        <v>1050</v>
      </c>
      <c r="M10" s="4" t="s">
        <v>1049</v>
      </c>
      <c r="N10" s="146" t="str">
        <f>_xlfn.XLOOKUP(M10,costcategory[Account Code],costcategory[Cost Category],"ERROR")</f>
        <v>Bank</v>
      </c>
      <c r="O10" s="116" t="s">
        <v>333</v>
      </c>
      <c r="P10" s="147" t="str">
        <f>_xlfn.XLOOKUP(O10,Table2[Department],Table2[Group],"ERROR")</f>
        <v>General &amp; Administrative</v>
      </c>
      <c r="Q10" s="116"/>
      <c r="R10" s="116"/>
      <c r="S10" s="116"/>
      <c r="T10" s="121" t="s">
        <v>1394</v>
      </c>
      <c r="U10" s="116"/>
    </row>
    <row r="11" spans="1:21" ht="12.95" customHeight="1" x14ac:dyDescent="0.2">
      <c r="A11" s="121" t="s">
        <v>15</v>
      </c>
      <c r="B11" s="121" t="s">
        <v>2</v>
      </c>
      <c r="C11" s="121" t="s">
        <v>1058</v>
      </c>
      <c r="D11" s="121" t="s">
        <v>1058</v>
      </c>
      <c r="E11" s="125" t="s">
        <v>1058</v>
      </c>
      <c r="F11" s="121" t="s">
        <v>4</v>
      </c>
      <c r="G11" s="241">
        <v>-63000</v>
      </c>
      <c r="H11" s="204">
        <v>0</v>
      </c>
      <c r="I11" s="241">
        <v>-63000</v>
      </c>
      <c r="J11" s="116" t="s">
        <v>1052</v>
      </c>
      <c r="K11" s="116" t="s">
        <v>1047</v>
      </c>
      <c r="L11" s="116" t="s">
        <v>1059</v>
      </c>
      <c r="M11" s="4" t="s">
        <v>1047</v>
      </c>
      <c r="N11" s="146" t="str">
        <f>_xlfn.XLOOKUP(M11,costcategory[Account Code],costcategory[Cost Category],"ERROR")</f>
        <v>Current Liabilities</v>
      </c>
      <c r="O11" s="116" t="s">
        <v>340</v>
      </c>
      <c r="P11" s="147" t="str">
        <f>_xlfn.XLOOKUP(O11,Table2[Department],Table2[Group],"ERROR")</f>
        <v>General &amp; Administrative</v>
      </c>
      <c r="Q11" s="116"/>
      <c r="R11" s="116"/>
      <c r="S11" s="116"/>
      <c r="T11" s="121" t="s">
        <v>1395</v>
      </c>
      <c r="U11" s="116"/>
    </row>
    <row r="12" spans="1:21" ht="12.95" customHeight="1" x14ac:dyDescent="0.2">
      <c r="A12" s="121" t="s">
        <v>15</v>
      </c>
      <c r="B12" s="121" t="s">
        <v>2</v>
      </c>
      <c r="C12" s="121" t="s">
        <v>1058</v>
      </c>
      <c r="D12" s="121" t="s">
        <v>1058</v>
      </c>
      <c r="E12" s="125" t="s">
        <v>1058</v>
      </c>
      <c r="F12" s="121" t="s">
        <v>4</v>
      </c>
      <c r="G12" s="241">
        <v>2.56</v>
      </c>
      <c r="H12" s="204">
        <v>0</v>
      </c>
      <c r="I12" s="241">
        <v>2.56</v>
      </c>
      <c r="J12" s="116" t="s">
        <v>455</v>
      </c>
      <c r="K12" s="116" t="s">
        <v>332</v>
      </c>
      <c r="L12" s="116" t="s">
        <v>332</v>
      </c>
      <c r="M12" s="4" t="s">
        <v>332</v>
      </c>
      <c r="N12" s="146" t="str">
        <f>_xlfn.XLOOKUP(M12,costcategory[Account Code],costcategory[Cost Category],"ERROR")</f>
        <v>Bank Charges</v>
      </c>
      <c r="O12" s="116" t="s">
        <v>333</v>
      </c>
      <c r="P12" s="147" t="str">
        <f>_xlfn.XLOOKUP(O12,Table2[Department],Table2[Group],"ERROR")</f>
        <v>General &amp; Administrative</v>
      </c>
      <c r="Q12" s="116"/>
      <c r="R12" s="116"/>
      <c r="S12" s="116"/>
      <c r="T12" s="121" t="s">
        <v>1396</v>
      </c>
      <c r="U12" s="116"/>
    </row>
    <row r="13" spans="1:21" ht="12.95" customHeight="1" x14ac:dyDescent="0.2">
      <c r="A13" s="121" t="s">
        <v>15</v>
      </c>
      <c r="B13" s="121" t="s">
        <v>2</v>
      </c>
      <c r="C13" s="121" t="s">
        <v>1060</v>
      </c>
      <c r="D13" s="121" t="s">
        <v>1060</v>
      </c>
      <c r="E13" s="125" t="s">
        <v>1060</v>
      </c>
      <c r="F13" s="121" t="s">
        <v>4</v>
      </c>
      <c r="G13" s="241">
        <v>62990</v>
      </c>
      <c r="H13" s="204">
        <v>0</v>
      </c>
      <c r="I13" s="241">
        <v>62990</v>
      </c>
      <c r="J13" s="116" t="s">
        <v>448</v>
      </c>
      <c r="K13" s="116" t="s">
        <v>1049</v>
      </c>
      <c r="L13" s="116" t="s">
        <v>1050</v>
      </c>
      <c r="M13" s="4" t="s">
        <v>1049</v>
      </c>
      <c r="N13" s="146" t="str">
        <f>_xlfn.XLOOKUP(M13,costcategory[Account Code],costcategory[Cost Category],"ERROR")</f>
        <v>Bank</v>
      </c>
      <c r="O13" s="116" t="s">
        <v>333</v>
      </c>
      <c r="P13" s="147" t="str">
        <f>_xlfn.XLOOKUP(O13,Table2[Department],Table2[Group],"ERROR")</f>
        <v>General &amp; Administrative</v>
      </c>
      <c r="Q13" s="116"/>
      <c r="R13" s="116"/>
      <c r="S13" s="116"/>
      <c r="T13" s="121" t="s">
        <v>1397</v>
      </c>
      <c r="U13" s="116"/>
    </row>
    <row r="14" spans="1:21" ht="12.95" customHeight="1" x14ac:dyDescent="0.2">
      <c r="A14" s="121"/>
      <c r="B14" s="121"/>
      <c r="C14" s="121"/>
      <c r="D14" s="121"/>
      <c r="E14" s="125"/>
      <c r="F14" s="121" t="s">
        <v>4</v>
      </c>
      <c r="G14" s="241"/>
      <c r="H14" s="204"/>
      <c r="I14" s="220">
        <f>SUM(I7:I13)</f>
        <v>11693.690000000002</v>
      </c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21"/>
      <c r="U14" s="116"/>
    </row>
    <row r="15" spans="1:21" ht="12.95" customHeight="1" x14ac:dyDescent="0.2">
      <c r="A15" s="330" t="s">
        <v>1173</v>
      </c>
      <c r="B15" s="330"/>
      <c r="C15" s="330"/>
      <c r="D15" s="330"/>
      <c r="E15" s="124" t="s">
        <v>1398</v>
      </c>
      <c r="F15" s="123" t="s">
        <v>4</v>
      </c>
      <c r="G15" s="245" t="s">
        <v>1391</v>
      </c>
      <c r="H15" s="246" t="s">
        <v>1391</v>
      </c>
      <c r="I15" s="247">
        <f>I6-I14</f>
        <v>104.92999999999847</v>
      </c>
      <c r="J15" s="119" t="s">
        <v>1391</v>
      </c>
      <c r="K15" s="119" t="s">
        <v>1391</v>
      </c>
      <c r="L15" s="119" t="s">
        <v>1391</v>
      </c>
      <c r="M15" s="119" t="s">
        <v>1391</v>
      </c>
      <c r="N15" s="119" t="s">
        <v>1391</v>
      </c>
      <c r="O15" s="119" t="s">
        <v>1391</v>
      </c>
      <c r="P15" s="119" t="s">
        <v>1391</v>
      </c>
      <c r="Q15" s="119" t="s">
        <v>1391</v>
      </c>
      <c r="R15" s="119" t="s">
        <v>1391</v>
      </c>
      <c r="S15" s="119" t="s">
        <v>1391</v>
      </c>
      <c r="T15" s="130" t="s">
        <v>1391</v>
      </c>
      <c r="U15" s="119" t="s">
        <v>1391</v>
      </c>
    </row>
    <row r="16" spans="1:21" ht="12.95" customHeight="1" x14ac:dyDescent="0.2">
      <c r="A16" s="121"/>
      <c r="B16" s="121"/>
      <c r="C16" s="121"/>
      <c r="D16" s="121"/>
      <c r="E16" s="125"/>
      <c r="F16" s="121"/>
      <c r="G16" s="241"/>
      <c r="H16" s="241"/>
      <c r="I16" s="241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21"/>
      <c r="U16" s="116"/>
    </row>
    <row r="17" spans="1:21" ht="12.95" customHeight="1" x14ac:dyDescent="0.2">
      <c r="A17" s="330" t="s">
        <v>1172</v>
      </c>
      <c r="B17" s="330"/>
      <c r="C17" s="330"/>
      <c r="D17" s="330"/>
      <c r="E17" s="14">
        <v>46054</v>
      </c>
      <c r="F17" s="123" t="s">
        <v>4</v>
      </c>
      <c r="G17" s="245" t="s">
        <v>1391</v>
      </c>
      <c r="H17" s="245" t="s">
        <v>1391</v>
      </c>
      <c r="I17" s="245">
        <f>I15</f>
        <v>104.92999999999847</v>
      </c>
      <c r="J17" s="118" t="s">
        <v>1391</v>
      </c>
      <c r="K17" s="118" t="s">
        <v>1391</v>
      </c>
      <c r="L17" s="118" t="s">
        <v>1391</v>
      </c>
      <c r="M17" s="118" t="s">
        <v>1391</v>
      </c>
      <c r="N17" s="118" t="s">
        <v>1391</v>
      </c>
      <c r="O17" s="118" t="s">
        <v>1391</v>
      </c>
      <c r="P17" s="118" t="s">
        <v>1391</v>
      </c>
      <c r="Q17" s="118" t="s">
        <v>1391</v>
      </c>
      <c r="R17" s="118" t="s">
        <v>1391</v>
      </c>
      <c r="S17" s="118" t="s">
        <v>1391</v>
      </c>
      <c r="T17" s="123" t="s">
        <v>1391</v>
      </c>
      <c r="U17" s="118" t="s">
        <v>1391</v>
      </c>
    </row>
    <row r="18" spans="1:21" ht="12.95" customHeight="1" x14ac:dyDescent="0.2">
      <c r="A18" s="121" t="s">
        <v>15</v>
      </c>
      <c r="B18" s="121" t="s">
        <v>2</v>
      </c>
      <c r="C18" s="121" t="s">
        <v>1055</v>
      </c>
      <c r="D18" s="121" t="s">
        <v>1055</v>
      </c>
      <c r="E18" s="125" t="s">
        <v>1055</v>
      </c>
      <c r="F18" s="121" t="s">
        <v>4</v>
      </c>
      <c r="G18" s="241">
        <v>-190100</v>
      </c>
      <c r="H18" s="204">
        <v>0</v>
      </c>
      <c r="I18" s="241">
        <v>-190100</v>
      </c>
      <c r="J18" s="116" t="s">
        <v>448</v>
      </c>
      <c r="K18" s="116"/>
      <c r="L18" s="116" t="s">
        <v>1050</v>
      </c>
      <c r="M18" s="4" t="s">
        <v>1049</v>
      </c>
      <c r="N18" s="146" t="str">
        <f>_xlfn.XLOOKUP(M18,costcategory[Account Code],costcategory[Cost Category],"ERROR")</f>
        <v>Bank</v>
      </c>
      <c r="O18" s="116" t="s">
        <v>333</v>
      </c>
      <c r="P18" s="147" t="str">
        <f>_xlfn.XLOOKUP(O18,Table2[Department],Table2[Group],"ERROR")</f>
        <v>General &amp; Administrative</v>
      </c>
      <c r="Q18" s="116"/>
      <c r="R18" s="116"/>
      <c r="S18" s="116"/>
      <c r="T18" s="121" t="s">
        <v>1399</v>
      </c>
      <c r="U18" s="116"/>
    </row>
    <row r="19" spans="1:21" ht="12.95" customHeight="1" x14ac:dyDescent="0.2">
      <c r="A19" s="121" t="s">
        <v>15</v>
      </c>
      <c r="B19" s="121" t="s">
        <v>2</v>
      </c>
      <c r="C19" s="121" t="s">
        <v>1056</v>
      </c>
      <c r="D19" s="121" t="s">
        <v>1056</v>
      </c>
      <c r="E19" s="125" t="s">
        <v>1056</v>
      </c>
      <c r="F19" s="121" t="s">
        <v>4</v>
      </c>
      <c r="G19" s="241">
        <v>190000</v>
      </c>
      <c r="H19" s="204">
        <v>0</v>
      </c>
      <c r="I19" s="248">
        <v>190000</v>
      </c>
      <c r="J19" s="116" t="s">
        <v>1052</v>
      </c>
      <c r="K19" s="116"/>
      <c r="L19" s="116" t="s">
        <v>1057</v>
      </c>
      <c r="M19" s="4" t="s">
        <v>1047</v>
      </c>
      <c r="N19" s="146" t="str">
        <f>_xlfn.XLOOKUP(M19,costcategory[Account Code],costcategory[Cost Category],"ERROR")</f>
        <v>Current Liabilities</v>
      </c>
      <c r="O19" s="116" t="s">
        <v>333</v>
      </c>
      <c r="P19" s="147" t="str">
        <f>_xlfn.XLOOKUP(O19,Table2[Department],Table2[Group],"ERROR")</f>
        <v>General &amp; Administrative</v>
      </c>
      <c r="Q19" s="116"/>
      <c r="R19" s="116"/>
      <c r="S19" s="116"/>
      <c r="T19" s="121" t="s">
        <v>1400</v>
      </c>
      <c r="U19" s="116"/>
    </row>
    <row r="20" spans="1:21" ht="12.95" customHeight="1" x14ac:dyDescent="0.2">
      <c r="A20" s="121" t="s">
        <v>15</v>
      </c>
      <c r="B20" s="121" t="s">
        <v>2</v>
      </c>
      <c r="C20" s="121" t="s">
        <v>1056</v>
      </c>
      <c r="D20" s="121" t="s">
        <v>1056</v>
      </c>
      <c r="E20" s="125" t="s">
        <v>1056</v>
      </c>
      <c r="F20" s="121" t="s">
        <v>4</v>
      </c>
      <c r="G20" s="241">
        <v>5.66</v>
      </c>
      <c r="H20" s="204">
        <v>0</v>
      </c>
      <c r="I20" s="249">
        <v>5.66</v>
      </c>
      <c r="J20" s="116" t="s">
        <v>1052</v>
      </c>
      <c r="K20" s="116"/>
      <c r="L20" s="116" t="s">
        <v>332</v>
      </c>
      <c r="M20" s="4" t="s">
        <v>332</v>
      </c>
      <c r="N20" s="146" t="str">
        <f>_xlfn.XLOOKUP(M20,costcategory[Account Code],costcategory[Cost Category],"ERROR")</f>
        <v>Bank Charges</v>
      </c>
      <c r="O20" s="116" t="s">
        <v>333</v>
      </c>
      <c r="P20" s="147" t="str">
        <f>_xlfn.XLOOKUP(O20,Table2[Department],Table2[Group],"ERROR")</f>
        <v>General &amp; Administrative</v>
      </c>
      <c r="Q20" s="116"/>
      <c r="R20" s="116"/>
      <c r="S20" s="116"/>
      <c r="T20" s="121" t="s">
        <v>1400</v>
      </c>
      <c r="U20" s="116"/>
    </row>
    <row r="21" spans="1:21" ht="12.95" customHeight="1" x14ac:dyDescent="0.2">
      <c r="A21" s="121"/>
      <c r="B21" s="121"/>
      <c r="C21" s="121"/>
      <c r="D21" s="121"/>
      <c r="E21" s="125"/>
      <c r="F21" s="121" t="s">
        <v>4</v>
      </c>
      <c r="G21" s="241"/>
      <c r="H21" s="241"/>
      <c r="I21" s="220">
        <f>SUM(I18:I20)</f>
        <v>-94.34</v>
      </c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21"/>
      <c r="U21" s="116"/>
    </row>
    <row r="22" spans="1:21" ht="12.95" customHeight="1" x14ac:dyDescent="0.2">
      <c r="A22" s="330" t="s">
        <v>1173</v>
      </c>
      <c r="B22" s="330"/>
      <c r="C22" s="330"/>
      <c r="D22" s="330"/>
      <c r="E22" s="124" t="s">
        <v>1401</v>
      </c>
      <c r="F22" s="123" t="s">
        <v>4</v>
      </c>
      <c r="G22" s="245" t="s">
        <v>1391</v>
      </c>
      <c r="H22" s="246" t="s">
        <v>1391</v>
      </c>
      <c r="I22" s="247">
        <f>I17-I21</f>
        <v>199.26999999999848</v>
      </c>
      <c r="J22" s="119" t="s">
        <v>1391</v>
      </c>
      <c r="K22" s="119"/>
      <c r="L22" s="119" t="s">
        <v>1391</v>
      </c>
      <c r="M22" s="119" t="s">
        <v>1391</v>
      </c>
      <c r="N22" s="119" t="s">
        <v>1391</v>
      </c>
      <c r="O22" s="119" t="s">
        <v>1391</v>
      </c>
      <c r="P22" s="119" t="s">
        <v>1391</v>
      </c>
      <c r="Q22" s="119" t="s">
        <v>1391</v>
      </c>
      <c r="R22" s="119" t="s">
        <v>1391</v>
      </c>
      <c r="S22" s="119" t="s">
        <v>1391</v>
      </c>
      <c r="T22" s="130" t="s">
        <v>1391</v>
      </c>
      <c r="U22" s="119" t="s">
        <v>1391</v>
      </c>
    </row>
    <row r="23" spans="1:21" ht="12.95" customHeight="1" x14ac:dyDescent="0.2">
      <c r="A23" s="121"/>
      <c r="B23" s="121"/>
      <c r="C23" s="121"/>
      <c r="D23" s="121"/>
      <c r="E23" s="125"/>
      <c r="F23" s="121"/>
      <c r="G23" s="241"/>
      <c r="H23" s="241"/>
      <c r="I23" s="241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21"/>
      <c r="U23" s="116"/>
    </row>
    <row r="24" spans="1:21" s="33" customFormat="1" x14ac:dyDescent="0.2">
      <c r="A24" s="330" t="s">
        <v>1172</v>
      </c>
      <c r="B24" s="330"/>
      <c r="C24" s="330"/>
      <c r="D24" s="330"/>
      <c r="E24" s="14">
        <v>46082</v>
      </c>
      <c r="F24" s="123" t="s">
        <v>4</v>
      </c>
      <c r="G24" s="245" t="s">
        <v>1391</v>
      </c>
      <c r="H24" s="245" t="s">
        <v>1391</v>
      </c>
      <c r="I24" s="245">
        <f>I22</f>
        <v>199.26999999999848</v>
      </c>
      <c r="J24" s="118" t="s">
        <v>1391</v>
      </c>
      <c r="K24" s="118" t="s">
        <v>1391</v>
      </c>
      <c r="L24" s="118" t="s">
        <v>1391</v>
      </c>
      <c r="M24" s="118" t="s">
        <v>1391</v>
      </c>
      <c r="N24" s="118" t="s">
        <v>1391</v>
      </c>
      <c r="O24" s="118" t="s">
        <v>1391</v>
      </c>
      <c r="P24" s="118" t="s">
        <v>1391</v>
      </c>
      <c r="Q24" s="118" t="s">
        <v>1391</v>
      </c>
      <c r="R24" s="118" t="s">
        <v>1391</v>
      </c>
      <c r="S24" s="118" t="s">
        <v>1391</v>
      </c>
      <c r="T24" s="123" t="s">
        <v>1391</v>
      </c>
      <c r="U24" s="118" t="s">
        <v>1391</v>
      </c>
    </row>
    <row r="25" spans="1:21" ht="12.95" customHeight="1" x14ac:dyDescent="0.2">
      <c r="A25" s="121" t="s">
        <v>15</v>
      </c>
      <c r="B25" s="121" t="s">
        <v>2</v>
      </c>
      <c r="C25" s="3">
        <v>46083</v>
      </c>
      <c r="D25" s="3">
        <v>46083</v>
      </c>
      <c r="E25" s="3">
        <v>46083</v>
      </c>
      <c r="F25" s="121" t="s">
        <v>4</v>
      </c>
      <c r="G25" s="241">
        <v>26.76</v>
      </c>
      <c r="H25" s="204">
        <v>0</v>
      </c>
      <c r="I25" s="241">
        <v>26.76</v>
      </c>
      <c r="J25" s="116" t="s">
        <v>455</v>
      </c>
      <c r="K25" s="116"/>
      <c r="L25" s="116" t="s">
        <v>332</v>
      </c>
      <c r="M25" s="4" t="s">
        <v>332</v>
      </c>
      <c r="N25" s="146" t="str">
        <f>_xlfn.XLOOKUP(M25,costcategory[Account Code],costcategory[Cost Category],"ERROR")</f>
        <v>Bank Charges</v>
      </c>
      <c r="O25" s="22" t="s">
        <v>333</v>
      </c>
      <c r="P25" s="147" t="str">
        <f>_xlfn.XLOOKUP(O25,Table2[Department],Table2[Group],"ERROR")</f>
        <v>General &amp; Administrative</v>
      </c>
      <c r="Q25" s="116"/>
      <c r="R25" s="116"/>
      <c r="S25" s="116"/>
      <c r="T25" s="121" t="s">
        <v>1019</v>
      </c>
      <c r="U25" s="116"/>
    </row>
    <row r="26" spans="1:21" ht="12.95" customHeight="1" x14ac:dyDescent="0.2">
      <c r="A26" s="121"/>
      <c r="B26" s="121"/>
      <c r="C26" s="121"/>
      <c r="D26" s="121"/>
      <c r="E26" s="125"/>
      <c r="F26" s="121" t="s">
        <v>4</v>
      </c>
      <c r="G26" s="241"/>
      <c r="H26" s="241"/>
      <c r="I26" s="241">
        <f>SUM(I25)</f>
        <v>26.76</v>
      </c>
      <c r="J26" s="116"/>
      <c r="K26" s="116"/>
      <c r="L26" s="116"/>
      <c r="M26" s="4"/>
      <c r="N26" s="116"/>
      <c r="O26" s="116"/>
      <c r="P26" s="116"/>
      <c r="Q26" s="116"/>
      <c r="R26" s="116"/>
      <c r="S26" s="116"/>
      <c r="T26" s="121"/>
      <c r="U26" s="116"/>
    </row>
    <row r="27" spans="1:21" ht="12.95" customHeight="1" x14ac:dyDescent="0.2">
      <c r="A27" s="330" t="s">
        <v>1173</v>
      </c>
      <c r="B27" s="330"/>
      <c r="C27" s="330"/>
      <c r="D27" s="330"/>
      <c r="E27" s="124" t="s">
        <v>1402</v>
      </c>
      <c r="F27" s="123" t="s">
        <v>4</v>
      </c>
      <c r="G27" s="245" t="s">
        <v>1391</v>
      </c>
      <c r="H27" s="246" t="s">
        <v>1391</v>
      </c>
      <c r="I27" s="247">
        <f>I24-I26</f>
        <v>172.50999999999848</v>
      </c>
      <c r="J27" s="119" t="s">
        <v>1391</v>
      </c>
      <c r="K27" s="119" t="s">
        <v>1391</v>
      </c>
      <c r="L27" s="119" t="s">
        <v>1391</v>
      </c>
      <c r="M27" s="119" t="s">
        <v>1391</v>
      </c>
      <c r="N27" s="119" t="s">
        <v>1391</v>
      </c>
      <c r="O27" s="119" t="s">
        <v>1391</v>
      </c>
      <c r="P27" s="119" t="s">
        <v>1391</v>
      </c>
      <c r="Q27" s="119" t="s">
        <v>1391</v>
      </c>
      <c r="R27" s="119" t="s">
        <v>1391</v>
      </c>
      <c r="S27" s="119" t="s">
        <v>1391</v>
      </c>
      <c r="T27" s="130" t="s">
        <v>1391</v>
      </c>
      <c r="U27" s="119" t="s">
        <v>1391</v>
      </c>
    </row>
    <row r="28" spans="1:21" ht="12.95" customHeight="1" x14ac:dyDescent="0.2">
      <c r="A28" s="121"/>
      <c r="B28" s="121"/>
      <c r="C28" s="121"/>
      <c r="D28" s="121"/>
      <c r="E28" s="125"/>
      <c r="F28" s="121"/>
      <c r="G28" s="241"/>
      <c r="H28" s="241"/>
      <c r="I28" s="241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21"/>
      <c r="U28" s="116"/>
    </row>
    <row r="29" spans="1:21" ht="12.75" customHeight="1" x14ac:dyDescent="0.2">
      <c r="A29" s="329" t="s">
        <v>1172</v>
      </c>
      <c r="B29" s="329"/>
      <c r="C29" s="329"/>
      <c r="D29" s="329"/>
      <c r="E29" s="14">
        <v>46174</v>
      </c>
      <c r="F29" s="13" t="s">
        <v>4</v>
      </c>
      <c r="G29" s="206"/>
      <c r="H29" s="206"/>
      <c r="I29" s="211">
        <f>I27</f>
        <v>172.50999999999848</v>
      </c>
      <c r="J29" s="78"/>
      <c r="K29" s="74"/>
      <c r="L29" s="24"/>
      <c r="M29" s="24"/>
      <c r="N29" s="13"/>
      <c r="O29" s="24"/>
      <c r="P29" s="24"/>
      <c r="Q29" s="13"/>
      <c r="R29" s="13"/>
      <c r="S29" s="13"/>
      <c r="T29" s="13"/>
      <c r="U29" s="13"/>
    </row>
    <row r="30" spans="1:21" ht="12.75" customHeight="1" x14ac:dyDescent="0.2">
      <c r="A30" s="121" t="s">
        <v>15</v>
      </c>
      <c r="B30" s="121" t="s">
        <v>2</v>
      </c>
      <c r="C30" s="121"/>
      <c r="D30" s="121"/>
      <c r="E30" s="125"/>
      <c r="F30" s="121" t="s">
        <v>4</v>
      </c>
      <c r="G30" s="204"/>
      <c r="H30" s="204"/>
      <c r="I30" s="205"/>
      <c r="J30" s="34"/>
      <c r="M30" s="4"/>
      <c r="N30" s="146" t="str">
        <f>_xlfn.XLOOKUP(M30,costcategory[Account Code],costcategory[Cost Category],"ERROR")</f>
        <v>ERROR</v>
      </c>
      <c r="O30" s="22"/>
      <c r="P30" s="147" t="str">
        <f>_xlfn.XLOOKUP(O30,Table2[Department],Table2[Group],"ERROR")</f>
        <v>ERROR</v>
      </c>
      <c r="Q30" s="72"/>
      <c r="R30" s="72"/>
      <c r="S30" s="4"/>
      <c r="T30" s="72"/>
      <c r="U30" s="4"/>
    </row>
    <row r="31" spans="1:21" ht="12.75" customHeight="1" x14ac:dyDescent="0.2">
      <c r="A31" s="121" t="s">
        <v>15</v>
      </c>
      <c r="B31" s="121" t="s">
        <v>2</v>
      </c>
      <c r="C31" s="121"/>
      <c r="D31" s="121"/>
      <c r="E31" s="125"/>
      <c r="F31" s="121" t="s">
        <v>4</v>
      </c>
      <c r="G31" s="199"/>
      <c r="H31" s="199"/>
      <c r="I31" s="212"/>
      <c r="J31" s="16"/>
      <c r="M31" s="4"/>
      <c r="N31" s="146" t="str">
        <f>_xlfn.XLOOKUP(M31,costcategory[Account Code],costcategory[Cost Category],"ERROR")</f>
        <v>ERROR</v>
      </c>
      <c r="O31" s="22"/>
      <c r="P31" s="147" t="str">
        <f>_xlfn.XLOOKUP(O31,Table2[Department],Table2[Group],"ERROR")</f>
        <v>ERROR</v>
      </c>
      <c r="Q31" s="18"/>
      <c r="R31" s="18"/>
      <c r="S31" s="4"/>
      <c r="T31" s="18"/>
      <c r="U31" s="4"/>
    </row>
    <row r="32" spans="1:21" ht="12.75" customHeight="1" x14ac:dyDescent="0.2">
      <c r="E32" s="3"/>
      <c r="G32" s="199"/>
      <c r="H32" s="199"/>
      <c r="I32" s="212">
        <f>SUM(I30:I31)</f>
        <v>0</v>
      </c>
      <c r="J32" s="16"/>
      <c r="O32" s="22"/>
      <c r="P32" s="22"/>
      <c r="Q32" s="2"/>
      <c r="S32" s="4"/>
      <c r="U32" s="4"/>
    </row>
    <row r="33" spans="1:21" ht="12.75" customHeight="1" x14ac:dyDescent="0.2">
      <c r="A33" s="329" t="s">
        <v>1173</v>
      </c>
      <c r="B33" s="329"/>
      <c r="C33" s="329"/>
      <c r="D33" s="329"/>
      <c r="E33" s="14">
        <v>46203</v>
      </c>
      <c r="F33" s="13" t="s">
        <v>4</v>
      </c>
      <c r="G33" s="206"/>
      <c r="H33" s="207"/>
      <c r="I33" s="208">
        <f>I29-I32</f>
        <v>172.50999999999848</v>
      </c>
      <c r="J33" s="17"/>
      <c r="K33" s="25"/>
      <c r="L33" s="25"/>
      <c r="M33" s="25"/>
      <c r="N33" s="17"/>
      <c r="O33" s="25"/>
      <c r="P33" s="25"/>
      <c r="Q33" s="20"/>
      <c r="R33" s="20"/>
      <c r="S33" s="17"/>
      <c r="T33" s="20"/>
      <c r="U33" s="20"/>
    </row>
    <row r="34" spans="1:21" ht="12.75" customHeight="1" x14ac:dyDescent="0.2">
      <c r="E34" s="3"/>
      <c r="G34" s="199"/>
      <c r="H34" s="199"/>
      <c r="I34" s="212"/>
      <c r="J34" s="16"/>
      <c r="O34" s="22"/>
      <c r="P34" s="22"/>
      <c r="Q34" s="2"/>
      <c r="S34" s="4"/>
      <c r="U34" s="4"/>
    </row>
    <row r="35" spans="1:21" ht="12.75" customHeight="1" x14ac:dyDescent="0.2">
      <c r="A35" s="7" t="s">
        <v>87</v>
      </c>
      <c r="B35" s="7" t="s">
        <v>43</v>
      </c>
      <c r="C35" s="8" t="s">
        <v>54</v>
      </c>
      <c r="D35" s="8" t="s">
        <v>88</v>
      </c>
      <c r="E35" s="185" t="s">
        <v>1083</v>
      </c>
      <c r="F35" s="7" t="s">
        <v>70</v>
      </c>
      <c r="G35" s="201" t="s">
        <v>90</v>
      </c>
      <c r="H35" s="201" t="s">
        <v>91</v>
      </c>
      <c r="I35" s="201" t="s">
        <v>92</v>
      </c>
      <c r="J35" s="75" t="s">
        <v>325</v>
      </c>
      <c r="K35" s="73" t="s">
        <v>94</v>
      </c>
      <c r="L35" s="23" t="s">
        <v>95</v>
      </c>
      <c r="M35" s="23" t="s">
        <v>53</v>
      </c>
      <c r="N35" s="7" t="s">
        <v>64</v>
      </c>
      <c r="O35" s="23" t="s">
        <v>67</v>
      </c>
      <c r="P35" s="23" t="s">
        <v>44</v>
      </c>
      <c r="Q35" s="128" t="s">
        <v>326</v>
      </c>
      <c r="R35" s="128" t="s">
        <v>327</v>
      </c>
      <c r="S35" s="128" t="s">
        <v>328</v>
      </c>
      <c r="T35" s="128" t="s">
        <v>98</v>
      </c>
      <c r="U35" s="128" t="s">
        <v>1316</v>
      </c>
    </row>
    <row r="36" spans="1:21" ht="12.75" customHeight="1" x14ac:dyDescent="0.2">
      <c r="A36" s="329" t="s">
        <v>1172</v>
      </c>
      <c r="B36" s="329"/>
      <c r="C36" s="329"/>
      <c r="D36" s="329"/>
      <c r="E36" s="14">
        <v>46204</v>
      </c>
      <c r="F36" s="13" t="s">
        <v>4</v>
      </c>
      <c r="G36" s="206"/>
      <c r="H36" s="206"/>
      <c r="I36" s="211">
        <f>I33</f>
        <v>172.50999999999848</v>
      </c>
      <c r="J36" s="78"/>
      <c r="K36" s="74"/>
      <c r="L36" s="24"/>
      <c r="M36" s="24"/>
      <c r="N36" s="13"/>
      <c r="O36" s="24"/>
      <c r="P36" s="24"/>
      <c r="Q36" s="13"/>
      <c r="R36" s="13"/>
      <c r="S36" s="13"/>
      <c r="T36" s="13"/>
      <c r="U36" s="13"/>
    </row>
    <row r="37" spans="1:21" ht="12.75" customHeight="1" x14ac:dyDescent="0.2">
      <c r="E37" s="3"/>
      <c r="G37" s="204"/>
      <c r="H37" s="204"/>
      <c r="I37" s="205"/>
      <c r="J37" s="34"/>
      <c r="M37" s="4"/>
      <c r="N37" s="146" t="str">
        <f>_xlfn.XLOOKUP(M37,costcategory[Account Code],costcategory[Cost Category],"ERROR")</f>
        <v>ERROR</v>
      </c>
      <c r="O37" s="22"/>
      <c r="P37" s="147" t="str">
        <f>_xlfn.XLOOKUP(O37,Table2[Department],Table2[Group],"ERROR")</f>
        <v>ERROR</v>
      </c>
      <c r="Q37" s="72"/>
      <c r="R37" s="72"/>
      <c r="S37" s="4"/>
      <c r="T37" s="72"/>
      <c r="U37" s="4"/>
    </row>
    <row r="38" spans="1:21" ht="12.75" customHeight="1" x14ac:dyDescent="0.2">
      <c r="E38" s="3"/>
      <c r="G38" s="199"/>
      <c r="H38" s="199"/>
      <c r="I38" s="212"/>
      <c r="J38" s="16"/>
      <c r="M38" s="4"/>
      <c r="N38" s="146" t="str">
        <f>_xlfn.XLOOKUP(M38,costcategory[Account Code],costcategory[Cost Category],"ERROR")</f>
        <v>ERROR</v>
      </c>
      <c r="O38" s="22"/>
      <c r="P38" s="147" t="str">
        <f>_xlfn.XLOOKUP(O38,Table2[Department],Table2[Group],"ERROR")</f>
        <v>ERROR</v>
      </c>
      <c r="Q38" s="18"/>
      <c r="R38" s="18"/>
      <c r="S38" s="4"/>
      <c r="T38" s="18"/>
      <c r="U38" s="4"/>
    </row>
    <row r="39" spans="1:21" ht="12.75" customHeight="1" x14ac:dyDescent="0.2">
      <c r="E39" s="3"/>
      <c r="G39" s="199"/>
      <c r="H39" s="199"/>
      <c r="I39" s="212">
        <f>SUM(I37:I38)</f>
        <v>0</v>
      </c>
      <c r="J39" s="16"/>
      <c r="O39" s="22"/>
      <c r="P39" s="22"/>
      <c r="Q39" s="2"/>
      <c r="S39" s="4"/>
      <c r="U39" s="4"/>
    </row>
    <row r="40" spans="1:21" ht="12.75" customHeight="1" x14ac:dyDescent="0.2">
      <c r="A40" s="329" t="s">
        <v>1173</v>
      </c>
      <c r="B40" s="329"/>
      <c r="C40" s="329"/>
      <c r="D40" s="329"/>
      <c r="E40" s="14">
        <v>46234</v>
      </c>
      <c r="F40" s="13" t="s">
        <v>4</v>
      </c>
      <c r="G40" s="206"/>
      <c r="H40" s="207"/>
      <c r="I40" s="208">
        <f>I36-I39</f>
        <v>172.50999999999848</v>
      </c>
      <c r="J40" s="17"/>
      <c r="K40" s="25"/>
      <c r="L40" s="25"/>
      <c r="M40" s="25"/>
      <c r="N40" s="17"/>
      <c r="O40" s="25"/>
      <c r="P40" s="25"/>
      <c r="Q40" s="20"/>
      <c r="R40" s="20"/>
      <c r="S40" s="17"/>
      <c r="T40" s="20"/>
      <c r="U40" s="20"/>
    </row>
    <row r="41" spans="1:21" ht="12.75" customHeight="1" x14ac:dyDescent="0.2">
      <c r="E41" s="3"/>
      <c r="G41" s="199"/>
      <c r="H41" s="199"/>
      <c r="I41" s="212"/>
      <c r="J41" s="16"/>
      <c r="O41" s="22"/>
      <c r="P41" s="22"/>
      <c r="Q41" s="2"/>
      <c r="S41" s="4"/>
      <c r="U41" s="4"/>
    </row>
    <row r="42" spans="1:21" ht="12.75" customHeight="1" x14ac:dyDescent="0.2">
      <c r="A42" s="7" t="s">
        <v>87</v>
      </c>
      <c r="B42" s="7" t="s">
        <v>43</v>
      </c>
      <c r="C42" s="8" t="s">
        <v>54</v>
      </c>
      <c r="D42" s="8" t="s">
        <v>88</v>
      </c>
      <c r="E42" s="185" t="s">
        <v>1083</v>
      </c>
      <c r="F42" s="7" t="s">
        <v>70</v>
      </c>
      <c r="G42" s="201" t="s">
        <v>90</v>
      </c>
      <c r="H42" s="201" t="s">
        <v>91</v>
      </c>
      <c r="I42" s="201" t="s">
        <v>92</v>
      </c>
      <c r="J42" s="75" t="s">
        <v>325</v>
      </c>
      <c r="K42" s="73" t="s">
        <v>94</v>
      </c>
      <c r="L42" s="23" t="s">
        <v>95</v>
      </c>
      <c r="M42" s="23" t="s">
        <v>53</v>
      </c>
      <c r="N42" s="7" t="s">
        <v>64</v>
      </c>
      <c r="O42" s="23" t="s">
        <v>67</v>
      </c>
      <c r="P42" s="23" t="s">
        <v>44</v>
      </c>
      <c r="Q42" s="128" t="s">
        <v>326</v>
      </c>
      <c r="R42" s="128" t="s">
        <v>327</v>
      </c>
      <c r="S42" s="128" t="s">
        <v>328</v>
      </c>
      <c r="T42" s="128" t="s">
        <v>98</v>
      </c>
      <c r="U42" s="128" t="s">
        <v>1316</v>
      </c>
    </row>
    <row r="43" spans="1:21" ht="12.75" customHeight="1" x14ac:dyDescent="0.2">
      <c r="A43" s="329" t="s">
        <v>1172</v>
      </c>
      <c r="B43" s="329"/>
      <c r="C43" s="329"/>
      <c r="D43" s="329"/>
      <c r="E43" s="14">
        <v>46235</v>
      </c>
      <c r="F43" s="13" t="s">
        <v>4</v>
      </c>
      <c r="G43" s="206"/>
      <c r="H43" s="206"/>
      <c r="I43" s="211">
        <f>I40</f>
        <v>172.50999999999848</v>
      </c>
      <c r="J43" s="78"/>
      <c r="K43" s="74"/>
      <c r="L43" s="24"/>
      <c r="M43" s="24"/>
      <c r="N43" s="13"/>
      <c r="O43" s="24"/>
      <c r="P43" s="24"/>
      <c r="Q43" s="13"/>
      <c r="R43" s="13"/>
      <c r="S43" s="13"/>
      <c r="T43" s="13"/>
      <c r="U43" s="13"/>
    </row>
    <row r="44" spans="1:21" ht="12.75" customHeight="1" x14ac:dyDescent="0.2">
      <c r="E44" s="3"/>
      <c r="G44" s="204"/>
      <c r="H44" s="204"/>
      <c r="I44" s="205"/>
      <c r="J44" s="34"/>
      <c r="M44" s="4"/>
      <c r="N44" s="146" t="str">
        <f>_xlfn.XLOOKUP(M44,costcategory[Account Code],costcategory[Cost Category],"ERROR")</f>
        <v>ERROR</v>
      </c>
      <c r="O44" s="22"/>
      <c r="P44" s="147" t="str">
        <f>_xlfn.XLOOKUP(O44,Table2[Department],Table2[Group],"ERROR")</f>
        <v>ERROR</v>
      </c>
      <c r="Q44" s="72"/>
      <c r="R44" s="72"/>
      <c r="S44" s="4"/>
      <c r="T44" s="72"/>
      <c r="U44" s="4"/>
    </row>
    <row r="45" spans="1:21" ht="12.75" customHeight="1" x14ac:dyDescent="0.2">
      <c r="E45" s="3"/>
      <c r="G45" s="199"/>
      <c r="H45" s="199"/>
      <c r="I45" s="212"/>
      <c r="J45" s="16"/>
      <c r="M45" s="4"/>
      <c r="N45" s="146" t="str">
        <f>_xlfn.XLOOKUP(M45,costcategory[Account Code],costcategory[Cost Category],"ERROR")</f>
        <v>ERROR</v>
      </c>
      <c r="O45" s="22"/>
      <c r="P45" s="147" t="str">
        <f>_xlfn.XLOOKUP(O45,Table2[Department],Table2[Group],"ERROR")</f>
        <v>ERROR</v>
      </c>
      <c r="Q45" s="18"/>
      <c r="R45" s="18"/>
      <c r="S45" s="4"/>
      <c r="T45" s="18"/>
      <c r="U45" s="4"/>
    </row>
    <row r="46" spans="1:21" ht="12.75" customHeight="1" x14ac:dyDescent="0.2">
      <c r="E46" s="3"/>
      <c r="G46" s="199"/>
      <c r="H46" s="199"/>
      <c r="I46" s="212">
        <f>SUM(I44:I45)</f>
        <v>0</v>
      </c>
      <c r="J46" s="16"/>
      <c r="O46" s="22"/>
      <c r="P46" s="22"/>
      <c r="Q46" s="2"/>
      <c r="S46" s="4"/>
      <c r="U46" s="4"/>
    </row>
    <row r="47" spans="1:21" ht="12.75" customHeight="1" x14ac:dyDescent="0.2">
      <c r="A47" s="329" t="s">
        <v>1173</v>
      </c>
      <c r="B47" s="329"/>
      <c r="C47" s="329"/>
      <c r="D47" s="329"/>
      <c r="E47" s="14">
        <v>46265</v>
      </c>
      <c r="F47" s="13" t="s">
        <v>4</v>
      </c>
      <c r="G47" s="206"/>
      <c r="H47" s="207"/>
      <c r="I47" s="208">
        <f>I43-I46</f>
        <v>172.50999999999848</v>
      </c>
      <c r="J47" s="17"/>
      <c r="K47" s="25"/>
      <c r="L47" s="25"/>
      <c r="M47" s="25"/>
      <c r="N47" s="17"/>
      <c r="O47" s="25"/>
      <c r="P47" s="25"/>
      <c r="Q47" s="20"/>
      <c r="R47" s="20"/>
      <c r="S47" s="17"/>
      <c r="T47" s="20"/>
      <c r="U47" s="20"/>
    </row>
    <row r="48" spans="1:21" ht="12.75" customHeight="1" x14ac:dyDescent="0.2">
      <c r="E48" s="3"/>
      <c r="G48" s="199"/>
      <c r="H48" s="199"/>
      <c r="I48" s="212"/>
      <c r="J48" s="16"/>
      <c r="O48" s="22"/>
      <c r="P48" s="22"/>
      <c r="Q48" s="2"/>
      <c r="S48" s="4"/>
      <c r="U48" s="4"/>
    </row>
    <row r="49" spans="1:21" ht="12.75" customHeight="1" x14ac:dyDescent="0.2">
      <c r="E49" s="3"/>
      <c r="G49" s="199"/>
      <c r="H49" s="199"/>
      <c r="I49" s="212"/>
      <c r="J49" s="16"/>
      <c r="O49" s="22"/>
      <c r="P49" s="22"/>
      <c r="Q49" s="2"/>
      <c r="S49" s="4"/>
      <c r="U49" s="4"/>
    </row>
    <row r="50" spans="1:21" ht="12.75" customHeight="1" x14ac:dyDescent="0.2">
      <c r="E50" s="3"/>
      <c r="G50" s="199"/>
      <c r="H50" s="199"/>
      <c r="I50" s="212"/>
      <c r="J50" s="16"/>
      <c r="O50" s="22"/>
      <c r="P50" s="22"/>
      <c r="Q50" s="2"/>
      <c r="S50" s="4"/>
      <c r="U50" s="4"/>
    </row>
    <row r="51" spans="1:21" ht="12.75" customHeight="1" x14ac:dyDescent="0.2">
      <c r="A51" s="7" t="s">
        <v>87</v>
      </c>
      <c r="B51" s="7" t="s">
        <v>43</v>
      </c>
      <c r="C51" s="8" t="s">
        <v>54</v>
      </c>
      <c r="D51" s="8" t="s">
        <v>88</v>
      </c>
      <c r="E51" s="185" t="s">
        <v>1083</v>
      </c>
      <c r="F51" s="7" t="s">
        <v>70</v>
      </c>
      <c r="G51" s="201" t="s">
        <v>90</v>
      </c>
      <c r="H51" s="201" t="s">
        <v>91</v>
      </c>
      <c r="I51" s="201" t="s">
        <v>92</v>
      </c>
      <c r="J51" s="75" t="s">
        <v>325</v>
      </c>
      <c r="K51" s="73" t="s">
        <v>94</v>
      </c>
      <c r="L51" s="23" t="s">
        <v>95</v>
      </c>
      <c r="M51" s="23" t="s">
        <v>53</v>
      </c>
      <c r="N51" s="7" t="s">
        <v>64</v>
      </c>
      <c r="O51" s="23" t="s">
        <v>67</v>
      </c>
      <c r="P51" s="23" t="s">
        <v>44</v>
      </c>
      <c r="Q51" s="128" t="s">
        <v>326</v>
      </c>
      <c r="R51" s="128" t="s">
        <v>327</v>
      </c>
      <c r="S51" s="128" t="s">
        <v>328</v>
      </c>
      <c r="T51" s="128" t="s">
        <v>98</v>
      </c>
      <c r="U51" s="128" t="s">
        <v>1316</v>
      </c>
    </row>
    <row r="52" spans="1:21" ht="12.75" customHeight="1" x14ac:dyDescent="0.2">
      <c r="A52" s="329" t="s">
        <v>1172</v>
      </c>
      <c r="B52" s="329"/>
      <c r="C52" s="329"/>
      <c r="D52" s="329"/>
      <c r="E52" s="14">
        <v>46266</v>
      </c>
      <c r="F52" s="13" t="s">
        <v>4</v>
      </c>
      <c r="G52" s="206"/>
      <c r="H52" s="206"/>
      <c r="I52" s="211">
        <f>I47</f>
        <v>172.50999999999848</v>
      </c>
      <c r="J52" s="78"/>
      <c r="K52" s="74"/>
      <c r="L52" s="24"/>
      <c r="M52" s="24"/>
      <c r="N52" s="13"/>
      <c r="O52" s="24"/>
      <c r="P52" s="24"/>
      <c r="Q52" s="13"/>
      <c r="R52" s="13"/>
      <c r="S52" s="13"/>
      <c r="T52" s="13"/>
      <c r="U52" s="13"/>
    </row>
    <row r="53" spans="1:21" ht="12.75" customHeight="1" x14ac:dyDescent="0.2">
      <c r="E53" s="3"/>
      <c r="G53" s="204"/>
      <c r="H53" s="204"/>
      <c r="I53" s="205"/>
      <c r="J53" s="34"/>
      <c r="M53" s="4"/>
      <c r="N53" s="146" t="str">
        <f>_xlfn.XLOOKUP(M53,costcategory[Account Code],costcategory[Cost Category],"ERROR")</f>
        <v>ERROR</v>
      </c>
      <c r="O53" s="22"/>
      <c r="P53" s="147" t="str">
        <f>_xlfn.XLOOKUP(O53,Table2[Department],Table2[Group],"ERROR")</f>
        <v>ERROR</v>
      </c>
      <c r="Q53" s="72"/>
      <c r="R53" s="72"/>
      <c r="S53" s="4"/>
      <c r="T53" s="72"/>
      <c r="U53" s="4"/>
    </row>
    <row r="54" spans="1:21" ht="12.75" customHeight="1" x14ac:dyDescent="0.2">
      <c r="E54" s="3"/>
      <c r="G54" s="199"/>
      <c r="H54" s="199"/>
      <c r="I54" s="212"/>
      <c r="J54" s="16"/>
      <c r="M54" s="4"/>
      <c r="N54" s="146" t="str">
        <f>_xlfn.XLOOKUP(M54,costcategory[Account Code],costcategory[Cost Category],"ERROR")</f>
        <v>ERROR</v>
      </c>
      <c r="O54" s="22"/>
      <c r="P54" s="147" t="str">
        <f>_xlfn.XLOOKUP(O54,Table2[Department],Table2[Group],"ERROR")</f>
        <v>ERROR</v>
      </c>
      <c r="Q54" s="18"/>
      <c r="R54" s="18"/>
      <c r="S54" s="4"/>
      <c r="T54" s="18"/>
      <c r="U54" s="4"/>
    </row>
    <row r="55" spans="1:21" ht="12.75" customHeight="1" x14ac:dyDescent="0.2">
      <c r="E55" s="3"/>
      <c r="G55" s="199"/>
      <c r="H55" s="199"/>
      <c r="I55" s="212">
        <f>SUM(I53:I54)</f>
        <v>0</v>
      </c>
      <c r="J55" s="16"/>
      <c r="O55" s="22"/>
      <c r="P55" s="22"/>
      <c r="Q55" s="2"/>
      <c r="S55" s="4"/>
      <c r="U55" s="4"/>
    </row>
    <row r="56" spans="1:21" ht="12.75" customHeight="1" x14ac:dyDescent="0.2">
      <c r="A56" s="329" t="s">
        <v>1173</v>
      </c>
      <c r="B56" s="329"/>
      <c r="C56" s="329"/>
      <c r="D56" s="329"/>
      <c r="E56" s="14">
        <v>46295</v>
      </c>
      <c r="F56" s="13" t="s">
        <v>4</v>
      </c>
      <c r="G56" s="206"/>
      <c r="H56" s="207"/>
      <c r="I56" s="208">
        <f>I52-I55</f>
        <v>172.50999999999848</v>
      </c>
      <c r="J56" s="17"/>
      <c r="K56" s="25"/>
      <c r="L56" s="25"/>
      <c r="M56" s="25"/>
      <c r="N56" s="17"/>
      <c r="O56" s="25"/>
      <c r="P56" s="25"/>
      <c r="Q56" s="20"/>
      <c r="R56" s="20"/>
      <c r="S56" s="17"/>
      <c r="T56" s="20"/>
      <c r="U56" s="20"/>
    </row>
    <row r="57" spans="1:21" ht="12.75" customHeight="1" x14ac:dyDescent="0.2">
      <c r="E57" s="3"/>
      <c r="G57" s="199"/>
      <c r="H57" s="199"/>
      <c r="I57" s="212"/>
      <c r="J57" s="16"/>
      <c r="O57" s="22"/>
      <c r="P57" s="22"/>
      <c r="Q57" s="2"/>
      <c r="S57" s="4"/>
      <c r="U57" s="4"/>
    </row>
    <row r="58" spans="1:21" ht="12.75" customHeight="1" x14ac:dyDescent="0.2">
      <c r="A58" s="7" t="s">
        <v>87</v>
      </c>
      <c r="B58" s="7" t="s">
        <v>43</v>
      </c>
      <c r="C58" s="8" t="s">
        <v>54</v>
      </c>
      <c r="D58" s="8" t="s">
        <v>88</v>
      </c>
      <c r="E58" s="185" t="s">
        <v>1083</v>
      </c>
      <c r="F58" s="7" t="s">
        <v>70</v>
      </c>
      <c r="G58" s="201" t="s">
        <v>90</v>
      </c>
      <c r="H58" s="201" t="s">
        <v>91</v>
      </c>
      <c r="I58" s="201" t="s">
        <v>92</v>
      </c>
      <c r="J58" s="75" t="s">
        <v>325</v>
      </c>
      <c r="K58" s="73" t="s">
        <v>94</v>
      </c>
      <c r="L58" s="23" t="s">
        <v>95</v>
      </c>
      <c r="M58" s="23" t="s">
        <v>53</v>
      </c>
      <c r="N58" s="7" t="s">
        <v>64</v>
      </c>
      <c r="O58" s="23" t="s">
        <v>67</v>
      </c>
      <c r="P58" s="23" t="s">
        <v>44</v>
      </c>
      <c r="Q58" s="128" t="s">
        <v>326</v>
      </c>
      <c r="R58" s="128" t="s">
        <v>327</v>
      </c>
      <c r="S58" s="128" t="s">
        <v>328</v>
      </c>
      <c r="T58" s="128" t="s">
        <v>98</v>
      </c>
      <c r="U58" s="128" t="s">
        <v>1316</v>
      </c>
    </row>
    <row r="59" spans="1:21" ht="12.75" customHeight="1" x14ac:dyDescent="0.2">
      <c r="A59" s="329" t="s">
        <v>1172</v>
      </c>
      <c r="B59" s="329"/>
      <c r="C59" s="329"/>
      <c r="D59" s="329"/>
      <c r="E59" s="14">
        <v>46296</v>
      </c>
      <c r="F59" s="13" t="s">
        <v>4</v>
      </c>
      <c r="G59" s="206"/>
      <c r="H59" s="206"/>
      <c r="I59" s="211">
        <f>I56</f>
        <v>172.50999999999848</v>
      </c>
      <c r="J59" s="78"/>
      <c r="K59" s="74"/>
      <c r="L59" s="24"/>
      <c r="M59" s="24"/>
      <c r="N59" s="13"/>
      <c r="O59" s="24"/>
      <c r="P59" s="24"/>
      <c r="Q59" s="13"/>
      <c r="R59" s="13"/>
      <c r="S59" s="13"/>
      <c r="T59" s="13"/>
      <c r="U59" s="13"/>
    </row>
    <row r="60" spans="1:21" ht="12.75" customHeight="1" x14ac:dyDescent="0.2">
      <c r="E60" s="3"/>
      <c r="G60" s="204"/>
      <c r="H60" s="204"/>
      <c r="I60" s="205"/>
      <c r="J60" s="34"/>
      <c r="M60" s="4"/>
      <c r="N60" s="146" t="str">
        <f>_xlfn.XLOOKUP(M60,costcategory[Account Code],costcategory[Cost Category],"ERROR")</f>
        <v>ERROR</v>
      </c>
      <c r="O60" s="22"/>
      <c r="P60" s="147" t="str">
        <f>_xlfn.XLOOKUP(O60,Table2[Department],Table2[Group],"ERROR")</f>
        <v>ERROR</v>
      </c>
      <c r="Q60" s="72"/>
      <c r="R60" s="72"/>
      <c r="S60" s="4"/>
      <c r="T60" s="72"/>
      <c r="U60" s="4"/>
    </row>
    <row r="61" spans="1:21" ht="12.75" customHeight="1" x14ac:dyDescent="0.2">
      <c r="E61" s="3"/>
      <c r="G61" s="199"/>
      <c r="H61" s="199"/>
      <c r="I61" s="212"/>
      <c r="J61" s="16"/>
      <c r="M61" s="4"/>
      <c r="N61" s="146" t="str">
        <f>_xlfn.XLOOKUP(M61,costcategory[Account Code],costcategory[Cost Category],"ERROR")</f>
        <v>ERROR</v>
      </c>
      <c r="O61" s="22"/>
      <c r="P61" s="147" t="str">
        <f>_xlfn.XLOOKUP(O61,Table2[Department],Table2[Group],"ERROR")</f>
        <v>ERROR</v>
      </c>
      <c r="Q61" s="18"/>
      <c r="R61" s="18"/>
      <c r="S61" s="4"/>
      <c r="T61" s="18"/>
      <c r="U61" s="4"/>
    </row>
    <row r="62" spans="1:21" ht="12.75" customHeight="1" x14ac:dyDescent="0.2">
      <c r="E62" s="3"/>
      <c r="G62" s="199"/>
      <c r="H62" s="199"/>
      <c r="I62" s="212">
        <f>SUM(I60:I61)</f>
        <v>0</v>
      </c>
      <c r="J62" s="16"/>
      <c r="O62" s="22"/>
      <c r="P62" s="22"/>
      <c r="Q62" s="2"/>
      <c r="S62" s="4"/>
      <c r="U62" s="4"/>
    </row>
    <row r="63" spans="1:21" ht="12.75" customHeight="1" x14ac:dyDescent="0.2">
      <c r="A63" s="329" t="s">
        <v>1173</v>
      </c>
      <c r="B63" s="329"/>
      <c r="C63" s="329"/>
      <c r="D63" s="329"/>
      <c r="E63" s="14">
        <v>46326</v>
      </c>
      <c r="F63" s="13" t="s">
        <v>4</v>
      </c>
      <c r="G63" s="206"/>
      <c r="H63" s="207"/>
      <c r="I63" s="208">
        <f>I59-I62</f>
        <v>172.50999999999848</v>
      </c>
      <c r="J63" s="17"/>
      <c r="K63" s="25"/>
      <c r="L63" s="25"/>
      <c r="M63" s="25"/>
      <c r="N63" s="17"/>
      <c r="O63" s="25"/>
      <c r="P63" s="25"/>
      <c r="Q63" s="20"/>
      <c r="R63" s="20"/>
      <c r="S63" s="17"/>
      <c r="T63" s="20"/>
      <c r="U63" s="20"/>
    </row>
    <row r="64" spans="1:21" ht="12.75" customHeight="1" x14ac:dyDescent="0.2">
      <c r="E64" s="3"/>
      <c r="G64" s="199"/>
      <c r="H64" s="199"/>
      <c r="I64" s="212"/>
      <c r="J64" s="16"/>
      <c r="O64" s="22"/>
      <c r="P64" s="22"/>
      <c r="Q64" s="2"/>
      <c r="S64" s="4"/>
      <c r="U64" s="4"/>
    </row>
    <row r="65" spans="1:21" ht="12.75" customHeight="1" x14ac:dyDescent="0.2">
      <c r="A65" s="7" t="s">
        <v>87</v>
      </c>
      <c r="B65" s="7" t="s">
        <v>43</v>
      </c>
      <c r="C65" s="8" t="s">
        <v>54</v>
      </c>
      <c r="D65" s="8" t="s">
        <v>88</v>
      </c>
      <c r="E65" s="185" t="s">
        <v>1083</v>
      </c>
      <c r="F65" s="7" t="s">
        <v>70</v>
      </c>
      <c r="G65" s="201" t="s">
        <v>90</v>
      </c>
      <c r="H65" s="201" t="s">
        <v>91</v>
      </c>
      <c r="I65" s="201" t="s">
        <v>92</v>
      </c>
      <c r="J65" s="75" t="s">
        <v>325</v>
      </c>
      <c r="K65" s="73" t="s">
        <v>94</v>
      </c>
      <c r="L65" s="23" t="s">
        <v>95</v>
      </c>
      <c r="M65" s="23" t="s">
        <v>53</v>
      </c>
      <c r="N65" s="7" t="s">
        <v>64</v>
      </c>
      <c r="O65" s="23" t="s">
        <v>67</v>
      </c>
      <c r="P65" s="23" t="s">
        <v>44</v>
      </c>
      <c r="Q65" s="128" t="s">
        <v>326</v>
      </c>
      <c r="R65" s="128" t="s">
        <v>327</v>
      </c>
      <c r="S65" s="128" t="s">
        <v>328</v>
      </c>
      <c r="T65" s="128" t="s">
        <v>98</v>
      </c>
      <c r="U65" s="128" t="s">
        <v>1316</v>
      </c>
    </row>
    <row r="66" spans="1:21" ht="12.75" customHeight="1" x14ac:dyDescent="0.2">
      <c r="A66" s="329" t="s">
        <v>1172</v>
      </c>
      <c r="B66" s="329"/>
      <c r="C66" s="329"/>
      <c r="D66" s="329"/>
      <c r="E66" s="14">
        <v>46327</v>
      </c>
      <c r="F66" s="13" t="s">
        <v>4</v>
      </c>
      <c r="G66" s="206"/>
      <c r="H66" s="206"/>
      <c r="I66" s="211">
        <f>I63</f>
        <v>172.50999999999848</v>
      </c>
      <c r="J66" s="78"/>
      <c r="K66" s="74"/>
      <c r="L66" s="24"/>
      <c r="M66" s="24"/>
      <c r="N66" s="13"/>
      <c r="O66" s="24"/>
      <c r="P66" s="24"/>
      <c r="Q66" s="13"/>
      <c r="R66" s="13"/>
      <c r="S66" s="13"/>
      <c r="T66" s="13"/>
      <c r="U66" s="13"/>
    </row>
    <row r="67" spans="1:21" ht="12.75" customHeight="1" x14ac:dyDescent="0.2">
      <c r="E67" s="3"/>
      <c r="G67" s="204"/>
      <c r="H67" s="204"/>
      <c r="I67" s="205"/>
      <c r="J67" s="34"/>
      <c r="M67" s="4"/>
      <c r="N67" s="146" t="str">
        <f>_xlfn.XLOOKUP(M67,costcategory[Account Code],costcategory[Cost Category],"ERROR")</f>
        <v>ERROR</v>
      </c>
      <c r="O67" s="22"/>
      <c r="P67" s="147" t="str">
        <f>_xlfn.XLOOKUP(O67,Table2[Department],Table2[Group],"ERROR")</f>
        <v>ERROR</v>
      </c>
      <c r="Q67" s="72"/>
      <c r="R67" s="72"/>
      <c r="S67" s="4"/>
      <c r="T67" s="72"/>
      <c r="U67" s="4"/>
    </row>
    <row r="68" spans="1:21" ht="12.75" customHeight="1" x14ac:dyDescent="0.2">
      <c r="E68" s="3"/>
      <c r="G68" s="199"/>
      <c r="H68" s="199"/>
      <c r="I68" s="212"/>
      <c r="J68" s="16"/>
      <c r="M68" s="4"/>
      <c r="N68" s="146" t="str">
        <f>_xlfn.XLOOKUP(M68,costcategory[Account Code],costcategory[Cost Category],"ERROR")</f>
        <v>ERROR</v>
      </c>
      <c r="O68" s="22"/>
      <c r="P68" s="147" t="str">
        <f>_xlfn.XLOOKUP(O68,Table2[Department],Table2[Group],"ERROR")</f>
        <v>ERROR</v>
      </c>
      <c r="Q68" s="18"/>
      <c r="R68" s="18"/>
      <c r="S68" s="4"/>
      <c r="T68" s="18"/>
      <c r="U68" s="4"/>
    </row>
    <row r="69" spans="1:21" ht="12.75" customHeight="1" x14ac:dyDescent="0.2">
      <c r="E69" s="3"/>
      <c r="G69" s="199"/>
      <c r="H69" s="199"/>
      <c r="I69" s="212">
        <f>SUM(I67:I68)</f>
        <v>0</v>
      </c>
      <c r="J69" s="16"/>
      <c r="O69" s="22"/>
      <c r="P69" s="22"/>
      <c r="Q69" s="2"/>
      <c r="S69" s="4"/>
      <c r="U69" s="4"/>
    </row>
    <row r="70" spans="1:21" ht="12.75" customHeight="1" x14ac:dyDescent="0.2">
      <c r="A70" s="329" t="s">
        <v>1173</v>
      </c>
      <c r="B70" s="329"/>
      <c r="C70" s="329"/>
      <c r="D70" s="329"/>
      <c r="E70" s="14">
        <v>46356</v>
      </c>
      <c r="F70" s="13" t="s">
        <v>4</v>
      </c>
      <c r="G70" s="206"/>
      <c r="H70" s="207"/>
      <c r="I70" s="208">
        <f>I66-I69</f>
        <v>172.50999999999848</v>
      </c>
      <c r="J70" s="17"/>
      <c r="K70" s="25"/>
      <c r="L70" s="25"/>
      <c r="M70" s="25"/>
      <c r="N70" s="17"/>
      <c r="O70" s="25"/>
      <c r="P70" s="25"/>
      <c r="Q70" s="20"/>
      <c r="R70" s="20"/>
      <c r="S70" s="17"/>
      <c r="T70" s="20"/>
      <c r="U70" s="20"/>
    </row>
    <row r="71" spans="1:21" ht="12.75" customHeight="1" x14ac:dyDescent="0.2">
      <c r="E71" s="3"/>
      <c r="G71" s="199"/>
      <c r="H71" s="199"/>
      <c r="I71" s="212"/>
      <c r="J71" s="16"/>
      <c r="O71" s="22"/>
      <c r="P71" s="22"/>
      <c r="Q71" s="2"/>
      <c r="S71" s="4"/>
      <c r="U71" s="4"/>
    </row>
    <row r="72" spans="1:21" ht="12.75" customHeight="1" x14ac:dyDescent="0.2">
      <c r="A72" s="7" t="s">
        <v>87</v>
      </c>
      <c r="B72" s="7" t="s">
        <v>43</v>
      </c>
      <c r="C72" s="8" t="s">
        <v>54</v>
      </c>
      <c r="D72" s="8" t="s">
        <v>88</v>
      </c>
      <c r="E72" s="185" t="s">
        <v>1083</v>
      </c>
      <c r="F72" s="7" t="s">
        <v>70</v>
      </c>
      <c r="G72" s="201" t="s">
        <v>90</v>
      </c>
      <c r="H72" s="201" t="s">
        <v>91</v>
      </c>
      <c r="I72" s="201" t="s">
        <v>92</v>
      </c>
      <c r="J72" s="75" t="s">
        <v>325</v>
      </c>
      <c r="K72" s="73" t="s">
        <v>94</v>
      </c>
      <c r="L72" s="23" t="s">
        <v>95</v>
      </c>
      <c r="M72" s="23" t="s">
        <v>53</v>
      </c>
      <c r="N72" s="7" t="s">
        <v>64</v>
      </c>
      <c r="O72" s="23" t="s">
        <v>67</v>
      </c>
      <c r="P72" s="23" t="s">
        <v>44</v>
      </c>
      <c r="Q72" s="128" t="s">
        <v>326</v>
      </c>
      <c r="R72" s="128" t="s">
        <v>327</v>
      </c>
      <c r="S72" s="128" t="s">
        <v>328</v>
      </c>
      <c r="T72" s="128" t="s">
        <v>98</v>
      </c>
      <c r="U72" s="128" t="s">
        <v>1316</v>
      </c>
    </row>
    <row r="73" spans="1:21" ht="12.75" customHeight="1" x14ac:dyDescent="0.2">
      <c r="A73" s="329" t="s">
        <v>1172</v>
      </c>
      <c r="B73" s="329"/>
      <c r="C73" s="329"/>
      <c r="D73" s="329"/>
      <c r="E73" s="14">
        <v>46357</v>
      </c>
      <c r="F73" s="13" t="s">
        <v>4</v>
      </c>
      <c r="G73" s="206"/>
      <c r="H73" s="206"/>
      <c r="I73" s="211">
        <f>I70</f>
        <v>172.50999999999848</v>
      </c>
      <c r="J73" s="78"/>
      <c r="K73" s="74"/>
      <c r="L73" s="24"/>
      <c r="M73" s="24"/>
      <c r="N73" s="13"/>
      <c r="O73" s="24"/>
      <c r="P73" s="24"/>
      <c r="Q73" s="13"/>
      <c r="R73" s="13"/>
      <c r="S73" s="13"/>
      <c r="T73" s="13"/>
      <c r="U73" s="13"/>
    </row>
    <row r="74" spans="1:21" ht="12.75" customHeight="1" x14ac:dyDescent="0.2">
      <c r="E74" s="3"/>
      <c r="G74" s="204"/>
      <c r="H74" s="204"/>
      <c r="I74" s="205"/>
      <c r="J74" s="34"/>
      <c r="M74" s="4"/>
      <c r="N74" s="146" t="str">
        <f>_xlfn.XLOOKUP(M74,costcategory[Account Code],costcategory[Cost Category],"ERROR")</f>
        <v>ERROR</v>
      </c>
      <c r="O74" s="22"/>
      <c r="P74" s="147" t="str">
        <f>_xlfn.XLOOKUP(O74,Table2[Department],Table2[Group],"ERROR")</f>
        <v>ERROR</v>
      </c>
      <c r="Q74" s="72"/>
      <c r="R74" s="72"/>
      <c r="S74" s="4"/>
      <c r="T74" s="72"/>
      <c r="U74" s="4"/>
    </row>
    <row r="75" spans="1:21" ht="12.75" customHeight="1" x14ac:dyDescent="0.2">
      <c r="E75" s="3"/>
      <c r="G75" s="199"/>
      <c r="H75" s="199"/>
      <c r="I75" s="212"/>
      <c r="J75" s="16"/>
      <c r="M75" s="4"/>
      <c r="N75" s="146" t="str">
        <f>_xlfn.XLOOKUP(M75,costcategory[Account Code],costcategory[Cost Category],"ERROR")</f>
        <v>ERROR</v>
      </c>
      <c r="O75" s="22"/>
      <c r="P75" s="147" t="str">
        <f>_xlfn.XLOOKUP(O75,Table2[Department],Table2[Group],"ERROR")</f>
        <v>ERROR</v>
      </c>
      <c r="Q75" s="18"/>
      <c r="R75" s="18"/>
      <c r="S75" s="4"/>
      <c r="T75" s="18"/>
      <c r="U75" s="4"/>
    </row>
    <row r="76" spans="1:21" ht="12.75" customHeight="1" x14ac:dyDescent="0.2">
      <c r="E76" s="3"/>
      <c r="G76" s="199"/>
      <c r="H76" s="199"/>
      <c r="I76" s="212">
        <f>SUM(I74:I75)</f>
        <v>0</v>
      </c>
      <c r="J76" s="16"/>
      <c r="O76" s="22"/>
      <c r="P76" s="22"/>
      <c r="Q76" s="2"/>
      <c r="S76" s="4"/>
      <c r="U76" s="4"/>
    </row>
    <row r="77" spans="1:21" ht="12.75" customHeight="1" x14ac:dyDescent="0.2">
      <c r="A77" s="329" t="s">
        <v>1173</v>
      </c>
      <c r="B77" s="329"/>
      <c r="C77" s="329"/>
      <c r="D77" s="329"/>
      <c r="E77" s="14">
        <v>46387</v>
      </c>
      <c r="F77" s="13" t="s">
        <v>4</v>
      </c>
      <c r="G77" s="206"/>
      <c r="H77" s="207"/>
      <c r="I77" s="208">
        <f>I73-I76</f>
        <v>172.50999999999848</v>
      </c>
      <c r="J77" s="17"/>
      <c r="K77" s="25"/>
      <c r="L77" s="25"/>
      <c r="M77" s="25"/>
      <c r="N77" s="17"/>
      <c r="O77" s="25"/>
      <c r="P77" s="25"/>
      <c r="Q77" s="20"/>
      <c r="R77" s="20"/>
      <c r="S77" s="17"/>
      <c r="T77" s="20"/>
      <c r="U77" s="20"/>
    </row>
    <row r="78" spans="1:21" ht="12.75" customHeight="1" x14ac:dyDescent="0.2">
      <c r="E78" s="3"/>
      <c r="G78" s="199"/>
      <c r="H78" s="199"/>
      <c r="I78" s="212"/>
      <c r="J78" s="16"/>
      <c r="O78" s="22"/>
      <c r="P78" s="22"/>
      <c r="Q78" s="2"/>
      <c r="S78" s="4"/>
      <c r="U78" s="4"/>
    </row>
    <row r="79" spans="1:21" ht="12.75" customHeight="1" x14ac:dyDescent="0.2">
      <c r="E79" s="3"/>
      <c r="G79" s="199"/>
      <c r="H79" s="199"/>
      <c r="I79" s="212"/>
      <c r="J79" s="16"/>
      <c r="O79" s="22"/>
      <c r="P79" s="22"/>
      <c r="Q79" s="2"/>
      <c r="S79" s="4"/>
      <c r="U79" s="4"/>
    </row>
    <row r="80" spans="1:21" ht="12.75" customHeight="1" x14ac:dyDescent="0.2">
      <c r="E80" s="3"/>
      <c r="G80" s="199"/>
      <c r="H80" s="199"/>
      <c r="I80" s="212"/>
      <c r="J80" s="111"/>
      <c r="K80" s="16"/>
      <c r="N80" s="22"/>
      <c r="O80" s="4"/>
      <c r="P80" s="22"/>
      <c r="Q80" s="2"/>
      <c r="T80" s="4"/>
    </row>
    <row r="81" spans="5:20" ht="12.75" customHeight="1" x14ac:dyDescent="0.2">
      <c r="E81" s="3"/>
      <c r="G81" s="199"/>
      <c r="H81" s="199"/>
      <c r="I81" s="212"/>
      <c r="J81" s="111"/>
      <c r="K81" s="16"/>
      <c r="N81" s="22"/>
      <c r="O81" s="4"/>
      <c r="P81" s="22"/>
      <c r="Q81" s="2"/>
      <c r="T81" s="4"/>
    </row>
    <row r="82" spans="5:20" ht="12.75" customHeight="1" x14ac:dyDescent="0.2">
      <c r="E82" s="3"/>
      <c r="G82" s="199"/>
      <c r="H82" s="199"/>
      <c r="I82" s="212"/>
      <c r="J82" s="111"/>
      <c r="K82" s="16"/>
      <c r="N82" s="22"/>
      <c r="O82" s="4"/>
      <c r="P82" s="22"/>
      <c r="Q82" s="2"/>
      <c r="T82" s="4"/>
    </row>
    <row r="83" spans="5:20" ht="12.75" customHeight="1" x14ac:dyDescent="0.2">
      <c r="E83" s="3"/>
      <c r="G83" s="199"/>
      <c r="H83" s="199"/>
      <c r="I83" s="212"/>
      <c r="J83" s="111"/>
      <c r="K83" s="16"/>
      <c r="N83" s="22"/>
      <c r="O83" s="4"/>
      <c r="P83" s="22"/>
      <c r="Q83" s="2"/>
      <c r="T83" s="4"/>
    </row>
    <row r="84" spans="5:20" ht="12.75" customHeight="1" x14ac:dyDescent="0.2">
      <c r="E84" s="3"/>
      <c r="G84" s="199"/>
      <c r="H84" s="199"/>
      <c r="I84" s="212"/>
      <c r="J84" s="111"/>
      <c r="K84" s="16"/>
      <c r="N84" s="22"/>
      <c r="O84" s="4"/>
      <c r="P84" s="22"/>
      <c r="Q84" s="2"/>
      <c r="T84" s="4"/>
    </row>
    <row r="85" spans="5:20" ht="12.75" customHeight="1" x14ac:dyDescent="0.2">
      <c r="E85" s="3"/>
      <c r="G85" s="199"/>
      <c r="H85" s="199"/>
      <c r="I85" s="212"/>
      <c r="J85" s="111"/>
      <c r="K85" s="16"/>
      <c r="N85" s="22"/>
      <c r="O85" s="4"/>
      <c r="P85" s="22"/>
      <c r="Q85" s="2"/>
      <c r="T85" s="4"/>
    </row>
  </sheetData>
  <autoFilter ref="E1:E89" xr:uid="{4BF79DCD-0D17-4DF5-AACB-649C4293642B}"/>
  <mergeCells count="20">
    <mergeCell ref="A36:D36"/>
    <mergeCell ref="A40:D40"/>
    <mergeCell ref="A43:D43"/>
    <mergeCell ref="A73:D73"/>
    <mergeCell ref="A77:D77"/>
    <mergeCell ref="A70:D70"/>
    <mergeCell ref="A66:D66"/>
    <mergeCell ref="A6:D6"/>
    <mergeCell ref="A22:D22"/>
    <mergeCell ref="A24:D24"/>
    <mergeCell ref="A15:D15"/>
    <mergeCell ref="A17:D17"/>
    <mergeCell ref="A27:D27"/>
    <mergeCell ref="A47:D47"/>
    <mergeCell ref="A52:D52"/>
    <mergeCell ref="A56:D56"/>
    <mergeCell ref="A63:D63"/>
    <mergeCell ref="A59:D59"/>
    <mergeCell ref="A29:D29"/>
    <mergeCell ref="A33:D33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565AE8-CF38-4477-88AC-8990B0D42AC9}">
          <x14:formula1>
            <xm:f>Setting!$D$2:$D$16</xm:f>
          </x14:formula1>
          <xm:sqref>O44:O45 O25 O30:O31 O37:O38 O67:O68 O60:O61 O53:O54 O74:O75</xm:sqref>
        </x14:dataValidation>
        <x14:dataValidation type="list" allowBlank="1" showInputMessage="1" showErrorMessage="1" xr:uid="{B6E9A22C-5FB8-48C3-83A4-65DAB0E8BDC9}">
          <x14:formula1>
            <xm:f>Setting!$B$2:$B$93</xm:f>
          </x14:formula1>
          <xm:sqref>M44:M46 M25:M26 M18:M20 M7:M13 M30:M32 M37:M39 M67:M69 M60:M62 M53:M55 M74:M76</xm:sqref>
        </x14:dataValidation>
        <x14:dataValidation type="list" allowBlank="1" showInputMessage="1" showErrorMessage="1" xr:uid="{CB0F0DCA-B139-4D7E-99D2-E85DBD6811F7}">
          <x14:formula1>
            <xm:f>Setting!$D$2:$D$15</xm:f>
          </x14:formula1>
          <xm:sqref>O32:P32 O39:P39 O46:P46 O55:P55 O62:P62 O69:P69 O76:P76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72B6-6CED-4AFF-9C03-31E59AD0F869}">
  <dimension ref="A2:V207"/>
  <sheetViews>
    <sheetView workbookViewId="0">
      <pane ySplit="4" topLeftCell="A131" activePane="bottomLeft" state="frozen"/>
      <selection activeCell="E94" sqref="E94"/>
      <selection pane="bottomLeft" activeCell="M151" sqref="M151"/>
    </sheetView>
  </sheetViews>
  <sheetFormatPr defaultColWidth="9.140625" defaultRowHeight="12.75" x14ac:dyDescent="0.2"/>
  <cols>
    <col min="1" max="1" width="5.7109375" style="2" customWidth="1"/>
    <col min="2" max="2" width="5.7109375" style="2" bestFit="1" customWidth="1"/>
    <col min="3" max="4" width="10.7109375" style="164" customWidth="1"/>
    <col min="5" max="5" width="12.85546875" style="164" bestFit="1" customWidth="1"/>
    <col min="6" max="6" width="7.7109375" style="2" customWidth="1"/>
    <col min="7" max="9" width="12.7109375" style="197" customWidth="1"/>
    <col min="10" max="10" width="12.7109375" style="197" hidden="1" customWidth="1"/>
    <col min="11" max="11" width="30.7109375" style="4" customWidth="1"/>
    <col min="12" max="12" width="20.7109375" style="4" customWidth="1"/>
    <col min="13" max="13" width="50.7109375" style="4" customWidth="1"/>
    <col min="14" max="17" width="20.7109375" style="135" customWidth="1"/>
    <col min="18" max="20" width="10.7109375" style="4" hidden="1" customWidth="1"/>
    <col min="21" max="22" width="11.7109375" style="2" customWidth="1"/>
    <col min="23" max="16384" width="9.140625" style="4"/>
  </cols>
  <sheetData>
    <row r="2" spans="1:22" s="183" customFormat="1" ht="12.95" customHeight="1" x14ac:dyDescent="0.2">
      <c r="A2" s="194" t="s">
        <v>312</v>
      </c>
      <c r="B2" s="188"/>
      <c r="C2" s="195"/>
      <c r="D2" s="195"/>
      <c r="E2" s="195"/>
      <c r="F2" s="188"/>
      <c r="G2" s="250"/>
      <c r="H2" s="250"/>
      <c r="I2" s="250"/>
      <c r="J2" s="250"/>
      <c r="K2" s="189"/>
      <c r="L2" s="190"/>
      <c r="M2" s="191"/>
      <c r="N2" s="192"/>
      <c r="O2" s="193"/>
      <c r="P2" s="192"/>
      <c r="Q2" s="192"/>
      <c r="R2" s="188"/>
      <c r="S2" s="188"/>
      <c r="T2" s="188"/>
      <c r="U2" s="188"/>
      <c r="V2" s="188"/>
    </row>
    <row r="3" spans="1:22" s="183" customFormat="1" ht="12.95" customHeight="1" x14ac:dyDescent="0.2">
      <c r="A3" s="188"/>
      <c r="B3" s="188"/>
      <c r="C3" s="195"/>
      <c r="D3" s="195"/>
      <c r="E3" s="195"/>
      <c r="F3" s="188"/>
      <c r="G3" s="250"/>
      <c r="H3" s="250"/>
      <c r="I3" s="250"/>
      <c r="J3" s="263">
        <f>FOREX!K2</f>
        <v>0.14385500000000001</v>
      </c>
      <c r="K3" s="189"/>
      <c r="L3" s="190"/>
      <c r="M3" s="191"/>
      <c r="N3" s="192"/>
      <c r="O3" s="193"/>
      <c r="P3" s="192"/>
      <c r="Q3" s="192"/>
      <c r="R3" s="188"/>
      <c r="S3" s="188"/>
      <c r="T3" s="188"/>
      <c r="U3" s="188"/>
      <c r="V3" s="188"/>
    </row>
    <row r="4" spans="1:22" s="183" customFormat="1" ht="12.95" customHeight="1" x14ac:dyDescent="0.2">
      <c r="A4" s="7" t="s">
        <v>87</v>
      </c>
      <c r="B4" s="7" t="s">
        <v>43</v>
      </c>
      <c r="C4" s="177" t="s">
        <v>54</v>
      </c>
      <c r="D4" s="177" t="s">
        <v>88</v>
      </c>
      <c r="E4" s="185" t="s">
        <v>1083</v>
      </c>
      <c r="F4" s="7" t="s">
        <v>70</v>
      </c>
      <c r="G4" s="236" t="s">
        <v>90</v>
      </c>
      <c r="H4" s="236" t="s">
        <v>91</v>
      </c>
      <c r="I4" s="236" t="s">
        <v>92</v>
      </c>
      <c r="J4" s="236" t="s">
        <v>72</v>
      </c>
      <c r="K4" s="9" t="s">
        <v>325</v>
      </c>
      <c r="L4" s="27" t="s">
        <v>94</v>
      </c>
      <c r="M4" s="23" t="s">
        <v>95</v>
      </c>
      <c r="N4" s="23" t="s">
        <v>1315</v>
      </c>
      <c r="O4" s="7" t="s">
        <v>64</v>
      </c>
      <c r="P4" s="23" t="s">
        <v>67</v>
      </c>
      <c r="Q4" s="23" t="s">
        <v>44</v>
      </c>
      <c r="R4" s="7" t="s">
        <v>326</v>
      </c>
      <c r="S4" s="7" t="s">
        <v>327</v>
      </c>
      <c r="T4" s="7" t="s">
        <v>328</v>
      </c>
      <c r="U4" s="7" t="s">
        <v>98</v>
      </c>
      <c r="V4" s="7" t="s">
        <v>1316</v>
      </c>
    </row>
    <row r="5" spans="1:22" s="20" customFormat="1" ht="12.95" customHeight="1" x14ac:dyDescent="0.2">
      <c r="A5" s="329" t="s">
        <v>1172</v>
      </c>
      <c r="B5" s="329"/>
      <c r="C5" s="329"/>
      <c r="D5" s="329"/>
      <c r="E5" s="196">
        <v>46023</v>
      </c>
      <c r="F5" s="13" t="s">
        <v>79</v>
      </c>
      <c r="G5" s="202"/>
      <c r="H5" s="202"/>
      <c r="I5" s="203">
        <v>301077.42</v>
      </c>
      <c r="J5" s="251"/>
      <c r="K5" s="80"/>
      <c r="L5" s="81"/>
      <c r="M5" s="77"/>
      <c r="N5" s="82"/>
      <c r="O5" s="153"/>
      <c r="P5" s="82"/>
      <c r="Q5" s="82"/>
      <c r="R5" s="76"/>
      <c r="S5" s="76"/>
      <c r="T5" s="76"/>
      <c r="U5" s="76"/>
      <c r="V5" s="76"/>
    </row>
    <row r="6" spans="1:22" x14ac:dyDescent="0.2">
      <c r="A6" s="2" t="s">
        <v>15</v>
      </c>
      <c r="B6" s="2" t="s">
        <v>3</v>
      </c>
      <c r="C6" s="164">
        <v>46024</v>
      </c>
      <c r="D6" s="164">
        <v>46024</v>
      </c>
      <c r="E6" s="164">
        <v>46024</v>
      </c>
      <c r="F6" s="2" t="s">
        <v>79</v>
      </c>
      <c r="G6" s="213">
        <v>25</v>
      </c>
      <c r="H6" s="213">
        <v>0</v>
      </c>
      <c r="I6" s="213">
        <v>25</v>
      </c>
      <c r="J6" s="213">
        <f>I6*$J$3</f>
        <v>3.5963750000000001</v>
      </c>
      <c r="K6" s="4" t="s">
        <v>330</v>
      </c>
      <c r="M6" s="4" t="s">
        <v>331</v>
      </c>
      <c r="N6" s="135" t="s">
        <v>332</v>
      </c>
      <c r="O6" s="267" t="str">
        <f>_xlfn.XLOOKUP(N6,costcategory[Account Code],costcategory[Cost Category],"ERROR")</f>
        <v>Bank Charges</v>
      </c>
      <c r="P6" s="135" t="s">
        <v>333</v>
      </c>
      <c r="Q6" s="269" t="str">
        <f>_xlfn.XLOOKUP(P6,Table2[Department],Table2[Group],"ERROR")</f>
        <v>General &amp; Administrative</v>
      </c>
    </row>
    <row r="7" spans="1:22" x14ac:dyDescent="0.2">
      <c r="A7" s="2" t="s">
        <v>15</v>
      </c>
      <c r="B7" s="2" t="s">
        <v>3</v>
      </c>
      <c r="C7" s="164">
        <v>46024</v>
      </c>
      <c r="D7" s="164">
        <v>46024</v>
      </c>
      <c r="E7" s="164">
        <v>46024</v>
      </c>
      <c r="F7" s="2" t="s">
        <v>79</v>
      </c>
      <c r="G7" s="213">
        <v>4.38</v>
      </c>
      <c r="H7" s="213">
        <v>0</v>
      </c>
      <c r="I7" s="213">
        <v>4.38</v>
      </c>
      <c r="J7" s="213">
        <f t="shared" ref="J7:J42" si="0">I7*$J$3</f>
        <v>0.63008490000000006</v>
      </c>
      <c r="K7" s="4" t="s">
        <v>330</v>
      </c>
      <c r="M7" s="4" t="s">
        <v>334</v>
      </c>
      <c r="N7" s="135" t="s">
        <v>332</v>
      </c>
      <c r="O7" s="267" t="str">
        <f>_xlfn.XLOOKUP(N7,costcategory[Account Code],costcategory[Cost Category],"ERROR")</f>
        <v>Bank Charges</v>
      </c>
      <c r="P7" s="135" t="s">
        <v>333</v>
      </c>
      <c r="Q7" s="269" t="str">
        <f>_xlfn.XLOOKUP(P7,Table2[Department],Table2[Group],"ERROR")</f>
        <v>General &amp; Administrative</v>
      </c>
    </row>
    <row r="8" spans="1:22" x14ac:dyDescent="0.2">
      <c r="A8" s="2" t="s">
        <v>15</v>
      </c>
      <c r="B8" s="2" t="s">
        <v>3</v>
      </c>
      <c r="C8" s="164">
        <v>46024</v>
      </c>
      <c r="D8" s="164">
        <v>46024</v>
      </c>
      <c r="E8" s="164">
        <v>46024</v>
      </c>
      <c r="F8" s="2" t="s">
        <v>79</v>
      </c>
      <c r="G8" s="213">
        <v>2.67</v>
      </c>
      <c r="H8" s="213">
        <v>0</v>
      </c>
      <c r="I8" s="213">
        <v>2.67</v>
      </c>
      <c r="J8" s="213">
        <f t="shared" si="0"/>
        <v>0.38409285000000004</v>
      </c>
      <c r="K8" s="4" t="s">
        <v>330</v>
      </c>
      <c r="M8" s="4" t="s">
        <v>335</v>
      </c>
      <c r="N8" s="135" t="s">
        <v>332</v>
      </c>
      <c r="O8" s="267" t="str">
        <f>_xlfn.XLOOKUP(N8,costcategory[Account Code],costcategory[Cost Category],"ERROR")</f>
        <v>Bank Charges</v>
      </c>
      <c r="P8" s="135" t="s">
        <v>333</v>
      </c>
      <c r="Q8" s="269" t="str">
        <f>_xlfn.XLOOKUP(P8,Table2[Department],Table2[Group],"ERROR")</f>
        <v>General &amp; Administrative</v>
      </c>
    </row>
    <row r="9" spans="1:22" x14ac:dyDescent="0.2">
      <c r="A9" s="2" t="s">
        <v>15</v>
      </c>
      <c r="B9" s="2" t="s">
        <v>3</v>
      </c>
      <c r="C9" s="164">
        <v>46022</v>
      </c>
      <c r="D9" s="164">
        <v>46032</v>
      </c>
      <c r="E9" s="164">
        <v>46031</v>
      </c>
      <c r="F9" s="2" t="s">
        <v>79</v>
      </c>
      <c r="G9" s="213">
        <v>10785</v>
      </c>
      <c r="H9" s="213">
        <v>0</v>
      </c>
      <c r="I9" s="213">
        <v>10785</v>
      </c>
      <c r="J9" s="213">
        <f t="shared" si="0"/>
        <v>1551.476175</v>
      </c>
      <c r="K9" s="4" t="s">
        <v>336</v>
      </c>
      <c r="L9" s="4" t="s">
        <v>337</v>
      </c>
      <c r="M9" s="4" t="s">
        <v>338</v>
      </c>
      <c r="N9" s="135" t="s">
        <v>339</v>
      </c>
      <c r="O9" s="267" t="str">
        <f>_xlfn.XLOOKUP(N9,costcategory[Account Code],costcategory[Cost Category],"ERROR")</f>
        <v>Travelling Expenses</v>
      </c>
      <c r="P9" s="135" t="s">
        <v>340</v>
      </c>
      <c r="Q9" s="269" t="str">
        <f>_xlfn.XLOOKUP(P9,Table2[Department],Table2[Group],"ERROR")</f>
        <v>General &amp; Administrative</v>
      </c>
    </row>
    <row r="10" spans="1:22" x14ac:dyDescent="0.2">
      <c r="A10" s="2" t="s">
        <v>15</v>
      </c>
      <c r="B10" s="2" t="s">
        <v>3</v>
      </c>
      <c r="C10" s="164">
        <v>46032</v>
      </c>
      <c r="D10" s="164">
        <v>46032</v>
      </c>
      <c r="E10" s="164">
        <v>46032</v>
      </c>
      <c r="F10" s="2" t="s">
        <v>79</v>
      </c>
      <c r="G10" s="199">
        <v>90725.77</v>
      </c>
      <c r="H10" s="199">
        <v>0</v>
      </c>
      <c r="I10" s="199">
        <v>90725.77</v>
      </c>
      <c r="J10" s="199">
        <f t="shared" si="0"/>
        <v>13051.355643350002</v>
      </c>
      <c r="K10" s="4" t="s">
        <v>1085</v>
      </c>
      <c r="L10" s="4" t="s">
        <v>1403</v>
      </c>
      <c r="M10" s="4" t="s">
        <v>1404</v>
      </c>
      <c r="N10" s="135" t="s">
        <v>464</v>
      </c>
      <c r="O10" s="267" t="str">
        <f>_xlfn.XLOOKUP(N10,costcategory[Account Code],costcategory[Cost Category],"ERROR")</f>
        <v>Accrual - Expenses of 2025</v>
      </c>
      <c r="P10" s="135" t="s">
        <v>347</v>
      </c>
      <c r="Q10" s="269" t="str">
        <f>_xlfn.XLOOKUP(P10,Table2[Department],Table2[Group],"ERROR")</f>
        <v>Research &amp; Development</v>
      </c>
    </row>
    <row r="11" spans="1:22" x14ac:dyDescent="0.2">
      <c r="A11" s="2" t="s">
        <v>15</v>
      </c>
      <c r="B11" s="2" t="s">
        <v>3</v>
      </c>
      <c r="C11" s="164">
        <v>46037</v>
      </c>
      <c r="D11" s="164">
        <v>46037</v>
      </c>
      <c r="E11" s="164">
        <v>46037</v>
      </c>
      <c r="F11" s="2" t="s">
        <v>79</v>
      </c>
      <c r="G11" s="213">
        <v>95.5</v>
      </c>
      <c r="H11" s="213">
        <v>0</v>
      </c>
      <c r="I11" s="252">
        <v>95.5</v>
      </c>
      <c r="J11" s="213">
        <f t="shared" si="0"/>
        <v>13.738152500000002</v>
      </c>
      <c r="K11" s="4" t="s">
        <v>341</v>
      </c>
      <c r="L11" s="4" t="s">
        <v>342</v>
      </c>
      <c r="M11" s="4" t="s">
        <v>343</v>
      </c>
      <c r="N11" s="135" t="s">
        <v>344</v>
      </c>
      <c r="O11" s="267" t="str">
        <f>_xlfn.XLOOKUP(N11,costcategory[Account Code],costcategory[Cost Category],"ERROR")</f>
        <v>Courier Charges</v>
      </c>
      <c r="P11" s="135" t="s">
        <v>340</v>
      </c>
      <c r="Q11" s="269" t="str">
        <f>_xlfn.XLOOKUP(P11,Table2[Department],Table2[Group],"ERROR")</f>
        <v>General &amp; Administrative</v>
      </c>
    </row>
    <row r="12" spans="1:22" x14ac:dyDescent="0.2">
      <c r="A12" s="2" t="s">
        <v>15</v>
      </c>
      <c r="B12" s="2" t="s">
        <v>3</v>
      </c>
      <c r="C12" s="164">
        <v>46037</v>
      </c>
      <c r="D12" s="164">
        <v>46037</v>
      </c>
      <c r="E12" s="164">
        <v>46037</v>
      </c>
      <c r="F12" s="2" t="s">
        <v>79</v>
      </c>
      <c r="G12" s="213">
        <v>4875</v>
      </c>
      <c r="H12" s="213">
        <v>0</v>
      </c>
      <c r="I12" s="253">
        <v>4875</v>
      </c>
      <c r="J12" s="213">
        <f t="shared" si="0"/>
        <v>701.29312500000003</v>
      </c>
      <c r="K12" s="4" t="s">
        <v>341</v>
      </c>
      <c r="L12" s="4" t="s">
        <v>342</v>
      </c>
      <c r="M12" s="4" t="s">
        <v>345</v>
      </c>
      <c r="N12" s="135" t="s">
        <v>346</v>
      </c>
      <c r="O12" s="267" t="str">
        <f>_xlfn.XLOOKUP(N12,costcategory[Account Code],costcategory[Cost Category],"ERROR")</f>
        <v>General Expenses</v>
      </c>
      <c r="P12" s="135" t="s">
        <v>347</v>
      </c>
      <c r="Q12" s="269" t="str">
        <f>_xlfn.XLOOKUP(P12,Table2[Department],Table2[Group],"ERROR")</f>
        <v>Research &amp; Development</v>
      </c>
    </row>
    <row r="13" spans="1:22" x14ac:dyDescent="0.2">
      <c r="A13" s="2" t="s">
        <v>15</v>
      </c>
      <c r="B13" s="2" t="s">
        <v>3</v>
      </c>
      <c r="C13" s="164">
        <v>46037</v>
      </c>
      <c r="D13" s="164">
        <v>46037</v>
      </c>
      <c r="E13" s="164">
        <v>46037</v>
      </c>
      <c r="F13" s="2" t="s">
        <v>79</v>
      </c>
      <c r="G13" s="213">
        <v>358</v>
      </c>
      <c r="H13" s="213">
        <v>0</v>
      </c>
      <c r="I13" s="253">
        <v>358</v>
      </c>
      <c r="J13" s="213">
        <f t="shared" si="0"/>
        <v>51.500090000000007</v>
      </c>
      <c r="K13" s="4" t="s">
        <v>341</v>
      </c>
      <c r="L13" s="4" t="s">
        <v>342</v>
      </c>
      <c r="M13" s="4" t="s">
        <v>348</v>
      </c>
      <c r="N13" s="135" t="s">
        <v>349</v>
      </c>
      <c r="O13" s="267" t="str">
        <f>_xlfn.XLOOKUP(N13,costcategory[Account Code],costcategory[Cost Category],"ERROR")</f>
        <v>Employee Benefits</v>
      </c>
      <c r="P13" s="135" t="s">
        <v>350</v>
      </c>
      <c r="Q13" s="269" t="str">
        <f>_xlfn.XLOOKUP(P13,Table2[Department],Table2[Group],"ERROR")</f>
        <v>General &amp; Administrative</v>
      </c>
    </row>
    <row r="14" spans="1:22" x14ac:dyDescent="0.2">
      <c r="A14" s="2" t="s">
        <v>15</v>
      </c>
      <c r="B14" s="2" t="s">
        <v>3</v>
      </c>
      <c r="C14" s="164">
        <v>46037</v>
      </c>
      <c r="D14" s="164">
        <v>46037</v>
      </c>
      <c r="E14" s="164">
        <v>46037</v>
      </c>
      <c r="F14" s="2" t="s">
        <v>79</v>
      </c>
      <c r="G14" s="213">
        <v>906.15</v>
      </c>
      <c r="H14" s="213">
        <v>0</v>
      </c>
      <c r="I14" s="253">
        <v>906.15</v>
      </c>
      <c r="J14" s="213">
        <f t="shared" si="0"/>
        <v>130.35420825</v>
      </c>
      <c r="K14" s="4" t="s">
        <v>341</v>
      </c>
      <c r="L14" s="4" t="s">
        <v>342</v>
      </c>
      <c r="M14" s="4" t="s">
        <v>351</v>
      </c>
      <c r="N14" s="135" t="s">
        <v>50</v>
      </c>
      <c r="O14" s="267" t="str">
        <f>_xlfn.XLOOKUP(N14,costcategory[Account Code],costcategory[Cost Category],"ERROR")</f>
        <v>Office Supplies</v>
      </c>
      <c r="P14" s="135" t="s">
        <v>340</v>
      </c>
      <c r="Q14" s="269" t="str">
        <f>_xlfn.XLOOKUP(P14,Table2[Department],Table2[Group],"ERROR")</f>
        <v>General &amp; Administrative</v>
      </c>
    </row>
    <row r="15" spans="1:22" x14ac:dyDescent="0.2">
      <c r="A15" s="2" t="s">
        <v>15</v>
      </c>
      <c r="B15" s="2" t="s">
        <v>3</v>
      </c>
      <c r="C15" s="164">
        <v>46037</v>
      </c>
      <c r="D15" s="164">
        <v>46037</v>
      </c>
      <c r="E15" s="164">
        <v>46037</v>
      </c>
      <c r="F15" s="2" t="s">
        <v>79</v>
      </c>
      <c r="G15" s="213">
        <v>29</v>
      </c>
      <c r="H15" s="213">
        <v>0</v>
      </c>
      <c r="I15" s="253">
        <v>29</v>
      </c>
      <c r="J15" s="213">
        <f t="shared" si="0"/>
        <v>4.1717950000000004</v>
      </c>
      <c r="K15" s="4" t="s">
        <v>341</v>
      </c>
      <c r="L15" s="4" t="s">
        <v>342</v>
      </c>
      <c r="M15" s="4" t="s">
        <v>351</v>
      </c>
      <c r="N15" s="135" t="s">
        <v>50</v>
      </c>
      <c r="O15" s="267" t="str">
        <f>_xlfn.XLOOKUP(N15,costcategory[Account Code],costcategory[Cost Category],"ERROR")</f>
        <v>Office Supplies</v>
      </c>
      <c r="P15" s="135" t="s">
        <v>340</v>
      </c>
      <c r="Q15" s="269" t="str">
        <f>_xlfn.XLOOKUP(P15,Table2[Department],Table2[Group],"ERROR")</f>
        <v>General &amp; Administrative</v>
      </c>
    </row>
    <row r="16" spans="1:22" x14ac:dyDescent="0.2">
      <c r="A16" s="2" t="s">
        <v>15</v>
      </c>
      <c r="B16" s="2" t="s">
        <v>3</v>
      </c>
      <c r="C16" s="164">
        <v>46037</v>
      </c>
      <c r="D16" s="164">
        <v>46037</v>
      </c>
      <c r="E16" s="164">
        <v>46037</v>
      </c>
      <c r="F16" s="2" t="s">
        <v>79</v>
      </c>
      <c r="G16" s="213">
        <v>3362.13</v>
      </c>
      <c r="H16" s="213">
        <v>0</v>
      </c>
      <c r="I16" s="253">
        <v>3362.13</v>
      </c>
      <c r="J16" s="213">
        <f t="shared" si="0"/>
        <v>483.65921115000003</v>
      </c>
      <c r="K16" s="4" t="s">
        <v>341</v>
      </c>
      <c r="L16" s="4" t="s">
        <v>342</v>
      </c>
      <c r="M16" s="4" t="s">
        <v>352</v>
      </c>
      <c r="N16" s="135" t="s">
        <v>353</v>
      </c>
      <c r="O16" s="267" t="str">
        <f>_xlfn.XLOOKUP(N16,costcategory[Account Code],costcategory[Cost Category],"ERROR")</f>
        <v>Travelling Expenses</v>
      </c>
      <c r="P16" s="135" t="s">
        <v>354</v>
      </c>
      <c r="Q16" s="269" t="str">
        <f>_xlfn.XLOOKUP(P16,Table2[Department],Table2[Group],"ERROR")</f>
        <v>Sales &amp; Marketing</v>
      </c>
    </row>
    <row r="17" spans="1:17" x14ac:dyDescent="0.2">
      <c r="A17" s="2" t="s">
        <v>15</v>
      </c>
      <c r="B17" s="2" t="s">
        <v>3</v>
      </c>
      <c r="C17" s="164">
        <v>46037</v>
      </c>
      <c r="D17" s="164">
        <v>46037</v>
      </c>
      <c r="E17" s="164">
        <v>46037</v>
      </c>
      <c r="F17" s="2" t="s">
        <v>79</v>
      </c>
      <c r="G17" s="213">
        <v>400</v>
      </c>
      <c r="H17" s="213">
        <v>0</v>
      </c>
      <c r="I17" s="253">
        <v>400</v>
      </c>
      <c r="J17" s="213">
        <f t="shared" si="0"/>
        <v>57.542000000000002</v>
      </c>
      <c r="K17" s="4" t="s">
        <v>341</v>
      </c>
      <c r="L17" s="4" t="s">
        <v>342</v>
      </c>
      <c r="M17" s="4" t="s">
        <v>355</v>
      </c>
      <c r="N17" s="135" t="s">
        <v>356</v>
      </c>
      <c r="O17" s="267" t="str">
        <f>_xlfn.XLOOKUP(N17,costcategory[Account Code],costcategory[Cost Category],"ERROR")</f>
        <v>Travelling Expenses</v>
      </c>
      <c r="P17" s="135" t="s">
        <v>347</v>
      </c>
      <c r="Q17" s="269" t="str">
        <f>_xlfn.XLOOKUP(P17,Table2[Department],Table2[Group],"ERROR")</f>
        <v>Research &amp; Development</v>
      </c>
    </row>
    <row r="18" spans="1:17" x14ac:dyDescent="0.2">
      <c r="A18" s="2" t="s">
        <v>15</v>
      </c>
      <c r="B18" s="2" t="s">
        <v>3</v>
      </c>
      <c r="C18" s="164">
        <v>46037</v>
      </c>
      <c r="D18" s="164">
        <v>46037</v>
      </c>
      <c r="E18" s="164">
        <v>46037</v>
      </c>
      <c r="F18" s="2" t="s">
        <v>79</v>
      </c>
      <c r="G18" s="213">
        <v>2073.3200000000002</v>
      </c>
      <c r="H18" s="213">
        <v>0</v>
      </c>
      <c r="I18" s="253">
        <v>2073.3200000000002</v>
      </c>
      <c r="J18" s="213">
        <f t="shared" si="0"/>
        <v>298.25744860000003</v>
      </c>
      <c r="K18" s="4" t="s">
        <v>341</v>
      </c>
      <c r="L18" s="4" t="s">
        <v>342</v>
      </c>
      <c r="M18" s="4" t="s">
        <v>358</v>
      </c>
      <c r="N18" s="135" t="s">
        <v>60</v>
      </c>
      <c r="O18" s="267" t="str">
        <f>_xlfn.XLOOKUP(N18,costcategory[Account Code],costcategory[Cost Category],"ERROR")</f>
        <v>Subscription Fee</v>
      </c>
      <c r="P18" s="135" t="s">
        <v>333</v>
      </c>
      <c r="Q18" s="269" t="str">
        <f>_xlfn.XLOOKUP(P18,Table2[Department],Table2[Group],"ERROR")</f>
        <v>General &amp; Administrative</v>
      </c>
    </row>
    <row r="19" spans="1:17" x14ac:dyDescent="0.2">
      <c r="A19" s="2" t="s">
        <v>15</v>
      </c>
      <c r="B19" s="2" t="s">
        <v>3</v>
      </c>
      <c r="C19" s="164">
        <v>46037</v>
      </c>
      <c r="D19" s="164">
        <v>46037</v>
      </c>
      <c r="E19" s="164">
        <v>46037</v>
      </c>
      <c r="F19" s="2" t="s">
        <v>79</v>
      </c>
      <c r="G19" s="213">
        <v>66.89</v>
      </c>
      <c r="H19" s="213">
        <v>0</v>
      </c>
      <c r="I19" s="253">
        <v>66.89</v>
      </c>
      <c r="J19" s="213">
        <f t="shared" si="0"/>
        <v>9.6224609500000007</v>
      </c>
      <c r="K19" s="4" t="s">
        <v>341</v>
      </c>
      <c r="L19" s="4" t="s">
        <v>342</v>
      </c>
      <c r="M19" s="4" t="s">
        <v>359</v>
      </c>
      <c r="N19" s="135" t="s">
        <v>52</v>
      </c>
      <c r="O19" s="267" t="str">
        <f>_xlfn.XLOOKUP(N19,costcategory[Account Code],costcategory[Cost Category],"ERROR")</f>
        <v>Telecommunication</v>
      </c>
      <c r="P19" s="135" t="s">
        <v>354</v>
      </c>
      <c r="Q19" s="269" t="str">
        <f>_xlfn.XLOOKUP(P19,Table2[Department],Table2[Group],"ERROR")</f>
        <v>Sales &amp; Marketing</v>
      </c>
    </row>
    <row r="20" spans="1:17" x14ac:dyDescent="0.2">
      <c r="A20" s="2" t="s">
        <v>15</v>
      </c>
      <c r="B20" s="2" t="s">
        <v>3</v>
      </c>
      <c r="C20" s="164">
        <v>46037</v>
      </c>
      <c r="D20" s="164">
        <v>46037</v>
      </c>
      <c r="E20" s="164">
        <v>46037</v>
      </c>
      <c r="F20" s="2" t="s">
        <v>79</v>
      </c>
      <c r="G20" s="213">
        <v>4292.8</v>
      </c>
      <c r="H20" s="213">
        <v>0</v>
      </c>
      <c r="I20" s="253">
        <v>4292.8</v>
      </c>
      <c r="J20" s="213">
        <f t="shared" si="0"/>
        <v>617.54074400000002</v>
      </c>
      <c r="K20" s="4" t="s">
        <v>341</v>
      </c>
      <c r="L20" s="4" t="s">
        <v>342</v>
      </c>
      <c r="M20" s="4" t="s">
        <v>360</v>
      </c>
      <c r="N20" s="135" t="s">
        <v>353</v>
      </c>
      <c r="O20" s="267" t="str">
        <f>_xlfn.XLOOKUP(N20,costcategory[Account Code],costcategory[Cost Category],"ERROR")</f>
        <v>Travelling Expenses</v>
      </c>
      <c r="P20" s="135" t="s">
        <v>354</v>
      </c>
      <c r="Q20" s="269" t="str">
        <f>_xlfn.XLOOKUP(P20,Table2[Department],Table2[Group],"ERROR")</f>
        <v>Sales &amp; Marketing</v>
      </c>
    </row>
    <row r="21" spans="1:17" x14ac:dyDescent="0.2">
      <c r="A21" s="2" t="s">
        <v>15</v>
      </c>
      <c r="B21" s="2" t="s">
        <v>3</v>
      </c>
      <c r="C21" s="164">
        <v>46037</v>
      </c>
      <c r="D21" s="164">
        <v>46037</v>
      </c>
      <c r="E21" s="164">
        <v>46037</v>
      </c>
      <c r="F21" s="2" t="s">
        <v>79</v>
      </c>
      <c r="G21" s="213">
        <v>42.69</v>
      </c>
      <c r="H21" s="213">
        <v>0</v>
      </c>
      <c r="I21" s="253">
        <v>42.69</v>
      </c>
      <c r="J21" s="213">
        <f t="shared" si="0"/>
        <v>6.1411699500000001</v>
      </c>
      <c r="K21" s="4" t="s">
        <v>341</v>
      </c>
      <c r="L21" s="4" t="s">
        <v>342</v>
      </c>
      <c r="M21" s="4" t="s">
        <v>361</v>
      </c>
      <c r="N21" s="135" t="s">
        <v>356</v>
      </c>
      <c r="O21" s="267" t="str">
        <f>_xlfn.XLOOKUP(N21,costcategory[Account Code],costcategory[Cost Category],"ERROR")</f>
        <v>Travelling Expenses</v>
      </c>
      <c r="P21" s="135" t="s">
        <v>354</v>
      </c>
      <c r="Q21" s="269" t="str">
        <f>_xlfn.XLOOKUP(P21,Table2[Department],Table2[Group],"ERROR")</f>
        <v>Sales &amp; Marketing</v>
      </c>
    </row>
    <row r="22" spans="1:17" x14ac:dyDescent="0.2">
      <c r="A22" s="2" t="s">
        <v>15</v>
      </c>
      <c r="B22" s="2" t="s">
        <v>3</v>
      </c>
      <c r="C22" s="164">
        <v>46037</v>
      </c>
      <c r="D22" s="164">
        <v>46037</v>
      </c>
      <c r="E22" s="164">
        <v>46037</v>
      </c>
      <c r="F22" s="2" t="s">
        <v>79</v>
      </c>
      <c r="G22" s="213">
        <v>157.35</v>
      </c>
      <c r="H22" s="213">
        <v>0</v>
      </c>
      <c r="I22" s="253">
        <v>157.35</v>
      </c>
      <c r="J22" s="213">
        <f t="shared" si="0"/>
        <v>22.635584250000001</v>
      </c>
      <c r="K22" s="4" t="s">
        <v>341</v>
      </c>
      <c r="L22" s="4" t="s">
        <v>342</v>
      </c>
      <c r="M22" s="4" t="s">
        <v>361</v>
      </c>
      <c r="N22" s="135" t="s">
        <v>356</v>
      </c>
      <c r="O22" s="267" t="str">
        <f>_xlfn.XLOOKUP(N22,costcategory[Account Code],costcategory[Cost Category],"ERROR")</f>
        <v>Travelling Expenses</v>
      </c>
      <c r="P22" s="135" t="s">
        <v>347</v>
      </c>
      <c r="Q22" s="269" t="str">
        <f>_xlfn.XLOOKUP(P22,Table2[Department],Table2[Group],"ERROR")</f>
        <v>Research &amp; Development</v>
      </c>
    </row>
    <row r="23" spans="1:17" x14ac:dyDescent="0.2">
      <c r="A23" s="2" t="s">
        <v>15</v>
      </c>
      <c r="B23" s="2" t="s">
        <v>3</v>
      </c>
      <c r="C23" s="164">
        <v>46037</v>
      </c>
      <c r="D23" s="164">
        <v>46037</v>
      </c>
      <c r="E23" s="164">
        <v>46037</v>
      </c>
      <c r="F23" s="2" t="s">
        <v>79</v>
      </c>
      <c r="G23" s="213">
        <v>204</v>
      </c>
      <c r="H23" s="213">
        <v>0</v>
      </c>
      <c r="I23" s="254">
        <v>204</v>
      </c>
      <c r="J23" s="213">
        <f t="shared" si="0"/>
        <v>29.346420000000002</v>
      </c>
      <c r="K23" s="4" t="s">
        <v>341</v>
      </c>
      <c r="L23" s="4" t="s">
        <v>342</v>
      </c>
      <c r="M23" s="4" t="s">
        <v>361</v>
      </c>
      <c r="N23" s="135" t="s">
        <v>356</v>
      </c>
      <c r="O23" s="267" t="str">
        <f>_xlfn.XLOOKUP(N23,costcategory[Account Code],costcategory[Cost Category],"ERROR")</f>
        <v>Travelling Expenses</v>
      </c>
      <c r="P23" s="135" t="s">
        <v>347</v>
      </c>
      <c r="Q23" s="269" t="str">
        <f>_xlfn.XLOOKUP(P23,Table2[Department],Table2[Group],"ERROR")</f>
        <v>Research &amp; Development</v>
      </c>
    </row>
    <row r="24" spans="1:17" x14ac:dyDescent="0.2">
      <c r="A24" s="2" t="s">
        <v>15</v>
      </c>
      <c r="B24" s="2" t="s">
        <v>3</v>
      </c>
      <c r="C24" s="164">
        <v>46035</v>
      </c>
      <c r="D24" s="164">
        <v>46037</v>
      </c>
      <c r="E24" s="164">
        <v>46037</v>
      </c>
      <c r="F24" s="2" t="s">
        <v>79</v>
      </c>
      <c r="G24" s="213">
        <v>671.44</v>
      </c>
      <c r="H24" s="213">
        <v>0</v>
      </c>
      <c r="I24" s="213">
        <v>671.44</v>
      </c>
      <c r="J24" s="213">
        <f t="shared" si="0"/>
        <v>96.590001200000017</v>
      </c>
      <c r="K24" s="4" t="s">
        <v>362</v>
      </c>
      <c r="M24" s="4" t="s">
        <v>363</v>
      </c>
      <c r="N24" s="135" t="s">
        <v>364</v>
      </c>
      <c r="O24" s="267" t="str">
        <f>_xlfn.XLOOKUP(N24,costcategory[Account Code],costcategory[Cost Category],"ERROR")</f>
        <v>Headcount Costs</v>
      </c>
      <c r="P24" s="135" t="s">
        <v>333</v>
      </c>
      <c r="Q24" s="269" t="str">
        <f>_xlfn.XLOOKUP(P24,Table2[Department],Table2[Group],"ERROR")</f>
        <v>General &amp; Administrative</v>
      </c>
    </row>
    <row r="25" spans="1:17" x14ac:dyDescent="0.2">
      <c r="A25" s="2" t="s">
        <v>15</v>
      </c>
      <c r="B25" s="2" t="s">
        <v>3</v>
      </c>
      <c r="C25" s="164">
        <v>46027</v>
      </c>
      <c r="D25" s="164">
        <v>46037</v>
      </c>
      <c r="E25" s="164">
        <v>46037</v>
      </c>
      <c r="F25" s="2" t="s">
        <v>79</v>
      </c>
      <c r="G25" s="213">
        <v>11331.81</v>
      </c>
      <c r="H25" s="213">
        <v>0</v>
      </c>
      <c r="I25" s="252">
        <v>11331.81</v>
      </c>
      <c r="J25" s="213">
        <f t="shared" si="0"/>
        <v>1630.13752755</v>
      </c>
      <c r="K25" s="4" t="s">
        <v>365</v>
      </c>
      <c r="M25" s="4" t="s">
        <v>1405</v>
      </c>
      <c r="N25" s="135" t="s">
        <v>367</v>
      </c>
      <c r="O25" s="267" t="str">
        <f>_xlfn.XLOOKUP(N25,costcategory[Account Code],costcategory[Cost Category],"ERROR")</f>
        <v>Professional &amp; Consultancy Fees</v>
      </c>
      <c r="P25" s="135" t="s">
        <v>347</v>
      </c>
      <c r="Q25" s="269" t="str">
        <f>_xlfn.XLOOKUP(P25,Table2[Department],Table2[Group],"ERROR")</f>
        <v>Research &amp; Development</v>
      </c>
    </row>
    <row r="26" spans="1:17" x14ac:dyDescent="0.2">
      <c r="A26" s="2" t="s">
        <v>15</v>
      </c>
      <c r="B26" s="2" t="s">
        <v>3</v>
      </c>
      <c r="C26" s="164">
        <v>46027</v>
      </c>
      <c r="D26" s="164">
        <v>46037</v>
      </c>
      <c r="E26" s="164">
        <v>46037</v>
      </c>
      <c r="F26" s="2" t="s">
        <v>79</v>
      </c>
      <c r="G26" s="213">
        <v>426.88</v>
      </c>
      <c r="H26" s="213">
        <v>0</v>
      </c>
      <c r="I26" s="254">
        <v>426.88</v>
      </c>
      <c r="J26" s="213">
        <f t="shared" si="0"/>
        <v>61.408822400000005</v>
      </c>
      <c r="K26" s="4" t="s">
        <v>365</v>
      </c>
      <c r="M26" s="4" t="s">
        <v>366</v>
      </c>
      <c r="N26" s="135" t="s">
        <v>367</v>
      </c>
      <c r="O26" s="267" t="str">
        <f>_xlfn.XLOOKUP(N26,costcategory[Account Code],costcategory[Cost Category],"ERROR")</f>
        <v>Professional &amp; Consultancy Fees</v>
      </c>
      <c r="P26" s="135" t="s">
        <v>350</v>
      </c>
      <c r="Q26" s="269" t="str">
        <f>_xlfn.XLOOKUP(P26,Table2[Department],Table2[Group],"ERROR")</f>
        <v>General &amp; Administrative</v>
      </c>
    </row>
    <row r="27" spans="1:17" x14ac:dyDescent="0.2">
      <c r="A27" s="2" t="s">
        <v>15</v>
      </c>
      <c r="B27" s="2" t="s">
        <v>3</v>
      </c>
      <c r="C27" s="164">
        <v>46035</v>
      </c>
      <c r="D27" s="164">
        <v>46037</v>
      </c>
      <c r="E27" s="164">
        <v>46037</v>
      </c>
      <c r="F27" s="2" t="s">
        <v>79</v>
      </c>
      <c r="G27" s="213">
        <v>246.53</v>
      </c>
      <c r="H27" s="213">
        <v>0</v>
      </c>
      <c r="I27" s="213">
        <v>246.53</v>
      </c>
      <c r="J27" s="213">
        <f t="shared" si="0"/>
        <v>35.46457315</v>
      </c>
      <c r="K27" s="4" t="s">
        <v>368</v>
      </c>
      <c r="M27" s="4" t="s">
        <v>369</v>
      </c>
      <c r="N27" s="135" t="s">
        <v>370</v>
      </c>
      <c r="O27" s="267" t="str">
        <f>_xlfn.XLOOKUP(N27,costcategory[Account Code],costcategory[Cost Category],"ERROR")</f>
        <v>Utilities</v>
      </c>
      <c r="P27" s="135" t="s">
        <v>340</v>
      </c>
      <c r="Q27" s="269" t="str">
        <f>_xlfn.XLOOKUP(P27,Table2[Department],Table2[Group],"ERROR")</f>
        <v>General &amp; Administrative</v>
      </c>
    </row>
    <row r="28" spans="1:17" x14ac:dyDescent="0.2">
      <c r="A28" s="2" t="s">
        <v>15</v>
      </c>
      <c r="B28" s="2" t="s">
        <v>3</v>
      </c>
      <c r="C28" s="164">
        <v>46023</v>
      </c>
      <c r="D28" s="164">
        <v>46037</v>
      </c>
      <c r="E28" s="164">
        <v>46037</v>
      </c>
      <c r="F28" s="2" t="s">
        <v>79</v>
      </c>
      <c r="G28" s="213">
        <v>277</v>
      </c>
      <c r="H28" s="213">
        <v>0</v>
      </c>
      <c r="I28" s="213">
        <v>277</v>
      </c>
      <c r="J28" s="213">
        <f t="shared" si="0"/>
        <v>39.847835000000003</v>
      </c>
      <c r="K28" s="4" t="s">
        <v>372</v>
      </c>
      <c r="M28" s="4" t="s">
        <v>373</v>
      </c>
      <c r="N28" s="135" t="s">
        <v>374</v>
      </c>
      <c r="O28" s="267" t="str">
        <f>_xlfn.XLOOKUP(N28,costcategory[Account Code],costcategory[Cost Category],"ERROR")</f>
        <v>Non-Current Liabilities</v>
      </c>
      <c r="P28" s="135" t="s">
        <v>376</v>
      </c>
      <c r="Q28" s="269" t="str">
        <f>_xlfn.XLOOKUP(P28,Table2[Department],Table2[Group],"ERROR")</f>
        <v>General &amp; Administrative</v>
      </c>
    </row>
    <row r="29" spans="1:17" x14ac:dyDescent="0.2">
      <c r="A29" s="2" t="s">
        <v>15</v>
      </c>
      <c r="B29" s="2" t="s">
        <v>3</v>
      </c>
      <c r="C29" s="164">
        <v>46037</v>
      </c>
      <c r="D29" s="164">
        <v>46037</v>
      </c>
      <c r="E29" s="164">
        <v>46038</v>
      </c>
      <c r="F29" s="2" t="s">
        <v>79</v>
      </c>
      <c r="G29" s="199">
        <v>5503</v>
      </c>
      <c r="H29" s="199">
        <v>0</v>
      </c>
      <c r="I29" s="199">
        <v>5503</v>
      </c>
      <c r="J29" s="199">
        <f t="shared" si="0"/>
        <v>791.63406500000008</v>
      </c>
      <c r="K29" s="4" t="s">
        <v>377</v>
      </c>
      <c r="L29" s="4" t="s">
        <v>378</v>
      </c>
      <c r="M29" s="4" t="s">
        <v>379</v>
      </c>
      <c r="N29" s="135" t="s">
        <v>380</v>
      </c>
      <c r="O29" s="267" t="str">
        <f>_xlfn.XLOOKUP(N29,costcategory[Account Code],costcategory[Cost Category],"ERROR")</f>
        <v>R&amp;D Contract Services</v>
      </c>
      <c r="P29" s="135" t="s">
        <v>347</v>
      </c>
      <c r="Q29" s="269" t="str">
        <f>_xlfn.XLOOKUP(P29,Table2[Department],Table2[Group],"ERROR")</f>
        <v>Research &amp; Development</v>
      </c>
    </row>
    <row r="30" spans="1:17" x14ac:dyDescent="0.2">
      <c r="A30" s="2" t="s">
        <v>15</v>
      </c>
      <c r="B30" s="2" t="s">
        <v>3</v>
      </c>
      <c r="C30" s="164">
        <v>46041</v>
      </c>
      <c r="D30" s="164">
        <v>46041</v>
      </c>
      <c r="E30" s="164">
        <v>46041</v>
      </c>
      <c r="F30" s="2" t="s">
        <v>79</v>
      </c>
      <c r="G30" s="213">
        <v>29302</v>
      </c>
      <c r="H30" s="213">
        <v>0</v>
      </c>
      <c r="I30" s="213">
        <v>29302</v>
      </c>
      <c r="J30" s="213">
        <f t="shared" si="0"/>
        <v>4215.2392100000006</v>
      </c>
      <c r="K30" s="4" t="s">
        <v>1406</v>
      </c>
      <c r="M30" s="4" t="s">
        <v>1407</v>
      </c>
      <c r="N30" s="135" t="s">
        <v>499</v>
      </c>
      <c r="O30" s="267" t="str">
        <f>_xlfn.XLOOKUP(N30,costcategory[Account Code],costcategory[Cost Category],"ERROR")</f>
        <v>Tax Expenses (GST/SST/VAT)</v>
      </c>
      <c r="P30" s="135" t="s">
        <v>340</v>
      </c>
      <c r="Q30" s="269" t="str">
        <f>_xlfn.XLOOKUP(P30,Table2[Department],Table2[Group],"ERROR")</f>
        <v>General &amp; Administrative</v>
      </c>
    </row>
    <row r="31" spans="1:17" x14ac:dyDescent="0.2">
      <c r="A31" s="2" t="s">
        <v>15</v>
      </c>
      <c r="B31" s="2" t="s">
        <v>3</v>
      </c>
      <c r="C31" s="164">
        <v>46041</v>
      </c>
      <c r="D31" s="164">
        <v>46041</v>
      </c>
      <c r="E31" s="164">
        <v>46041</v>
      </c>
      <c r="F31" s="2" t="s">
        <v>79</v>
      </c>
      <c r="G31" s="213">
        <v>11270</v>
      </c>
      <c r="H31" s="213">
        <v>0</v>
      </c>
      <c r="I31" s="213">
        <v>11270</v>
      </c>
      <c r="J31" s="213">
        <f t="shared" si="0"/>
        <v>1621.24585</v>
      </c>
      <c r="K31" s="4" t="s">
        <v>1408</v>
      </c>
      <c r="M31" s="4" t="s">
        <v>1409</v>
      </c>
      <c r="N31" s="135" t="s">
        <v>364</v>
      </c>
      <c r="O31" s="267" t="str">
        <f>_xlfn.XLOOKUP(N31,costcategory[Account Code],costcategory[Cost Category],"ERROR")</f>
        <v>Headcount Costs</v>
      </c>
      <c r="P31" s="135" t="s">
        <v>350</v>
      </c>
      <c r="Q31" s="269" t="str">
        <f>_xlfn.XLOOKUP(P31,Table2[Department],Table2[Group],"ERROR")</f>
        <v>General &amp; Administrative</v>
      </c>
    </row>
    <row r="32" spans="1:17" x14ac:dyDescent="0.2">
      <c r="A32" s="2" t="s">
        <v>15</v>
      </c>
      <c r="B32" s="2" t="s">
        <v>3</v>
      </c>
      <c r="C32" s="164">
        <v>46042</v>
      </c>
      <c r="D32" s="164">
        <v>46042</v>
      </c>
      <c r="E32" s="164">
        <v>46042</v>
      </c>
      <c r="F32" s="2" t="s">
        <v>79</v>
      </c>
      <c r="G32" s="213">
        <v>30171.01</v>
      </c>
      <c r="H32" s="213">
        <v>0</v>
      </c>
      <c r="I32" s="213">
        <v>30171.01</v>
      </c>
      <c r="J32" s="213">
        <f t="shared" si="0"/>
        <v>4340.2506435499999</v>
      </c>
      <c r="K32" s="4" t="s">
        <v>1406</v>
      </c>
      <c r="M32" s="4" t="s">
        <v>1410</v>
      </c>
      <c r="N32" s="135" t="s">
        <v>364</v>
      </c>
      <c r="O32" s="267" t="str">
        <f>_xlfn.XLOOKUP(N32,costcategory[Account Code],costcategory[Cost Category],"ERROR")</f>
        <v>Headcount Costs</v>
      </c>
      <c r="P32" s="135" t="s">
        <v>347</v>
      </c>
      <c r="Q32" s="269" t="str">
        <f>_xlfn.XLOOKUP(P32,Table2[Department],Table2[Group],"ERROR")</f>
        <v>Research &amp; Development</v>
      </c>
    </row>
    <row r="33" spans="1:22" x14ac:dyDescent="0.2">
      <c r="A33" s="2" t="s">
        <v>15</v>
      </c>
      <c r="B33" s="2" t="s">
        <v>3</v>
      </c>
      <c r="C33" s="164">
        <v>46042</v>
      </c>
      <c r="D33" s="164">
        <v>46042</v>
      </c>
      <c r="E33" s="164">
        <v>46042</v>
      </c>
      <c r="F33" s="2" t="s">
        <v>79</v>
      </c>
      <c r="G33" s="213">
        <v>5186.68</v>
      </c>
      <c r="H33" s="213">
        <v>0</v>
      </c>
      <c r="I33" s="213">
        <v>5186.68</v>
      </c>
      <c r="J33" s="213">
        <f t="shared" si="0"/>
        <v>746.12985140000012</v>
      </c>
      <c r="K33" s="4" t="s">
        <v>1406</v>
      </c>
      <c r="M33" s="4" t="s">
        <v>1411</v>
      </c>
      <c r="N33" s="135" t="s">
        <v>364</v>
      </c>
      <c r="O33" s="267" t="str">
        <f>_xlfn.XLOOKUP(N33,costcategory[Account Code],costcategory[Cost Category],"ERROR")</f>
        <v>Headcount Costs</v>
      </c>
      <c r="P33" s="135" t="s">
        <v>347</v>
      </c>
      <c r="Q33" s="269" t="str">
        <f>_xlfn.XLOOKUP(P33,Table2[Department],Table2[Group],"ERROR")</f>
        <v>Research &amp; Development</v>
      </c>
    </row>
    <row r="34" spans="1:22" x14ac:dyDescent="0.2">
      <c r="A34" s="2" t="s">
        <v>15</v>
      </c>
      <c r="B34" s="2" t="s">
        <v>3</v>
      </c>
      <c r="C34" s="164">
        <v>46044</v>
      </c>
      <c r="D34" s="164">
        <v>46044</v>
      </c>
      <c r="E34" s="164">
        <v>46044</v>
      </c>
      <c r="F34" s="2" t="s">
        <v>79</v>
      </c>
      <c r="G34" s="213">
        <v>110.11</v>
      </c>
      <c r="H34" s="213">
        <v>0</v>
      </c>
      <c r="I34" s="213">
        <v>110.11</v>
      </c>
      <c r="J34" s="213">
        <f t="shared" si="0"/>
        <v>15.839874050000001</v>
      </c>
      <c r="K34" s="4" t="s">
        <v>1406</v>
      </c>
      <c r="M34" s="4" t="s">
        <v>1412</v>
      </c>
      <c r="N34" s="135" t="s">
        <v>364</v>
      </c>
      <c r="O34" s="267" t="str">
        <f>_xlfn.XLOOKUP(N34,costcategory[Account Code],costcategory[Cost Category],"ERROR")</f>
        <v>Headcount Costs</v>
      </c>
      <c r="P34" s="135" t="s">
        <v>347</v>
      </c>
      <c r="Q34" s="269" t="str">
        <f>_xlfn.XLOOKUP(P34,Table2[Department],Table2[Group],"ERROR")</f>
        <v>Research &amp; Development</v>
      </c>
    </row>
    <row r="35" spans="1:22" x14ac:dyDescent="0.2">
      <c r="A35" s="2" t="s">
        <v>15</v>
      </c>
      <c r="B35" s="2" t="s">
        <v>3</v>
      </c>
      <c r="C35" s="164">
        <v>46044</v>
      </c>
      <c r="D35" s="164">
        <v>46044</v>
      </c>
      <c r="E35" s="164">
        <v>46044</v>
      </c>
      <c r="F35" s="2" t="s">
        <v>79</v>
      </c>
      <c r="G35" s="213">
        <v>847.26</v>
      </c>
      <c r="H35" s="213">
        <v>0</v>
      </c>
      <c r="I35" s="213">
        <v>847.26</v>
      </c>
      <c r="J35" s="213">
        <f t="shared" si="0"/>
        <v>121.88258730000001</v>
      </c>
      <c r="K35" s="4" t="s">
        <v>1406</v>
      </c>
      <c r="M35" s="4" t="s">
        <v>1413</v>
      </c>
      <c r="N35" s="135" t="s">
        <v>364</v>
      </c>
      <c r="O35" s="267" t="str">
        <f>_xlfn.XLOOKUP(N35,costcategory[Account Code],costcategory[Cost Category],"ERROR")</f>
        <v>Headcount Costs</v>
      </c>
      <c r="P35" s="135" t="s">
        <v>347</v>
      </c>
      <c r="Q35" s="269" t="str">
        <f>_xlfn.XLOOKUP(P35,Table2[Department],Table2[Group],"ERROR")</f>
        <v>Research &amp; Development</v>
      </c>
    </row>
    <row r="36" spans="1:22" x14ac:dyDescent="0.2">
      <c r="A36" s="2" t="s">
        <v>15</v>
      </c>
      <c r="B36" s="2" t="s">
        <v>3</v>
      </c>
      <c r="C36" s="164">
        <v>46044</v>
      </c>
      <c r="D36" s="164">
        <v>46044</v>
      </c>
      <c r="E36" s="164">
        <v>46044</v>
      </c>
      <c r="F36" s="2" t="s">
        <v>79</v>
      </c>
      <c r="G36" s="213">
        <v>5173.6000000000004</v>
      </c>
      <c r="H36" s="213">
        <v>0</v>
      </c>
      <c r="I36" s="213">
        <v>5173.6000000000004</v>
      </c>
      <c r="J36" s="213">
        <f t="shared" si="0"/>
        <v>744.24822800000015</v>
      </c>
      <c r="K36" s="4" t="s">
        <v>1406</v>
      </c>
      <c r="M36" s="4" t="s">
        <v>1414</v>
      </c>
      <c r="N36" s="135" t="s">
        <v>364</v>
      </c>
      <c r="O36" s="267" t="str">
        <f>_xlfn.XLOOKUP(N36,costcategory[Account Code],costcategory[Cost Category],"ERROR")</f>
        <v>Headcount Costs</v>
      </c>
      <c r="P36" s="135" t="s">
        <v>347</v>
      </c>
      <c r="Q36" s="269" t="str">
        <f>_xlfn.XLOOKUP(P36,Table2[Department],Table2[Group],"ERROR")</f>
        <v>Research &amp; Development</v>
      </c>
    </row>
    <row r="37" spans="1:22" x14ac:dyDescent="0.2">
      <c r="A37" s="2" t="s">
        <v>15</v>
      </c>
      <c r="B37" s="2" t="s">
        <v>3</v>
      </c>
      <c r="C37" s="164">
        <v>46044</v>
      </c>
      <c r="D37" s="164">
        <v>46044</v>
      </c>
      <c r="E37" s="164">
        <v>46044</v>
      </c>
      <c r="F37" s="2" t="s">
        <v>79</v>
      </c>
      <c r="G37" s="213">
        <v>4135.05</v>
      </c>
      <c r="H37" s="213">
        <v>0</v>
      </c>
      <c r="I37" s="213">
        <v>4135.05</v>
      </c>
      <c r="J37" s="213">
        <f t="shared" si="0"/>
        <v>594.84761775000004</v>
      </c>
      <c r="K37" s="4" t="s">
        <v>1406</v>
      </c>
      <c r="M37" s="4" t="s">
        <v>1415</v>
      </c>
      <c r="N37" s="135" t="s">
        <v>364</v>
      </c>
      <c r="O37" s="267" t="str">
        <f>_xlfn.XLOOKUP(N37,costcategory[Account Code],costcategory[Cost Category],"ERROR")</f>
        <v>Headcount Costs</v>
      </c>
      <c r="P37" s="135" t="s">
        <v>347</v>
      </c>
      <c r="Q37" s="269" t="str">
        <f>_xlfn.XLOOKUP(P37,Table2[Department],Table2[Group],"ERROR")</f>
        <v>Research &amp; Development</v>
      </c>
    </row>
    <row r="38" spans="1:22" x14ac:dyDescent="0.2">
      <c r="A38" s="2" t="s">
        <v>15</v>
      </c>
      <c r="B38" s="2" t="s">
        <v>3</v>
      </c>
      <c r="C38" s="164">
        <v>46044</v>
      </c>
      <c r="D38" s="164">
        <v>46044</v>
      </c>
      <c r="E38" s="164">
        <v>46044</v>
      </c>
      <c r="F38" s="2" t="s">
        <v>79</v>
      </c>
      <c r="G38" s="213">
        <v>3457.51</v>
      </c>
      <c r="H38" s="213">
        <v>0</v>
      </c>
      <c r="I38" s="213">
        <v>3457.51</v>
      </c>
      <c r="J38" s="213">
        <f t="shared" si="0"/>
        <v>497.38010105000006</v>
      </c>
      <c r="K38" s="4" t="s">
        <v>1406</v>
      </c>
      <c r="M38" s="4" t="s">
        <v>1416</v>
      </c>
      <c r="N38" s="135" t="s">
        <v>364</v>
      </c>
      <c r="O38" s="267" t="str">
        <f>_xlfn.XLOOKUP(N38,costcategory[Account Code],costcategory[Cost Category],"ERROR")</f>
        <v>Headcount Costs</v>
      </c>
      <c r="P38" s="135" t="s">
        <v>347</v>
      </c>
      <c r="Q38" s="269" t="str">
        <f>_xlfn.XLOOKUP(P38,Table2[Department],Table2[Group],"ERROR")</f>
        <v>Research &amp; Development</v>
      </c>
    </row>
    <row r="39" spans="1:22" x14ac:dyDescent="0.2">
      <c r="A39" s="2" t="s">
        <v>15</v>
      </c>
      <c r="B39" s="2" t="s">
        <v>3</v>
      </c>
      <c r="C39" s="164">
        <v>46045</v>
      </c>
      <c r="D39" s="164">
        <v>46045</v>
      </c>
      <c r="E39" s="164">
        <v>46045</v>
      </c>
      <c r="F39" s="2" t="s">
        <v>79</v>
      </c>
      <c r="G39" s="213">
        <v>-569458.5</v>
      </c>
      <c r="H39" s="213">
        <v>0</v>
      </c>
      <c r="I39" s="213">
        <v>-569458.5</v>
      </c>
      <c r="J39" s="213">
        <f t="shared" si="0"/>
        <v>-81919.452517500002</v>
      </c>
      <c r="K39" s="4" t="s">
        <v>313</v>
      </c>
      <c r="L39" s="4" t="s">
        <v>381</v>
      </c>
      <c r="M39" s="4" t="s">
        <v>316</v>
      </c>
      <c r="N39" s="135" t="s">
        <v>382</v>
      </c>
      <c r="O39" s="267" t="str">
        <f>_xlfn.XLOOKUP(N39,costcategory[Account Code],costcategory[Cost Category],"ERROR")</f>
        <v>Revenue</v>
      </c>
      <c r="P39" s="135" t="s">
        <v>347</v>
      </c>
      <c r="Q39" s="269" t="str">
        <f>_xlfn.XLOOKUP(P39,Table2[Department],Table2[Group],"ERROR")</f>
        <v>Research &amp; Development</v>
      </c>
    </row>
    <row r="40" spans="1:22" x14ac:dyDescent="0.2">
      <c r="A40" s="2" t="s">
        <v>15</v>
      </c>
      <c r="B40" s="2" t="s">
        <v>3</v>
      </c>
      <c r="C40" s="164">
        <v>46050</v>
      </c>
      <c r="D40" s="164">
        <v>46050</v>
      </c>
      <c r="E40" s="164">
        <v>46050</v>
      </c>
      <c r="F40" s="2" t="s">
        <v>79</v>
      </c>
      <c r="G40" s="213">
        <v>1696.76</v>
      </c>
      <c r="H40" s="213">
        <v>0</v>
      </c>
      <c r="I40" s="213">
        <v>1696.76</v>
      </c>
      <c r="J40" s="213">
        <f t="shared" si="0"/>
        <v>244.08740980000002</v>
      </c>
      <c r="K40" s="4" t="s">
        <v>1406</v>
      </c>
      <c r="M40" s="4" t="s">
        <v>1417</v>
      </c>
      <c r="N40" s="135" t="s">
        <v>499</v>
      </c>
      <c r="O40" s="267" t="str">
        <f>_xlfn.XLOOKUP(N40,costcategory[Account Code],costcategory[Cost Category],"ERROR")</f>
        <v>Tax Expenses (GST/SST/VAT)</v>
      </c>
      <c r="P40" s="135" t="s">
        <v>340</v>
      </c>
      <c r="Q40" s="269" t="str">
        <f>_xlfn.XLOOKUP(P40,Table2[Department],Table2[Group],"ERROR")</f>
        <v>General &amp; Administrative</v>
      </c>
    </row>
    <row r="41" spans="1:22" x14ac:dyDescent="0.2">
      <c r="A41" s="2" t="s">
        <v>15</v>
      </c>
      <c r="B41" s="2" t="s">
        <v>3</v>
      </c>
      <c r="C41" s="164">
        <v>46052</v>
      </c>
      <c r="D41" s="164">
        <v>46052</v>
      </c>
      <c r="E41" s="164">
        <v>46052</v>
      </c>
      <c r="F41" s="2" t="s">
        <v>79</v>
      </c>
      <c r="G41" s="199">
        <v>85366.86</v>
      </c>
      <c r="H41" s="199">
        <v>0</v>
      </c>
      <c r="I41" s="199">
        <v>85366.86</v>
      </c>
      <c r="J41" s="199">
        <f t="shared" si="0"/>
        <v>12280.449645300001</v>
      </c>
      <c r="K41" s="4" t="s">
        <v>1085</v>
      </c>
      <c r="L41" s="4" t="s">
        <v>1418</v>
      </c>
      <c r="M41" s="4" t="s">
        <v>1404</v>
      </c>
      <c r="N41" s="135" t="s">
        <v>387</v>
      </c>
      <c r="O41" s="267" t="str">
        <f>_xlfn.XLOOKUP(N41,costcategory[Account Code],costcategory[Cost Category],"ERROR")</f>
        <v>Headcount Costs</v>
      </c>
      <c r="P41" s="135" t="s">
        <v>347</v>
      </c>
      <c r="Q41" s="269" t="str">
        <f>_xlfn.XLOOKUP(P41,Table2[Department],Table2[Group],"ERROR")</f>
        <v>Research &amp; Development</v>
      </c>
    </row>
    <row r="42" spans="1:22" x14ac:dyDescent="0.2">
      <c r="A42" s="2" t="s">
        <v>15</v>
      </c>
      <c r="B42" s="2" t="s">
        <v>3</v>
      </c>
      <c r="C42" s="164">
        <v>46052</v>
      </c>
      <c r="D42" s="164">
        <v>46052</v>
      </c>
      <c r="E42" s="164">
        <v>46052</v>
      </c>
      <c r="F42" s="2" t="s">
        <v>79</v>
      </c>
      <c r="G42" s="213">
        <v>-381.92</v>
      </c>
      <c r="H42" s="213">
        <v>0</v>
      </c>
      <c r="I42" s="213">
        <v>-381.92</v>
      </c>
      <c r="J42" s="213">
        <f t="shared" si="0"/>
        <v>-54.941101600000003</v>
      </c>
      <c r="K42" s="4" t="s">
        <v>330</v>
      </c>
      <c r="M42" s="4" t="s">
        <v>383</v>
      </c>
      <c r="N42" s="135" t="s">
        <v>384</v>
      </c>
      <c r="O42" s="267" t="str">
        <f>_xlfn.XLOOKUP(N42,costcategory[Account Code],costcategory[Cost Category],"ERROR")</f>
        <v>Other Income</v>
      </c>
      <c r="P42" s="135" t="s">
        <v>333</v>
      </c>
      <c r="Q42" s="269" t="str">
        <f>_xlfn.XLOOKUP(P42,Table2[Department],Table2[Group],"ERROR")</f>
        <v>General &amp; Administrative</v>
      </c>
    </row>
    <row r="43" spans="1:22" x14ac:dyDescent="0.2">
      <c r="F43" s="2" t="s">
        <v>79</v>
      </c>
      <c r="G43" s="213"/>
      <c r="H43" s="213"/>
      <c r="I43" s="213">
        <f>SUM(I6:I42)</f>
        <v>-256261.27</v>
      </c>
      <c r="J43" s="213"/>
      <c r="Q43" s="21"/>
    </row>
    <row r="44" spans="1:22" ht="12.95" customHeight="1" x14ac:dyDescent="0.2">
      <c r="A44" s="329" t="s">
        <v>1173</v>
      </c>
      <c r="B44" s="329"/>
      <c r="C44" s="329"/>
      <c r="D44" s="329"/>
      <c r="E44" s="196">
        <v>46053</v>
      </c>
      <c r="F44" s="13" t="s">
        <v>79</v>
      </c>
      <c r="G44" s="202"/>
      <c r="H44" s="207"/>
      <c r="I44" s="239">
        <f>I5-I43</f>
        <v>557338.68999999994</v>
      </c>
      <c r="J44" s="207"/>
      <c r="K44" s="17"/>
      <c r="L44" s="25"/>
      <c r="M44" s="25"/>
      <c r="N44" s="154"/>
      <c r="O44" s="155"/>
      <c r="P44" s="154"/>
      <c r="Q44" s="155"/>
      <c r="R44" s="20"/>
      <c r="S44" s="17"/>
      <c r="T44" s="20"/>
    </row>
    <row r="46" spans="1:22" x14ac:dyDescent="0.2">
      <c r="J46" s="257">
        <f>FOREX!K2</f>
        <v>0.14385500000000001</v>
      </c>
    </row>
    <row r="47" spans="1:22" s="183" customFormat="1" ht="12.95" customHeight="1" x14ac:dyDescent="0.2">
      <c r="A47" s="7" t="s">
        <v>87</v>
      </c>
      <c r="B47" s="7" t="s">
        <v>43</v>
      </c>
      <c r="C47" s="177" t="s">
        <v>54</v>
      </c>
      <c r="D47" s="177" t="s">
        <v>88</v>
      </c>
      <c r="E47" s="185" t="s">
        <v>1083</v>
      </c>
      <c r="F47" s="7" t="s">
        <v>70</v>
      </c>
      <c r="G47" s="236" t="s">
        <v>90</v>
      </c>
      <c r="H47" s="236" t="s">
        <v>91</v>
      </c>
      <c r="I47" s="236" t="s">
        <v>92</v>
      </c>
      <c r="J47" s="236" t="s">
        <v>72</v>
      </c>
      <c r="K47" s="9" t="s">
        <v>325</v>
      </c>
      <c r="L47" s="27" t="s">
        <v>94</v>
      </c>
      <c r="M47" s="23" t="s">
        <v>95</v>
      </c>
      <c r="N47" s="23" t="s">
        <v>1315</v>
      </c>
      <c r="O47" s="7" t="s">
        <v>64</v>
      </c>
      <c r="P47" s="23" t="s">
        <v>67</v>
      </c>
      <c r="Q47" s="23" t="s">
        <v>44</v>
      </c>
      <c r="R47" s="7" t="s">
        <v>326</v>
      </c>
      <c r="S47" s="7" t="s">
        <v>327</v>
      </c>
      <c r="T47" s="7" t="s">
        <v>328</v>
      </c>
      <c r="U47" s="7" t="s">
        <v>98</v>
      </c>
      <c r="V47" s="7" t="s">
        <v>1316</v>
      </c>
    </row>
    <row r="48" spans="1:22" s="20" customFormat="1" ht="12.95" customHeight="1" x14ac:dyDescent="0.2">
      <c r="A48" s="329" t="s">
        <v>1172</v>
      </c>
      <c r="B48" s="329"/>
      <c r="C48" s="329"/>
      <c r="D48" s="329"/>
      <c r="E48" s="196">
        <v>46054</v>
      </c>
      <c r="F48" s="13"/>
      <c r="G48" s="202"/>
      <c r="H48" s="202"/>
      <c r="I48" s="203">
        <v>557338.68999999994</v>
      </c>
      <c r="J48" s="251"/>
      <c r="K48" s="80"/>
      <c r="L48" s="81"/>
      <c r="M48" s="77"/>
      <c r="N48" s="82"/>
      <c r="O48" s="153"/>
      <c r="P48" s="82"/>
      <c r="Q48" s="82"/>
      <c r="R48" s="76"/>
      <c r="S48" s="76"/>
      <c r="T48" s="76"/>
      <c r="U48" s="76"/>
      <c r="V48" s="76"/>
    </row>
    <row r="49" spans="1:17" x14ac:dyDescent="0.2">
      <c r="A49" s="2" t="s">
        <v>15</v>
      </c>
      <c r="B49" s="2" t="s">
        <v>3</v>
      </c>
      <c r="C49" s="164">
        <v>46055</v>
      </c>
      <c r="D49" s="164">
        <v>46055</v>
      </c>
      <c r="E49" s="164">
        <v>46055</v>
      </c>
      <c r="F49" s="2" t="s">
        <v>79</v>
      </c>
      <c r="G49" s="213">
        <v>17.690000000000001</v>
      </c>
      <c r="H49" s="213">
        <v>0</v>
      </c>
      <c r="I49" s="213">
        <v>17.690000000000001</v>
      </c>
      <c r="J49" s="213">
        <f>I49*$J$46</f>
        <v>2.5447949500000004</v>
      </c>
      <c r="K49" s="16" t="s">
        <v>330</v>
      </c>
      <c r="L49" s="22"/>
      <c r="M49" s="22" t="s">
        <v>334</v>
      </c>
      <c r="N49" s="135" t="s">
        <v>332</v>
      </c>
      <c r="O49" s="267" t="str">
        <f>_xlfn.XLOOKUP(N49,costcategory[Account Code],costcategory[Cost Category],"ERROR")</f>
        <v>Bank Charges</v>
      </c>
      <c r="P49" s="135" t="s">
        <v>333</v>
      </c>
      <c r="Q49" s="267" t="str">
        <f>_xlfn.XLOOKUP(P49,Table2[Department],Table2[Group],"ERROR")</f>
        <v>General &amp; Administrative</v>
      </c>
    </row>
    <row r="50" spans="1:17" x14ac:dyDescent="0.2">
      <c r="A50" s="2" t="s">
        <v>15</v>
      </c>
      <c r="B50" s="2" t="s">
        <v>3</v>
      </c>
      <c r="C50" s="164">
        <v>46055</v>
      </c>
      <c r="D50" s="164">
        <v>46055</v>
      </c>
      <c r="E50" s="164">
        <v>46055</v>
      </c>
      <c r="F50" s="2" t="s">
        <v>79</v>
      </c>
      <c r="G50" s="213">
        <v>2.67</v>
      </c>
      <c r="H50" s="213">
        <v>0</v>
      </c>
      <c r="I50" s="213">
        <v>2.67</v>
      </c>
      <c r="J50" s="213">
        <f t="shared" ref="J50:J73" si="1">I50*$J$46</f>
        <v>0.38409285000000004</v>
      </c>
      <c r="K50" s="16" t="s">
        <v>330</v>
      </c>
      <c r="L50" s="22"/>
      <c r="M50" s="22" t="s">
        <v>335</v>
      </c>
      <c r="N50" s="135" t="s">
        <v>332</v>
      </c>
      <c r="O50" s="267" t="str">
        <f>_xlfn.XLOOKUP(N50,costcategory[Account Code],costcategory[Cost Category],"ERROR")</f>
        <v>Bank Charges</v>
      </c>
      <c r="P50" s="135" t="s">
        <v>333</v>
      </c>
      <c r="Q50" s="267" t="str">
        <f>_xlfn.XLOOKUP(P50,Table2[Department],Table2[Group],"ERROR")</f>
        <v>General &amp; Administrative</v>
      </c>
    </row>
    <row r="51" spans="1:17" x14ac:dyDescent="0.2">
      <c r="A51" s="2" t="s">
        <v>15</v>
      </c>
      <c r="B51" s="2" t="s">
        <v>3</v>
      </c>
      <c r="C51" s="164">
        <v>46055</v>
      </c>
      <c r="D51" s="164">
        <v>46055</v>
      </c>
      <c r="E51" s="164">
        <v>46055</v>
      </c>
      <c r="F51" s="2" t="s">
        <v>79</v>
      </c>
      <c r="G51" s="213">
        <v>25</v>
      </c>
      <c r="H51" s="213">
        <v>0</v>
      </c>
      <c r="I51" s="213">
        <v>25</v>
      </c>
      <c r="J51" s="213">
        <f t="shared" si="1"/>
        <v>3.5963750000000001</v>
      </c>
      <c r="K51" s="16" t="s">
        <v>330</v>
      </c>
      <c r="L51" s="22"/>
      <c r="M51" s="22" t="s">
        <v>331</v>
      </c>
      <c r="N51" s="135" t="s">
        <v>332</v>
      </c>
      <c r="O51" s="267" t="str">
        <f>_xlfn.XLOOKUP(N51,costcategory[Account Code],costcategory[Cost Category],"ERROR")</f>
        <v>Bank Charges</v>
      </c>
      <c r="P51" s="135" t="s">
        <v>333</v>
      </c>
      <c r="Q51" s="267" t="str">
        <f>_xlfn.XLOOKUP(P51,Table2[Department],Table2[Group],"ERROR")</f>
        <v>General &amp; Administrative</v>
      </c>
    </row>
    <row r="52" spans="1:17" x14ac:dyDescent="0.2">
      <c r="A52" s="2" t="s">
        <v>15</v>
      </c>
      <c r="B52" s="2" t="s">
        <v>3</v>
      </c>
      <c r="C52" s="164">
        <v>46066</v>
      </c>
      <c r="D52" s="164">
        <v>46066</v>
      </c>
      <c r="E52" s="164">
        <v>46066</v>
      </c>
      <c r="F52" s="2" t="s">
        <v>79</v>
      </c>
      <c r="G52" s="213">
        <v>3029.3999999999996</v>
      </c>
      <c r="H52" s="213">
        <v>0</v>
      </c>
      <c r="I52" s="213">
        <v>3029.3999999999996</v>
      </c>
      <c r="J52" s="213">
        <f t="shared" si="1"/>
        <v>435.79433699999998</v>
      </c>
      <c r="K52" s="22" t="s">
        <v>341</v>
      </c>
      <c r="L52" s="22" t="s">
        <v>388</v>
      </c>
      <c r="M52" s="22" t="s">
        <v>389</v>
      </c>
      <c r="N52" s="135" t="s">
        <v>390</v>
      </c>
      <c r="O52" s="267" t="str">
        <f>_xlfn.XLOOKUP(N52,costcategory[Account Code],costcategory[Cost Category],"ERROR")</f>
        <v>Employee Benefits</v>
      </c>
      <c r="P52" s="135" t="s">
        <v>350</v>
      </c>
      <c r="Q52" s="267" t="str">
        <f>_xlfn.XLOOKUP(P52,Table2[Department],Table2[Group],"ERROR")</f>
        <v>General &amp; Administrative</v>
      </c>
    </row>
    <row r="53" spans="1:17" x14ac:dyDescent="0.2">
      <c r="A53" s="2" t="s">
        <v>15</v>
      </c>
      <c r="B53" s="2" t="s">
        <v>3</v>
      </c>
      <c r="C53" s="164">
        <v>46066</v>
      </c>
      <c r="D53" s="164">
        <v>46066</v>
      </c>
      <c r="E53" s="164">
        <v>46066</v>
      </c>
      <c r="F53" s="2" t="s">
        <v>79</v>
      </c>
      <c r="G53" s="213">
        <v>12</v>
      </c>
      <c r="H53" s="213">
        <v>0</v>
      </c>
      <c r="I53" s="213">
        <v>12</v>
      </c>
      <c r="J53" s="213">
        <f t="shared" si="1"/>
        <v>1.7262600000000001</v>
      </c>
      <c r="K53" s="22" t="s">
        <v>341</v>
      </c>
      <c r="L53" s="22" t="s">
        <v>388</v>
      </c>
      <c r="M53" s="22" t="s">
        <v>343</v>
      </c>
      <c r="N53" s="135" t="s">
        <v>344</v>
      </c>
      <c r="O53" s="267" t="str">
        <f>_xlfn.XLOOKUP(N53,costcategory[Account Code],costcategory[Cost Category],"ERROR")</f>
        <v>Courier Charges</v>
      </c>
      <c r="P53" s="135" t="s">
        <v>340</v>
      </c>
      <c r="Q53" s="267" t="str">
        <f>_xlfn.XLOOKUP(P53,Table2[Department],Table2[Group],"ERROR")</f>
        <v>General &amp; Administrative</v>
      </c>
    </row>
    <row r="54" spans="1:17" x14ac:dyDescent="0.2">
      <c r="A54" s="2" t="s">
        <v>15</v>
      </c>
      <c r="B54" s="2" t="s">
        <v>3</v>
      </c>
      <c r="C54" s="164">
        <v>46066</v>
      </c>
      <c r="D54" s="164">
        <v>46066</v>
      </c>
      <c r="E54" s="164">
        <v>46066</v>
      </c>
      <c r="F54" s="2" t="s">
        <v>79</v>
      </c>
      <c r="G54" s="213">
        <v>397.48</v>
      </c>
      <c r="H54" s="213">
        <v>0</v>
      </c>
      <c r="I54" s="213">
        <v>397.48</v>
      </c>
      <c r="J54" s="213">
        <f t="shared" si="1"/>
        <v>57.179485400000004</v>
      </c>
      <c r="K54" s="22" t="s">
        <v>341</v>
      </c>
      <c r="L54" s="22" t="s">
        <v>388</v>
      </c>
      <c r="M54" s="22" t="s">
        <v>351</v>
      </c>
      <c r="N54" s="135" t="s">
        <v>50</v>
      </c>
      <c r="O54" s="267" t="str">
        <f>_xlfn.XLOOKUP(N54,costcategory[Account Code],costcategory[Cost Category],"ERROR")</f>
        <v>Office Supplies</v>
      </c>
      <c r="P54" s="135" t="s">
        <v>340</v>
      </c>
      <c r="Q54" s="267" t="str">
        <f>_xlfn.XLOOKUP(P54,Table2[Department],Table2[Group],"ERROR")</f>
        <v>General &amp; Administrative</v>
      </c>
    </row>
    <row r="55" spans="1:17" x14ac:dyDescent="0.2">
      <c r="A55" s="2" t="s">
        <v>15</v>
      </c>
      <c r="B55" s="2" t="s">
        <v>3</v>
      </c>
      <c r="C55" s="164">
        <v>46066</v>
      </c>
      <c r="D55" s="164">
        <v>46066</v>
      </c>
      <c r="E55" s="164">
        <v>46066</v>
      </c>
      <c r="F55" s="2" t="s">
        <v>79</v>
      </c>
      <c r="G55" s="213">
        <v>172.5</v>
      </c>
      <c r="H55" s="213">
        <v>0</v>
      </c>
      <c r="I55" s="213">
        <v>172.5</v>
      </c>
      <c r="J55" s="213">
        <f t="shared" si="1"/>
        <v>24.814987500000001</v>
      </c>
      <c r="K55" s="22" t="s">
        <v>341</v>
      </c>
      <c r="L55" s="22" t="s">
        <v>388</v>
      </c>
      <c r="M55" s="22" t="s">
        <v>352</v>
      </c>
      <c r="N55" s="135" t="s">
        <v>391</v>
      </c>
      <c r="O55" s="267" t="str">
        <f>_xlfn.XLOOKUP(N55,costcategory[Account Code],costcategory[Cost Category],"ERROR")</f>
        <v>Travelling Expenses</v>
      </c>
      <c r="P55" s="135" t="s">
        <v>350</v>
      </c>
      <c r="Q55" s="267" t="str">
        <f>_xlfn.XLOOKUP(P55,Table2[Department],Table2[Group],"ERROR")</f>
        <v>General &amp; Administrative</v>
      </c>
    </row>
    <row r="56" spans="1:17" x14ac:dyDescent="0.2">
      <c r="A56" s="2" t="s">
        <v>15</v>
      </c>
      <c r="B56" s="2" t="s">
        <v>3</v>
      </c>
      <c r="C56" s="164">
        <v>46066</v>
      </c>
      <c r="D56" s="164">
        <v>46066</v>
      </c>
      <c r="E56" s="164">
        <v>46066</v>
      </c>
      <c r="F56" s="2" t="s">
        <v>79</v>
      </c>
      <c r="G56" s="213">
        <v>350.19</v>
      </c>
      <c r="H56" s="213">
        <v>0</v>
      </c>
      <c r="I56" s="213">
        <v>350.19</v>
      </c>
      <c r="J56" s="213">
        <f t="shared" si="1"/>
        <v>50.376582450000001</v>
      </c>
      <c r="K56" s="22" t="s">
        <v>341</v>
      </c>
      <c r="L56" s="22" t="s">
        <v>388</v>
      </c>
      <c r="M56" s="22" t="s">
        <v>392</v>
      </c>
      <c r="N56" s="135" t="s">
        <v>393</v>
      </c>
      <c r="O56" s="267" t="str">
        <f>_xlfn.XLOOKUP(N56,costcategory[Account Code],costcategory[Cost Category],"ERROR")</f>
        <v>Employee Benefits</v>
      </c>
      <c r="P56" s="135" t="s">
        <v>350</v>
      </c>
      <c r="Q56" s="267" t="str">
        <f>_xlfn.XLOOKUP(P56,Table2[Department],Table2[Group],"ERROR")</f>
        <v>General &amp; Administrative</v>
      </c>
    </row>
    <row r="57" spans="1:17" x14ac:dyDescent="0.2">
      <c r="A57" s="2" t="s">
        <v>15</v>
      </c>
      <c r="B57" s="2" t="s">
        <v>3</v>
      </c>
      <c r="C57" s="164">
        <v>46066</v>
      </c>
      <c r="D57" s="164">
        <v>46066</v>
      </c>
      <c r="E57" s="164">
        <v>46066</v>
      </c>
      <c r="F57" s="2" t="s">
        <v>79</v>
      </c>
      <c r="G57" s="213">
        <v>600</v>
      </c>
      <c r="H57" s="213">
        <v>0</v>
      </c>
      <c r="I57" s="213">
        <v>600</v>
      </c>
      <c r="J57" s="213">
        <f t="shared" si="1"/>
        <v>86.313000000000002</v>
      </c>
      <c r="K57" s="22" t="s">
        <v>341</v>
      </c>
      <c r="L57" s="22" t="s">
        <v>388</v>
      </c>
      <c r="M57" s="22" t="s">
        <v>392</v>
      </c>
      <c r="N57" s="135" t="s">
        <v>393</v>
      </c>
      <c r="O57" s="267" t="str">
        <f>_xlfn.XLOOKUP(N57,costcategory[Account Code],costcategory[Cost Category],"ERROR")</f>
        <v>Employee Benefits</v>
      </c>
      <c r="P57" s="135" t="s">
        <v>350</v>
      </c>
      <c r="Q57" s="267" t="str">
        <f>_xlfn.XLOOKUP(P57,Table2[Department],Table2[Group],"ERROR")</f>
        <v>General &amp; Administrative</v>
      </c>
    </row>
    <row r="58" spans="1:17" x14ac:dyDescent="0.2">
      <c r="A58" s="2" t="s">
        <v>15</v>
      </c>
      <c r="B58" s="2" t="s">
        <v>3</v>
      </c>
      <c r="C58" s="164">
        <v>46066</v>
      </c>
      <c r="D58" s="164">
        <v>46066</v>
      </c>
      <c r="E58" s="164">
        <v>46066</v>
      </c>
      <c r="F58" s="2" t="s">
        <v>79</v>
      </c>
      <c r="G58" s="213">
        <v>656.77</v>
      </c>
      <c r="H58" s="213">
        <v>0</v>
      </c>
      <c r="I58" s="213">
        <v>656.77</v>
      </c>
      <c r="J58" s="213">
        <f t="shared" si="1"/>
        <v>94.479648350000005</v>
      </c>
      <c r="K58" s="22" t="s">
        <v>341</v>
      </c>
      <c r="L58" s="22" t="s">
        <v>388</v>
      </c>
      <c r="M58" s="22" t="s">
        <v>358</v>
      </c>
      <c r="N58" s="135" t="s">
        <v>60</v>
      </c>
      <c r="O58" s="267" t="str">
        <f>_xlfn.XLOOKUP(N58,costcategory[Account Code],costcategory[Cost Category],"ERROR")</f>
        <v>Subscription Fee</v>
      </c>
      <c r="P58" s="135" t="s">
        <v>333</v>
      </c>
      <c r="Q58" s="267" t="str">
        <f>_xlfn.XLOOKUP(P58,Table2[Department],Table2[Group],"ERROR")</f>
        <v>General &amp; Administrative</v>
      </c>
    </row>
    <row r="59" spans="1:17" x14ac:dyDescent="0.2">
      <c r="A59" s="2" t="s">
        <v>15</v>
      </c>
      <c r="B59" s="2" t="s">
        <v>3</v>
      </c>
      <c r="C59" s="164">
        <v>46066</v>
      </c>
      <c r="D59" s="164">
        <v>46066</v>
      </c>
      <c r="E59" s="164">
        <v>46066</v>
      </c>
      <c r="F59" s="2" t="s">
        <v>79</v>
      </c>
      <c r="G59" s="213">
        <v>1610.42</v>
      </c>
      <c r="H59" s="213">
        <v>0</v>
      </c>
      <c r="I59" s="213">
        <v>1610.42</v>
      </c>
      <c r="J59" s="213">
        <f t="shared" si="1"/>
        <v>231.66696910000002</v>
      </c>
      <c r="K59" s="22" t="s">
        <v>341</v>
      </c>
      <c r="L59" s="22" t="s">
        <v>388</v>
      </c>
      <c r="M59" s="22" t="s">
        <v>361</v>
      </c>
      <c r="N59" s="135" t="s">
        <v>356</v>
      </c>
      <c r="O59" s="267" t="str">
        <f>_xlfn.XLOOKUP(N59,costcategory[Account Code],costcategory[Cost Category],"ERROR")</f>
        <v>Travelling Expenses</v>
      </c>
      <c r="P59" s="135" t="s">
        <v>340</v>
      </c>
      <c r="Q59" s="267" t="str">
        <f>_xlfn.XLOOKUP(P59,Table2[Department],Table2[Group],"ERROR")</f>
        <v>General &amp; Administrative</v>
      </c>
    </row>
    <row r="60" spans="1:17" x14ac:dyDescent="0.2">
      <c r="A60" s="2" t="s">
        <v>15</v>
      </c>
      <c r="B60" s="2" t="s">
        <v>3</v>
      </c>
      <c r="C60" s="164">
        <v>46066</v>
      </c>
      <c r="D60" s="164">
        <v>46066</v>
      </c>
      <c r="E60" s="164">
        <v>46066</v>
      </c>
      <c r="F60" s="2" t="s">
        <v>79</v>
      </c>
      <c r="G60" s="213">
        <v>86.7</v>
      </c>
      <c r="H60" s="213">
        <v>0</v>
      </c>
      <c r="I60" s="213">
        <v>86.7</v>
      </c>
      <c r="J60" s="213">
        <f t="shared" si="1"/>
        <v>12.472228500000002</v>
      </c>
      <c r="K60" s="22" t="s">
        <v>341</v>
      </c>
      <c r="L60" s="22" t="s">
        <v>388</v>
      </c>
      <c r="M60" s="22" t="s">
        <v>361</v>
      </c>
      <c r="N60" s="135" t="s">
        <v>356</v>
      </c>
      <c r="O60" s="267" t="str">
        <f>_xlfn.XLOOKUP(N60,costcategory[Account Code],costcategory[Cost Category],"ERROR")</f>
        <v>Travelling Expenses</v>
      </c>
      <c r="P60" s="135" t="s">
        <v>340</v>
      </c>
      <c r="Q60" s="267" t="str">
        <f>_xlfn.XLOOKUP(P60,Table2[Department],Table2[Group],"ERROR")</f>
        <v>General &amp; Administrative</v>
      </c>
    </row>
    <row r="61" spans="1:17" x14ac:dyDescent="0.2">
      <c r="A61" s="2" t="s">
        <v>15</v>
      </c>
      <c r="B61" s="2" t="s">
        <v>3</v>
      </c>
      <c r="C61" s="164">
        <v>46055</v>
      </c>
      <c r="D61" s="164">
        <v>46068</v>
      </c>
      <c r="E61" s="164">
        <v>46066</v>
      </c>
      <c r="F61" s="2" t="s">
        <v>79</v>
      </c>
      <c r="G61" s="213">
        <v>528.69000000000005</v>
      </c>
      <c r="H61" s="213">
        <v>0</v>
      </c>
      <c r="I61" s="213">
        <v>528.69000000000005</v>
      </c>
      <c r="J61" s="213">
        <f t="shared" si="1"/>
        <v>76.054699950000014</v>
      </c>
      <c r="K61" s="16" t="s">
        <v>368</v>
      </c>
      <c r="L61" s="22"/>
      <c r="M61" s="22" t="s">
        <v>369</v>
      </c>
      <c r="N61" s="135" t="s">
        <v>370</v>
      </c>
      <c r="O61" s="267" t="str">
        <f>_xlfn.XLOOKUP(N61,costcategory[Account Code],costcategory[Cost Category],"ERROR")</f>
        <v>Utilities</v>
      </c>
      <c r="P61" s="135" t="s">
        <v>340</v>
      </c>
      <c r="Q61" s="267" t="str">
        <f>_xlfn.XLOOKUP(P61,Table2[Department],Table2[Group],"ERROR")</f>
        <v>General &amp; Administrative</v>
      </c>
    </row>
    <row r="62" spans="1:17" x14ac:dyDescent="0.2">
      <c r="A62" s="2" t="s">
        <v>15</v>
      </c>
      <c r="B62" s="2" t="s">
        <v>3</v>
      </c>
      <c r="C62" s="164">
        <v>46058</v>
      </c>
      <c r="D62" s="164">
        <v>46063</v>
      </c>
      <c r="E62" s="164">
        <v>46067</v>
      </c>
      <c r="F62" s="2" t="s">
        <v>79</v>
      </c>
      <c r="G62" s="213">
        <v>11331.81</v>
      </c>
      <c r="H62" s="213">
        <v>0</v>
      </c>
      <c r="I62" s="213">
        <v>11331.81</v>
      </c>
      <c r="J62" s="213">
        <f t="shared" si="1"/>
        <v>1630.13752755</v>
      </c>
      <c r="K62" s="16" t="s">
        <v>365</v>
      </c>
      <c r="L62" s="22"/>
      <c r="M62" s="4" t="s">
        <v>1405</v>
      </c>
      <c r="N62" s="135" t="s">
        <v>364</v>
      </c>
      <c r="O62" s="267" t="str">
        <f>_xlfn.XLOOKUP(N62,costcategory[Account Code],costcategory[Cost Category],"ERROR")</f>
        <v>Headcount Costs</v>
      </c>
      <c r="P62" s="135" t="s">
        <v>347</v>
      </c>
      <c r="Q62" s="267" t="str">
        <f>_xlfn.XLOOKUP(P62,Table2[Department],Table2[Group],"ERROR")</f>
        <v>Research &amp; Development</v>
      </c>
    </row>
    <row r="63" spans="1:17" ht="13.5" customHeight="1" x14ac:dyDescent="0.2">
      <c r="A63" s="2" t="s">
        <v>15</v>
      </c>
      <c r="B63" s="2" t="s">
        <v>3</v>
      </c>
      <c r="C63" s="164">
        <v>46058</v>
      </c>
      <c r="D63" s="164">
        <v>46063</v>
      </c>
      <c r="E63" s="164">
        <v>46067</v>
      </c>
      <c r="F63" s="2" t="s">
        <v>79</v>
      </c>
      <c r="G63" s="213">
        <v>426.88</v>
      </c>
      <c r="H63" s="213">
        <v>0</v>
      </c>
      <c r="I63" s="213">
        <v>426.88</v>
      </c>
      <c r="J63" s="213">
        <f t="shared" si="1"/>
        <v>61.408822400000005</v>
      </c>
      <c r="K63" s="16" t="s">
        <v>365</v>
      </c>
      <c r="L63" s="22"/>
      <c r="M63" s="4" t="s">
        <v>366</v>
      </c>
      <c r="N63" s="135" t="s">
        <v>367</v>
      </c>
      <c r="O63" s="267" t="str">
        <f>_xlfn.XLOOKUP(N63,costcategory[Account Code],costcategory[Cost Category],"ERROR")</f>
        <v>Professional &amp; Consultancy Fees</v>
      </c>
      <c r="P63" s="135" t="s">
        <v>350</v>
      </c>
      <c r="Q63" s="267" t="str">
        <f>_xlfn.XLOOKUP(P63,Table2[Department],Table2[Group],"ERROR")</f>
        <v>General &amp; Administrative</v>
      </c>
    </row>
    <row r="64" spans="1:17" x14ac:dyDescent="0.2">
      <c r="A64" s="2" t="s">
        <v>15</v>
      </c>
      <c r="B64" s="2" t="s">
        <v>3</v>
      </c>
      <c r="C64" s="164">
        <v>46067</v>
      </c>
      <c r="D64" s="164">
        <v>46067</v>
      </c>
      <c r="E64" s="164">
        <v>46067</v>
      </c>
      <c r="F64" s="2" t="s">
        <v>79</v>
      </c>
      <c r="G64" s="213">
        <v>1011.2</v>
      </c>
      <c r="H64" s="213">
        <v>0</v>
      </c>
      <c r="I64" s="213">
        <v>1011.2</v>
      </c>
      <c r="J64" s="213">
        <f t="shared" si="1"/>
        <v>145.46617600000002</v>
      </c>
      <c r="K64" s="16" t="s">
        <v>362</v>
      </c>
      <c r="L64" s="22"/>
      <c r="M64" s="22" t="s">
        <v>394</v>
      </c>
      <c r="N64" s="135" t="s">
        <v>367</v>
      </c>
      <c r="O64" s="267" t="str">
        <f>_xlfn.XLOOKUP(N64,costcategory[Account Code],costcategory[Cost Category],"ERROR")</f>
        <v>Professional &amp; Consultancy Fees</v>
      </c>
      <c r="P64" s="135" t="s">
        <v>333</v>
      </c>
      <c r="Q64" s="267" t="str">
        <f>_xlfn.XLOOKUP(P64,Table2[Department],Table2[Group],"ERROR")</f>
        <v>General &amp; Administrative</v>
      </c>
    </row>
    <row r="65" spans="1:22" x14ac:dyDescent="0.2">
      <c r="A65" s="2" t="s">
        <v>15</v>
      </c>
      <c r="B65" s="2" t="s">
        <v>3</v>
      </c>
      <c r="C65" s="164">
        <v>46067</v>
      </c>
      <c r="D65" s="164">
        <v>46067</v>
      </c>
      <c r="E65" s="164">
        <v>46067</v>
      </c>
      <c r="F65" s="2" t="s">
        <v>79</v>
      </c>
      <c r="G65" s="213">
        <v>-350</v>
      </c>
      <c r="H65" s="213">
        <v>0</v>
      </c>
      <c r="I65" s="213">
        <v>-350</v>
      </c>
      <c r="J65" s="213">
        <f t="shared" si="1"/>
        <v>-50.349250000000005</v>
      </c>
      <c r="K65" s="16" t="s">
        <v>1419</v>
      </c>
      <c r="L65" s="22"/>
      <c r="M65" s="22" t="s">
        <v>1420</v>
      </c>
      <c r="N65" s="135" t="s">
        <v>364</v>
      </c>
      <c r="O65" s="267" t="str">
        <f>_xlfn.XLOOKUP(N65,costcategory[Account Code],costcategory[Cost Category],"ERROR")</f>
        <v>Headcount Costs</v>
      </c>
      <c r="P65" s="135" t="s">
        <v>347</v>
      </c>
      <c r="Q65" s="267" t="str">
        <f>_xlfn.XLOOKUP(P65,Table2[Department],Table2[Group],"ERROR")</f>
        <v>Research &amp; Development</v>
      </c>
    </row>
    <row r="66" spans="1:22" x14ac:dyDescent="0.2">
      <c r="A66" s="2" t="s">
        <v>15</v>
      </c>
      <c r="B66" s="2" t="s">
        <v>3</v>
      </c>
      <c r="C66" s="164">
        <v>46067</v>
      </c>
      <c r="D66" s="164">
        <v>46067</v>
      </c>
      <c r="E66" s="164">
        <v>46067</v>
      </c>
      <c r="F66" s="2" t="s">
        <v>79</v>
      </c>
      <c r="G66" s="213">
        <v>-2204.75</v>
      </c>
      <c r="H66" s="213">
        <v>0</v>
      </c>
      <c r="I66" s="213">
        <v>-2204.75</v>
      </c>
      <c r="J66" s="213">
        <f t="shared" si="1"/>
        <v>-317.16431125000003</v>
      </c>
      <c r="K66" s="16" t="s">
        <v>1419</v>
      </c>
      <c r="L66" s="22"/>
      <c r="M66" s="22" t="s">
        <v>1420</v>
      </c>
      <c r="N66" s="135" t="s">
        <v>364</v>
      </c>
      <c r="O66" s="267" t="str">
        <f>_xlfn.XLOOKUP(N66,costcategory[Account Code],costcategory[Cost Category],"ERROR")</f>
        <v>Headcount Costs</v>
      </c>
      <c r="P66" s="135" t="s">
        <v>347</v>
      </c>
      <c r="Q66" s="267" t="str">
        <f>_xlfn.XLOOKUP(P66,Table2[Department],Table2[Group],"ERROR")</f>
        <v>Research &amp; Development</v>
      </c>
    </row>
    <row r="67" spans="1:22" x14ac:dyDescent="0.2">
      <c r="A67" s="2" t="s">
        <v>15</v>
      </c>
      <c r="B67" s="2" t="s">
        <v>3</v>
      </c>
      <c r="C67" s="164">
        <v>46067</v>
      </c>
      <c r="D67" s="164">
        <v>46067</v>
      </c>
      <c r="E67" s="164">
        <v>46067</v>
      </c>
      <c r="F67" s="2" t="s">
        <v>79</v>
      </c>
      <c r="G67" s="213">
        <v>-2150</v>
      </c>
      <c r="H67" s="213">
        <v>0</v>
      </c>
      <c r="I67" s="213">
        <v>-2150</v>
      </c>
      <c r="J67" s="213">
        <f t="shared" si="1"/>
        <v>-309.28825000000001</v>
      </c>
      <c r="K67" s="16" t="s">
        <v>1419</v>
      </c>
      <c r="L67" s="22"/>
      <c r="M67" s="22" t="s">
        <v>1420</v>
      </c>
      <c r="N67" s="135" t="s">
        <v>364</v>
      </c>
      <c r="O67" s="267" t="str">
        <f>_xlfn.XLOOKUP(N67,costcategory[Account Code],costcategory[Cost Category],"ERROR")</f>
        <v>Headcount Costs</v>
      </c>
      <c r="P67" s="135" t="s">
        <v>347</v>
      </c>
      <c r="Q67" s="267" t="str">
        <f>_xlfn.XLOOKUP(P67,Table2[Department],Table2[Group],"ERROR")</f>
        <v>Research &amp; Development</v>
      </c>
    </row>
    <row r="68" spans="1:22" x14ac:dyDescent="0.2">
      <c r="A68" s="2" t="s">
        <v>15</v>
      </c>
      <c r="B68" s="2" t="s">
        <v>3</v>
      </c>
      <c r="C68" s="164">
        <v>46077</v>
      </c>
      <c r="D68" s="164">
        <v>46077</v>
      </c>
      <c r="E68" s="164">
        <v>46077</v>
      </c>
      <c r="F68" s="2" t="s">
        <v>79</v>
      </c>
      <c r="G68" s="213">
        <v>158</v>
      </c>
      <c r="H68" s="213">
        <v>0</v>
      </c>
      <c r="I68" s="213">
        <v>158</v>
      </c>
      <c r="J68" s="213">
        <f t="shared" si="1"/>
        <v>22.729090000000003</v>
      </c>
      <c r="K68" s="16" t="s">
        <v>395</v>
      </c>
      <c r="L68" s="22"/>
      <c r="M68" s="22" t="s">
        <v>396</v>
      </c>
      <c r="N68" s="135" t="s">
        <v>397</v>
      </c>
      <c r="O68" s="267" t="str">
        <f>_xlfn.XLOOKUP(N68,costcategory[Account Code],costcategory[Cost Category],"ERROR")</f>
        <v>Intercompany</v>
      </c>
      <c r="P68" s="135" t="s">
        <v>66</v>
      </c>
      <c r="Q68" s="267" t="str">
        <f>_xlfn.XLOOKUP(P68,Table2[Department],Table2[Group],"ERROR")</f>
        <v>Others</v>
      </c>
    </row>
    <row r="69" spans="1:22" x14ac:dyDescent="0.2">
      <c r="A69" s="2" t="s">
        <v>15</v>
      </c>
      <c r="B69" s="2" t="s">
        <v>3</v>
      </c>
      <c r="C69" s="164">
        <v>46077</v>
      </c>
      <c r="D69" s="164">
        <v>46077</v>
      </c>
      <c r="E69" s="164">
        <v>46077</v>
      </c>
      <c r="F69" s="2" t="s">
        <v>79</v>
      </c>
      <c r="G69" s="213">
        <v>277</v>
      </c>
      <c r="H69" s="213">
        <v>0</v>
      </c>
      <c r="I69" s="213">
        <v>277</v>
      </c>
      <c r="J69" s="213">
        <f t="shared" si="1"/>
        <v>39.847835000000003</v>
      </c>
      <c r="K69" s="16" t="s">
        <v>372</v>
      </c>
      <c r="L69" s="22"/>
      <c r="M69" s="22" t="s">
        <v>399</v>
      </c>
      <c r="N69" s="135" t="s">
        <v>374</v>
      </c>
      <c r="O69" s="267" t="str">
        <f>_xlfn.XLOOKUP(N69,costcategory[Account Code],costcategory[Cost Category],"ERROR")</f>
        <v>Non-Current Liabilities</v>
      </c>
      <c r="P69" s="135" t="s">
        <v>376</v>
      </c>
      <c r="Q69" s="267" t="str">
        <f>_xlfn.XLOOKUP(P69,Table2[Department],Table2[Group],"ERROR")</f>
        <v>General &amp; Administrative</v>
      </c>
    </row>
    <row r="70" spans="1:22" x14ac:dyDescent="0.2">
      <c r="A70" s="2" t="s">
        <v>15</v>
      </c>
      <c r="B70" s="2" t="s">
        <v>3</v>
      </c>
      <c r="C70" s="164">
        <v>46077</v>
      </c>
      <c r="D70" s="164">
        <v>46077</v>
      </c>
      <c r="E70" s="164">
        <v>46077</v>
      </c>
      <c r="F70" s="2" t="s">
        <v>79</v>
      </c>
      <c r="G70" s="213">
        <v>29302</v>
      </c>
      <c r="H70" s="213">
        <v>0</v>
      </c>
      <c r="I70" s="213">
        <v>29302</v>
      </c>
      <c r="J70" s="213">
        <f t="shared" si="1"/>
        <v>4215.2392100000006</v>
      </c>
      <c r="K70" s="16" t="s">
        <v>1406</v>
      </c>
      <c r="L70" s="22"/>
      <c r="M70" s="22" t="s">
        <v>1421</v>
      </c>
      <c r="N70" s="135" t="s">
        <v>499</v>
      </c>
      <c r="O70" s="267" t="str">
        <f>_xlfn.XLOOKUP(N70,costcategory[Account Code],costcategory[Cost Category],"ERROR")</f>
        <v>Tax Expenses (GST/SST/VAT)</v>
      </c>
      <c r="P70" s="135" t="s">
        <v>340</v>
      </c>
      <c r="Q70" s="267" t="str">
        <f>_xlfn.XLOOKUP(P70,Table2[Department],Table2[Group],"ERROR")</f>
        <v>General &amp; Administrative</v>
      </c>
    </row>
    <row r="71" spans="1:22" x14ac:dyDescent="0.2">
      <c r="A71" s="2" t="s">
        <v>15</v>
      </c>
      <c r="B71" s="2" t="s">
        <v>3</v>
      </c>
      <c r="C71" s="164">
        <v>46077</v>
      </c>
      <c r="D71" s="164">
        <v>46077</v>
      </c>
      <c r="E71" s="164">
        <v>46077</v>
      </c>
      <c r="F71" s="2" t="s">
        <v>79</v>
      </c>
      <c r="G71" s="213">
        <v>11270</v>
      </c>
      <c r="H71" s="213">
        <v>0</v>
      </c>
      <c r="I71" s="213">
        <v>11270</v>
      </c>
      <c r="J71" s="213">
        <f t="shared" si="1"/>
        <v>1621.24585</v>
      </c>
      <c r="K71" s="16" t="s">
        <v>1408</v>
      </c>
      <c r="L71" s="22"/>
      <c r="M71" s="22" t="s">
        <v>1422</v>
      </c>
      <c r="N71" s="135" t="s">
        <v>364</v>
      </c>
      <c r="O71" s="267" t="str">
        <f>_xlfn.XLOOKUP(N71,costcategory[Account Code],costcategory[Cost Category],"ERROR")</f>
        <v>Headcount Costs</v>
      </c>
      <c r="P71" s="135" t="s">
        <v>350</v>
      </c>
      <c r="Q71" s="267" t="str">
        <f>_xlfn.XLOOKUP(P71,Table2[Department],Table2[Group],"ERROR")</f>
        <v>General &amp; Administrative</v>
      </c>
    </row>
    <row r="72" spans="1:22" x14ac:dyDescent="0.2">
      <c r="A72" s="2" t="s">
        <v>15</v>
      </c>
      <c r="B72" s="2" t="s">
        <v>3</v>
      </c>
      <c r="C72" s="164">
        <v>46078</v>
      </c>
      <c r="D72" s="164">
        <v>46078</v>
      </c>
      <c r="E72" s="164">
        <v>46078</v>
      </c>
      <c r="F72" s="2" t="s">
        <v>79</v>
      </c>
      <c r="G72" s="213">
        <v>2142.08</v>
      </c>
      <c r="H72" s="213">
        <v>0</v>
      </c>
      <c r="I72" s="213">
        <v>2142.08</v>
      </c>
      <c r="J72" s="213">
        <f t="shared" si="1"/>
        <v>308.14891840000001</v>
      </c>
      <c r="K72" s="16" t="s">
        <v>1406</v>
      </c>
      <c r="L72" s="22"/>
      <c r="M72" s="22" t="s">
        <v>1423</v>
      </c>
      <c r="N72" s="135" t="s">
        <v>499</v>
      </c>
      <c r="O72" s="267" t="str">
        <f>_xlfn.XLOOKUP(N72,costcategory[Account Code],costcategory[Cost Category],"ERROR")</f>
        <v>Tax Expenses (GST/SST/VAT)</v>
      </c>
      <c r="P72" s="135" t="s">
        <v>340</v>
      </c>
      <c r="Q72" s="267" t="str">
        <f>_xlfn.XLOOKUP(P72,Table2[Department],Table2[Group],"ERROR")</f>
        <v>General &amp; Administrative</v>
      </c>
    </row>
    <row r="73" spans="1:22" x14ac:dyDescent="0.2">
      <c r="A73" s="2" t="s">
        <v>15</v>
      </c>
      <c r="B73" s="2" t="s">
        <v>3</v>
      </c>
      <c r="C73" s="164">
        <v>46081</v>
      </c>
      <c r="D73" s="164">
        <v>46081</v>
      </c>
      <c r="E73" s="164">
        <v>46081</v>
      </c>
      <c r="F73" s="2" t="s">
        <v>79</v>
      </c>
      <c r="G73" s="199">
        <v>89673.43</v>
      </c>
      <c r="H73" s="199">
        <v>0</v>
      </c>
      <c r="I73" s="199">
        <v>89673.43</v>
      </c>
      <c r="J73" s="199">
        <f t="shared" si="1"/>
        <v>12899.97127265</v>
      </c>
      <c r="K73" s="16" t="s">
        <v>1085</v>
      </c>
      <c r="L73" s="22" t="s">
        <v>1424</v>
      </c>
      <c r="M73" s="22" t="s">
        <v>1404</v>
      </c>
      <c r="N73" s="135" t="s">
        <v>387</v>
      </c>
      <c r="O73" s="267" t="str">
        <f>_xlfn.XLOOKUP(N73,costcategory[Account Code],costcategory[Cost Category],"ERROR")</f>
        <v>Headcount Costs</v>
      </c>
      <c r="P73" s="135" t="s">
        <v>347</v>
      </c>
      <c r="Q73" s="267" t="str">
        <f>_xlfn.XLOOKUP(P73,Table2[Department],Table2[Group],"ERROR")</f>
        <v>Research &amp; Development</v>
      </c>
    </row>
    <row r="74" spans="1:22" x14ac:dyDescent="0.2">
      <c r="F74" s="2" t="s">
        <v>79</v>
      </c>
      <c r="G74" s="199"/>
      <c r="H74" s="199"/>
      <c r="I74" s="199">
        <f>SUM(I49:I73)</f>
        <v>148377.16</v>
      </c>
      <c r="J74" s="199"/>
      <c r="K74" s="16"/>
      <c r="L74" s="22"/>
      <c r="M74" s="22"/>
    </row>
    <row r="75" spans="1:22" ht="12.95" customHeight="1" x14ac:dyDescent="0.2">
      <c r="A75" s="329" t="s">
        <v>1173</v>
      </c>
      <c r="B75" s="329"/>
      <c r="C75" s="329"/>
      <c r="D75" s="329"/>
      <c r="E75" s="196">
        <v>46081</v>
      </c>
      <c r="F75" s="13" t="s">
        <v>79</v>
      </c>
      <c r="G75" s="202"/>
      <c r="H75" s="207"/>
      <c r="I75" s="239">
        <f>I48-I74</f>
        <v>408961.52999999991</v>
      </c>
      <c r="J75" s="207"/>
      <c r="K75" s="17"/>
      <c r="L75" s="25"/>
      <c r="M75" s="25"/>
      <c r="N75" s="154"/>
      <c r="O75" s="155"/>
      <c r="P75" s="154"/>
      <c r="Q75" s="155"/>
      <c r="R75" s="20"/>
      <c r="S75" s="17"/>
      <c r="T75" s="20"/>
    </row>
    <row r="77" spans="1:22" x14ac:dyDescent="0.2">
      <c r="J77" s="257">
        <f>FOREX!K3</f>
        <v>0.14579700000000001</v>
      </c>
    </row>
    <row r="78" spans="1:22" s="183" customFormat="1" ht="12.95" customHeight="1" x14ac:dyDescent="0.2">
      <c r="A78" s="7" t="s">
        <v>87</v>
      </c>
      <c r="B78" s="7" t="s">
        <v>43</v>
      </c>
      <c r="C78" s="177" t="s">
        <v>54</v>
      </c>
      <c r="D78" s="177" t="s">
        <v>88</v>
      </c>
      <c r="E78" s="185" t="s">
        <v>1083</v>
      </c>
      <c r="F78" s="7" t="s">
        <v>70</v>
      </c>
      <c r="G78" s="236" t="s">
        <v>90</v>
      </c>
      <c r="H78" s="236" t="s">
        <v>91</v>
      </c>
      <c r="I78" s="236" t="s">
        <v>92</v>
      </c>
      <c r="J78" s="236" t="s">
        <v>72</v>
      </c>
      <c r="K78" s="9" t="s">
        <v>325</v>
      </c>
      <c r="L78" s="27" t="s">
        <v>94</v>
      </c>
      <c r="M78" s="23" t="s">
        <v>95</v>
      </c>
      <c r="N78" s="23" t="s">
        <v>1315</v>
      </c>
      <c r="O78" s="7" t="s">
        <v>64</v>
      </c>
      <c r="P78" s="23" t="s">
        <v>67</v>
      </c>
      <c r="Q78" s="23" t="s">
        <v>44</v>
      </c>
      <c r="R78" s="7" t="s">
        <v>326</v>
      </c>
      <c r="S78" s="7" t="s">
        <v>327</v>
      </c>
      <c r="T78" s="7" t="s">
        <v>328</v>
      </c>
      <c r="U78" s="7" t="s">
        <v>98</v>
      </c>
      <c r="V78" s="7" t="s">
        <v>1316</v>
      </c>
    </row>
    <row r="79" spans="1:22" s="20" customFormat="1" ht="12.95" customHeight="1" x14ac:dyDescent="0.2">
      <c r="A79" s="329" t="s">
        <v>1172</v>
      </c>
      <c r="B79" s="329"/>
      <c r="C79" s="329"/>
      <c r="D79" s="329"/>
      <c r="E79" s="196">
        <v>46082</v>
      </c>
      <c r="F79" s="13"/>
      <c r="G79" s="202"/>
      <c r="H79" s="202"/>
      <c r="I79" s="203">
        <v>408961.52999999991</v>
      </c>
      <c r="J79" s="251" t="s">
        <v>1425</v>
      </c>
      <c r="K79" s="80"/>
      <c r="L79" s="81"/>
      <c r="M79" s="77"/>
      <c r="N79" s="82"/>
      <c r="O79" s="153"/>
      <c r="P79" s="82"/>
      <c r="Q79" s="82"/>
      <c r="R79" s="76"/>
      <c r="S79" s="76"/>
      <c r="T79" s="76"/>
      <c r="U79" s="76"/>
      <c r="V79" s="76"/>
    </row>
    <row r="80" spans="1:22" x14ac:dyDescent="0.2">
      <c r="A80" s="2" t="s">
        <v>15</v>
      </c>
      <c r="B80" s="2" t="s">
        <v>3</v>
      </c>
      <c r="C80" s="164" t="s">
        <v>1426</v>
      </c>
      <c r="D80" s="164" t="s">
        <v>1426</v>
      </c>
      <c r="E80" s="164" t="s">
        <v>1426</v>
      </c>
      <c r="F80" s="2" t="s">
        <v>79</v>
      </c>
      <c r="G80" s="213">
        <v>8.76</v>
      </c>
      <c r="H80" s="213">
        <v>0</v>
      </c>
      <c r="I80" s="213">
        <v>8.76</v>
      </c>
      <c r="J80" s="213">
        <f>I80*$J$77</f>
        <v>1.27718172</v>
      </c>
      <c r="K80" s="4" t="s">
        <v>330</v>
      </c>
      <c r="M80" s="4" t="s">
        <v>334</v>
      </c>
      <c r="N80" s="135" t="s">
        <v>332</v>
      </c>
      <c r="O80" s="267" t="str">
        <f>_xlfn.XLOOKUP(N80,costcategory[Account Code],costcategory[Cost Category],"ERROR")</f>
        <v>Bank Charges</v>
      </c>
      <c r="P80" s="135" t="s">
        <v>333</v>
      </c>
      <c r="Q80" s="267" t="str">
        <f>_xlfn.XLOOKUP(P80,Table2[Department],Table2[Group],"ERROR")</f>
        <v>General &amp; Administrative</v>
      </c>
    </row>
    <row r="81" spans="1:17" x14ac:dyDescent="0.2">
      <c r="A81" s="2" t="s">
        <v>15</v>
      </c>
      <c r="B81" s="2" t="s">
        <v>3</v>
      </c>
      <c r="C81" s="164" t="s">
        <v>1426</v>
      </c>
      <c r="D81" s="164" t="s">
        <v>1426</v>
      </c>
      <c r="E81" s="164" t="s">
        <v>1426</v>
      </c>
      <c r="F81" s="2" t="s">
        <v>79</v>
      </c>
      <c r="G81" s="213">
        <v>2.67</v>
      </c>
      <c r="H81" s="213">
        <v>0</v>
      </c>
      <c r="I81" s="213">
        <v>2.67</v>
      </c>
      <c r="J81" s="213">
        <f t="shared" ref="J81:J98" si="2">I81*$J$77</f>
        <v>0.38927799000000002</v>
      </c>
      <c r="K81" s="4" t="s">
        <v>330</v>
      </c>
      <c r="M81" s="4" t="s">
        <v>335</v>
      </c>
      <c r="N81" s="135" t="s">
        <v>332</v>
      </c>
      <c r="O81" s="267" t="str">
        <f>_xlfn.XLOOKUP(N81,costcategory[Account Code],costcategory[Cost Category],"ERROR")</f>
        <v>Bank Charges</v>
      </c>
      <c r="P81" s="135" t="s">
        <v>333</v>
      </c>
      <c r="Q81" s="267" t="str">
        <f>_xlfn.XLOOKUP(P81,Table2[Department],Table2[Group],"ERROR")</f>
        <v>General &amp; Administrative</v>
      </c>
    </row>
    <row r="82" spans="1:17" x14ac:dyDescent="0.2">
      <c r="A82" s="2" t="s">
        <v>15</v>
      </c>
      <c r="B82" s="2" t="s">
        <v>3</v>
      </c>
      <c r="C82" s="164" t="s">
        <v>1426</v>
      </c>
      <c r="D82" s="164" t="s">
        <v>1426</v>
      </c>
      <c r="E82" s="164" t="s">
        <v>1426</v>
      </c>
      <c r="F82" s="2" t="s">
        <v>79</v>
      </c>
      <c r="G82" s="213">
        <v>25</v>
      </c>
      <c r="H82" s="213">
        <v>0</v>
      </c>
      <c r="I82" s="213">
        <v>25</v>
      </c>
      <c r="J82" s="213">
        <f t="shared" si="2"/>
        <v>3.6449250000000002</v>
      </c>
      <c r="K82" s="4" t="s">
        <v>330</v>
      </c>
      <c r="M82" s="4" t="s">
        <v>331</v>
      </c>
      <c r="N82" s="135" t="s">
        <v>332</v>
      </c>
      <c r="O82" s="267" t="str">
        <f>_xlfn.XLOOKUP(N82,costcategory[Account Code],costcategory[Cost Category],"ERROR")</f>
        <v>Bank Charges</v>
      </c>
      <c r="P82" s="135" t="s">
        <v>333</v>
      </c>
      <c r="Q82" s="267" t="str">
        <f>_xlfn.XLOOKUP(P82,Table2[Department],Table2[Group],"ERROR")</f>
        <v>General &amp; Administrative</v>
      </c>
    </row>
    <row r="83" spans="1:17" x14ac:dyDescent="0.2">
      <c r="A83" s="2" t="s">
        <v>15</v>
      </c>
      <c r="B83" s="2" t="s">
        <v>3</v>
      </c>
      <c r="C83" s="164" t="s">
        <v>1427</v>
      </c>
      <c r="D83" s="164" t="s">
        <v>1427</v>
      </c>
      <c r="E83" s="164" t="s">
        <v>1427</v>
      </c>
      <c r="F83" s="2" t="s">
        <v>79</v>
      </c>
      <c r="G83" s="213">
        <v>3193.35</v>
      </c>
      <c r="H83" s="213">
        <v>0</v>
      </c>
      <c r="I83" s="213">
        <v>3193.35</v>
      </c>
      <c r="J83" s="213">
        <f t="shared" si="2"/>
        <v>465.58084995000002</v>
      </c>
      <c r="K83" s="4" t="s">
        <v>1406</v>
      </c>
      <c r="M83" s="4" t="s">
        <v>1428</v>
      </c>
      <c r="N83" s="135" t="s">
        <v>387</v>
      </c>
      <c r="O83" s="267" t="str">
        <f>_xlfn.XLOOKUP(N83,costcategory[Account Code],costcategory[Cost Category],"ERROR")</f>
        <v>Headcount Costs</v>
      </c>
      <c r="P83" s="135" t="s">
        <v>340</v>
      </c>
      <c r="Q83" s="267" t="str">
        <f>_xlfn.XLOOKUP(P83,Table2[Department],Table2[Group],"ERROR")</f>
        <v>General &amp; Administrative</v>
      </c>
    </row>
    <row r="84" spans="1:17" x14ac:dyDescent="0.2">
      <c r="A84" s="2" t="s">
        <v>15</v>
      </c>
      <c r="B84" s="2" t="s">
        <v>3</v>
      </c>
      <c r="C84" s="164" t="s">
        <v>1429</v>
      </c>
      <c r="D84" s="164" t="s">
        <v>1429</v>
      </c>
      <c r="E84" s="164" t="s">
        <v>1429</v>
      </c>
      <c r="F84" s="2" t="s">
        <v>79</v>
      </c>
      <c r="G84" s="213">
        <v>400</v>
      </c>
      <c r="H84" s="213">
        <v>0</v>
      </c>
      <c r="I84" s="213">
        <v>400</v>
      </c>
      <c r="J84" s="213">
        <f t="shared" si="2"/>
        <v>58.318800000000003</v>
      </c>
      <c r="K84" s="4" t="s">
        <v>341</v>
      </c>
      <c r="L84" s="4" t="s">
        <v>401</v>
      </c>
      <c r="M84" s="4" t="s">
        <v>355</v>
      </c>
      <c r="N84" s="135" t="s">
        <v>402</v>
      </c>
      <c r="O84" s="267" t="str">
        <f>_xlfn.XLOOKUP(N84,costcategory[Account Code],costcategory[Cost Category],"ERROR")</f>
        <v>Travelling Expenses</v>
      </c>
      <c r="P84" s="135" t="s">
        <v>347</v>
      </c>
      <c r="Q84" s="267" t="str">
        <f>_xlfn.XLOOKUP(P84,Table2[Department],Table2[Group],"ERROR")</f>
        <v>Research &amp; Development</v>
      </c>
    </row>
    <row r="85" spans="1:17" x14ac:dyDescent="0.2">
      <c r="A85" s="2" t="s">
        <v>15</v>
      </c>
      <c r="B85" s="2" t="s">
        <v>3</v>
      </c>
      <c r="C85" s="164" t="s">
        <v>1429</v>
      </c>
      <c r="D85" s="164" t="s">
        <v>1429</v>
      </c>
      <c r="E85" s="164" t="s">
        <v>1429</v>
      </c>
      <c r="F85" s="2" t="s">
        <v>79</v>
      </c>
      <c r="G85" s="213">
        <v>624</v>
      </c>
      <c r="H85" s="213">
        <v>0</v>
      </c>
      <c r="I85" s="213">
        <v>624</v>
      </c>
      <c r="J85" s="213">
        <f t="shared" si="2"/>
        <v>90.977328</v>
      </c>
      <c r="K85" s="4" t="s">
        <v>341</v>
      </c>
      <c r="L85" s="4" t="s">
        <v>401</v>
      </c>
      <c r="M85" s="4" t="s">
        <v>403</v>
      </c>
      <c r="N85" s="135" t="s">
        <v>367</v>
      </c>
      <c r="O85" s="267" t="str">
        <f>_xlfn.XLOOKUP(N85,costcategory[Account Code],costcategory[Cost Category],"ERROR")</f>
        <v>Professional &amp; Consultancy Fees</v>
      </c>
      <c r="P85" s="135" t="s">
        <v>340</v>
      </c>
      <c r="Q85" s="267" t="str">
        <f>_xlfn.XLOOKUP(P85,Table2[Department],Table2[Group],"ERROR")</f>
        <v>General &amp; Administrative</v>
      </c>
    </row>
    <row r="86" spans="1:17" x14ac:dyDescent="0.2">
      <c r="A86" s="2" t="s">
        <v>15</v>
      </c>
      <c r="B86" s="2" t="s">
        <v>3</v>
      </c>
      <c r="C86" s="164" t="s">
        <v>1429</v>
      </c>
      <c r="D86" s="164" t="s">
        <v>1429</v>
      </c>
      <c r="E86" s="164" t="s">
        <v>1429</v>
      </c>
      <c r="F86" s="2" t="s">
        <v>79</v>
      </c>
      <c r="G86" s="213">
        <v>624.03</v>
      </c>
      <c r="H86" s="213">
        <v>0</v>
      </c>
      <c r="I86" s="213">
        <v>624.03</v>
      </c>
      <c r="J86" s="213">
        <f t="shared" si="2"/>
        <v>90.981701909999998</v>
      </c>
      <c r="K86" s="4" t="s">
        <v>341</v>
      </c>
      <c r="L86" s="4" t="s">
        <v>401</v>
      </c>
      <c r="M86" s="4" t="s">
        <v>358</v>
      </c>
      <c r="N86" s="135" t="s">
        <v>60</v>
      </c>
      <c r="O86" s="267" t="str">
        <f>_xlfn.XLOOKUP(N86,costcategory[Account Code],costcategory[Cost Category],"ERROR")</f>
        <v>Subscription Fee</v>
      </c>
      <c r="P86" s="135" t="s">
        <v>333</v>
      </c>
      <c r="Q86" s="267" t="str">
        <f>_xlfn.XLOOKUP(P86,Table2[Department],Table2[Group],"ERROR")</f>
        <v>General &amp; Administrative</v>
      </c>
    </row>
    <row r="87" spans="1:17" x14ac:dyDescent="0.2">
      <c r="A87" s="2" t="s">
        <v>15</v>
      </c>
      <c r="B87" s="2" t="s">
        <v>3</v>
      </c>
      <c r="C87" s="164" t="s">
        <v>1429</v>
      </c>
      <c r="D87" s="164" t="s">
        <v>1429</v>
      </c>
      <c r="E87" s="164" t="s">
        <v>1429</v>
      </c>
      <c r="F87" s="2" t="s">
        <v>79</v>
      </c>
      <c r="G87" s="213">
        <v>1011.2</v>
      </c>
      <c r="H87" s="213">
        <v>0</v>
      </c>
      <c r="I87" s="213">
        <v>1011.2</v>
      </c>
      <c r="J87" s="213">
        <f t="shared" si="2"/>
        <v>147.42992640000003</v>
      </c>
      <c r="K87" s="4" t="s">
        <v>362</v>
      </c>
      <c r="M87" s="4" t="s">
        <v>404</v>
      </c>
      <c r="N87" s="135" t="s">
        <v>367</v>
      </c>
      <c r="O87" s="267" t="str">
        <f>_xlfn.XLOOKUP(N87,costcategory[Account Code],costcategory[Cost Category],"ERROR")</f>
        <v>Professional &amp; Consultancy Fees</v>
      </c>
      <c r="P87" s="135" t="s">
        <v>333</v>
      </c>
      <c r="Q87" s="267" t="str">
        <f>_xlfn.XLOOKUP(P87,Table2[Department],Table2[Group],"ERROR")</f>
        <v>General &amp; Administrative</v>
      </c>
    </row>
    <row r="88" spans="1:17" x14ac:dyDescent="0.2">
      <c r="A88" s="2" t="s">
        <v>15</v>
      </c>
      <c r="B88" s="2" t="s">
        <v>3</v>
      </c>
      <c r="C88" s="164" t="s">
        <v>1429</v>
      </c>
      <c r="D88" s="164" t="s">
        <v>1429</v>
      </c>
      <c r="E88" s="164" t="s">
        <v>1429</v>
      </c>
      <c r="F88" s="2" t="s">
        <v>79</v>
      </c>
      <c r="G88" s="213">
        <v>11331.81</v>
      </c>
      <c r="H88" s="213">
        <v>0</v>
      </c>
      <c r="I88" s="213">
        <v>11331.81</v>
      </c>
      <c r="J88" s="213">
        <f t="shared" si="2"/>
        <v>1652.1439025700001</v>
      </c>
      <c r="K88" s="4" t="s">
        <v>365</v>
      </c>
      <c r="M88" s="4" t="s">
        <v>1405</v>
      </c>
      <c r="N88" s="135" t="s">
        <v>364</v>
      </c>
      <c r="O88" s="267" t="str">
        <f>_xlfn.XLOOKUP(N88,costcategory[Account Code],costcategory[Cost Category],"ERROR")</f>
        <v>Headcount Costs</v>
      </c>
      <c r="P88" s="135" t="s">
        <v>350</v>
      </c>
      <c r="Q88" s="267" t="str">
        <f>_xlfn.XLOOKUP(P88,Table2[Department],Table2[Group],"ERROR")</f>
        <v>General &amp; Administrative</v>
      </c>
    </row>
    <row r="89" spans="1:17" x14ac:dyDescent="0.2">
      <c r="A89" s="2" t="s">
        <v>15</v>
      </c>
      <c r="B89" s="2" t="s">
        <v>3</v>
      </c>
      <c r="C89" s="164" t="s">
        <v>1429</v>
      </c>
      <c r="D89" s="164" t="s">
        <v>1429</v>
      </c>
      <c r="E89" s="164" t="s">
        <v>1429</v>
      </c>
      <c r="F89" s="2" t="s">
        <v>79</v>
      </c>
      <c r="G89" s="213">
        <v>426.88</v>
      </c>
      <c r="H89" s="213"/>
      <c r="I89" s="213">
        <f>G89+H89</f>
        <v>426.88</v>
      </c>
      <c r="J89" s="213">
        <f t="shared" ref="J89" si="3">I89*$J$77</f>
        <v>62.23782336</v>
      </c>
      <c r="K89" s="4" t="s">
        <v>365</v>
      </c>
      <c r="M89" s="4" t="s">
        <v>366</v>
      </c>
      <c r="N89" s="135" t="s">
        <v>367</v>
      </c>
      <c r="O89" s="267"/>
      <c r="P89" s="135" t="s">
        <v>350</v>
      </c>
      <c r="Q89" s="267" t="s">
        <v>62</v>
      </c>
    </row>
    <row r="90" spans="1:17" x14ac:dyDescent="0.2">
      <c r="A90" s="2" t="s">
        <v>15</v>
      </c>
      <c r="B90" s="2" t="s">
        <v>3</v>
      </c>
      <c r="C90" s="164" t="s">
        <v>1429</v>
      </c>
      <c r="D90" s="164" t="s">
        <v>1429</v>
      </c>
      <c r="E90" s="164" t="s">
        <v>1429</v>
      </c>
      <c r="F90" s="2" t="s">
        <v>79</v>
      </c>
      <c r="G90" s="213">
        <v>520.18000000000029</v>
      </c>
      <c r="H90" s="213">
        <v>0</v>
      </c>
      <c r="I90" s="213">
        <v>520.18000000000029</v>
      </c>
      <c r="J90" s="213">
        <f t="shared" si="2"/>
        <v>75.840683460000051</v>
      </c>
      <c r="K90" s="4" t="s">
        <v>368</v>
      </c>
      <c r="L90" s="4" t="s">
        <v>405</v>
      </c>
      <c r="M90" s="4" t="s">
        <v>406</v>
      </c>
      <c r="N90" s="135" t="s">
        <v>370</v>
      </c>
      <c r="O90" s="267" t="str">
        <f>_xlfn.XLOOKUP(N90,costcategory[Account Code],costcategory[Cost Category],"ERROR")</f>
        <v>Utilities</v>
      </c>
      <c r="P90" s="135" t="s">
        <v>340</v>
      </c>
      <c r="Q90" s="267" t="str">
        <f>_xlfn.XLOOKUP(P90,Table2[Department],Table2[Group],"ERROR")</f>
        <v>General &amp; Administrative</v>
      </c>
    </row>
    <row r="91" spans="1:17" x14ac:dyDescent="0.2">
      <c r="A91" s="2" t="s">
        <v>15</v>
      </c>
      <c r="B91" s="2" t="s">
        <v>3</v>
      </c>
      <c r="C91" s="164" t="s">
        <v>1429</v>
      </c>
      <c r="D91" s="164" t="s">
        <v>1429</v>
      </c>
      <c r="E91" s="164" t="s">
        <v>1429</v>
      </c>
      <c r="F91" s="2" t="s">
        <v>79</v>
      </c>
      <c r="G91" s="213">
        <v>50801</v>
      </c>
      <c r="H91" s="213">
        <v>0</v>
      </c>
      <c r="I91" s="213">
        <v>50801</v>
      </c>
      <c r="J91" s="213">
        <f t="shared" si="2"/>
        <v>7406.6333970000005</v>
      </c>
      <c r="K91" s="4" t="s">
        <v>368</v>
      </c>
      <c r="L91" s="4" t="s">
        <v>407</v>
      </c>
      <c r="M91" s="4" t="s">
        <v>408</v>
      </c>
      <c r="N91" s="135" t="s">
        <v>409</v>
      </c>
      <c r="O91" s="267" t="str">
        <f>_xlfn.XLOOKUP(N91,costcategory[Account Code],costcategory[Cost Category],"ERROR")</f>
        <v>Rental</v>
      </c>
      <c r="P91" s="135" t="s">
        <v>340</v>
      </c>
      <c r="Q91" s="267" t="str">
        <f>_xlfn.XLOOKUP(P91,Table2[Department],Table2[Group],"ERROR")</f>
        <v>General &amp; Administrative</v>
      </c>
    </row>
    <row r="92" spans="1:17" x14ac:dyDescent="0.2">
      <c r="A92" s="2" t="s">
        <v>15</v>
      </c>
      <c r="B92" s="2" t="s">
        <v>3</v>
      </c>
      <c r="C92" s="164" t="s">
        <v>1429</v>
      </c>
      <c r="D92" s="164" t="s">
        <v>1429</v>
      </c>
      <c r="E92" s="164" t="s">
        <v>1429</v>
      </c>
      <c r="F92" s="2" t="s">
        <v>79</v>
      </c>
      <c r="G92" s="213">
        <v>277</v>
      </c>
      <c r="H92" s="213">
        <v>0</v>
      </c>
      <c r="I92" s="213">
        <v>277</v>
      </c>
      <c r="J92" s="213">
        <f t="shared" si="2"/>
        <v>40.385769000000003</v>
      </c>
      <c r="K92" s="4" t="s">
        <v>372</v>
      </c>
      <c r="M92" s="4" t="s">
        <v>411</v>
      </c>
      <c r="N92" s="135" t="s">
        <v>374</v>
      </c>
      <c r="O92" s="267" t="str">
        <f>_xlfn.XLOOKUP(N92,costcategory[Account Code],costcategory[Cost Category],"ERROR")</f>
        <v>Non-Current Liabilities</v>
      </c>
      <c r="P92" s="135" t="s">
        <v>376</v>
      </c>
      <c r="Q92" s="267" t="str">
        <f>_xlfn.XLOOKUP(P92,Table2[Department],Table2[Group],"ERROR")</f>
        <v>General &amp; Administrative</v>
      </c>
    </row>
    <row r="93" spans="1:17" x14ac:dyDescent="0.2">
      <c r="A93" s="2" t="s">
        <v>15</v>
      </c>
      <c r="B93" s="2" t="s">
        <v>3</v>
      </c>
      <c r="C93" s="164" t="s">
        <v>1430</v>
      </c>
      <c r="D93" s="164" t="s">
        <v>1430</v>
      </c>
      <c r="E93" s="164" t="s">
        <v>1430</v>
      </c>
      <c r="F93" s="2" t="s">
        <v>79</v>
      </c>
      <c r="G93" s="213">
        <v>29302</v>
      </c>
      <c r="H93" s="213">
        <v>0</v>
      </c>
      <c r="I93" s="213">
        <v>29302</v>
      </c>
      <c r="J93" s="213">
        <f t="shared" si="2"/>
        <v>4272.1436940000003</v>
      </c>
      <c r="K93" s="4" t="s">
        <v>1406</v>
      </c>
      <c r="M93" s="4" t="s">
        <v>1431</v>
      </c>
      <c r="N93" s="135" t="s">
        <v>364</v>
      </c>
      <c r="O93" s="267" t="str">
        <f>_xlfn.XLOOKUP(N93,costcategory[Account Code],costcategory[Cost Category],"ERROR")</f>
        <v>Headcount Costs</v>
      </c>
      <c r="P93" s="135" t="s">
        <v>340</v>
      </c>
      <c r="Q93" s="267" t="str">
        <f>_xlfn.XLOOKUP(P93,Table2[Department],Table2[Group],"ERROR")</f>
        <v>General &amp; Administrative</v>
      </c>
    </row>
    <row r="94" spans="1:17" x14ac:dyDescent="0.2">
      <c r="A94" s="2" t="s">
        <v>15</v>
      </c>
      <c r="B94" s="2" t="s">
        <v>3</v>
      </c>
      <c r="C94" s="164" t="s">
        <v>1430</v>
      </c>
      <c r="D94" s="164" t="s">
        <v>1430</v>
      </c>
      <c r="E94" s="164" t="s">
        <v>1430</v>
      </c>
      <c r="F94" s="2" t="s">
        <v>79</v>
      </c>
      <c r="G94" s="213">
        <v>11270</v>
      </c>
      <c r="H94" s="213">
        <v>0</v>
      </c>
      <c r="I94" s="213">
        <v>11270</v>
      </c>
      <c r="J94" s="213">
        <f t="shared" si="2"/>
        <v>1643.13219</v>
      </c>
      <c r="K94" s="4" t="s">
        <v>1408</v>
      </c>
      <c r="L94" s="4" t="s">
        <v>1432</v>
      </c>
      <c r="M94" s="4" t="s">
        <v>1433</v>
      </c>
      <c r="N94" s="135" t="s">
        <v>364</v>
      </c>
      <c r="O94" s="267" t="str">
        <f>_xlfn.XLOOKUP(N94,costcategory[Account Code],costcategory[Cost Category],"ERROR")</f>
        <v>Headcount Costs</v>
      </c>
      <c r="P94" s="135" t="s">
        <v>350</v>
      </c>
      <c r="Q94" s="267" t="str">
        <f>_xlfn.XLOOKUP(P94,Table2[Department],Table2[Group],"ERROR")</f>
        <v>General &amp; Administrative</v>
      </c>
    </row>
    <row r="95" spans="1:17" x14ac:dyDescent="0.2">
      <c r="A95" s="2" t="s">
        <v>15</v>
      </c>
      <c r="B95" s="2" t="s">
        <v>3</v>
      </c>
      <c r="C95" s="164" t="s">
        <v>1434</v>
      </c>
      <c r="D95" s="164" t="s">
        <v>1434</v>
      </c>
      <c r="E95" s="164" t="s">
        <v>1434</v>
      </c>
      <c r="F95" s="2" t="s">
        <v>79</v>
      </c>
      <c r="G95" s="213">
        <v>-50.63</v>
      </c>
      <c r="H95" s="213">
        <v>0</v>
      </c>
      <c r="I95" s="213">
        <v>-50.63</v>
      </c>
      <c r="J95" s="213">
        <f t="shared" si="2"/>
        <v>-7.3817021100000009</v>
      </c>
      <c r="K95" s="4" t="s">
        <v>330</v>
      </c>
      <c r="M95" s="4" t="s">
        <v>383</v>
      </c>
      <c r="N95" s="135" t="s">
        <v>384</v>
      </c>
      <c r="O95" s="267" t="str">
        <f>_xlfn.XLOOKUP(N95,costcategory[Account Code],costcategory[Cost Category],"ERROR")</f>
        <v>Other Income</v>
      </c>
      <c r="P95" s="135" t="s">
        <v>333</v>
      </c>
      <c r="Q95" s="267" t="str">
        <f>_xlfn.XLOOKUP(P95,Table2[Department],Table2[Group],"ERROR")</f>
        <v>General &amp; Administrative</v>
      </c>
    </row>
    <row r="96" spans="1:17" x14ac:dyDescent="0.2">
      <c r="A96" s="2" t="s">
        <v>15</v>
      </c>
      <c r="B96" s="2" t="s">
        <v>3</v>
      </c>
      <c r="C96" s="164" t="s">
        <v>1435</v>
      </c>
      <c r="D96" s="164" t="s">
        <v>1435</v>
      </c>
      <c r="E96" s="164" t="s">
        <v>1435</v>
      </c>
      <c r="F96" s="2" t="s">
        <v>79</v>
      </c>
      <c r="G96" s="213">
        <v>-566.39</v>
      </c>
      <c r="H96" s="213">
        <v>0</v>
      </c>
      <c r="I96" s="213">
        <v>-566.39</v>
      </c>
      <c r="J96" s="213">
        <f t="shared" si="2"/>
        <v>-82.577962830000004</v>
      </c>
      <c r="K96" s="4" t="s">
        <v>1419</v>
      </c>
      <c r="M96" s="4" t="s">
        <v>1420</v>
      </c>
      <c r="N96" s="135" t="s">
        <v>499</v>
      </c>
      <c r="O96" s="267" t="str">
        <f>_xlfn.XLOOKUP(N96,costcategory[Account Code],costcategory[Cost Category],"ERROR")</f>
        <v>Tax Expenses (GST/SST/VAT)</v>
      </c>
      <c r="P96" s="135" t="s">
        <v>340</v>
      </c>
      <c r="Q96" s="267" t="str">
        <f>_xlfn.XLOOKUP(P96,Table2[Department],Table2[Group],"ERROR")</f>
        <v>General &amp; Administrative</v>
      </c>
    </row>
    <row r="97" spans="1:22" x14ac:dyDescent="0.2">
      <c r="A97" s="2" t="s">
        <v>15</v>
      </c>
      <c r="B97" s="2" t="s">
        <v>3</v>
      </c>
      <c r="C97" s="164" t="s">
        <v>1436</v>
      </c>
      <c r="D97" s="164" t="s">
        <v>1436</v>
      </c>
      <c r="E97" s="164" t="s">
        <v>1436</v>
      </c>
      <c r="F97" s="2" t="s">
        <v>79</v>
      </c>
      <c r="G97" s="213">
        <v>97728.47</v>
      </c>
      <c r="H97" s="213">
        <v>0</v>
      </c>
      <c r="I97" s="213">
        <v>97728.47</v>
      </c>
      <c r="J97" s="213">
        <f t="shared" si="2"/>
        <v>14248.517740590001</v>
      </c>
      <c r="K97" s="4" t="s">
        <v>1085</v>
      </c>
      <c r="L97" s="4" t="s">
        <v>1437</v>
      </c>
      <c r="M97" s="4" t="s">
        <v>1438</v>
      </c>
      <c r="N97" s="135" t="s">
        <v>1160</v>
      </c>
      <c r="O97" s="267" t="str">
        <f>_xlfn.XLOOKUP(N97,costcategory[Account Code],costcategory[Cost Category],"ERROR")</f>
        <v>Headcount Costs</v>
      </c>
      <c r="P97" s="135" t="s">
        <v>350</v>
      </c>
      <c r="Q97" s="267" t="str">
        <f>_xlfn.XLOOKUP(P97,Table2[Department],Table2[Group],"ERROR")</f>
        <v>General &amp; Administrative</v>
      </c>
    </row>
    <row r="98" spans="1:22" x14ac:dyDescent="0.2">
      <c r="A98" s="2" t="s">
        <v>15</v>
      </c>
      <c r="B98" s="2" t="s">
        <v>3</v>
      </c>
      <c r="C98" s="164" t="s">
        <v>1436</v>
      </c>
      <c r="D98" s="164" t="s">
        <v>1436</v>
      </c>
      <c r="E98" s="164" t="s">
        <v>1436</v>
      </c>
      <c r="F98" s="2" t="s">
        <v>79</v>
      </c>
      <c r="G98" s="213">
        <v>86419.61</v>
      </c>
      <c r="H98" s="213">
        <v>0</v>
      </c>
      <c r="I98" s="213">
        <v>86419.61</v>
      </c>
      <c r="J98" s="213">
        <f t="shared" si="2"/>
        <v>12599.719879170001</v>
      </c>
      <c r="K98" s="4" t="s">
        <v>1085</v>
      </c>
      <c r="L98" s="4" t="s">
        <v>1439</v>
      </c>
      <c r="M98" s="4" t="s">
        <v>1404</v>
      </c>
      <c r="N98" s="135" t="s">
        <v>387</v>
      </c>
      <c r="O98" s="267" t="str">
        <f>_xlfn.XLOOKUP(N98,costcategory[Account Code],costcategory[Cost Category],"ERROR")</f>
        <v>Headcount Costs</v>
      </c>
      <c r="P98" s="135" t="s">
        <v>350</v>
      </c>
      <c r="Q98" s="267" t="str">
        <f>_xlfn.XLOOKUP(P98,Table2[Department],Table2[Group],"ERROR")</f>
        <v>General &amp; Administrative</v>
      </c>
    </row>
    <row r="99" spans="1:22" x14ac:dyDescent="0.2">
      <c r="F99" s="2" t="s">
        <v>79</v>
      </c>
      <c r="G99" s="213"/>
      <c r="H99" s="213"/>
      <c r="I99" s="213">
        <f>SUM(I80:I98)</f>
        <v>293348.94</v>
      </c>
      <c r="J99" s="213"/>
    </row>
    <row r="100" spans="1:22" s="20" customFormat="1" ht="12.95" customHeight="1" x14ac:dyDescent="0.2">
      <c r="A100" s="329" t="s">
        <v>1173</v>
      </c>
      <c r="B100" s="329"/>
      <c r="C100" s="329"/>
      <c r="D100" s="329"/>
      <c r="E100" s="196">
        <v>46112</v>
      </c>
      <c r="F100" s="13"/>
      <c r="G100" s="202"/>
      <c r="H100" s="202"/>
      <c r="I100" s="203">
        <f>I79-I99</f>
        <v>115612.58999999991</v>
      </c>
      <c r="J100" s="251"/>
      <c r="K100" s="80"/>
      <c r="L100" s="81"/>
      <c r="M100" s="77"/>
      <c r="N100" s="82"/>
      <c r="O100" s="153"/>
      <c r="P100" s="82"/>
      <c r="Q100" s="82"/>
      <c r="R100" s="76"/>
      <c r="S100" s="76"/>
      <c r="T100" s="76"/>
      <c r="U100" s="76"/>
      <c r="V100" s="76"/>
    </row>
    <row r="101" spans="1:22" s="2" customFormat="1" ht="12.95" customHeight="1" x14ac:dyDescent="0.2">
      <c r="A101" s="33"/>
      <c r="B101" s="33"/>
      <c r="C101" s="33"/>
      <c r="D101" s="33"/>
      <c r="E101" s="258"/>
      <c r="F101" s="33"/>
      <c r="G101" s="237"/>
      <c r="H101" s="237"/>
      <c r="I101" s="237"/>
      <c r="J101" s="259"/>
      <c r="K101" s="12"/>
      <c r="L101" s="28"/>
      <c r="M101" s="260"/>
      <c r="N101" s="261"/>
      <c r="O101" s="262"/>
      <c r="P101" s="261"/>
      <c r="Q101" s="261"/>
      <c r="R101" s="10"/>
      <c r="S101" s="10"/>
      <c r="T101" s="10"/>
      <c r="U101" s="10"/>
      <c r="V101" s="10"/>
    </row>
    <row r="102" spans="1:22" x14ac:dyDescent="0.2">
      <c r="J102" s="257">
        <f>FOREX!K4</f>
        <v>0.144959</v>
      </c>
    </row>
    <row r="103" spans="1:22" s="183" customFormat="1" ht="12.95" customHeight="1" x14ac:dyDescent="0.2">
      <c r="A103" s="7" t="s">
        <v>87</v>
      </c>
      <c r="B103" s="7" t="s">
        <v>43</v>
      </c>
      <c r="C103" s="177" t="s">
        <v>54</v>
      </c>
      <c r="D103" s="177" t="s">
        <v>88</v>
      </c>
      <c r="E103" s="185" t="s">
        <v>1083</v>
      </c>
      <c r="F103" s="7" t="s">
        <v>70</v>
      </c>
      <c r="G103" s="236" t="s">
        <v>90</v>
      </c>
      <c r="H103" s="236" t="s">
        <v>91</v>
      </c>
      <c r="I103" s="236" t="s">
        <v>92</v>
      </c>
      <c r="J103" s="236" t="s">
        <v>72</v>
      </c>
      <c r="K103" s="9" t="s">
        <v>325</v>
      </c>
      <c r="L103" s="27" t="s">
        <v>94</v>
      </c>
      <c r="M103" s="23" t="s">
        <v>95</v>
      </c>
      <c r="N103" s="23" t="s">
        <v>1315</v>
      </c>
      <c r="O103" s="7" t="s">
        <v>64</v>
      </c>
      <c r="P103" s="23" t="s">
        <v>67</v>
      </c>
      <c r="Q103" s="23" t="s">
        <v>44</v>
      </c>
      <c r="R103" s="7" t="s">
        <v>326</v>
      </c>
      <c r="S103" s="7" t="s">
        <v>327</v>
      </c>
      <c r="T103" s="7" t="s">
        <v>328</v>
      </c>
      <c r="U103" s="7" t="s">
        <v>98</v>
      </c>
      <c r="V103" s="7" t="s">
        <v>1316</v>
      </c>
    </row>
    <row r="104" spans="1:22" s="20" customFormat="1" ht="12.95" customHeight="1" x14ac:dyDescent="0.2">
      <c r="A104" s="329" t="s">
        <v>1172</v>
      </c>
      <c r="B104" s="329"/>
      <c r="C104" s="329"/>
      <c r="D104" s="329"/>
      <c r="E104" s="196">
        <v>46113</v>
      </c>
      <c r="F104" s="13"/>
      <c r="G104" s="202"/>
      <c r="H104" s="202"/>
      <c r="I104" s="203">
        <v>115612.58999999991</v>
      </c>
      <c r="J104" s="251"/>
      <c r="K104" s="80"/>
      <c r="L104" s="81"/>
      <c r="M104" s="77"/>
      <c r="N104" s="82"/>
      <c r="O104" s="153"/>
      <c r="P104" s="82"/>
      <c r="Q104" s="82"/>
      <c r="R104" s="76"/>
      <c r="S104" s="76"/>
      <c r="T104" s="76"/>
      <c r="U104" s="76"/>
      <c r="V104" s="76"/>
    </row>
    <row r="105" spans="1:22" x14ac:dyDescent="0.2">
      <c r="A105" s="2" t="s">
        <v>15</v>
      </c>
      <c r="B105" s="2" t="s">
        <v>3</v>
      </c>
      <c r="C105" s="164">
        <v>46114</v>
      </c>
      <c r="D105" s="164">
        <v>46114</v>
      </c>
      <c r="E105" s="164">
        <v>46114</v>
      </c>
      <c r="F105" s="2" t="s">
        <v>79</v>
      </c>
      <c r="G105" s="197">
        <v>2.67</v>
      </c>
      <c r="H105" s="197">
        <v>0</v>
      </c>
      <c r="I105" s="197">
        <v>2.67</v>
      </c>
      <c r="J105" s="213">
        <f>I105*$J$77</f>
        <v>0.38927799000000002</v>
      </c>
      <c r="K105" s="4" t="s">
        <v>330</v>
      </c>
      <c r="M105" s="4" t="s">
        <v>335</v>
      </c>
      <c r="N105" s="135" t="s">
        <v>332</v>
      </c>
      <c r="O105" s="267" t="str">
        <f>_xlfn.XLOOKUP(N105,costcategory[Account Code],costcategory[Cost Category],"ERROR")</f>
        <v>Bank Charges</v>
      </c>
      <c r="P105" s="135" t="s">
        <v>333</v>
      </c>
      <c r="Q105" s="267" t="str">
        <f>_xlfn.XLOOKUP(P105,Table2[Department],Table2[Group],"ERROR")</f>
        <v>General &amp; Administrative</v>
      </c>
    </row>
    <row r="106" spans="1:22" x14ac:dyDescent="0.2">
      <c r="A106" s="2" t="s">
        <v>15</v>
      </c>
      <c r="B106" s="2" t="s">
        <v>3</v>
      </c>
      <c r="C106" s="164">
        <v>46114</v>
      </c>
      <c r="D106" s="164">
        <v>46114</v>
      </c>
      <c r="E106" s="164">
        <v>46114</v>
      </c>
      <c r="F106" s="2" t="s">
        <v>79</v>
      </c>
      <c r="G106" s="197">
        <v>25</v>
      </c>
      <c r="H106" s="197">
        <v>0</v>
      </c>
      <c r="I106" s="197">
        <v>25</v>
      </c>
      <c r="J106" s="213">
        <f t="shared" ref="J106:J124" si="4">I106*$J$77</f>
        <v>3.6449250000000002</v>
      </c>
      <c r="K106" s="4" t="s">
        <v>330</v>
      </c>
      <c r="M106" s="4" t="s">
        <v>331</v>
      </c>
      <c r="N106" s="135" t="s">
        <v>332</v>
      </c>
      <c r="O106" s="267" t="str">
        <f>_xlfn.XLOOKUP(N106,costcategory[Account Code],costcategory[Cost Category],"ERROR")</f>
        <v>Bank Charges</v>
      </c>
      <c r="P106" s="135" t="s">
        <v>333</v>
      </c>
      <c r="Q106" s="267" t="str">
        <f>_xlfn.XLOOKUP(P106,Table2[Department],Table2[Group],"ERROR")</f>
        <v>General &amp; Administrative</v>
      </c>
    </row>
    <row r="107" spans="1:22" x14ac:dyDescent="0.2">
      <c r="A107" s="2" t="s">
        <v>15</v>
      </c>
      <c r="B107" s="2" t="s">
        <v>3</v>
      </c>
      <c r="C107" s="164">
        <v>46114</v>
      </c>
      <c r="D107" s="164">
        <v>46114</v>
      </c>
      <c r="E107" s="164">
        <v>46114</v>
      </c>
      <c r="F107" s="2" t="s">
        <v>79</v>
      </c>
      <c r="G107" s="197">
        <v>4.38</v>
      </c>
      <c r="H107" s="197">
        <v>0</v>
      </c>
      <c r="I107" s="197">
        <v>4.38</v>
      </c>
      <c r="J107" s="213">
        <f t="shared" si="4"/>
        <v>0.63859085999999998</v>
      </c>
      <c r="K107" s="4" t="s">
        <v>330</v>
      </c>
      <c r="M107" s="4" t="s">
        <v>334</v>
      </c>
      <c r="N107" s="135" t="s">
        <v>332</v>
      </c>
      <c r="O107" s="267" t="str">
        <f>_xlfn.XLOOKUP(N107,costcategory[Account Code],costcategory[Cost Category],"ERROR")</f>
        <v>Bank Charges</v>
      </c>
      <c r="P107" s="135" t="s">
        <v>333</v>
      </c>
      <c r="Q107" s="267" t="str">
        <f>_xlfn.XLOOKUP(P107,Table2[Department],Table2[Group],"ERROR")</f>
        <v>General &amp; Administrative</v>
      </c>
    </row>
    <row r="108" spans="1:22" x14ac:dyDescent="0.2">
      <c r="A108" s="2" t="s">
        <v>15</v>
      </c>
      <c r="B108" s="2" t="s">
        <v>3</v>
      </c>
      <c r="C108" s="164">
        <v>46113</v>
      </c>
      <c r="D108" s="164">
        <v>46127</v>
      </c>
      <c r="E108" s="164">
        <v>46127</v>
      </c>
      <c r="F108" s="2" t="s">
        <v>79</v>
      </c>
      <c r="G108" s="197">
        <v>1186.73</v>
      </c>
      <c r="H108" s="197">
        <v>0</v>
      </c>
      <c r="I108" s="197">
        <v>1186.73</v>
      </c>
      <c r="J108" s="213">
        <f>I108*$J$77</f>
        <v>173.02167381000001</v>
      </c>
      <c r="K108" s="4" t="s">
        <v>362</v>
      </c>
      <c r="M108" s="4" t="s">
        <v>413</v>
      </c>
      <c r="N108" s="135" t="s">
        <v>367</v>
      </c>
      <c r="O108" s="267" t="str">
        <f>_xlfn.XLOOKUP(N108,costcategory[Account Code],costcategory[Cost Category],"ERROR")</f>
        <v>Professional &amp; Consultancy Fees</v>
      </c>
      <c r="P108" s="135" t="s">
        <v>333</v>
      </c>
      <c r="Q108" s="267" t="str">
        <f>_xlfn.XLOOKUP(P108,Table2[Department],Table2[Group],"ERROR")</f>
        <v>General &amp; Administrative</v>
      </c>
    </row>
    <row r="109" spans="1:22" x14ac:dyDescent="0.2">
      <c r="A109" s="2" t="s">
        <v>15</v>
      </c>
      <c r="B109" s="2" t="s">
        <v>3</v>
      </c>
      <c r="C109" s="164">
        <v>46117</v>
      </c>
      <c r="D109" s="164">
        <v>46127</v>
      </c>
      <c r="E109" s="164">
        <v>46127</v>
      </c>
      <c r="F109" s="2" t="s">
        <v>79</v>
      </c>
      <c r="G109" s="197">
        <v>11438.53</v>
      </c>
      <c r="H109" s="197">
        <v>0</v>
      </c>
      <c r="I109" s="197">
        <v>11438.53</v>
      </c>
      <c r="J109" s="213">
        <f t="shared" si="4"/>
        <v>1667.7033584100002</v>
      </c>
      <c r="K109" s="4" t="s">
        <v>365</v>
      </c>
      <c r="M109" s="4" t="s">
        <v>1440</v>
      </c>
      <c r="N109" s="135" t="s">
        <v>367</v>
      </c>
      <c r="O109" s="267" t="str">
        <f>_xlfn.XLOOKUP(N109,costcategory[Account Code],costcategory[Cost Category],"ERROR")</f>
        <v>Professional &amp; Consultancy Fees</v>
      </c>
      <c r="P109" s="135" t="s">
        <v>350</v>
      </c>
      <c r="Q109" s="267" t="str">
        <f>_xlfn.XLOOKUP(P109,Table2[Department],Table2[Group],"ERROR")</f>
        <v>General &amp; Administrative</v>
      </c>
    </row>
    <row r="110" spans="1:22" x14ac:dyDescent="0.2">
      <c r="A110" s="2" t="s">
        <v>15</v>
      </c>
      <c r="B110" s="2" t="s">
        <v>3</v>
      </c>
      <c r="C110" s="164">
        <v>46117</v>
      </c>
      <c r="D110" s="164">
        <v>46127</v>
      </c>
      <c r="E110" s="164">
        <v>46127</v>
      </c>
      <c r="F110" s="2" t="s">
        <v>79</v>
      </c>
      <c r="G110" s="197">
        <v>320.16000000000003</v>
      </c>
      <c r="H110" s="197">
        <v>0</v>
      </c>
      <c r="I110" s="197">
        <v>320.16000000000003</v>
      </c>
      <c r="J110" s="213">
        <f t="shared" si="4"/>
        <v>46.678367520000009</v>
      </c>
      <c r="K110" s="4" t="s">
        <v>365</v>
      </c>
      <c r="M110" s="4" t="s">
        <v>414</v>
      </c>
      <c r="N110" s="135" t="s">
        <v>367</v>
      </c>
      <c r="O110" s="267" t="str">
        <f>_xlfn.XLOOKUP(N110,costcategory[Account Code],costcategory[Cost Category],"ERROR")</f>
        <v>Professional &amp; Consultancy Fees</v>
      </c>
      <c r="P110" s="135" t="s">
        <v>350</v>
      </c>
      <c r="Q110" s="267" t="str">
        <f>_xlfn.XLOOKUP(P110,Table2[Department],Table2[Group],"ERROR")</f>
        <v>General &amp; Administrative</v>
      </c>
    </row>
    <row r="111" spans="1:22" x14ac:dyDescent="0.2">
      <c r="A111" s="2" t="s">
        <v>15</v>
      </c>
      <c r="B111" s="2" t="s">
        <v>3</v>
      </c>
      <c r="C111" s="164">
        <v>46121</v>
      </c>
      <c r="D111" s="164">
        <v>46127</v>
      </c>
      <c r="E111" s="164">
        <v>46127</v>
      </c>
      <c r="F111" s="2" t="s">
        <v>79</v>
      </c>
      <c r="G111" s="197">
        <v>342.51</v>
      </c>
      <c r="H111" s="197">
        <v>0</v>
      </c>
      <c r="I111" s="197">
        <v>342.51</v>
      </c>
      <c r="J111" s="213">
        <f t="shared" si="4"/>
        <v>49.93693047</v>
      </c>
      <c r="K111" s="4" t="s">
        <v>368</v>
      </c>
      <c r="M111" s="4" t="s">
        <v>369</v>
      </c>
      <c r="N111" s="135" t="s">
        <v>370</v>
      </c>
      <c r="O111" s="267" t="str">
        <f>_xlfn.XLOOKUP(N111,costcategory[Account Code],costcategory[Cost Category],"ERROR")</f>
        <v>Utilities</v>
      </c>
      <c r="P111" s="135" t="s">
        <v>340</v>
      </c>
      <c r="Q111" s="267" t="str">
        <f>_xlfn.XLOOKUP(P111,Table2[Department],Table2[Group],"ERROR")</f>
        <v>General &amp; Administrative</v>
      </c>
    </row>
    <row r="112" spans="1:22" x14ac:dyDescent="0.2">
      <c r="A112" s="2" t="s">
        <v>15</v>
      </c>
      <c r="B112" s="2" t="s">
        <v>3</v>
      </c>
      <c r="C112" s="164">
        <v>46113</v>
      </c>
      <c r="D112" s="164">
        <v>46127</v>
      </c>
      <c r="E112" s="164">
        <v>46127</v>
      </c>
      <c r="F112" s="2" t="s">
        <v>79</v>
      </c>
      <c r="G112" s="197">
        <v>277</v>
      </c>
      <c r="H112" s="197">
        <v>0</v>
      </c>
      <c r="I112" s="197">
        <v>277</v>
      </c>
      <c r="J112" s="213">
        <f t="shared" si="4"/>
        <v>40.385769000000003</v>
      </c>
      <c r="K112" s="4" t="s">
        <v>372</v>
      </c>
      <c r="M112" s="4" t="s">
        <v>1441</v>
      </c>
      <c r="N112" s="135" t="s">
        <v>374</v>
      </c>
      <c r="O112" s="267" t="str">
        <f>_xlfn.XLOOKUP(N112,costcategory[Account Code],costcategory[Cost Category],"ERROR")</f>
        <v>Non-Current Liabilities</v>
      </c>
      <c r="P112" s="135" t="s">
        <v>376</v>
      </c>
      <c r="Q112" s="267" t="str">
        <f>_xlfn.XLOOKUP(P112,Table2[Department],Table2[Group],"ERROR")</f>
        <v>General &amp; Administrative</v>
      </c>
    </row>
    <row r="113" spans="1:21" x14ac:dyDescent="0.2">
      <c r="A113" s="2" t="s">
        <v>15</v>
      </c>
      <c r="B113" s="2" t="s">
        <v>3</v>
      </c>
      <c r="C113" s="164">
        <v>46127</v>
      </c>
      <c r="D113" s="164">
        <v>46127</v>
      </c>
      <c r="E113" s="164">
        <v>46127</v>
      </c>
      <c r="F113" s="2" t="s">
        <v>79</v>
      </c>
      <c r="G113" s="197">
        <v>55.1</v>
      </c>
      <c r="H113" s="197">
        <v>0</v>
      </c>
      <c r="I113" s="197">
        <v>55.1</v>
      </c>
      <c r="J113" s="213">
        <f t="shared" si="4"/>
        <v>8.0334147000000016</v>
      </c>
      <c r="K113" s="4" t="s">
        <v>341</v>
      </c>
      <c r="L113" s="4" t="s">
        <v>415</v>
      </c>
      <c r="M113" s="4" t="s">
        <v>343</v>
      </c>
      <c r="N113" s="135" t="s">
        <v>344</v>
      </c>
      <c r="O113" s="267" t="str">
        <f>_xlfn.XLOOKUP(N113,costcategory[Account Code],costcategory[Cost Category],"ERROR")</f>
        <v>Courier Charges</v>
      </c>
      <c r="P113" s="135" t="s">
        <v>340</v>
      </c>
      <c r="Q113" s="267" t="str">
        <f>_xlfn.XLOOKUP(P113,Table2[Department],Table2[Group],"ERROR")</f>
        <v>General &amp; Administrative</v>
      </c>
    </row>
    <row r="114" spans="1:21" x14ac:dyDescent="0.2">
      <c r="A114" s="2" t="s">
        <v>15</v>
      </c>
      <c r="B114" s="2" t="s">
        <v>3</v>
      </c>
      <c r="C114" s="164">
        <v>46127</v>
      </c>
      <c r="D114" s="164">
        <v>46127</v>
      </c>
      <c r="E114" s="164">
        <v>46127</v>
      </c>
      <c r="F114" s="2" t="s">
        <v>79</v>
      </c>
      <c r="G114" s="197">
        <v>293.95</v>
      </c>
      <c r="H114" s="197">
        <v>0</v>
      </c>
      <c r="I114" s="197">
        <v>293.95</v>
      </c>
      <c r="J114" s="213">
        <f t="shared" si="4"/>
        <v>42.857028149999998</v>
      </c>
      <c r="K114" s="4" t="s">
        <v>341</v>
      </c>
      <c r="L114" s="4" t="s">
        <v>415</v>
      </c>
      <c r="M114" s="4" t="s">
        <v>351</v>
      </c>
      <c r="N114" s="135" t="s">
        <v>50</v>
      </c>
      <c r="O114" s="267" t="str">
        <f>_xlfn.XLOOKUP(N114,costcategory[Account Code],costcategory[Cost Category],"ERROR")</f>
        <v>Office Supplies</v>
      </c>
      <c r="P114" s="135" t="s">
        <v>340</v>
      </c>
      <c r="Q114" s="267" t="str">
        <f>_xlfn.XLOOKUP(P114,Table2[Department],Table2[Group],"ERROR")</f>
        <v>General &amp; Administrative</v>
      </c>
    </row>
    <row r="115" spans="1:21" x14ac:dyDescent="0.2">
      <c r="A115" s="2" t="s">
        <v>15</v>
      </c>
      <c r="B115" s="2" t="s">
        <v>3</v>
      </c>
      <c r="C115" s="164">
        <v>46127</v>
      </c>
      <c r="D115" s="164">
        <v>46127</v>
      </c>
      <c r="E115" s="164">
        <v>46127</v>
      </c>
      <c r="F115" s="2" t="s">
        <v>79</v>
      </c>
      <c r="G115" s="197">
        <v>6900</v>
      </c>
      <c r="H115" s="197">
        <v>0</v>
      </c>
      <c r="I115" s="197">
        <v>6900</v>
      </c>
      <c r="J115" s="213">
        <f t="shared" si="4"/>
        <v>1005.9993000000001</v>
      </c>
      <c r="K115" s="4" t="s">
        <v>341</v>
      </c>
      <c r="L115" s="4" t="s">
        <v>415</v>
      </c>
      <c r="M115" s="4" t="s">
        <v>416</v>
      </c>
      <c r="N115" s="135" t="s">
        <v>390</v>
      </c>
      <c r="O115" s="267" t="str">
        <f>_xlfn.XLOOKUP(N115,costcategory[Account Code],costcategory[Cost Category],"ERROR")</f>
        <v>Employee Benefits</v>
      </c>
      <c r="P115" s="135" t="s">
        <v>347</v>
      </c>
      <c r="Q115" s="267" t="str">
        <f>_xlfn.XLOOKUP(P115,Table2[Department],Table2[Group],"ERROR")</f>
        <v>Research &amp; Development</v>
      </c>
    </row>
    <row r="116" spans="1:21" x14ac:dyDescent="0.2">
      <c r="A116" s="2" t="s">
        <v>15</v>
      </c>
      <c r="B116" s="2" t="s">
        <v>3</v>
      </c>
      <c r="C116" s="164">
        <v>46127</v>
      </c>
      <c r="D116" s="164">
        <v>46127</v>
      </c>
      <c r="E116" s="164">
        <v>46127</v>
      </c>
      <c r="F116" s="2" t="s">
        <v>79</v>
      </c>
      <c r="G116" s="197">
        <v>657.15</v>
      </c>
      <c r="H116" s="197">
        <v>0</v>
      </c>
      <c r="I116" s="197">
        <v>657.15</v>
      </c>
      <c r="J116" s="213">
        <f t="shared" si="4"/>
        <v>95.810498550000005</v>
      </c>
      <c r="K116" s="4" t="s">
        <v>341</v>
      </c>
      <c r="L116" s="4" t="s">
        <v>415</v>
      </c>
      <c r="M116" s="4" t="s">
        <v>358</v>
      </c>
      <c r="N116" s="135" t="s">
        <v>60</v>
      </c>
      <c r="O116" s="267" t="str">
        <f>_xlfn.XLOOKUP(N116,costcategory[Account Code],costcategory[Cost Category],"ERROR")</f>
        <v>Subscription Fee</v>
      </c>
      <c r="P116" s="135" t="s">
        <v>333</v>
      </c>
      <c r="Q116" s="267" t="str">
        <f>_xlfn.XLOOKUP(P116,Table2[Department],Table2[Group],"ERROR")</f>
        <v>General &amp; Administrative</v>
      </c>
    </row>
    <row r="117" spans="1:21" x14ac:dyDescent="0.2">
      <c r="A117" s="2" t="s">
        <v>15</v>
      </c>
      <c r="B117" s="2" t="s">
        <v>3</v>
      </c>
      <c r="C117" s="164">
        <v>46127</v>
      </c>
      <c r="D117" s="164">
        <v>46127</v>
      </c>
      <c r="E117" s="164">
        <v>46127</v>
      </c>
      <c r="F117" s="2" t="s">
        <v>79</v>
      </c>
      <c r="G117" s="197">
        <v>45.61</v>
      </c>
      <c r="H117" s="197">
        <v>0</v>
      </c>
      <c r="I117" s="197">
        <v>45.61</v>
      </c>
      <c r="J117" s="213">
        <f t="shared" si="4"/>
        <v>6.6498011699999999</v>
      </c>
      <c r="K117" s="4" t="s">
        <v>341</v>
      </c>
      <c r="L117" s="4" t="s">
        <v>415</v>
      </c>
      <c r="M117" s="4" t="s">
        <v>361</v>
      </c>
      <c r="N117" s="135" t="s">
        <v>356</v>
      </c>
      <c r="O117" s="267" t="str">
        <f>_xlfn.XLOOKUP(N117,costcategory[Account Code],costcategory[Cost Category],"ERROR")</f>
        <v>Travelling Expenses</v>
      </c>
      <c r="P117" s="135" t="s">
        <v>347</v>
      </c>
      <c r="Q117" s="267" t="str">
        <f>_xlfn.XLOOKUP(P117,Table2[Department],Table2[Group],"ERROR")</f>
        <v>Research &amp; Development</v>
      </c>
    </row>
    <row r="118" spans="1:21" x14ac:dyDescent="0.2">
      <c r="A118" s="2" t="s">
        <v>15</v>
      </c>
      <c r="B118" s="2" t="s">
        <v>3</v>
      </c>
      <c r="C118" s="164">
        <v>46127</v>
      </c>
      <c r="D118" s="164">
        <v>46127</v>
      </c>
      <c r="E118" s="164">
        <v>46127</v>
      </c>
      <c r="F118" s="2" t="s">
        <v>79</v>
      </c>
      <c r="G118" s="197">
        <v>2221</v>
      </c>
      <c r="H118" s="197">
        <v>0</v>
      </c>
      <c r="I118" s="197">
        <v>2221</v>
      </c>
      <c r="J118" s="213">
        <f t="shared" si="4"/>
        <v>323.81513700000005</v>
      </c>
      <c r="K118" s="4" t="s">
        <v>341</v>
      </c>
      <c r="L118" s="4" t="s">
        <v>415</v>
      </c>
      <c r="M118" s="4" t="s">
        <v>361</v>
      </c>
      <c r="N118" s="135" t="s">
        <v>356</v>
      </c>
      <c r="O118" s="267" t="str">
        <f>_xlfn.XLOOKUP(N118,costcategory[Account Code],costcategory[Cost Category],"ERROR")</f>
        <v>Travelling Expenses</v>
      </c>
      <c r="P118" s="135" t="s">
        <v>347</v>
      </c>
      <c r="Q118" s="267" t="str">
        <f>_xlfn.XLOOKUP(P118,Table2[Department],Table2[Group],"ERROR")</f>
        <v>Research &amp; Development</v>
      </c>
    </row>
    <row r="119" spans="1:21" x14ac:dyDescent="0.2">
      <c r="A119" s="2" t="s">
        <v>15</v>
      </c>
      <c r="B119" s="2" t="s">
        <v>3</v>
      </c>
      <c r="C119" s="164">
        <v>46128</v>
      </c>
      <c r="D119" s="164">
        <v>46128</v>
      </c>
      <c r="E119" s="164">
        <v>46128</v>
      </c>
      <c r="F119" s="2" t="s">
        <v>79</v>
      </c>
      <c r="G119" s="197">
        <v>11270</v>
      </c>
      <c r="H119" s="197">
        <v>0</v>
      </c>
      <c r="I119" s="197">
        <v>11270</v>
      </c>
      <c r="J119" s="213">
        <f t="shared" si="4"/>
        <v>1643.13219</v>
      </c>
      <c r="K119" s="4" t="s">
        <v>1408</v>
      </c>
      <c r="M119" s="4" t="s">
        <v>1442</v>
      </c>
      <c r="N119" s="135" t="s">
        <v>364</v>
      </c>
      <c r="O119" s="267" t="str">
        <f>_xlfn.XLOOKUP(N119,costcategory[Account Code],costcategory[Cost Category],"ERROR")</f>
        <v>Headcount Costs</v>
      </c>
      <c r="P119" s="135" t="s">
        <v>350</v>
      </c>
      <c r="Q119" s="267" t="str">
        <f>_xlfn.XLOOKUP(P119,Table2[Department],Table2[Group],"ERROR")</f>
        <v>General &amp; Administrative</v>
      </c>
    </row>
    <row r="120" spans="1:21" x14ac:dyDescent="0.2">
      <c r="A120" s="2" t="s">
        <v>15</v>
      </c>
      <c r="B120" s="2" t="s">
        <v>3</v>
      </c>
      <c r="C120" s="164">
        <v>46128</v>
      </c>
      <c r="D120" s="164">
        <v>46128</v>
      </c>
      <c r="E120" s="164">
        <v>46128</v>
      </c>
      <c r="F120" s="2" t="s">
        <v>79</v>
      </c>
      <c r="G120" s="197">
        <v>29302</v>
      </c>
      <c r="H120" s="197">
        <v>0</v>
      </c>
      <c r="I120" s="197">
        <v>29302</v>
      </c>
      <c r="J120" s="213">
        <f t="shared" si="4"/>
        <v>4272.1436940000003</v>
      </c>
      <c r="K120" s="4" t="s">
        <v>1406</v>
      </c>
      <c r="M120" s="4" t="s">
        <v>1443</v>
      </c>
      <c r="N120" s="135" t="s">
        <v>499</v>
      </c>
      <c r="O120" s="267" t="str">
        <f>_xlfn.XLOOKUP(N120,costcategory[Account Code],costcategory[Cost Category],"ERROR")</f>
        <v>Tax Expenses (GST/SST/VAT)</v>
      </c>
      <c r="P120" s="135" t="s">
        <v>340</v>
      </c>
      <c r="Q120" s="267" t="str">
        <f>_xlfn.XLOOKUP(P120,Table2[Department],Table2[Group],"ERROR")</f>
        <v>General &amp; Administrative</v>
      </c>
    </row>
    <row r="121" spans="1:21" x14ac:dyDescent="0.2">
      <c r="A121" s="2" t="s">
        <v>15</v>
      </c>
      <c r="B121" s="2" t="s">
        <v>3</v>
      </c>
      <c r="C121" s="164">
        <v>46128</v>
      </c>
      <c r="D121" s="164">
        <v>46128</v>
      </c>
      <c r="E121" s="164">
        <v>46128</v>
      </c>
      <c r="F121" s="2" t="s">
        <v>79</v>
      </c>
      <c r="G121" s="197">
        <v>9469.7000000000007</v>
      </c>
      <c r="H121" s="197">
        <v>0</v>
      </c>
      <c r="I121" s="197">
        <v>9469.7000000000007</v>
      </c>
      <c r="J121" s="213">
        <f t="shared" si="4"/>
        <v>1380.6538509000002</v>
      </c>
      <c r="K121" s="4" t="s">
        <v>1406</v>
      </c>
      <c r="M121" s="4" t="s">
        <v>1444</v>
      </c>
      <c r="N121" s="135" t="s">
        <v>387</v>
      </c>
      <c r="O121" s="267" t="str">
        <f>_xlfn.XLOOKUP(N121,costcategory[Account Code],costcategory[Cost Category],"ERROR")</f>
        <v>Headcount Costs</v>
      </c>
      <c r="P121" s="135" t="s">
        <v>350</v>
      </c>
      <c r="Q121" s="267" t="str">
        <f>_xlfn.XLOOKUP(P121,Table2[Department],Table2[Group],"ERROR")</f>
        <v>General &amp; Administrative</v>
      </c>
    </row>
    <row r="122" spans="1:21" x14ac:dyDescent="0.2">
      <c r="A122" s="2" t="s">
        <v>15</v>
      </c>
      <c r="B122" s="2" t="s">
        <v>3</v>
      </c>
      <c r="C122" s="164">
        <v>46136</v>
      </c>
      <c r="D122" s="164">
        <v>46136</v>
      </c>
      <c r="E122" s="164">
        <v>46136</v>
      </c>
      <c r="F122" s="2" t="s">
        <v>79</v>
      </c>
      <c r="G122" s="197">
        <v>-92866.78</v>
      </c>
      <c r="H122" s="197">
        <v>0</v>
      </c>
      <c r="I122" s="197">
        <v>-92866.78</v>
      </c>
      <c r="J122" s="213">
        <f t="shared" si="4"/>
        <v>-13539.69792366</v>
      </c>
      <c r="K122" s="4" t="s">
        <v>312</v>
      </c>
      <c r="M122" s="4" t="s">
        <v>417</v>
      </c>
      <c r="N122" s="135" t="s">
        <v>418</v>
      </c>
      <c r="O122" s="267" t="str">
        <f>_xlfn.XLOOKUP(N122,costcategory[Account Code],costcategory[Cost Category],"ERROR")</f>
        <v>Internal Fund Transfer</v>
      </c>
      <c r="P122" s="135" t="s">
        <v>66</v>
      </c>
      <c r="Q122" s="267" t="str">
        <f>_xlfn.XLOOKUP(P122,Table2[Department],Table2[Group],"ERROR")</f>
        <v>Others</v>
      </c>
    </row>
    <row r="123" spans="1:21" ht="12.95" customHeight="1" x14ac:dyDescent="0.2">
      <c r="A123" s="2" t="s">
        <v>15</v>
      </c>
      <c r="B123" s="2" t="s">
        <v>3</v>
      </c>
      <c r="C123" s="164">
        <v>46142</v>
      </c>
      <c r="D123" s="164">
        <v>46142</v>
      </c>
      <c r="E123" s="164">
        <v>46142</v>
      </c>
      <c r="F123" s="2" t="s">
        <v>79</v>
      </c>
      <c r="G123" s="199">
        <v>86181.6</v>
      </c>
      <c r="H123" s="199">
        <v>0</v>
      </c>
      <c r="I123" s="199">
        <v>86181.6</v>
      </c>
      <c r="J123" s="199">
        <f t="shared" si="4"/>
        <v>12565.018735200001</v>
      </c>
      <c r="K123" s="16" t="s">
        <v>1085</v>
      </c>
      <c r="L123" s="22" t="s">
        <v>1445</v>
      </c>
      <c r="M123" s="22" t="s">
        <v>1404</v>
      </c>
      <c r="N123" s="21" t="s">
        <v>387</v>
      </c>
      <c r="O123" s="267" t="str">
        <f>_xlfn.XLOOKUP(N123,costcategory[Account Code],costcategory[Cost Category],"ERROR")</f>
        <v>Headcount Costs</v>
      </c>
      <c r="P123" s="21" t="s">
        <v>350</v>
      </c>
      <c r="Q123" s="267" t="str">
        <f>_xlfn.XLOOKUP(P123,Table2[Department],Table2[Group],"ERROR")</f>
        <v>General &amp; Administrative</v>
      </c>
      <c r="R123" s="18"/>
      <c r="S123" s="18"/>
      <c r="T123" s="2"/>
      <c r="U123" s="2" t="s">
        <v>1265</v>
      </c>
    </row>
    <row r="124" spans="1:21" ht="12.95" customHeight="1" x14ac:dyDescent="0.2">
      <c r="A124" s="2" t="s">
        <v>15</v>
      </c>
      <c r="B124" s="2" t="s">
        <v>3</v>
      </c>
      <c r="C124" s="164">
        <v>46140</v>
      </c>
      <c r="D124" s="164">
        <v>46142</v>
      </c>
      <c r="E124" s="164">
        <v>46142</v>
      </c>
      <c r="F124" s="2" t="s">
        <v>79</v>
      </c>
      <c r="G124" s="213">
        <v>4000</v>
      </c>
      <c r="H124" s="199">
        <v>0</v>
      </c>
      <c r="I124" s="199">
        <v>4000</v>
      </c>
      <c r="J124" s="213">
        <f t="shared" si="4"/>
        <v>583.18799999999999</v>
      </c>
      <c r="K124" s="16" t="s">
        <v>1446</v>
      </c>
      <c r="L124" s="22" t="s">
        <v>1447</v>
      </c>
      <c r="M124" s="22" t="s">
        <v>1448</v>
      </c>
      <c r="N124" s="21" t="s">
        <v>367</v>
      </c>
      <c r="O124" s="267" t="str">
        <f>_xlfn.XLOOKUP(N124,costcategory[Account Code],costcategory[Cost Category],"ERROR")</f>
        <v>Professional &amp; Consultancy Fees</v>
      </c>
      <c r="P124" s="21" t="s">
        <v>340</v>
      </c>
      <c r="Q124" s="267" t="str">
        <f>_xlfn.XLOOKUP(P124,Table2[Department],Table2[Group],"ERROR")</f>
        <v>General &amp; Administrative</v>
      </c>
      <c r="R124" s="19"/>
      <c r="S124" s="19"/>
      <c r="T124" s="2"/>
      <c r="U124" s="2" t="s">
        <v>419</v>
      </c>
    </row>
    <row r="125" spans="1:21" ht="12.95" customHeight="1" x14ac:dyDescent="0.2">
      <c r="F125" s="2" t="s">
        <v>79</v>
      </c>
      <c r="G125" s="213"/>
      <c r="H125" s="199"/>
      <c r="I125" s="199">
        <f>SUM(I105:I124)</f>
        <v>71126.310000000012</v>
      </c>
      <c r="J125" s="213"/>
      <c r="K125" s="16"/>
      <c r="L125" s="22"/>
      <c r="M125" s="22"/>
      <c r="N125" s="21"/>
      <c r="O125" s="21"/>
      <c r="P125" s="21"/>
      <c r="Q125" s="21"/>
      <c r="R125" s="21"/>
      <c r="S125" s="21"/>
      <c r="T125" s="21"/>
      <c r="U125" s="31"/>
    </row>
    <row r="126" spans="1:21" ht="12.95" customHeight="1" x14ac:dyDescent="0.2">
      <c r="A126" s="329" t="s">
        <v>1173</v>
      </c>
      <c r="B126" s="329"/>
      <c r="C126" s="329"/>
      <c r="D126" s="329"/>
      <c r="E126" s="196">
        <v>46142</v>
      </c>
      <c r="F126" s="13" t="s">
        <v>79</v>
      </c>
      <c r="G126" s="202"/>
      <c r="H126" s="207"/>
      <c r="I126" s="239">
        <f>I104-I125</f>
        <v>44486.279999999897</v>
      </c>
      <c r="J126" s="207"/>
      <c r="K126" s="17"/>
      <c r="L126" s="25"/>
      <c r="M126" s="25"/>
      <c r="N126" s="154"/>
      <c r="O126" s="154"/>
      <c r="P126" s="154"/>
      <c r="Q126" s="154"/>
      <c r="R126" s="154"/>
      <c r="S126" s="154"/>
      <c r="T126" s="154"/>
      <c r="U126" s="32"/>
    </row>
    <row r="128" spans="1:21" x14ac:dyDescent="0.2">
      <c r="J128" s="257">
        <f>FOREX!K5</f>
        <v>0.146433322983721</v>
      </c>
    </row>
    <row r="129" spans="1:22" s="183" customFormat="1" ht="12.95" customHeight="1" x14ac:dyDescent="0.2">
      <c r="A129" s="7" t="s">
        <v>87</v>
      </c>
      <c r="B129" s="7" t="s">
        <v>43</v>
      </c>
      <c r="C129" s="177" t="s">
        <v>54</v>
      </c>
      <c r="D129" s="177" t="s">
        <v>88</v>
      </c>
      <c r="E129" s="185" t="s">
        <v>1083</v>
      </c>
      <c r="F129" s="7" t="s">
        <v>70</v>
      </c>
      <c r="G129" s="236" t="s">
        <v>90</v>
      </c>
      <c r="H129" s="236" t="s">
        <v>91</v>
      </c>
      <c r="I129" s="236" t="s">
        <v>92</v>
      </c>
      <c r="J129" s="236" t="s">
        <v>72</v>
      </c>
      <c r="K129" s="9" t="s">
        <v>325</v>
      </c>
      <c r="L129" s="27" t="s">
        <v>94</v>
      </c>
      <c r="M129" s="23" t="s">
        <v>95</v>
      </c>
      <c r="N129" s="23" t="s">
        <v>1315</v>
      </c>
      <c r="O129" s="7" t="s">
        <v>64</v>
      </c>
      <c r="P129" s="23" t="s">
        <v>67</v>
      </c>
      <c r="Q129" s="23" t="s">
        <v>44</v>
      </c>
      <c r="R129" s="7" t="s">
        <v>326</v>
      </c>
      <c r="S129" s="7" t="s">
        <v>327</v>
      </c>
      <c r="T129" s="7" t="s">
        <v>328</v>
      </c>
      <c r="U129" s="7" t="s">
        <v>98</v>
      </c>
      <c r="V129" s="7" t="s">
        <v>1316</v>
      </c>
    </row>
    <row r="130" spans="1:22" ht="12.95" customHeight="1" x14ac:dyDescent="0.2">
      <c r="A130" s="329" t="s">
        <v>1173</v>
      </c>
      <c r="B130" s="329"/>
      <c r="C130" s="329"/>
      <c r="D130" s="329"/>
      <c r="E130" s="196">
        <v>46143</v>
      </c>
      <c r="F130" s="13" t="s">
        <v>79</v>
      </c>
      <c r="G130" s="202"/>
      <c r="H130" s="207"/>
      <c r="I130" s="239">
        <v>44486.28</v>
      </c>
      <c r="J130" s="207">
        <f>I130*J106</f>
        <v>162149.154129</v>
      </c>
      <c r="K130" s="17"/>
      <c r="L130" s="25"/>
      <c r="M130" s="25"/>
      <c r="N130" s="154"/>
      <c r="O130" s="155"/>
      <c r="P130" s="154"/>
      <c r="Q130" s="155"/>
      <c r="R130" s="20"/>
      <c r="S130" s="17"/>
      <c r="T130" s="20"/>
      <c r="U130" s="20"/>
    </row>
    <row r="131" spans="1:22" ht="12.95" customHeight="1" x14ac:dyDescent="0.2">
      <c r="A131" s="2" t="s">
        <v>15</v>
      </c>
      <c r="B131" s="2" t="s">
        <v>3</v>
      </c>
      <c r="C131" s="164">
        <v>46144</v>
      </c>
      <c r="D131" s="164">
        <v>46144</v>
      </c>
      <c r="E131" s="164">
        <v>46144</v>
      </c>
      <c r="F131" s="2" t="s">
        <v>79</v>
      </c>
      <c r="G131" s="199">
        <v>4.38</v>
      </c>
      <c r="H131" s="199">
        <v>0</v>
      </c>
      <c r="I131" s="199">
        <f t="shared" ref="I131:I134" si="5">SUM(G131:H131)</f>
        <v>4.38</v>
      </c>
      <c r="J131" s="199">
        <f t="shared" ref="J131:J148" si="6">I131*$J$128</f>
        <v>0.64137795466869796</v>
      </c>
      <c r="K131" s="106" t="s">
        <v>330</v>
      </c>
      <c r="M131" s="4" t="s">
        <v>334</v>
      </c>
      <c r="N131" s="135" t="s">
        <v>332</v>
      </c>
      <c r="O131" s="267" t="str">
        <f>_xlfn.XLOOKUP(N131,costcategory[Account Code],costcategory[Cost Category],"ERROR")</f>
        <v>Bank Charges</v>
      </c>
      <c r="P131" s="135" t="s">
        <v>333</v>
      </c>
      <c r="Q131" s="267" t="str">
        <f>_xlfn.XLOOKUP(P131,Table2[Department],Table2[Group],"ERROR")</f>
        <v>General &amp; Administrative</v>
      </c>
      <c r="R131" s="18"/>
      <c r="S131" s="18"/>
      <c r="T131" s="2"/>
      <c r="U131" s="2" t="s">
        <v>421</v>
      </c>
    </row>
    <row r="132" spans="1:22" ht="12.95" customHeight="1" x14ac:dyDescent="0.2">
      <c r="A132" s="2" t="s">
        <v>15</v>
      </c>
      <c r="B132" s="2" t="s">
        <v>3</v>
      </c>
      <c r="C132" s="164">
        <v>46144</v>
      </c>
      <c r="D132" s="164">
        <v>46144</v>
      </c>
      <c r="E132" s="164">
        <v>46144</v>
      </c>
      <c r="F132" s="2" t="s">
        <v>79</v>
      </c>
      <c r="G132" s="213">
        <v>3.55</v>
      </c>
      <c r="H132" s="199">
        <v>0</v>
      </c>
      <c r="I132" s="199">
        <f t="shared" si="5"/>
        <v>3.55</v>
      </c>
      <c r="J132" s="199">
        <f t="shared" si="6"/>
        <v>0.51983829659220948</v>
      </c>
      <c r="K132" s="106" t="s">
        <v>330</v>
      </c>
      <c r="M132" s="4" t="s">
        <v>335</v>
      </c>
      <c r="N132" s="135" t="s">
        <v>332</v>
      </c>
      <c r="O132" s="267" t="str">
        <f>_xlfn.XLOOKUP(N132,costcategory[Account Code],costcategory[Cost Category],"ERROR")</f>
        <v>Bank Charges</v>
      </c>
      <c r="P132" s="135" t="s">
        <v>333</v>
      </c>
      <c r="Q132" s="267" t="str">
        <f>_xlfn.XLOOKUP(P132,Table2[Department],Table2[Group],"ERROR")</f>
        <v>General &amp; Administrative</v>
      </c>
      <c r="R132" s="18"/>
      <c r="S132" s="18"/>
      <c r="T132" s="2"/>
      <c r="U132" s="2" t="s">
        <v>422</v>
      </c>
    </row>
    <row r="133" spans="1:22" ht="12.95" customHeight="1" x14ac:dyDescent="0.2">
      <c r="A133" s="2" t="s">
        <v>15</v>
      </c>
      <c r="B133" s="2" t="s">
        <v>3</v>
      </c>
      <c r="C133" s="164">
        <v>46144</v>
      </c>
      <c r="D133" s="164">
        <v>46144</v>
      </c>
      <c r="E133" s="164">
        <v>46144</v>
      </c>
      <c r="F133" s="2" t="s">
        <v>79</v>
      </c>
      <c r="G133" s="213">
        <v>25</v>
      </c>
      <c r="H133" s="199">
        <v>0</v>
      </c>
      <c r="I133" s="199">
        <f t="shared" si="5"/>
        <v>25</v>
      </c>
      <c r="J133" s="199">
        <f t="shared" si="6"/>
        <v>3.6608330745930249</v>
      </c>
      <c r="K133" s="106" t="s">
        <v>330</v>
      </c>
      <c r="M133" s="4" t="s">
        <v>331</v>
      </c>
      <c r="N133" s="135" t="s">
        <v>332</v>
      </c>
      <c r="O133" s="267" t="str">
        <f>_xlfn.XLOOKUP(N133,costcategory[Account Code],costcategory[Cost Category],"ERROR")</f>
        <v>Bank Charges</v>
      </c>
      <c r="P133" s="135" t="s">
        <v>333</v>
      </c>
      <c r="Q133" s="267" t="str">
        <f>_xlfn.XLOOKUP(P133,Table2[Department],Table2[Group],"ERROR")</f>
        <v>General &amp; Administrative</v>
      </c>
      <c r="R133" s="19"/>
      <c r="S133" s="19"/>
      <c r="T133" s="2"/>
      <c r="U133" s="2" t="s">
        <v>423</v>
      </c>
    </row>
    <row r="134" spans="1:22" ht="12.95" customHeight="1" x14ac:dyDescent="0.2">
      <c r="A134" s="2" t="s">
        <v>15</v>
      </c>
      <c r="B134" s="2" t="s">
        <v>3</v>
      </c>
      <c r="C134" s="164">
        <v>46148</v>
      </c>
      <c r="D134" s="164">
        <v>46148</v>
      </c>
      <c r="E134" s="164">
        <v>46148</v>
      </c>
      <c r="F134" s="2" t="s">
        <v>79</v>
      </c>
      <c r="G134" s="213">
        <v>6685.18</v>
      </c>
      <c r="H134" s="199">
        <v>0</v>
      </c>
      <c r="I134" s="199">
        <f t="shared" si="5"/>
        <v>6685.18</v>
      </c>
      <c r="J134" s="199">
        <f t="shared" si="6"/>
        <v>978.93312214431194</v>
      </c>
      <c r="K134" s="106" t="s">
        <v>1406</v>
      </c>
      <c r="M134" s="4" t="s">
        <v>1449</v>
      </c>
      <c r="N134" s="143" t="s">
        <v>447</v>
      </c>
      <c r="O134" s="267" t="str">
        <f>_xlfn.XLOOKUP(N134,costcategory[Account Code],costcategory[Cost Category],"ERROR")</f>
        <v>Accrual</v>
      </c>
      <c r="P134" s="135" t="s">
        <v>350</v>
      </c>
      <c r="Q134" s="267" t="str">
        <f>_xlfn.XLOOKUP(P134,Table2[Department],Table2[Group],"ERROR")</f>
        <v>General &amp; Administrative</v>
      </c>
      <c r="R134" s="19"/>
      <c r="S134" s="19"/>
      <c r="T134" s="2"/>
      <c r="U134" s="2" t="s">
        <v>1268</v>
      </c>
    </row>
    <row r="135" spans="1:22" ht="12.75" customHeight="1" x14ac:dyDescent="0.2">
      <c r="A135" s="2" t="s">
        <v>15</v>
      </c>
      <c r="B135" s="2" t="s">
        <v>3</v>
      </c>
      <c r="C135" s="164">
        <v>46150</v>
      </c>
      <c r="D135" s="164">
        <v>46150</v>
      </c>
      <c r="E135" s="164">
        <v>46150</v>
      </c>
      <c r="F135" s="2" t="s">
        <v>79</v>
      </c>
      <c r="G135" s="199">
        <v>-46851.89</v>
      </c>
      <c r="H135" s="199">
        <v>0</v>
      </c>
      <c r="I135" s="199">
        <f>SUM(G135:H135)</f>
        <v>-46851.89</v>
      </c>
      <c r="J135" s="199">
        <f t="shared" si="6"/>
        <v>-6860.6779407677677</v>
      </c>
      <c r="K135" s="106" t="s">
        <v>312</v>
      </c>
      <c r="M135" s="4" t="s">
        <v>417</v>
      </c>
      <c r="N135" s="135" t="s">
        <v>418</v>
      </c>
      <c r="O135" s="267" t="str">
        <f>_xlfn.XLOOKUP(N135,costcategory[Account Code],costcategory[Cost Category],"ERROR")</f>
        <v>Internal Fund Transfer</v>
      </c>
      <c r="P135" s="135" t="s">
        <v>333</v>
      </c>
      <c r="Q135" s="267" t="str">
        <f>_xlfn.XLOOKUP(P135,Table2[Department],Table2[Group],"ERROR")</f>
        <v>General &amp; Administrative</v>
      </c>
      <c r="R135" s="18"/>
      <c r="S135" s="18"/>
      <c r="T135" s="2"/>
      <c r="U135" s="2" t="s">
        <v>424</v>
      </c>
    </row>
    <row r="136" spans="1:22" ht="12.75" customHeight="1" x14ac:dyDescent="0.2">
      <c r="A136" s="2" t="s">
        <v>15</v>
      </c>
      <c r="B136" s="2" t="s">
        <v>3</v>
      </c>
      <c r="C136" s="164">
        <v>46150</v>
      </c>
      <c r="D136" s="164">
        <v>46150</v>
      </c>
      <c r="E136" s="164">
        <v>46150</v>
      </c>
      <c r="F136" s="2" t="s">
        <v>79</v>
      </c>
      <c r="G136" s="199">
        <v>-32.68</v>
      </c>
      <c r="H136" s="199">
        <v>0</v>
      </c>
      <c r="I136" s="199">
        <f>SUM(G136:H136)</f>
        <v>-32.68</v>
      </c>
      <c r="J136" s="199">
        <f t="shared" si="6"/>
        <v>-4.7854409951080026</v>
      </c>
      <c r="K136" s="106" t="s">
        <v>312</v>
      </c>
      <c r="M136" s="4" t="s">
        <v>417</v>
      </c>
      <c r="N136" s="135" t="s">
        <v>418</v>
      </c>
      <c r="O136" s="267" t="str">
        <f>_xlfn.XLOOKUP(N136,costcategory[Account Code],costcategory[Cost Category],"ERROR")</f>
        <v>Internal Fund Transfer</v>
      </c>
      <c r="P136" s="135" t="s">
        <v>333</v>
      </c>
      <c r="Q136" s="267" t="str">
        <f>_xlfn.XLOOKUP(P136,Table2[Department],Table2[Group],"ERROR")</f>
        <v>General &amp; Administrative</v>
      </c>
      <c r="R136" s="18"/>
      <c r="S136" s="18"/>
      <c r="T136" s="2"/>
      <c r="U136" s="2" t="s">
        <v>425</v>
      </c>
    </row>
    <row r="137" spans="1:22" x14ac:dyDescent="0.2">
      <c r="A137" s="2" t="s">
        <v>15</v>
      </c>
      <c r="B137" s="2" t="s">
        <v>3</v>
      </c>
      <c r="C137" s="164">
        <v>46143</v>
      </c>
      <c r="D137" s="164">
        <v>46157</v>
      </c>
      <c r="E137" s="164">
        <v>46157</v>
      </c>
      <c r="F137" s="2" t="s">
        <v>79</v>
      </c>
      <c r="G137" s="213">
        <v>1067.2</v>
      </c>
      <c r="H137" s="199">
        <v>0</v>
      </c>
      <c r="I137" s="199">
        <f t="shared" ref="I137:I141" si="7">SUM(G137:H137)</f>
        <v>1067.2</v>
      </c>
      <c r="J137" s="199">
        <f t="shared" si="6"/>
        <v>156.27364228822705</v>
      </c>
      <c r="K137" s="4" t="s">
        <v>362</v>
      </c>
      <c r="M137" s="4" t="s">
        <v>426</v>
      </c>
      <c r="N137" s="135" t="s">
        <v>367</v>
      </c>
      <c r="O137" s="267" t="str">
        <f>_xlfn.XLOOKUP(N137,costcategory[Account Code],costcategory[Cost Category],"ERROR")</f>
        <v>Professional &amp; Consultancy Fees</v>
      </c>
      <c r="P137" s="135" t="s">
        <v>333</v>
      </c>
      <c r="Q137" s="267" t="str">
        <f>_xlfn.XLOOKUP(P137,Table2[Department],Table2[Group],"ERROR")</f>
        <v>General &amp; Administrative</v>
      </c>
    </row>
    <row r="138" spans="1:22" x14ac:dyDescent="0.2">
      <c r="A138" s="2" t="s">
        <v>15</v>
      </c>
      <c r="B138" s="2" t="s">
        <v>3</v>
      </c>
      <c r="C138" s="164">
        <v>46147</v>
      </c>
      <c r="D138" s="164">
        <v>46157</v>
      </c>
      <c r="E138" s="164">
        <v>46157</v>
      </c>
      <c r="F138" s="2" t="s">
        <v>79</v>
      </c>
      <c r="G138" s="213">
        <v>11118.37</v>
      </c>
      <c r="H138" s="199">
        <v>0</v>
      </c>
      <c r="I138" s="255">
        <f t="shared" si="7"/>
        <v>11118.37</v>
      </c>
      <c r="J138" s="199">
        <f t="shared" si="6"/>
        <v>1628.0998652625142</v>
      </c>
      <c r="K138" s="4" t="s">
        <v>365</v>
      </c>
      <c r="M138" s="4" t="s">
        <v>1405</v>
      </c>
      <c r="N138" s="135" t="s">
        <v>387</v>
      </c>
      <c r="O138" s="267" t="str">
        <f>_xlfn.XLOOKUP(N138,costcategory[Account Code],costcategory[Cost Category],"ERROR")</f>
        <v>Headcount Costs</v>
      </c>
      <c r="P138" s="135" t="s">
        <v>350</v>
      </c>
      <c r="Q138" s="267" t="str">
        <f>_xlfn.XLOOKUP(P138,Table2[Department],Table2[Group],"ERROR")</f>
        <v>General &amp; Administrative</v>
      </c>
    </row>
    <row r="139" spans="1:22" x14ac:dyDescent="0.2">
      <c r="A139" s="2" t="s">
        <v>15</v>
      </c>
      <c r="B139" s="2" t="s">
        <v>3</v>
      </c>
      <c r="C139" s="164">
        <v>46147</v>
      </c>
      <c r="D139" s="164">
        <v>46157</v>
      </c>
      <c r="E139" s="164">
        <v>46157</v>
      </c>
      <c r="F139" s="2" t="s">
        <v>79</v>
      </c>
      <c r="G139" s="213">
        <f>11758.69-G138</f>
        <v>640.31999999999971</v>
      </c>
      <c r="H139" s="213">
        <v>0</v>
      </c>
      <c r="I139" s="256">
        <f>SUM(G139:H139)</f>
        <v>640.31999999999971</v>
      </c>
      <c r="J139" s="199">
        <f t="shared" si="6"/>
        <v>93.764185372936183</v>
      </c>
      <c r="K139" s="4" t="s">
        <v>365</v>
      </c>
      <c r="M139" s="4" t="s">
        <v>427</v>
      </c>
      <c r="N139" s="135" t="s">
        <v>367</v>
      </c>
      <c r="O139" s="267" t="str">
        <f>_xlfn.XLOOKUP(N139,costcategory[Account Code],costcategory[Cost Category],"ERROR")</f>
        <v>Professional &amp; Consultancy Fees</v>
      </c>
      <c r="P139" s="135" t="s">
        <v>350</v>
      </c>
      <c r="Q139" s="267" t="str">
        <f>_xlfn.XLOOKUP(P139,Table2[Department],Table2[Group],"ERROR")</f>
        <v>General &amp; Administrative</v>
      </c>
    </row>
    <row r="140" spans="1:22" x14ac:dyDescent="0.2">
      <c r="A140" s="2" t="s">
        <v>15</v>
      </c>
      <c r="B140" s="2" t="s">
        <v>3</v>
      </c>
      <c r="C140" s="164">
        <v>46143</v>
      </c>
      <c r="D140" s="164">
        <v>46157</v>
      </c>
      <c r="E140" s="164">
        <v>46157</v>
      </c>
      <c r="F140" s="2" t="s">
        <v>79</v>
      </c>
      <c r="G140" s="213">
        <v>438.75</v>
      </c>
      <c r="H140" s="199">
        <v>0</v>
      </c>
      <c r="I140" s="199">
        <f t="shared" si="7"/>
        <v>438.75</v>
      </c>
      <c r="J140" s="199">
        <f t="shared" si="6"/>
        <v>64.247620459107594</v>
      </c>
      <c r="K140" s="4" t="s">
        <v>368</v>
      </c>
      <c r="M140" s="4" t="s">
        <v>428</v>
      </c>
      <c r="N140" s="135" t="s">
        <v>370</v>
      </c>
      <c r="O140" s="267" t="str">
        <f>_xlfn.XLOOKUP(N140,costcategory[Account Code],costcategory[Cost Category],"ERROR")</f>
        <v>Utilities</v>
      </c>
      <c r="P140" s="135" t="s">
        <v>340</v>
      </c>
      <c r="Q140" s="267" t="str">
        <f>_xlfn.XLOOKUP(P140,Table2[Department],Table2[Group],"ERROR")</f>
        <v>General &amp; Administrative</v>
      </c>
    </row>
    <row r="141" spans="1:22" x14ac:dyDescent="0.2">
      <c r="A141" s="2" t="s">
        <v>15</v>
      </c>
      <c r="B141" s="2" t="s">
        <v>3</v>
      </c>
      <c r="C141" s="164">
        <v>46143</v>
      </c>
      <c r="D141" s="164">
        <v>46157</v>
      </c>
      <c r="E141" s="164">
        <v>46157</v>
      </c>
      <c r="F141" s="2" t="s">
        <v>79</v>
      </c>
      <c r="G141" s="213">
        <v>277</v>
      </c>
      <c r="H141" s="199">
        <v>0</v>
      </c>
      <c r="I141" s="199">
        <f t="shared" si="7"/>
        <v>277</v>
      </c>
      <c r="J141" s="199">
        <f t="shared" si="6"/>
        <v>40.562030466490718</v>
      </c>
      <c r="K141" s="4" t="s">
        <v>372</v>
      </c>
      <c r="M141" s="4" t="s">
        <v>429</v>
      </c>
      <c r="N141" s="135" t="s">
        <v>374</v>
      </c>
      <c r="O141" s="267" t="str">
        <f>_xlfn.XLOOKUP(N141,costcategory[Account Code],costcategory[Cost Category],"ERROR")</f>
        <v>Non-Current Liabilities</v>
      </c>
      <c r="P141" s="135" t="s">
        <v>376</v>
      </c>
      <c r="Q141" s="267" t="str">
        <f>_xlfn.XLOOKUP(P141,Table2[Department],Table2[Group],"ERROR")</f>
        <v>General &amp; Administrative</v>
      </c>
    </row>
    <row r="142" spans="1:22" x14ac:dyDescent="0.2">
      <c r="A142" s="2" t="s">
        <v>15</v>
      </c>
      <c r="B142" s="2" t="s">
        <v>3</v>
      </c>
      <c r="C142" s="164">
        <v>46161</v>
      </c>
      <c r="D142" s="164">
        <v>46161</v>
      </c>
      <c r="E142" s="164">
        <v>46161</v>
      </c>
      <c r="F142" s="2" t="s">
        <v>79</v>
      </c>
      <c r="G142" s="197">
        <v>50</v>
      </c>
      <c r="H142" s="199">
        <v>0</v>
      </c>
      <c r="I142" s="197">
        <v>50</v>
      </c>
      <c r="J142" s="199">
        <f t="shared" si="6"/>
        <v>7.3216661491860497</v>
      </c>
      <c r="K142" s="4" t="s">
        <v>430</v>
      </c>
      <c r="M142" s="4" t="s">
        <v>431</v>
      </c>
      <c r="N142" s="135" t="s">
        <v>332</v>
      </c>
      <c r="O142" s="267" t="str">
        <f>_xlfn.XLOOKUP(N142,costcategory[Account Code],costcategory[Cost Category],"ERROR")</f>
        <v>Bank Charges</v>
      </c>
      <c r="P142" s="135" t="s">
        <v>333</v>
      </c>
      <c r="Q142" s="267" t="str">
        <f>_xlfn.XLOOKUP(P142,Table2[Department],Table2[Group],"ERROR")</f>
        <v>General &amp; Administrative</v>
      </c>
      <c r="U142" s="2" t="s">
        <v>432</v>
      </c>
    </row>
    <row r="143" spans="1:22" x14ac:dyDescent="0.2">
      <c r="A143" s="2" t="s">
        <v>15</v>
      </c>
      <c r="B143" s="2" t="s">
        <v>3</v>
      </c>
      <c r="C143" s="164">
        <v>46163</v>
      </c>
      <c r="D143" s="164">
        <v>46163</v>
      </c>
      <c r="E143" s="164">
        <v>46163</v>
      </c>
      <c r="F143" s="2" t="s">
        <v>79</v>
      </c>
      <c r="G143" s="197">
        <v>11270</v>
      </c>
      <c r="H143" s="199">
        <v>0</v>
      </c>
      <c r="I143" s="197">
        <v>11270</v>
      </c>
      <c r="J143" s="199">
        <f t="shared" si="6"/>
        <v>1650.3035500265357</v>
      </c>
      <c r="K143" s="4" t="s">
        <v>1450</v>
      </c>
      <c r="L143" s="4" t="s">
        <v>1451</v>
      </c>
      <c r="M143" s="4" t="s">
        <v>1452</v>
      </c>
      <c r="N143" s="135" t="s">
        <v>387</v>
      </c>
      <c r="O143" s="267" t="str">
        <f>_xlfn.XLOOKUP(N143,costcategory[Account Code],costcategory[Cost Category],"ERROR")</f>
        <v>Headcount Costs</v>
      </c>
      <c r="P143" s="135" t="s">
        <v>350</v>
      </c>
      <c r="Q143" s="267" t="str">
        <f>_xlfn.XLOOKUP(P143,Table2[Department],Table2[Group],"ERROR")</f>
        <v>General &amp; Administrative</v>
      </c>
      <c r="U143" s="2" t="s">
        <v>1109</v>
      </c>
    </row>
    <row r="144" spans="1:22" x14ac:dyDescent="0.2">
      <c r="A144" s="2" t="s">
        <v>15</v>
      </c>
      <c r="B144" s="2" t="s">
        <v>3</v>
      </c>
      <c r="C144" s="164">
        <v>46163</v>
      </c>
      <c r="D144" s="164">
        <v>46163</v>
      </c>
      <c r="E144" s="164">
        <v>46163</v>
      </c>
      <c r="F144" s="2" t="s">
        <v>79</v>
      </c>
      <c r="G144" s="197">
        <v>29302</v>
      </c>
      <c r="H144" s="199">
        <v>0</v>
      </c>
      <c r="I144" s="197">
        <v>29302</v>
      </c>
      <c r="J144" s="199">
        <f t="shared" si="6"/>
        <v>4290.7892300689928</v>
      </c>
      <c r="K144" s="4" t="s">
        <v>1453</v>
      </c>
      <c r="M144" s="4" t="s">
        <v>1454</v>
      </c>
      <c r="N144" s="135" t="s">
        <v>364</v>
      </c>
      <c r="O144" s="267" t="str">
        <f>_xlfn.XLOOKUP(N144,costcategory[Account Code],costcategory[Cost Category],"ERROR")</f>
        <v>Headcount Costs</v>
      </c>
      <c r="P144" s="135" t="s">
        <v>340</v>
      </c>
      <c r="Q144" s="267" t="str">
        <f>_xlfn.XLOOKUP(P144,Table2[Department],Table2[Group],"ERROR")</f>
        <v>General &amp; Administrative</v>
      </c>
      <c r="U144" s="2" t="s">
        <v>1100</v>
      </c>
    </row>
    <row r="145" spans="1:22" x14ac:dyDescent="0.2">
      <c r="A145" s="2" t="s">
        <v>15</v>
      </c>
      <c r="B145" s="2" t="s">
        <v>3</v>
      </c>
      <c r="C145" s="164">
        <v>46164</v>
      </c>
      <c r="D145" s="164">
        <v>46164</v>
      </c>
      <c r="E145" s="164">
        <v>46164</v>
      </c>
      <c r="F145" s="2" t="s">
        <v>79</v>
      </c>
      <c r="G145" s="197">
        <v>50</v>
      </c>
      <c r="H145" s="199">
        <v>0</v>
      </c>
      <c r="I145" s="197">
        <v>50</v>
      </c>
      <c r="J145" s="199">
        <f t="shared" si="6"/>
        <v>7.3216661491860497</v>
      </c>
      <c r="K145" s="4" t="s">
        <v>433</v>
      </c>
      <c r="L145" s="4" t="s">
        <v>434</v>
      </c>
      <c r="M145" s="4" t="s">
        <v>431</v>
      </c>
      <c r="N145" s="135" t="s">
        <v>332</v>
      </c>
      <c r="O145" s="267" t="str">
        <f>_xlfn.XLOOKUP(N145,costcategory[Account Code],costcategory[Cost Category],"ERROR")</f>
        <v>Bank Charges</v>
      </c>
      <c r="P145" s="135" t="s">
        <v>333</v>
      </c>
      <c r="Q145" s="267" t="str">
        <f>_xlfn.XLOOKUP(P145,Table2[Department],Table2[Group],"ERROR")</f>
        <v>General &amp; Administrative</v>
      </c>
      <c r="U145" s="2" t="s">
        <v>435</v>
      </c>
    </row>
    <row r="146" spans="1:22" x14ac:dyDescent="0.2">
      <c r="A146" s="2" t="s">
        <v>15</v>
      </c>
      <c r="B146" s="2" t="s">
        <v>3</v>
      </c>
      <c r="C146" s="164">
        <v>46169</v>
      </c>
      <c r="D146" s="164">
        <v>46169</v>
      </c>
      <c r="E146" s="164">
        <v>46169</v>
      </c>
      <c r="F146" s="2" t="s">
        <v>79</v>
      </c>
      <c r="G146" s="197">
        <v>-9964</v>
      </c>
      <c r="H146" s="199">
        <v>0</v>
      </c>
      <c r="I146" s="197">
        <v>-9964</v>
      </c>
      <c r="J146" s="199">
        <f t="shared" si="6"/>
        <v>-1459.061630209796</v>
      </c>
      <c r="K146" s="4" t="s">
        <v>436</v>
      </c>
      <c r="L146" s="4" t="s">
        <v>437</v>
      </c>
      <c r="N146" s="135" t="s">
        <v>382</v>
      </c>
      <c r="O146" s="267" t="str">
        <f>_xlfn.XLOOKUP(N146,costcategory[Account Code],costcategory[Cost Category],"ERROR")</f>
        <v>Revenue</v>
      </c>
      <c r="P146" s="135" t="s">
        <v>438</v>
      </c>
      <c r="Q146" s="267" t="str">
        <f>_xlfn.XLOOKUP(P146,Table2[Department],Table2[Group],"ERROR")</f>
        <v>Sales &amp; Marketing</v>
      </c>
      <c r="U146" s="2" t="s">
        <v>439</v>
      </c>
    </row>
    <row r="147" spans="1:22" x14ac:dyDescent="0.2">
      <c r="A147" s="2" t="s">
        <v>15</v>
      </c>
      <c r="B147" s="2" t="s">
        <v>3</v>
      </c>
      <c r="C147" s="164">
        <v>46169</v>
      </c>
      <c r="D147" s="164">
        <v>46169</v>
      </c>
      <c r="E147" s="164">
        <v>46169</v>
      </c>
      <c r="F147" s="2" t="s">
        <v>79</v>
      </c>
      <c r="G147" s="197">
        <v>-426650</v>
      </c>
      <c r="H147" s="199">
        <v>0</v>
      </c>
      <c r="I147" s="197">
        <v>-426650</v>
      </c>
      <c r="J147" s="199">
        <f t="shared" si="6"/>
        <v>-62475.777251004562</v>
      </c>
      <c r="K147" s="4" t="s">
        <v>440</v>
      </c>
      <c r="L147" s="4" t="s">
        <v>441</v>
      </c>
      <c r="N147" s="135" t="s">
        <v>382</v>
      </c>
      <c r="O147" s="267" t="str">
        <f>_xlfn.XLOOKUP(N147,costcategory[Account Code],costcategory[Cost Category],"ERROR")</f>
        <v>Revenue</v>
      </c>
      <c r="P147" s="135" t="s">
        <v>438</v>
      </c>
      <c r="Q147" s="267" t="str">
        <f>_xlfn.XLOOKUP(P147,Table2[Department],Table2[Group],"ERROR")</f>
        <v>Sales &amp; Marketing</v>
      </c>
      <c r="U147" s="2" t="s">
        <v>442</v>
      </c>
    </row>
    <row r="148" spans="1:22" x14ac:dyDescent="0.2">
      <c r="A148" s="2" t="s">
        <v>15</v>
      </c>
      <c r="B148" s="2" t="s">
        <v>3</v>
      </c>
      <c r="C148" s="164">
        <v>46171</v>
      </c>
      <c r="D148" s="164">
        <v>46171</v>
      </c>
      <c r="E148" s="164">
        <v>46171</v>
      </c>
      <c r="F148" s="2" t="s">
        <v>79</v>
      </c>
      <c r="G148" s="197">
        <v>76835.97</v>
      </c>
      <c r="H148" s="199">
        <v>0</v>
      </c>
      <c r="I148" s="197">
        <v>76835.97</v>
      </c>
      <c r="J148" s="199">
        <f t="shared" si="6"/>
        <v>11251.346411777497</v>
      </c>
      <c r="K148" s="4" t="s">
        <v>1325</v>
      </c>
      <c r="L148" s="4" t="s">
        <v>1455</v>
      </c>
      <c r="M148" s="4" t="s">
        <v>1456</v>
      </c>
      <c r="N148" s="135" t="s">
        <v>387</v>
      </c>
      <c r="O148" s="267" t="str">
        <f>_xlfn.XLOOKUP(N148,costcategory[Account Code],costcategory[Cost Category],"ERROR")</f>
        <v>Headcount Costs</v>
      </c>
      <c r="P148" s="135" t="s">
        <v>350</v>
      </c>
      <c r="Q148" s="267" t="str">
        <f>_xlfn.XLOOKUP(P148,Table2[Department],Table2[Group],"ERROR")</f>
        <v>General &amp; Administrative</v>
      </c>
      <c r="U148" s="2" t="s">
        <v>1110</v>
      </c>
    </row>
    <row r="149" spans="1:22" x14ac:dyDescent="0.2">
      <c r="F149" s="2" t="s">
        <v>79</v>
      </c>
      <c r="I149" s="197">
        <f>SUM(I131:I148)</f>
        <v>-345730.85</v>
      </c>
      <c r="J149" s="199"/>
    </row>
    <row r="150" spans="1:22" ht="12.95" customHeight="1" x14ac:dyDescent="0.2">
      <c r="A150" s="329" t="s">
        <v>1173</v>
      </c>
      <c r="B150" s="329"/>
      <c r="C150" s="329"/>
      <c r="D150" s="329"/>
      <c r="E150" s="196">
        <v>46173</v>
      </c>
      <c r="F150" s="13" t="s">
        <v>79</v>
      </c>
      <c r="G150" s="202"/>
      <c r="H150" s="207"/>
      <c r="I150" s="239">
        <f>I130-I149</f>
        <v>390217.13</v>
      </c>
      <c r="J150" s="207"/>
      <c r="K150" s="17"/>
      <c r="L150" s="25"/>
      <c r="M150" s="25"/>
      <c r="N150" s="154"/>
      <c r="O150" s="155"/>
      <c r="P150" s="154"/>
      <c r="Q150" s="155"/>
      <c r="R150" s="20"/>
      <c r="S150" s="17"/>
      <c r="T150" s="20"/>
    </row>
    <row r="151" spans="1:22" ht="12.95" customHeight="1" x14ac:dyDescent="0.2">
      <c r="A151" s="33"/>
      <c r="B151" s="33"/>
      <c r="C151" s="33"/>
      <c r="D151" s="33"/>
      <c r="E151" s="258"/>
      <c r="F151" s="33"/>
      <c r="G151" s="237"/>
      <c r="I151" s="240"/>
      <c r="L151" s="22"/>
      <c r="M151" s="22"/>
      <c r="N151" s="21"/>
      <c r="P151" s="21"/>
      <c r="R151" s="2"/>
      <c r="T151" s="2"/>
    </row>
    <row r="152" spans="1:22" x14ac:dyDescent="0.2">
      <c r="J152" s="257">
        <f>FOREX!K6</f>
        <v>0.147753</v>
      </c>
    </row>
    <row r="153" spans="1:22" s="183" customFormat="1" ht="12.95" customHeight="1" x14ac:dyDescent="0.2">
      <c r="A153" s="7" t="s">
        <v>87</v>
      </c>
      <c r="B153" s="7" t="s">
        <v>43</v>
      </c>
      <c r="C153" s="177" t="s">
        <v>54</v>
      </c>
      <c r="D153" s="177" t="s">
        <v>88</v>
      </c>
      <c r="E153" s="185" t="s">
        <v>1083</v>
      </c>
      <c r="F153" s="7" t="s">
        <v>70</v>
      </c>
      <c r="G153" s="236" t="s">
        <v>90</v>
      </c>
      <c r="H153" s="236" t="s">
        <v>91</v>
      </c>
      <c r="I153" s="236" t="s">
        <v>92</v>
      </c>
      <c r="J153" s="236" t="s">
        <v>72</v>
      </c>
      <c r="K153" s="9" t="s">
        <v>325</v>
      </c>
      <c r="L153" s="27" t="s">
        <v>94</v>
      </c>
      <c r="M153" s="23" t="s">
        <v>95</v>
      </c>
      <c r="N153" s="23" t="s">
        <v>1315</v>
      </c>
      <c r="O153" s="7" t="s">
        <v>64</v>
      </c>
      <c r="P153" s="23" t="s">
        <v>67</v>
      </c>
      <c r="Q153" s="23" t="s">
        <v>44</v>
      </c>
      <c r="R153" s="7" t="s">
        <v>326</v>
      </c>
      <c r="S153" s="7" t="s">
        <v>327</v>
      </c>
      <c r="T153" s="7" t="s">
        <v>328</v>
      </c>
      <c r="U153" s="7" t="s">
        <v>98</v>
      </c>
      <c r="V153" s="7" t="s">
        <v>1316</v>
      </c>
    </row>
    <row r="154" spans="1:22" s="13" customFormat="1" ht="12.95" customHeight="1" x14ac:dyDescent="0.2">
      <c r="A154" s="329" t="s">
        <v>1172</v>
      </c>
      <c r="B154" s="329"/>
      <c r="C154" s="329"/>
      <c r="D154" s="329"/>
      <c r="E154" s="196">
        <v>46174</v>
      </c>
      <c r="F154" s="13" t="s">
        <v>79</v>
      </c>
      <c r="G154" s="206"/>
      <c r="H154" s="206"/>
      <c r="I154" s="238">
        <v>390217.12999999989</v>
      </c>
      <c r="J154" s="206"/>
      <c r="K154" s="74"/>
      <c r="L154" s="74"/>
      <c r="M154" s="24"/>
      <c r="N154" s="156"/>
      <c r="O154" s="156"/>
      <c r="P154" s="156"/>
      <c r="Q154" s="156"/>
      <c r="R154" s="24"/>
      <c r="S154" s="24"/>
    </row>
    <row r="155" spans="1:22" ht="12.95" customHeight="1" x14ac:dyDescent="0.2">
      <c r="A155" s="2" t="s">
        <v>15</v>
      </c>
      <c r="B155" s="2" t="s">
        <v>3</v>
      </c>
      <c r="F155" s="2" t="s">
        <v>79</v>
      </c>
      <c r="J155" s="199">
        <f>I155*$J$152</f>
        <v>0</v>
      </c>
      <c r="O155" s="267" t="str">
        <f>_xlfn.XLOOKUP(N155,costcategory[Account Code],costcategory[Cost Category],"ERROR")</f>
        <v>ERROR</v>
      </c>
      <c r="Q155" s="267" t="str">
        <f>_xlfn.XLOOKUP(P155,Table2[Department],Table2[Group],"ERROR")</f>
        <v>ERROR</v>
      </c>
      <c r="R155" s="31"/>
      <c r="S155" s="31"/>
      <c r="T155" s="2"/>
    </row>
    <row r="156" spans="1:22" ht="12.95" customHeight="1" x14ac:dyDescent="0.2">
      <c r="A156" s="2" t="s">
        <v>15</v>
      </c>
      <c r="B156" s="2" t="s">
        <v>3</v>
      </c>
      <c r="F156" s="2" t="s">
        <v>79</v>
      </c>
      <c r="J156" s="199">
        <f t="shared" ref="J156:J164" si="8">I156*$J$152</f>
        <v>0</v>
      </c>
      <c r="O156" s="267" t="str">
        <f>_xlfn.XLOOKUP(N156,costcategory[Account Code],costcategory[Cost Category],"ERROR")</f>
        <v>ERROR</v>
      </c>
      <c r="Q156" s="267" t="str">
        <f>_xlfn.XLOOKUP(P156,Table2[Department],Table2[Group],"ERROR")</f>
        <v>ERROR</v>
      </c>
      <c r="R156" s="31"/>
      <c r="S156" s="31"/>
      <c r="T156" s="2"/>
    </row>
    <row r="157" spans="1:22" ht="12.95" customHeight="1" x14ac:dyDescent="0.2">
      <c r="A157" s="2" t="s">
        <v>15</v>
      </c>
      <c r="B157" s="2" t="s">
        <v>3</v>
      </c>
      <c r="F157" s="2" t="s">
        <v>79</v>
      </c>
      <c r="J157" s="199">
        <f t="shared" si="8"/>
        <v>0</v>
      </c>
      <c r="O157" s="267" t="str">
        <f>_xlfn.XLOOKUP(N157,costcategory[Account Code],costcategory[Cost Category],"ERROR")</f>
        <v>ERROR</v>
      </c>
      <c r="Q157" s="267" t="str">
        <f>_xlfn.XLOOKUP(P157,Table2[Department],Table2[Group],"ERROR")</f>
        <v>ERROR</v>
      </c>
      <c r="R157" s="31"/>
      <c r="S157" s="31"/>
      <c r="T157" s="2"/>
    </row>
    <row r="158" spans="1:22" ht="12.95" customHeight="1" x14ac:dyDescent="0.2">
      <c r="A158" s="2" t="s">
        <v>15</v>
      </c>
      <c r="B158" s="2" t="s">
        <v>3</v>
      </c>
      <c r="F158" s="2" t="s">
        <v>79</v>
      </c>
      <c r="J158" s="199">
        <f t="shared" si="8"/>
        <v>0</v>
      </c>
      <c r="O158" s="267" t="str">
        <f>_xlfn.XLOOKUP(N158,costcategory[Account Code],costcategory[Cost Category],"ERROR")</f>
        <v>ERROR</v>
      </c>
      <c r="Q158" s="267" t="str">
        <f>_xlfn.XLOOKUP(P158,Table2[Department],Table2[Group],"ERROR")</f>
        <v>ERROR</v>
      </c>
      <c r="R158" s="31"/>
      <c r="S158" s="31"/>
      <c r="T158" s="2"/>
    </row>
    <row r="159" spans="1:22" ht="12.95" customHeight="1" x14ac:dyDescent="0.2">
      <c r="A159" s="2" t="s">
        <v>15</v>
      </c>
      <c r="B159" s="2" t="s">
        <v>3</v>
      </c>
      <c r="F159" s="2" t="s">
        <v>79</v>
      </c>
      <c r="J159" s="199">
        <f t="shared" si="8"/>
        <v>0</v>
      </c>
      <c r="O159" s="267" t="str">
        <f>_xlfn.XLOOKUP(N159,costcategory[Account Code],costcategory[Cost Category],"ERROR")</f>
        <v>ERROR</v>
      </c>
      <c r="Q159" s="267" t="str">
        <f>_xlfn.XLOOKUP(P159,Table2[Department],Table2[Group],"ERROR")</f>
        <v>ERROR</v>
      </c>
      <c r="R159" s="31"/>
      <c r="S159" s="31"/>
      <c r="T159" s="2"/>
    </row>
    <row r="160" spans="1:22" ht="12.95" customHeight="1" x14ac:dyDescent="0.2">
      <c r="A160" s="2" t="s">
        <v>15</v>
      </c>
      <c r="B160" s="2" t="s">
        <v>3</v>
      </c>
      <c r="F160" s="2" t="s">
        <v>79</v>
      </c>
      <c r="J160" s="199">
        <f t="shared" si="8"/>
        <v>0</v>
      </c>
      <c r="O160" s="267" t="str">
        <f>_xlfn.XLOOKUP(N160,costcategory[Account Code],costcategory[Cost Category],"ERROR")</f>
        <v>ERROR</v>
      </c>
      <c r="Q160" s="267" t="str">
        <f>_xlfn.XLOOKUP(P160,Table2[Department],Table2[Group],"ERROR")</f>
        <v>ERROR</v>
      </c>
      <c r="R160" s="31"/>
      <c r="S160" s="31"/>
      <c r="T160" s="2"/>
    </row>
    <row r="161" spans="1:22" ht="12.95" customHeight="1" x14ac:dyDescent="0.2">
      <c r="A161" s="2" t="s">
        <v>15</v>
      </c>
      <c r="B161" s="2" t="s">
        <v>3</v>
      </c>
      <c r="F161" s="2" t="s">
        <v>79</v>
      </c>
      <c r="J161" s="199">
        <f t="shared" si="8"/>
        <v>0</v>
      </c>
      <c r="O161" s="267" t="str">
        <f>_xlfn.XLOOKUP(N161,costcategory[Account Code],costcategory[Cost Category],"ERROR")</f>
        <v>ERROR</v>
      </c>
      <c r="Q161" s="267" t="str">
        <f>_xlfn.XLOOKUP(P161,Table2[Department],Table2[Group],"ERROR")</f>
        <v>ERROR</v>
      </c>
      <c r="R161" s="31"/>
      <c r="S161" s="31"/>
      <c r="T161" s="2"/>
    </row>
    <row r="162" spans="1:22" ht="12.95" customHeight="1" x14ac:dyDescent="0.2">
      <c r="A162" s="2" t="s">
        <v>15</v>
      </c>
      <c r="B162" s="2" t="s">
        <v>3</v>
      </c>
      <c r="F162" s="2" t="s">
        <v>79</v>
      </c>
      <c r="J162" s="199">
        <f t="shared" si="8"/>
        <v>0</v>
      </c>
      <c r="O162" s="267" t="str">
        <f>_xlfn.XLOOKUP(N162,costcategory[Account Code],costcategory[Cost Category],"ERROR")</f>
        <v>ERROR</v>
      </c>
      <c r="Q162" s="267" t="str">
        <f>_xlfn.XLOOKUP(P162,Table2[Department],Table2[Group],"ERROR")</f>
        <v>ERROR</v>
      </c>
      <c r="R162" s="31"/>
      <c r="S162" s="31"/>
      <c r="T162" s="2"/>
    </row>
    <row r="163" spans="1:22" ht="12.95" customHeight="1" x14ac:dyDescent="0.2">
      <c r="A163" s="2" t="s">
        <v>15</v>
      </c>
      <c r="B163" s="2" t="s">
        <v>3</v>
      </c>
      <c r="F163" s="2" t="s">
        <v>79</v>
      </c>
      <c r="J163" s="199">
        <f t="shared" si="8"/>
        <v>0</v>
      </c>
      <c r="O163" s="267" t="str">
        <f>_xlfn.XLOOKUP(N163,costcategory[Account Code],costcategory[Cost Category],"ERROR")</f>
        <v>ERROR</v>
      </c>
      <c r="Q163" s="267" t="str">
        <f>_xlfn.XLOOKUP(P163,Table2[Department],Table2[Group],"ERROR")</f>
        <v>ERROR</v>
      </c>
      <c r="R163" s="31"/>
      <c r="S163" s="31"/>
      <c r="T163" s="2"/>
    </row>
    <row r="164" spans="1:22" ht="12.95" customHeight="1" x14ac:dyDescent="0.2">
      <c r="A164" s="2" t="s">
        <v>15</v>
      </c>
      <c r="B164" s="2" t="s">
        <v>3</v>
      </c>
      <c r="F164" s="2" t="s">
        <v>79</v>
      </c>
      <c r="J164" s="199">
        <f t="shared" si="8"/>
        <v>0</v>
      </c>
      <c r="O164" s="267" t="str">
        <f>_xlfn.XLOOKUP(N164,costcategory[Account Code],costcategory[Cost Category],"ERROR")</f>
        <v>ERROR</v>
      </c>
      <c r="Q164" s="267" t="str">
        <f>_xlfn.XLOOKUP(P164,Table2[Department],Table2[Group],"ERROR")</f>
        <v>ERROR</v>
      </c>
      <c r="R164" s="31"/>
      <c r="S164" s="31"/>
      <c r="T164" s="2"/>
    </row>
    <row r="165" spans="1:22" ht="12.95" customHeight="1" x14ac:dyDescent="0.2">
      <c r="F165" s="2" t="s">
        <v>79</v>
      </c>
      <c r="I165" s="197">
        <f>SUM(I155:I164)</f>
        <v>0</v>
      </c>
      <c r="J165" s="199"/>
      <c r="R165" s="31"/>
      <c r="S165" s="31"/>
      <c r="T165" s="2"/>
    </row>
    <row r="166" spans="1:22" s="17" customFormat="1" ht="12.95" customHeight="1" x14ac:dyDescent="0.2">
      <c r="A166" s="329" t="s">
        <v>1173</v>
      </c>
      <c r="B166" s="329"/>
      <c r="C166" s="329"/>
      <c r="D166" s="329"/>
      <c r="E166" s="196">
        <v>46203</v>
      </c>
      <c r="F166" s="13" t="s">
        <v>79</v>
      </c>
      <c r="G166" s="206"/>
      <c r="H166" s="207"/>
      <c r="I166" s="239">
        <f>I154-I165</f>
        <v>390217.12999999989</v>
      </c>
      <c r="J166" s="207"/>
      <c r="K166" s="25"/>
      <c r="L166" s="25"/>
      <c r="M166" s="25"/>
      <c r="N166" s="154"/>
      <c r="O166" s="154"/>
      <c r="P166" s="154"/>
      <c r="Q166" s="154"/>
      <c r="R166" s="32"/>
      <c r="S166" s="32"/>
      <c r="T166" s="20"/>
      <c r="U166" s="20"/>
      <c r="V166" s="20"/>
    </row>
    <row r="167" spans="1:22" ht="12.95" customHeight="1" x14ac:dyDescent="0.2">
      <c r="K167" s="22"/>
      <c r="L167" s="22"/>
      <c r="M167" s="22"/>
      <c r="N167" s="21"/>
      <c r="O167" s="21"/>
      <c r="P167" s="21"/>
      <c r="R167" s="31"/>
      <c r="S167" s="31"/>
      <c r="T167" s="2"/>
    </row>
    <row r="168" spans="1:22" ht="12.95" customHeight="1" x14ac:dyDescent="0.2">
      <c r="K168" s="22"/>
      <c r="L168" s="22"/>
      <c r="M168" s="22"/>
      <c r="N168" s="21"/>
      <c r="O168" s="21"/>
      <c r="P168" s="21"/>
      <c r="R168" s="31"/>
      <c r="S168" s="31"/>
      <c r="T168" s="2"/>
    </row>
    <row r="169" spans="1:22" s="13" customFormat="1" ht="12.95" customHeight="1" x14ac:dyDescent="0.2">
      <c r="A169" s="329" t="s">
        <v>1172</v>
      </c>
      <c r="B169" s="329"/>
      <c r="C169" s="329"/>
      <c r="D169" s="329"/>
      <c r="E169" s="196">
        <v>46204</v>
      </c>
      <c r="F169" s="13" t="s">
        <v>79</v>
      </c>
      <c r="G169" s="206"/>
      <c r="H169" s="206"/>
      <c r="I169" s="238">
        <f>I154</f>
        <v>390217.12999999989</v>
      </c>
      <c r="J169" s="206"/>
      <c r="K169" s="137"/>
      <c r="L169" s="137"/>
      <c r="N169" s="265"/>
      <c r="O169" s="265"/>
      <c r="P169" s="265"/>
      <c r="Q169" s="156"/>
      <c r="R169" s="24"/>
      <c r="S169" s="24"/>
    </row>
    <row r="170" spans="1:22" ht="12.95" customHeight="1" x14ac:dyDescent="0.2">
      <c r="O170" s="267" t="str">
        <f>_xlfn.XLOOKUP(N170,costcategory[Account Code],costcategory[Cost Category],"ERROR")</f>
        <v>ERROR</v>
      </c>
      <c r="Q170" s="267" t="str">
        <f>_xlfn.XLOOKUP(P170,Table2[Department],Table2[Group],"ERROR")</f>
        <v>ERROR</v>
      </c>
      <c r="R170" s="31"/>
      <c r="S170" s="31"/>
      <c r="T170" s="2"/>
    </row>
    <row r="171" spans="1:22" ht="12.95" customHeight="1" x14ac:dyDescent="0.2">
      <c r="O171" s="267" t="str">
        <f>_xlfn.XLOOKUP(N171,costcategory[Account Code],costcategory[Cost Category],"ERROR")</f>
        <v>ERROR</v>
      </c>
      <c r="Q171" s="267" t="str">
        <f>_xlfn.XLOOKUP(P171,Table2[Department],Table2[Group],"ERROR")</f>
        <v>ERROR</v>
      </c>
      <c r="R171" s="31"/>
      <c r="S171" s="31"/>
      <c r="T171" s="2"/>
    </row>
    <row r="172" spans="1:22" ht="12.95" customHeight="1" x14ac:dyDescent="0.2">
      <c r="R172" s="31"/>
      <c r="S172" s="31"/>
      <c r="T172" s="2"/>
    </row>
    <row r="173" spans="1:22" s="17" customFormat="1" ht="12.95" customHeight="1" x14ac:dyDescent="0.2">
      <c r="A173" s="329" t="s">
        <v>1173</v>
      </c>
      <c r="B173" s="329"/>
      <c r="C173" s="329"/>
      <c r="D173" s="329"/>
      <c r="E173" s="196">
        <v>46234</v>
      </c>
      <c r="F173" s="13" t="s">
        <v>79</v>
      </c>
      <c r="G173" s="206"/>
      <c r="H173" s="207"/>
      <c r="I173" s="239">
        <f>I169-(SUM(I170:I172))</f>
        <v>390217.12999999989</v>
      </c>
      <c r="J173" s="207"/>
      <c r="N173" s="155"/>
      <c r="O173" s="155"/>
      <c r="P173" s="155"/>
      <c r="Q173" s="154"/>
      <c r="R173" s="32"/>
      <c r="S173" s="32"/>
      <c r="T173" s="20"/>
      <c r="U173" s="20"/>
      <c r="V173" s="20"/>
    </row>
    <row r="174" spans="1:22" ht="12.95" customHeight="1" x14ac:dyDescent="0.2">
      <c r="R174" s="31"/>
      <c r="S174" s="31"/>
      <c r="T174" s="2"/>
    </row>
    <row r="175" spans="1:22" s="13" customFormat="1" ht="12.95" customHeight="1" x14ac:dyDescent="0.2">
      <c r="A175" s="329" t="s">
        <v>1172</v>
      </c>
      <c r="B175" s="329"/>
      <c r="C175" s="329"/>
      <c r="D175" s="329"/>
      <c r="E175" s="196">
        <v>46235</v>
      </c>
      <c r="F175" s="13" t="s">
        <v>79</v>
      </c>
      <c r="G175" s="206"/>
      <c r="H175" s="206"/>
      <c r="I175" s="238">
        <f>I173</f>
        <v>390217.12999999989</v>
      </c>
      <c r="J175" s="206"/>
      <c r="K175" s="137"/>
      <c r="L175" s="137"/>
      <c r="N175" s="265"/>
      <c r="O175" s="265"/>
      <c r="P175" s="265"/>
      <c r="Q175" s="156"/>
      <c r="R175" s="24"/>
      <c r="S175" s="24"/>
    </row>
    <row r="176" spans="1:22" ht="12.95" customHeight="1" x14ac:dyDescent="0.2">
      <c r="O176" s="267" t="str">
        <f>_xlfn.XLOOKUP(N176,costcategory[Account Code],costcategory[Cost Category],"ERROR")</f>
        <v>ERROR</v>
      </c>
      <c r="Q176" s="267" t="str">
        <f>_xlfn.XLOOKUP(P176,Table2[Department],Table2[Group],"ERROR")</f>
        <v>ERROR</v>
      </c>
      <c r="R176" s="31"/>
      <c r="S176" s="31"/>
      <c r="T176" s="2"/>
    </row>
    <row r="177" spans="1:22" ht="12.95" customHeight="1" x14ac:dyDescent="0.2">
      <c r="O177" s="267" t="str">
        <f>_xlfn.XLOOKUP(N177,costcategory[Account Code],costcategory[Cost Category],"ERROR")</f>
        <v>ERROR</v>
      </c>
      <c r="Q177" s="267" t="str">
        <f>_xlfn.XLOOKUP(P177,Table2[Department],Table2[Group],"ERROR")</f>
        <v>ERROR</v>
      </c>
      <c r="R177" s="31"/>
      <c r="S177" s="31"/>
      <c r="T177" s="2"/>
    </row>
    <row r="178" spans="1:22" ht="12.95" customHeight="1" x14ac:dyDescent="0.2">
      <c r="R178" s="31"/>
      <c r="S178" s="31"/>
      <c r="T178" s="2"/>
    </row>
    <row r="179" spans="1:22" s="17" customFormat="1" ht="12.95" customHeight="1" x14ac:dyDescent="0.2">
      <c r="A179" s="329" t="s">
        <v>1173</v>
      </c>
      <c r="B179" s="329"/>
      <c r="C179" s="329"/>
      <c r="D179" s="329"/>
      <c r="E179" s="196">
        <v>46265</v>
      </c>
      <c r="F179" s="13" t="s">
        <v>79</v>
      </c>
      <c r="G179" s="206"/>
      <c r="H179" s="207"/>
      <c r="I179" s="239">
        <f>I175-(SUM(I176:I178))</f>
        <v>390217.12999999989</v>
      </c>
      <c r="J179" s="207"/>
      <c r="N179" s="155"/>
      <c r="O179" s="155"/>
      <c r="P179" s="155"/>
      <c r="Q179" s="154"/>
      <c r="R179" s="32"/>
      <c r="S179" s="32"/>
      <c r="T179" s="20"/>
      <c r="U179" s="20"/>
      <c r="V179" s="20"/>
    </row>
    <row r="180" spans="1:22" ht="12.95" customHeight="1" x14ac:dyDescent="0.2">
      <c r="R180" s="31"/>
      <c r="S180" s="31"/>
      <c r="T180" s="2"/>
    </row>
    <row r="181" spans="1:22" ht="12.95" customHeight="1" x14ac:dyDescent="0.2">
      <c r="R181" s="31"/>
      <c r="S181" s="31"/>
      <c r="T181" s="2"/>
    </row>
    <row r="182" spans="1:22" s="13" customFormat="1" ht="12.95" customHeight="1" x14ac:dyDescent="0.2">
      <c r="A182" s="329" t="s">
        <v>1172</v>
      </c>
      <c r="B182" s="329"/>
      <c r="C182" s="329"/>
      <c r="D182" s="329"/>
      <c r="E182" s="196">
        <v>46266</v>
      </c>
      <c r="F182" s="13" t="s">
        <v>79</v>
      </c>
      <c r="G182" s="206"/>
      <c r="H182" s="206"/>
      <c r="I182" s="238">
        <f>I179</f>
        <v>390217.12999999989</v>
      </c>
      <c r="J182" s="206"/>
      <c r="K182" s="137"/>
      <c r="L182" s="137"/>
      <c r="N182" s="265"/>
      <c r="O182" s="265"/>
      <c r="P182" s="265"/>
      <c r="Q182" s="156"/>
      <c r="R182" s="24"/>
      <c r="S182" s="24"/>
    </row>
    <row r="183" spans="1:22" ht="12.95" customHeight="1" x14ac:dyDescent="0.2">
      <c r="O183" s="267" t="str">
        <f>_xlfn.XLOOKUP(N183,costcategory[Account Code],costcategory[Cost Category],"ERROR")</f>
        <v>ERROR</v>
      </c>
      <c r="Q183" s="267" t="str">
        <f>_xlfn.XLOOKUP(P183,Table2[Department],Table2[Group],"ERROR")</f>
        <v>ERROR</v>
      </c>
      <c r="R183" s="31"/>
      <c r="S183" s="31"/>
      <c r="T183" s="2"/>
    </row>
    <row r="184" spans="1:22" ht="12.95" customHeight="1" x14ac:dyDescent="0.2">
      <c r="O184" s="267" t="str">
        <f>_xlfn.XLOOKUP(N184,costcategory[Account Code],costcategory[Cost Category],"ERROR")</f>
        <v>ERROR</v>
      </c>
      <c r="Q184" s="267" t="str">
        <f>_xlfn.XLOOKUP(P184,Table2[Department],Table2[Group],"ERROR")</f>
        <v>ERROR</v>
      </c>
      <c r="R184" s="31"/>
      <c r="S184" s="31"/>
      <c r="T184" s="2"/>
    </row>
    <row r="185" spans="1:22" ht="12.95" customHeight="1" x14ac:dyDescent="0.2">
      <c r="R185" s="31"/>
      <c r="S185" s="31"/>
      <c r="T185" s="2"/>
    </row>
    <row r="186" spans="1:22" s="17" customFormat="1" ht="12.95" customHeight="1" x14ac:dyDescent="0.2">
      <c r="A186" s="329" t="s">
        <v>1173</v>
      </c>
      <c r="B186" s="329"/>
      <c r="C186" s="329"/>
      <c r="D186" s="329"/>
      <c r="E186" s="196">
        <v>46295</v>
      </c>
      <c r="F186" s="13" t="s">
        <v>79</v>
      </c>
      <c r="G186" s="206"/>
      <c r="H186" s="207"/>
      <c r="I186" s="239">
        <f>I182-(SUM(I183:I185))</f>
        <v>390217.12999999989</v>
      </c>
      <c r="J186" s="207"/>
      <c r="N186" s="155"/>
      <c r="O186" s="155"/>
      <c r="P186" s="155"/>
      <c r="Q186" s="154"/>
      <c r="R186" s="32"/>
      <c r="S186" s="32"/>
      <c r="T186" s="20"/>
      <c r="U186" s="20"/>
      <c r="V186" s="20"/>
    </row>
    <row r="187" spans="1:22" ht="12.95" customHeight="1" x14ac:dyDescent="0.2">
      <c r="R187" s="31"/>
      <c r="S187" s="31"/>
      <c r="T187" s="2"/>
    </row>
    <row r="188" spans="1:22" ht="12.95" customHeight="1" x14ac:dyDescent="0.2">
      <c r="R188" s="31"/>
      <c r="S188" s="31"/>
      <c r="T188" s="2"/>
    </row>
    <row r="189" spans="1:22" s="13" customFormat="1" ht="12.95" customHeight="1" x14ac:dyDescent="0.2">
      <c r="A189" s="329" t="s">
        <v>1172</v>
      </c>
      <c r="B189" s="329"/>
      <c r="C189" s="329"/>
      <c r="D189" s="329"/>
      <c r="E189" s="196">
        <v>46296</v>
      </c>
      <c r="F189" s="13" t="s">
        <v>79</v>
      </c>
      <c r="G189" s="206"/>
      <c r="H189" s="206"/>
      <c r="I189" s="238">
        <f>I186</f>
        <v>390217.12999999989</v>
      </c>
      <c r="J189" s="206"/>
      <c r="K189" s="137"/>
      <c r="L189" s="137"/>
      <c r="N189" s="265"/>
      <c r="O189" s="265"/>
      <c r="P189" s="265"/>
      <c r="Q189" s="156"/>
      <c r="R189" s="24"/>
      <c r="S189" s="24"/>
    </row>
    <row r="190" spans="1:22" ht="12.95" customHeight="1" x14ac:dyDescent="0.2">
      <c r="O190" s="267" t="str">
        <f>_xlfn.XLOOKUP(N190,costcategory[Account Code],costcategory[Cost Category],"ERROR")</f>
        <v>ERROR</v>
      </c>
      <c r="Q190" s="267" t="str">
        <f>_xlfn.XLOOKUP(P190,Table2[Department],Table2[Group],"ERROR")</f>
        <v>ERROR</v>
      </c>
      <c r="R190" s="31"/>
      <c r="S190" s="31"/>
      <c r="T190" s="2"/>
    </row>
    <row r="191" spans="1:22" ht="12.95" customHeight="1" x14ac:dyDescent="0.2">
      <c r="O191" s="267" t="str">
        <f>_xlfn.XLOOKUP(N191,costcategory[Account Code],costcategory[Cost Category],"ERROR")</f>
        <v>ERROR</v>
      </c>
      <c r="Q191" s="267" t="str">
        <f>_xlfn.XLOOKUP(P191,Table2[Department],Table2[Group],"ERROR")</f>
        <v>ERROR</v>
      </c>
      <c r="R191" s="31"/>
      <c r="S191" s="31"/>
      <c r="T191" s="2"/>
    </row>
    <row r="192" spans="1:22" ht="12.95" customHeight="1" x14ac:dyDescent="0.2">
      <c r="R192" s="31"/>
      <c r="S192" s="31"/>
      <c r="T192" s="2"/>
    </row>
    <row r="193" spans="1:22" s="17" customFormat="1" ht="12.95" customHeight="1" x14ac:dyDescent="0.2">
      <c r="A193" s="329" t="s">
        <v>1173</v>
      </c>
      <c r="B193" s="329"/>
      <c r="C193" s="329"/>
      <c r="D193" s="329"/>
      <c r="E193" s="196">
        <v>46326</v>
      </c>
      <c r="F193" s="13" t="s">
        <v>79</v>
      </c>
      <c r="G193" s="206"/>
      <c r="H193" s="207"/>
      <c r="I193" s="239">
        <f>I189-(SUM(I190:I192))</f>
        <v>390217.12999999989</v>
      </c>
      <c r="J193" s="207"/>
      <c r="N193" s="155"/>
      <c r="O193" s="155"/>
      <c r="P193" s="155"/>
      <c r="Q193" s="154"/>
      <c r="R193" s="32"/>
      <c r="S193" s="32"/>
      <c r="T193" s="20"/>
      <c r="U193" s="20"/>
      <c r="V193" s="20"/>
    </row>
    <row r="194" spans="1:22" ht="12.95" customHeight="1" x14ac:dyDescent="0.2">
      <c r="R194" s="31"/>
      <c r="S194" s="31"/>
      <c r="T194" s="2"/>
    </row>
    <row r="195" spans="1:22" ht="12.95" customHeight="1" x14ac:dyDescent="0.2">
      <c r="R195" s="31"/>
      <c r="S195" s="31"/>
      <c r="T195" s="2"/>
    </row>
    <row r="196" spans="1:22" s="13" customFormat="1" ht="12.95" customHeight="1" x14ac:dyDescent="0.2">
      <c r="A196" s="329" t="s">
        <v>1172</v>
      </c>
      <c r="B196" s="329"/>
      <c r="C196" s="329"/>
      <c r="D196" s="329"/>
      <c r="E196" s="196">
        <v>46327</v>
      </c>
      <c r="F196" s="13" t="s">
        <v>79</v>
      </c>
      <c r="G196" s="206"/>
      <c r="H196" s="206"/>
      <c r="I196" s="238">
        <f>I193</f>
        <v>390217.12999999989</v>
      </c>
      <c r="J196" s="206"/>
      <c r="K196" s="137"/>
      <c r="L196" s="137"/>
      <c r="N196" s="265"/>
      <c r="O196" s="265"/>
      <c r="P196" s="265"/>
      <c r="Q196" s="156"/>
      <c r="R196" s="24"/>
      <c r="S196" s="24"/>
    </row>
    <row r="197" spans="1:22" ht="12.95" customHeight="1" x14ac:dyDescent="0.2">
      <c r="O197" s="267" t="str">
        <f>_xlfn.XLOOKUP(N197,costcategory[Account Code],costcategory[Cost Category],"ERROR")</f>
        <v>ERROR</v>
      </c>
      <c r="Q197" s="267" t="str">
        <f>_xlfn.XLOOKUP(P197,Table2[Department],Table2[Group],"ERROR")</f>
        <v>ERROR</v>
      </c>
      <c r="R197" s="31"/>
      <c r="S197" s="31"/>
      <c r="T197" s="2"/>
    </row>
    <row r="198" spans="1:22" ht="12.95" customHeight="1" x14ac:dyDescent="0.2">
      <c r="O198" s="267" t="str">
        <f>_xlfn.XLOOKUP(N198,costcategory[Account Code],costcategory[Cost Category],"ERROR")</f>
        <v>ERROR</v>
      </c>
      <c r="Q198" s="267" t="str">
        <f>_xlfn.XLOOKUP(P198,Table2[Department],Table2[Group],"ERROR")</f>
        <v>ERROR</v>
      </c>
      <c r="R198" s="31"/>
      <c r="S198" s="31"/>
      <c r="T198" s="2"/>
    </row>
    <row r="199" spans="1:22" ht="12.95" customHeight="1" x14ac:dyDescent="0.2">
      <c r="R199" s="31"/>
      <c r="S199" s="31"/>
      <c r="T199" s="2"/>
    </row>
    <row r="200" spans="1:22" s="17" customFormat="1" ht="12.95" customHeight="1" x14ac:dyDescent="0.2">
      <c r="A200" s="329" t="s">
        <v>1173</v>
      </c>
      <c r="B200" s="329"/>
      <c r="C200" s="329"/>
      <c r="D200" s="329"/>
      <c r="E200" s="196">
        <v>46356</v>
      </c>
      <c r="F200" s="13" t="s">
        <v>79</v>
      </c>
      <c r="G200" s="206"/>
      <c r="H200" s="207"/>
      <c r="I200" s="239">
        <f>I196-(SUM(I197:I199))</f>
        <v>390217.12999999989</v>
      </c>
      <c r="J200" s="207"/>
      <c r="N200" s="155"/>
      <c r="O200" s="155"/>
      <c r="P200" s="155"/>
      <c r="Q200" s="154"/>
      <c r="R200" s="32"/>
      <c r="S200" s="32"/>
      <c r="T200" s="20"/>
      <c r="U200" s="20"/>
      <c r="V200" s="20"/>
    </row>
    <row r="201" spans="1:22" ht="12.95" customHeight="1" x14ac:dyDescent="0.2">
      <c r="R201" s="31"/>
      <c r="S201" s="31"/>
      <c r="T201" s="2"/>
    </row>
    <row r="202" spans="1:22" ht="12.95" customHeight="1" x14ac:dyDescent="0.2">
      <c r="R202" s="31"/>
      <c r="S202" s="31"/>
      <c r="T202" s="2"/>
    </row>
    <row r="203" spans="1:22" s="13" customFormat="1" ht="12.95" customHeight="1" x14ac:dyDescent="0.2">
      <c r="A203" s="329" t="s">
        <v>1172</v>
      </c>
      <c r="B203" s="329"/>
      <c r="C203" s="329"/>
      <c r="D203" s="329"/>
      <c r="E203" s="196">
        <v>46357</v>
      </c>
      <c r="F203" s="13" t="s">
        <v>79</v>
      </c>
      <c r="G203" s="206"/>
      <c r="H203" s="206"/>
      <c r="I203" s="238">
        <f>I200</f>
        <v>390217.12999999989</v>
      </c>
      <c r="J203" s="206"/>
      <c r="K203" s="137"/>
      <c r="L203" s="137"/>
      <c r="N203" s="265"/>
      <c r="O203" s="265"/>
      <c r="P203" s="265"/>
      <c r="Q203" s="156"/>
      <c r="R203" s="24"/>
      <c r="S203" s="24"/>
    </row>
    <row r="204" spans="1:22" ht="12.95" customHeight="1" x14ac:dyDescent="0.2">
      <c r="O204" s="267" t="str">
        <f>_xlfn.XLOOKUP(N204,costcategory[Account Code],costcategory[Cost Category],"ERROR")</f>
        <v>ERROR</v>
      </c>
      <c r="Q204" s="267" t="str">
        <f>_xlfn.XLOOKUP(P204,Table2[Department],Table2[Group],"ERROR")</f>
        <v>ERROR</v>
      </c>
      <c r="R204" s="31"/>
      <c r="S204" s="31"/>
      <c r="T204" s="2"/>
    </row>
    <row r="205" spans="1:22" ht="12.95" customHeight="1" x14ac:dyDescent="0.2">
      <c r="O205" s="267" t="str">
        <f>_xlfn.XLOOKUP(N205,costcategory[Account Code],costcategory[Cost Category],"ERROR")</f>
        <v>ERROR</v>
      </c>
      <c r="Q205" s="267" t="str">
        <f>_xlfn.XLOOKUP(P205,Table2[Department],Table2[Group],"ERROR")</f>
        <v>ERROR</v>
      </c>
      <c r="R205" s="31"/>
      <c r="S205" s="31"/>
      <c r="T205" s="2"/>
    </row>
    <row r="206" spans="1:22" ht="12.95" customHeight="1" x14ac:dyDescent="0.2">
      <c r="R206" s="31"/>
      <c r="S206" s="31"/>
      <c r="T206" s="2"/>
    </row>
    <row r="207" spans="1:22" s="17" customFormat="1" ht="12.95" customHeight="1" x14ac:dyDescent="0.2">
      <c r="A207" s="329" t="s">
        <v>1173</v>
      </c>
      <c r="B207" s="329"/>
      <c r="C207" s="329"/>
      <c r="D207" s="329"/>
      <c r="E207" s="196">
        <v>46387</v>
      </c>
      <c r="F207" s="13" t="s">
        <v>79</v>
      </c>
      <c r="G207" s="206"/>
      <c r="H207" s="207"/>
      <c r="I207" s="239">
        <f>I203-(SUM(I204:I206))</f>
        <v>390217.12999999989</v>
      </c>
      <c r="J207" s="207"/>
      <c r="N207" s="155"/>
      <c r="O207" s="155"/>
      <c r="P207" s="155"/>
      <c r="Q207" s="154"/>
      <c r="R207" s="32"/>
      <c r="S207" s="32"/>
      <c r="T207" s="20"/>
      <c r="U207" s="20"/>
      <c r="V207" s="20"/>
    </row>
  </sheetData>
  <autoFilter ref="A4:V166" xr:uid="{6B2F72B6-6CED-4AFF-9C03-31E59AD0F869}"/>
  <mergeCells count="24">
    <mergeCell ref="A207:D207"/>
    <mergeCell ref="A189:D189"/>
    <mergeCell ref="A193:D193"/>
    <mergeCell ref="A196:D196"/>
    <mergeCell ref="A200:D200"/>
    <mergeCell ref="A203:D203"/>
    <mergeCell ref="A173:D173"/>
    <mergeCell ref="A175:D175"/>
    <mergeCell ref="A179:D179"/>
    <mergeCell ref="A182:D182"/>
    <mergeCell ref="A186:D186"/>
    <mergeCell ref="A130:D130"/>
    <mergeCell ref="A150:D150"/>
    <mergeCell ref="A154:D154"/>
    <mergeCell ref="A166:D166"/>
    <mergeCell ref="A169:D169"/>
    <mergeCell ref="A100:D100"/>
    <mergeCell ref="A126:D126"/>
    <mergeCell ref="A104:D104"/>
    <mergeCell ref="A44:D44"/>
    <mergeCell ref="A5:D5"/>
    <mergeCell ref="A48:D48"/>
    <mergeCell ref="A75:D75"/>
    <mergeCell ref="A79:D7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4254D62-1DA6-4204-9DFD-294EB8B36F3D}">
          <x14:formula1>
            <xm:f>Setting!$E$19:$E$24</xm:f>
          </x14:formula1>
          <xm:sqref>B80:B99 B155:B165 B45:B46 B49:B74 B76:B77 B105:B122 B102 B208:B1048576 B127:B128 B6:B43 B152 B142:B149</xm:sqref>
        </x14:dataValidation>
        <x14:dataValidation type="list" allowBlank="1" showInputMessage="1" showErrorMessage="1" xr:uid="{9CDE97F6-E4EC-488F-A3B7-97B7CFA70E56}">
          <x14:formula1>
            <xm:f>Setting!$B$2:$B$93</xm:f>
          </x14:formula1>
          <xm:sqref>N49:N74 N102 N105:N122 N76:N77 N80:N99 N45:N46 N127:N128 N6:N43 N152 N154:N1048576 N137:N149</xm:sqref>
        </x14:dataValidation>
        <x14:dataValidation type="list" allowBlank="1" showInputMessage="1" showErrorMessage="1" xr:uid="{F8586D58-D1D6-4E7C-91C0-8417027C6CD6}">
          <x14:formula1>
            <xm:f>Setting!$D$2:$D$16</xm:f>
          </x14:formula1>
          <xm:sqref>P127:P128 P49:P74 P45:P46 P80:P99 P76:P77 P105:P122 P102 P6:P43 P152 P137:P141 P143:P144 P154:P1048576 P146:P149</xm:sqref>
        </x14:dataValidation>
        <x14:dataValidation type="list" allowBlank="1" showInputMessage="1" showErrorMessage="1" xr:uid="{92831704-12CC-4B91-96D6-3116C996136F}">
          <x14:formula1>
            <xm:f>Setting!$D$2:$D$15</xm:f>
          </x14:formula1>
          <xm:sqref>Q71 Q6:Q43</xm:sqref>
        </x14:dataValidation>
        <x14:dataValidation type="list" allowBlank="1" showInputMessage="1" showErrorMessage="1" xr:uid="{41DC4A64-4811-4C96-8A3F-2503527B750F}">
          <x14:formula1>
            <xm:f>Setting!$D$19:$D$23</xm:f>
          </x14:formula1>
          <xm:sqref>A155:A165 A80:A99 A76:A77 A49:A74 A45:A46 A105:A122 A102 A208:A1048576 A127:A128 A6:A43 A152 A142:A149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B652-14B1-4799-9EA9-D7D5CCBA328F}">
  <sheetPr>
    <pageSetUpPr fitToPage="1"/>
  </sheetPr>
  <dimension ref="A3:K83"/>
  <sheetViews>
    <sheetView topLeftCell="A37" workbookViewId="0">
      <selection activeCell="G29" sqref="G29"/>
    </sheetView>
  </sheetViews>
  <sheetFormatPr defaultRowHeight="12.75" x14ac:dyDescent="0.2"/>
  <cols>
    <col min="1" max="1" width="29.140625" bestFit="1" customWidth="1"/>
    <col min="2" max="2" width="14.5703125" bestFit="1" customWidth="1"/>
    <col min="3" max="3" width="9" bestFit="1" customWidth="1"/>
    <col min="4" max="10" width="10" bestFit="1" customWidth="1"/>
    <col min="11" max="11" width="11" bestFit="1" customWidth="1"/>
  </cols>
  <sheetData>
    <row r="3" spans="1:11" x14ac:dyDescent="0.2">
      <c r="A3" s="64" t="s">
        <v>11</v>
      </c>
      <c r="B3" s="64" t="s">
        <v>40</v>
      </c>
    </row>
    <row r="4" spans="1:11" x14ac:dyDescent="0.2">
      <c r="B4" t="s">
        <v>9</v>
      </c>
      <c r="C4" t="s">
        <v>26</v>
      </c>
      <c r="F4" t="s">
        <v>27</v>
      </c>
      <c r="H4" t="s">
        <v>36</v>
      </c>
      <c r="J4" t="s">
        <v>12</v>
      </c>
      <c r="K4" t="s">
        <v>19</v>
      </c>
    </row>
    <row r="5" spans="1:11" x14ac:dyDescent="0.2">
      <c r="B5" t="s">
        <v>1457</v>
      </c>
      <c r="C5" t="s">
        <v>1458</v>
      </c>
      <c r="D5" t="s">
        <v>1459</v>
      </c>
      <c r="E5" t="s">
        <v>1460</v>
      </c>
      <c r="F5" t="s">
        <v>1461</v>
      </c>
      <c r="G5" t="s">
        <v>1462</v>
      </c>
      <c r="H5" t="s">
        <v>1463</v>
      </c>
      <c r="I5" t="s">
        <v>1464</v>
      </c>
      <c r="J5" t="s">
        <v>1465</v>
      </c>
    </row>
    <row r="6" spans="1:11" x14ac:dyDescent="0.2">
      <c r="A6" s="64" t="s">
        <v>65</v>
      </c>
    </row>
    <row r="7" spans="1:11" x14ac:dyDescent="0.2">
      <c r="A7" s="65" t="s">
        <v>9</v>
      </c>
      <c r="B7" s="39"/>
      <c r="C7" s="39"/>
      <c r="D7" s="39"/>
      <c r="E7" s="39"/>
      <c r="F7" s="39"/>
      <c r="G7" s="39"/>
      <c r="H7" s="39"/>
      <c r="I7" s="39"/>
      <c r="J7" s="39"/>
      <c r="K7" s="39"/>
    </row>
    <row r="8" spans="1:11" x14ac:dyDescent="0.2">
      <c r="A8" s="66" t="s">
        <v>1466</v>
      </c>
      <c r="B8" s="39"/>
      <c r="C8" s="39"/>
      <c r="D8" s="39"/>
      <c r="E8" s="39"/>
      <c r="F8" s="39"/>
      <c r="G8" s="39"/>
      <c r="H8" s="39"/>
      <c r="I8" s="39"/>
      <c r="J8" s="39"/>
      <c r="K8" s="39"/>
    </row>
    <row r="9" spans="1:11" x14ac:dyDescent="0.2">
      <c r="A9" s="85">
        <v>46053</v>
      </c>
      <c r="B9" s="39">
        <v>35608.903397599999</v>
      </c>
      <c r="C9" s="39">
        <v>6639.141857999999</v>
      </c>
      <c r="D9" s="39">
        <v>11282.032970080001</v>
      </c>
      <c r="E9" s="39"/>
      <c r="F9" s="39"/>
      <c r="G9" s="39"/>
      <c r="H9" s="39"/>
      <c r="I9" s="39"/>
      <c r="J9" s="39"/>
      <c r="K9" s="39">
        <v>53530.078225680001</v>
      </c>
    </row>
    <row r="10" spans="1:11" x14ac:dyDescent="0.2">
      <c r="A10" s="86" t="s">
        <v>354</v>
      </c>
      <c r="B10" s="39">
        <v>4003.4566563999997</v>
      </c>
      <c r="C10" s="39">
        <v>838.50022559999991</v>
      </c>
      <c r="D10" s="39">
        <v>231.91857520000002</v>
      </c>
      <c r="E10" s="39"/>
      <c r="F10" s="39"/>
      <c r="G10" s="39"/>
      <c r="H10" s="39"/>
      <c r="I10" s="39"/>
      <c r="J10" s="39"/>
      <c r="K10" s="39">
        <v>5073.8754571999998</v>
      </c>
    </row>
    <row r="11" spans="1:11" x14ac:dyDescent="0.2">
      <c r="A11" s="98" t="s">
        <v>387</v>
      </c>
      <c r="B11" s="39">
        <v>4003.4566563999997</v>
      </c>
      <c r="C11" s="39">
        <v>838.50022559999991</v>
      </c>
      <c r="D11" s="39">
        <v>106.51911800000001</v>
      </c>
      <c r="E11" s="39"/>
      <c r="F11" s="39"/>
      <c r="G11" s="39"/>
      <c r="H11" s="39"/>
      <c r="I11" s="39"/>
      <c r="J11" s="39"/>
      <c r="K11" s="39">
        <v>4948.4759999999997</v>
      </c>
    </row>
    <row r="12" spans="1:11" x14ac:dyDescent="0.2">
      <c r="A12" s="98" t="s">
        <v>364</v>
      </c>
      <c r="B12" s="39"/>
      <c r="C12" s="39"/>
      <c r="D12" s="39">
        <v>125.3994572</v>
      </c>
      <c r="E12" s="39"/>
      <c r="F12" s="39"/>
      <c r="G12" s="39"/>
      <c r="H12" s="39"/>
      <c r="I12" s="39"/>
      <c r="J12" s="39"/>
      <c r="K12" s="39">
        <v>125.3994572</v>
      </c>
    </row>
    <row r="13" spans="1:11" x14ac:dyDescent="0.2">
      <c r="A13" s="86" t="s">
        <v>45</v>
      </c>
      <c r="B13" s="39">
        <v>17880.074562799997</v>
      </c>
      <c r="C13" s="39">
        <v>3482.6359015999997</v>
      </c>
      <c r="D13" s="39">
        <v>6288.6755616000028</v>
      </c>
      <c r="E13" s="39"/>
      <c r="F13" s="39"/>
      <c r="G13" s="39"/>
      <c r="H13" s="39"/>
      <c r="I13" s="39"/>
      <c r="J13" s="39"/>
      <c r="K13" s="39">
        <v>27651.386026</v>
      </c>
    </row>
    <row r="14" spans="1:11" x14ac:dyDescent="0.2">
      <c r="A14" s="98" t="s">
        <v>387</v>
      </c>
      <c r="B14" s="39">
        <v>17880.074562799997</v>
      </c>
      <c r="C14" s="39">
        <v>3482.6359015999997</v>
      </c>
      <c r="D14" s="39">
        <v>2719.8727356000013</v>
      </c>
      <c r="E14" s="39"/>
      <c r="F14" s="39"/>
      <c r="G14" s="39"/>
      <c r="H14" s="39"/>
      <c r="I14" s="39"/>
      <c r="J14" s="39"/>
      <c r="K14" s="39">
        <v>24082.583199999997</v>
      </c>
    </row>
    <row r="15" spans="1:11" x14ac:dyDescent="0.2">
      <c r="A15" s="98" t="s">
        <v>364</v>
      </c>
      <c r="B15" s="39"/>
      <c r="C15" s="39"/>
      <c r="D15" s="39">
        <v>3568.802826000001</v>
      </c>
      <c r="E15" s="39"/>
      <c r="F15" s="39"/>
      <c r="G15" s="39"/>
      <c r="H15" s="39"/>
      <c r="I15" s="39"/>
      <c r="J15" s="39"/>
      <c r="K15" s="39">
        <v>3568.802826000001</v>
      </c>
    </row>
    <row r="16" spans="1:11" x14ac:dyDescent="0.2">
      <c r="A16" s="86" t="s">
        <v>333</v>
      </c>
      <c r="B16" s="39">
        <v>3634.4906727999996</v>
      </c>
      <c r="C16" s="39">
        <v>433.8037076</v>
      </c>
      <c r="D16" s="39">
        <v>1233.6576044799999</v>
      </c>
      <c r="E16" s="39"/>
      <c r="F16" s="39"/>
      <c r="G16" s="39"/>
      <c r="H16" s="39"/>
      <c r="I16" s="39"/>
      <c r="J16" s="39"/>
      <c r="K16" s="39">
        <v>5301.9519848800001</v>
      </c>
    </row>
    <row r="17" spans="1:11" x14ac:dyDescent="0.2">
      <c r="A17" s="98" t="s">
        <v>387</v>
      </c>
      <c r="B17" s="39">
        <v>3634.4906727999996</v>
      </c>
      <c r="C17" s="39">
        <v>433.8037076</v>
      </c>
      <c r="D17" s="39">
        <v>531.61858319999988</v>
      </c>
      <c r="E17" s="39"/>
      <c r="F17" s="39"/>
      <c r="G17" s="39"/>
      <c r="H17" s="39"/>
      <c r="I17" s="39"/>
      <c r="J17" s="39"/>
      <c r="K17" s="39">
        <v>4599.9129635999998</v>
      </c>
    </row>
    <row r="18" spans="1:11" x14ac:dyDescent="0.2">
      <c r="A18" s="98" t="s">
        <v>364</v>
      </c>
      <c r="B18" s="39"/>
      <c r="C18" s="39"/>
      <c r="D18" s="39">
        <v>702.03902127999993</v>
      </c>
      <c r="E18" s="39"/>
      <c r="F18" s="39"/>
      <c r="G18" s="39"/>
      <c r="H18" s="39"/>
      <c r="I18" s="39"/>
      <c r="J18" s="39"/>
      <c r="K18" s="39">
        <v>702.03902127999993</v>
      </c>
    </row>
    <row r="19" spans="1:11" x14ac:dyDescent="0.2">
      <c r="A19" s="86" t="s">
        <v>350</v>
      </c>
      <c r="B19" s="39">
        <v>2353.2287291999996</v>
      </c>
      <c r="C19" s="39">
        <v>369.02942560000002</v>
      </c>
      <c r="D19" s="39">
        <v>807.66741359999992</v>
      </c>
      <c r="E19" s="39"/>
      <c r="F19" s="39"/>
      <c r="G19" s="39"/>
      <c r="H19" s="39"/>
      <c r="I19" s="39"/>
      <c r="J19" s="39"/>
      <c r="K19" s="39">
        <v>3529.9255684</v>
      </c>
    </row>
    <row r="20" spans="1:11" x14ac:dyDescent="0.2">
      <c r="A20" s="98" t="s">
        <v>387</v>
      </c>
      <c r="B20" s="39">
        <v>2353.2287291999996</v>
      </c>
      <c r="C20" s="39">
        <v>369.02942560000002</v>
      </c>
      <c r="D20" s="39">
        <v>348.33464519999995</v>
      </c>
      <c r="E20" s="39"/>
      <c r="F20" s="39"/>
      <c r="G20" s="39"/>
      <c r="H20" s="39"/>
      <c r="I20" s="39"/>
      <c r="J20" s="39"/>
      <c r="K20" s="39">
        <v>3070.5927999999999</v>
      </c>
    </row>
    <row r="21" spans="1:11" x14ac:dyDescent="0.2">
      <c r="A21" s="98" t="s">
        <v>364</v>
      </c>
      <c r="B21" s="39"/>
      <c r="C21" s="39"/>
      <c r="D21" s="39">
        <v>459.33276839999991</v>
      </c>
      <c r="E21" s="39"/>
      <c r="F21" s="39"/>
      <c r="G21" s="39"/>
      <c r="H21" s="39"/>
      <c r="I21" s="39"/>
      <c r="J21" s="39"/>
      <c r="K21" s="39">
        <v>459.33276839999991</v>
      </c>
    </row>
    <row r="22" spans="1:11" x14ac:dyDescent="0.2">
      <c r="A22" s="86" t="s">
        <v>438</v>
      </c>
      <c r="B22" s="39">
        <v>7737.6527763999993</v>
      </c>
      <c r="C22" s="39">
        <v>1515.1725975999998</v>
      </c>
      <c r="D22" s="39">
        <v>2720.1138151999999</v>
      </c>
      <c r="E22" s="39"/>
      <c r="F22" s="39"/>
      <c r="G22" s="39"/>
      <c r="H22" s="39"/>
      <c r="I22" s="39"/>
      <c r="J22" s="39"/>
      <c r="K22" s="39">
        <v>11972.939189199999</v>
      </c>
    </row>
    <row r="23" spans="1:11" x14ac:dyDescent="0.2">
      <c r="A23" s="98" t="s">
        <v>387</v>
      </c>
      <c r="B23" s="39">
        <v>7737.6527763999993</v>
      </c>
      <c r="C23" s="39">
        <v>1515.1725975999998</v>
      </c>
      <c r="D23" s="39">
        <v>1177.039426</v>
      </c>
      <c r="E23" s="39"/>
      <c r="F23" s="39"/>
      <c r="G23" s="39"/>
      <c r="H23" s="39"/>
      <c r="I23" s="39"/>
      <c r="J23" s="39"/>
      <c r="K23" s="39">
        <v>10429.864799999999</v>
      </c>
    </row>
    <row r="24" spans="1:11" x14ac:dyDescent="0.2">
      <c r="A24" s="98" t="s">
        <v>364</v>
      </c>
      <c r="B24" s="39"/>
      <c r="C24" s="39"/>
      <c r="D24" s="39">
        <v>1543.0743891999998</v>
      </c>
      <c r="E24" s="39"/>
      <c r="F24" s="39"/>
      <c r="G24" s="39"/>
      <c r="H24" s="39"/>
      <c r="I24" s="39"/>
      <c r="J24" s="39"/>
      <c r="K24" s="39">
        <v>1543.0743891999998</v>
      </c>
    </row>
    <row r="25" spans="1:11" x14ac:dyDescent="0.2">
      <c r="A25" s="65" t="s">
        <v>26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spans="1:11" x14ac:dyDescent="0.2">
      <c r="A26" s="66" t="s">
        <v>1467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</row>
    <row r="27" spans="1:11" x14ac:dyDescent="0.2">
      <c r="A27" s="85">
        <v>46081</v>
      </c>
      <c r="B27" s="39"/>
      <c r="C27" s="39"/>
      <c r="D27" s="39"/>
      <c r="E27" s="39">
        <v>36131.230179199993</v>
      </c>
      <c r="F27" s="39">
        <v>17750.204227199989</v>
      </c>
      <c r="G27" s="39"/>
      <c r="H27" s="39"/>
      <c r="I27" s="39"/>
      <c r="J27" s="39"/>
      <c r="K27" s="39">
        <v>53881.434406399982</v>
      </c>
    </row>
    <row r="28" spans="1:11" x14ac:dyDescent="0.2">
      <c r="A28" s="86" t="s">
        <v>354</v>
      </c>
      <c r="B28" s="39"/>
      <c r="C28" s="39"/>
      <c r="D28" s="39"/>
      <c r="E28" s="39">
        <v>4053.0565575999995</v>
      </c>
      <c r="F28" s="39">
        <v>1083.6805071999997</v>
      </c>
      <c r="G28" s="39"/>
      <c r="H28" s="39"/>
      <c r="I28" s="39"/>
      <c r="J28" s="39"/>
      <c r="K28" s="39">
        <v>5136.7370647999996</v>
      </c>
    </row>
    <row r="29" spans="1:11" x14ac:dyDescent="0.2">
      <c r="A29" s="98" t="s">
        <v>387</v>
      </c>
      <c r="B29" s="39"/>
      <c r="C29" s="39"/>
      <c r="D29" s="39"/>
      <c r="E29" s="39">
        <v>4053.0565575999995</v>
      </c>
      <c r="F29" s="39"/>
      <c r="G29" s="39"/>
      <c r="H29" s="39"/>
      <c r="I29" s="39"/>
      <c r="J29" s="39"/>
      <c r="K29" s="39">
        <v>4053.0565575999995</v>
      </c>
    </row>
    <row r="30" spans="1:11" x14ac:dyDescent="0.2">
      <c r="A30" s="98" t="s">
        <v>364</v>
      </c>
      <c r="B30" s="39"/>
      <c r="C30" s="39"/>
      <c r="D30" s="39"/>
      <c r="E30" s="39"/>
      <c r="F30" s="39">
        <v>1083.6805071999997</v>
      </c>
      <c r="G30" s="39"/>
      <c r="H30" s="39"/>
      <c r="I30" s="39"/>
      <c r="J30" s="39"/>
      <c r="K30" s="39">
        <v>1083.6805071999997</v>
      </c>
    </row>
    <row r="31" spans="1:11" x14ac:dyDescent="0.2">
      <c r="A31" s="86" t="s">
        <v>45</v>
      </c>
      <c r="B31" s="39"/>
      <c r="C31" s="39"/>
      <c r="D31" s="39"/>
      <c r="E31" s="39">
        <v>18101.595615199996</v>
      </c>
      <c r="F31" s="39">
        <v>9648.5613807999907</v>
      </c>
      <c r="G31" s="39"/>
      <c r="H31" s="39"/>
      <c r="I31" s="39"/>
      <c r="J31" s="39"/>
      <c r="K31" s="39">
        <v>27750.156995999987</v>
      </c>
    </row>
    <row r="32" spans="1:11" x14ac:dyDescent="0.2">
      <c r="A32" s="98" t="s">
        <v>387</v>
      </c>
      <c r="B32" s="39"/>
      <c r="C32" s="39"/>
      <c r="D32" s="39"/>
      <c r="E32" s="39">
        <v>18101.595615199996</v>
      </c>
      <c r="F32" s="39"/>
      <c r="G32" s="39"/>
      <c r="H32" s="39"/>
      <c r="I32" s="39"/>
      <c r="J32" s="39"/>
      <c r="K32" s="39">
        <v>18101.595615199996</v>
      </c>
    </row>
    <row r="33" spans="1:11" x14ac:dyDescent="0.2">
      <c r="A33" s="98" t="s">
        <v>364</v>
      </c>
      <c r="B33" s="39"/>
      <c r="C33" s="39"/>
      <c r="D33" s="39"/>
      <c r="E33" s="39"/>
      <c r="F33" s="39">
        <v>9648.5613807999907</v>
      </c>
      <c r="G33" s="39"/>
      <c r="H33" s="39"/>
      <c r="I33" s="39"/>
      <c r="J33" s="39"/>
      <c r="K33" s="39">
        <v>9648.5613807999907</v>
      </c>
    </row>
    <row r="34" spans="1:11" x14ac:dyDescent="0.2">
      <c r="A34" s="86" t="s">
        <v>333</v>
      </c>
      <c r="B34" s="39"/>
      <c r="C34" s="39"/>
      <c r="D34" s="39"/>
      <c r="E34" s="39">
        <v>3760.6778559999998</v>
      </c>
      <c r="F34" s="39">
        <v>1675.6057552</v>
      </c>
      <c r="G34" s="39"/>
      <c r="H34" s="39"/>
      <c r="I34" s="39"/>
      <c r="J34" s="39"/>
      <c r="K34" s="39">
        <v>5436.2836111999995</v>
      </c>
    </row>
    <row r="35" spans="1:11" x14ac:dyDescent="0.2">
      <c r="A35" s="98" t="s">
        <v>387</v>
      </c>
      <c r="B35" s="39"/>
      <c r="C35" s="39"/>
      <c r="D35" s="39"/>
      <c r="E35" s="39">
        <v>3760.6778559999998</v>
      </c>
      <c r="F35" s="39"/>
      <c r="G35" s="39"/>
      <c r="H35" s="39"/>
      <c r="I35" s="39"/>
      <c r="J35" s="39"/>
      <c r="K35" s="39">
        <v>3760.6778559999998</v>
      </c>
    </row>
    <row r="36" spans="1:11" x14ac:dyDescent="0.2">
      <c r="A36" s="98" t="s">
        <v>364</v>
      </c>
      <c r="B36" s="39"/>
      <c r="C36" s="39"/>
      <c r="D36" s="39"/>
      <c r="E36" s="39"/>
      <c r="F36" s="39">
        <v>1675.6057552</v>
      </c>
      <c r="G36" s="39"/>
      <c r="H36" s="39"/>
      <c r="I36" s="39"/>
      <c r="J36" s="39"/>
      <c r="K36" s="39">
        <v>1675.6057552</v>
      </c>
    </row>
    <row r="37" spans="1:11" x14ac:dyDescent="0.2">
      <c r="A37" s="86" t="s">
        <v>350</v>
      </c>
      <c r="B37" s="39"/>
      <c r="C37" s="39"/>
      <c r="D37" s="39"/>
      <c r="E37" s="39">
        <v>2382.3835127999996</v>
      </c>
      <c r="F37" s="39">
        <v>1160.1889007999998</v>
      </c>
      <c r="G37" s="39"/>
      <c r="H37" s="39"/>
      <c r="I37" s="39"/>
      <c r="J37" s="39"/>
      <c r="K37" s="39">
        <v>3542.5724135999994</v>
      </c>
    </row>
    <row r="38" spans="1:11" x14ac:dyDescent="0.2">
      <c r="A38" s="98" t="s">
        <v>387</v>
      </c>
      <c r="B38" s="39"/>
      <c r="C38" s="39"/>
      <c r="D38" s="39"/>
      <c r="E38" s="39">
        <v>2382.3835127999996</v>
      </c>
      <c r="F38" s="39"/>
      <c r="G38" s="39"/>
      <c r="H38" s="39"/>
      <c r="I38" s="39"/>
      <c r="J38" s="39"/>
      <c r="K38" s="39">
        <v>2382.3835127999996</v>
      </c>
    </row>
    <row r="39" spans="1:11" x14ac:dyDescent="0.2">
      <c r="A39" s="98" t="s">
        <v>364</v>
      </c>
      <c r="B39" s="39"/>
      <c r="C39" s="39"/>
      <c r="D39" s="39"/>
      <c r="E39" s="39"/>
      <c r="F39" s="39">
        <v>1160.1889007999998</v>
      </c>
      <c r="G39" s="39"/>
      <c r="H39" s="39"/>
      <c r="I39" s="39"/>
      <c r="J39" s="39"/>
      <c r="K39" s="39">
        <v>1160.1889007999998</v>
      </c>
    </row>
    <row r="40" spans="1:11" x14ac:dyDescent="0.2">
      <c r="A40" s="86" t="s">
        <v>438</v>
      </c>
      <c r="B40" s="39"/>
      <c r="C40" s="39"/>
      <c r="D40" s="39"/>
      <c r="E40" s="39">
        <v>7833.5166375999997</v>
      </c>
      <c r="F40" s="39">
        <v>4182.1676832000003</v>
      </c>
      <c r="G40" s="39"/>
      <c r="H40" s="39"/>
      <c r="I40" s="39"/>
      <c r="J40" s="39"/>
      <c r="K40" s="39">
        <v>12015.684320799999</v>
      </c>
    </row>
    <row r="41" spans="1:11" x14ac:dyDescent="0.2">
      <c r="A41" s="98" t="s">
        <v>387</v>
      </c>
      <c r="B41" s="39"/>
      <c r="C41" s="39"/>
      <c r="D41" s="39"/>
      <c r="E41" s="39">
        <v>7833.5166375999997</v>
      </c>
      <c r="F41" s="39"/>
      <c r="G41" s="39"/>
      <c r="H41" s="39"/>
      <c r="I41" s="39"/>
      <c r="J41" s="39"/>
      <c r="K41" s="39">
        <v>7833.5166375999997</v>
      </c>
    </row>
    <row r="42" spans="1:11" x14ac:dyDescent="0.2">
      <c r="A42" s="98" t="s">
        <v>364</v>
      </c>
      <c r="B42" s="39"/>
      <c r="C42" s="39"/>
      <c r="D42" s="39"/>
      <c r="E42" s="39"/>
      <c r="F42" s="39">
        <v>4182.1676832000003</v>
      </c>
      <c r="G42" s="39"/>
      <c r="H42" s="39"/>
      <c r="I42" s="39"/>
      <c r="J42" s="39"/>
      <c r="K42" s="39">
        <v>4182.1676832000003</v>
      </c>
    </row>
    <row r="43" spans="1:11" x14ac:dyDescent="0.2">
      <c r="A43" s="65" t="s">
        <v>27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</row>
    <row r="44" spans="1:11" x14ac:dyDescent="0.2">
      <c r="A44" s="66" t="s">
        <v>1462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</row>
    <row r="45" spans="1:11" x14ac:dyDescent="0.2">
      <c r="A45" s="85">
        <v>46112</v>
      </c>
      <c r="B45" s="39"/>
      <c r="C45" s="39"/>
      <c r="D45" s="39"/>
      <c r="E45" s="39"/>
      <c r="F45" s="39"/>
      <c r="G45" s="39">
        <v>41317.440268499995</v>
      </c>
      <c r="H45" s="39">
        <v>21760.066028249996</v>
      </c>
      <c r="I45" s="39"/>
      <c r="J45" s="39"/>
      <c r="K45" s="39">
        <v>63077.506296749991</v>
      </c>
    </row>
    <row r="46" spans="1:11" x14ac:dyDescent="0.2">
      <c r="A46" s="86" t="s">
        <v>354</v>
      </c>
      <c r="B46" s="39"/>
      <c r="C46" s="39"/>
      <c r="D46" s="39"/>
      <c r="E46" s="39"/>
      <c r="F46" s="39"/>
      <c r="G46" s="39">
        <v>5466.3565027499999</v>
      </c>
      <c r="H46" s="39">
        <v>1665.9499229999999</v>
      </c>
      <c r="I46" s="39"/>
      <c r="J46" s="39"/>
      <c r="K46" s="39">
        <v>7132.30642575</v>
      </c>
    </row>
    <row r="47" spans="1:11" x14ac:dyDescent="0.2">
      <c r="A47" s="98" t="s">
        <v>387</v>
      </c>
      <c r="B47" s="39"/>
      <c r="C47" s="39"/>
      <c r="D47" s="39"/>
      <c r="E47" s="39"/>
      <c r="F47" s="39"/>
      <c r="G47" s="39">
        <v>3315.9309727499999</v>
      </c>
      <c r="H47" s="39">
        <v>1500.6665272499999</v>
      </c>
      <c r="I47" s="39"/>
      <c r="J47" s="39"/>
      <c r="K47" s="39">
        <v>4816.5974999999999</v>
      </c>
    </row>
    <row r="48" spans="1:11" x14ac:dyDescent="0.2">
      <c r="A48" s="98" t="s">
        <v>1160</v>
      </c>
      <c r="B48" s="39"/>
      <c r="C48" s="39"/>
      <c r="D48" s="39"/>
      <c r="E48" s="39"/>
      <c r="F48" s="39"/>
      <c r="G48" s="39">
        <v>2150.42553</v>
      </c>
      <c r="H48" s="39"/>
      <c r="I48" s="39"/>
      <c r="J48" s="39"/>
      <c r="K48" s="39">
        <v>2150.42553</v>
      </c>
    </row>
    <row r="49" spans="1:11" x14ac:dyDescent="0.2">
      <c r="A49" s="98" t="s">
        <v>364</v>
      </c>
      <c r="B49" s="39"/>
      <c r="C49" s="39"/>
      <c r="D49" s="39"/>
      <c r="E49" s="39"/>
      <c r="F49" s="39"/>
      <c r="G49" s="39"/>
      <c r="H49" s="39">
        <v>165.28339575000001</v>
      </c>
      <c r="I49" s="39"/>
      <c r="J49" s="39"/>
      <c r="K49" s="39">
        <v>165.28339575000001</v>
      </c>
    </row>
    <row r="50" spans="1:11" x14ac:dyDescent="0.2">
      <c r="A50" s="86" t="s">
        <v>45</v>
      </c>
      <c r="B50" s="39"/>
      <c r="C50" s="39"/>
      <c r="D50" s="39"/>
      <c r="E50" s="39"/>
      <c r="F50" s="39"/>
      <c r="G50" s="39">
        <v>22211.554117499996</v>
      </c>
      <c r="H50" s="39">
        <v>12888.659148749997</v>
      </c>
      <c r="I50" s="39"/>
      <c r="J50" s="39"/>
      <c r="K50" s="39">
        <v>35100.213266249993</v>
      </c>
    </row>
    <row r="51" spans="1:11" x14ac:dyDescent="0.2">
      <c r="A51" s="98" t="s">
        <v>387</v>
      </c>
      <c r="B51" s="39"/>
      <c r="C51" s="39"/>
      <c r="D51" s="39"/>
      <c r="E51" s="39"/>
      <c r="F51" s="39"/>
      <c r="G51" s="39">
        <v>14963.192392499997</v>
      </c>
      <c r="H51" s="39">
        <v>8477.5821074999985</v>
      </c>
      <c r="I51" s="39"/>
      <c r="J51" s="39"/>
      <c r="K51" s="39">
        <v>23440.774499999996</v>
      </c>
    </row>
    <row r="52" spans="1:11" x14ac:dyDescent="0.2">
      <c r="A52" s="98" t="s">
        <v>1160</v>
      </c>
      <c r="B52" s="39"/>
      <c r="C52" s="39"/>
      <c r="D52" s="39"/>
      <c r="E52" s="39"/>
      <c r="F52" s="39"/>
      <c r="G52" s="39">
        <v>7248.3617249999998</v>
      </c>
      <c r="H52" s="39"/>
      <c r="I52" s="39"/>
      <c r="J52" s="39"/>
      <c r="K52" s="39">
        <v>7248.3617249999998</v>
      </c>
    </row>
    <row r="53" spans="1:11" x14ac:dyDescent="0.2">
      <c r="A53" s="98" t="s">
        <v>364</v>
      </c>
      <c r="B53" s="39"/>
      <c r="C53" s="39"/>
      <c r="D53" s="39"/>
      <c r="E53" s="39"/>
      <c r="F53" s="39"/>
      <c r="G53" s="39"/>
      <c r="H53" s="39">
        <v>4411.0770412499996</v>
      </c>
      <c r="I53" s="39"/>
      <c r="J53" s="39"/>
      <c r="K53" s="39">
        <v>4411.0770412499996</v>
      </c>
    </row>
    <row r="54" spans="1:11" x14ac:dyDescent="0.2">
      <c r="A54" s="86" t="s">
        <v>333</v>
      </c>
      <c r="B54" s="39"/>
      <c r="C54" s="39"/>
      <c r="D54" s="39"/>
      <c r="E54" s="39"/>
      <c r="F54" s="39"/>
      <c r="G54" s="39">
        <v>5056.3776037500002</v>
      </c>
      <c r="H54" s="39">
        <v>2756.2176427500003</v>
      </c>
      <c r="I54" s="39"/>
      <c r="J54" s="39"/>
      <c r="K54" s="39">
        <v>7812.5952465000009</v>
      </c>
    </row>
    <row r="55" spans="1:11" x14ac:dyDescent="0.2">
      <c r="A55" s="98" t="s">
        <v>387</v>
      </c>
      <c r="B55" s="39"/>
      <c r="C55" s="39"/>
      <c r="D55" s="39"/>
      <c r="E55" s="39"/>
      <c r="F55" s="39"/>
      <c r="G55" s="39">
        <v>2808.38509875</v>
      </c>
      <c r="H55" s="39">
        <v>1766.1475012500002</v>
      </c>
      <c r="I55" s="39"/>
      <c r="J55" s="39"/>
      <c r="K55" s="39">
        <v>4574.5326000000005</v>
      </c>
    </row>
    <row r="56" spans="1:11" x14ac:dyDescent="0.2">
      <c r="A56" s="98" t="s">
        <v>1160</v>
      </c>
      <c r="B56" s="39"/>
      <c r="C56" s="39"/>
      <c r="D56" s="39"/>
      <c r="E56" s="39"/>
      <c r="F56" s="39"/>
      <c r="G56" s="39">
        <v>2247.9925050000002</v>
      </c>
      <c r="H56" s="39"/>
      <c r="I56" s="39"/>
      <c r="J56" s="39"/>
      <c r="K56" s="39">
        <v>2247.9925050000002</v>
      </c>
    </row>
    <row r="57" spans="1:11" x14ac:dyDescent="0.2">
      <c r="A57" s="98" t="s">
        <v>364</v>
      </c>
      <c r="B57" s="39"/>
      <c r="C57" s="39"/>
      <c r="D57" s="39"/>
      <c r="E57" s="39"/>
      <c r="F57" s="39"/>
      <c r="G57" s="39"/>
      <c r="H57" s="39">
        <v>990.07014150000009</v>
      </c>
      <c r="I57" s="39"/>
      <c r="J57" s="39"/>
      <c r="K57" s="39">
        <v>990.07014150000009</v>
      </c>
    </row>
    <row r="58" spans="1:11" x14ac:dyDescent="0.2">
      <c r="A58" s="86" t="s">
        <v>350</v>
      </c>
      <c r="B58" s="39"/>
      <c r="C58" s="39"/>
      <c r="D58" s="39"/>
      <c r="E58" s="39"/>
      <c r="F58" s="39"/>
      <c r="G58" s="39">
        <v>2290.5144157499999</v>
      </c>
      <c r="H58" s="39">
        <v>1145.3374845000001</v>
      </c>
      <c r="I58" s="39"/>
      <c r="J58" s="39"/>
      <c r="K58" s="39">
        <v>3435.8519002499997</v>
      </c>
    </row>
    <row r="59" spans="1:11" x14ac:dyDescent="0.2">
      <c r="A59" s="98" t="s">
        <v>387</v>
      </c>
      <c r="B59" s="39"/>
      <c r="C59" s="39"/>
      <c r="D59" s="39"/>
      <c r="E59" s="39"/>
      <c r="F59" s="39"/>
      <c r="G59" s="39">
        <v>2290.5144157499999</v>
      </c>
      <c r="H59" s="39">
        <v>698.24608425000008</v>
      </c>
      <c r="I59" s="39"/>
      <c r="J59" s="39"/>
      <c r="K59" s="39">
        <v>2988.7604999999999</v>
      </c>
    </row>
    <row r="60" spans="1:11" x14ac:dyDescent="0.2">
      <c r="A60" s="98" t="s">
        <v>364</v>
      </c>
      <c r="B60" s="39"/>
      <c r="C60" s="39"/>
      <c r="D60" s="39"/>
      <c r="E60" s="39"/>
      <c r="F60" s="39"/>
      <c r="G60" s="39"/>
      <c r="H60" s="39">
        <v>447.09140024999999</v>
      </c>
      <c r="I60" s="39"/>
      <c r="J60" s="39"/>
      <c r="K60" s="39">
        <v>447.09140024999999</v>
      </c>
    </row>
    <row r="61" spans="1:11" x14ac:dyDescent="0.2">
      <c r="A61" s="86" t="s">
        <v>438</v>
      </c>
      <c r="B61" s="39"/>
      <c r="C61" s="39"/>
      <c r="D61" s="39"/>
      <c r="E61" s="39"/>
      <c r="F61" s="39"/>
      <c r="G61" s="39">
        <v>6292.6376287499988</v>
      </c>
      <c r="H61" s="39">
        <v>3303.90182925</v>
      </c>
      <c r="I61" s="39"/>
      <c r="J61" s="39"/>
      <c r="K61" s="39">
        <v>9596.5394579999993</v>
      </c>
    </row>
    <row r="62" spans="1:11" x14ac:dyDescent="0.2">
      <c r="A62" s="98" t="s">
        <v>387</v>
      </c>
      <c r="B62" s="39"/>
      <c r="C62" s="39"/>
      <c r="D62" s="39"/>
      <c r="E62" s="39"/>
      <c r="F62" s="39"/>
      <c r="G62" s="39">
        <v>5855.6857837499992</v>
      </c>
      <c r="H62" s="39">
        <v>2139.61906125</v>
      </c>
      <c r="I62" s="39"/>
      <c r="J62" s="39"/>
      <c r="K62" s="39">
        <v>7995.3048449999987</v>
      </c>
    </row>
    <row r="63" spans="1:11" x14ac:dyDescent="0.2">
      <c r="A63" s="98" t="s">
        <v>1160</v>
      </c>
      <c r="B63" s="39"/>
      <c r="C63" s="39"/>
      <c r="D63" s="39"/>
      <c r="E63" s="39"/>
      <c r="F63" s="39"/>
      <c r="G63" s="39">
        <v>436.95184499999999</v>
      </c>
      <c r="H63" s="39"/>
      <c r="I63" s="39"/>
      <c r="J63" s="39"/>
      <c r="K63" s="39">
        <v>436.95184499999999</v>
      </c>
    </row>
    <row r="64" spans="1:11" x14ac:dyDescent="0.2">
      <c r="A64" s="98" t="s">
        <v>364</v>
      </c>
      <c r="B64" s="39"/>
      <c r="C64" s="39"/>
      <c r="D64" s="39"/>
      <c r="E64" s="39"/>
      <c r="F64" s="39"/>
      <c r="G64" s="39"/>
      <c r="H64" s="39">
        <v>1164.282768</v>
      </c>
      <c r="I64" s="39"/>
      <c r="J64" s="39"/>
      <c r="K64" s="39">
        <v>1164.282768</v>
      </c>
    </row>
    <row r="65" spans="1:11" x14ac:dyDescent="0.2">
      <c r="A65" s="65" t="s">
        <v>36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</row>
    <row r="66" spans="1:11" x14ac:dyDescent="0.2">
      <c r="A66" s="66" t="s">
        <v>1464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</row>
    <row r="67" spans="1:11" x14ac:dyDescent="0.2">
      <c r="A67" s="85">
        <v>46142</v>
      </c>
      <c r="B67" s="39"/>
      <c r="C67" s="39"/>
      <c r="D67" s="39"/>
      <c r="E67" s="39"/>
      <c r="F67" s="39"/>
      <c r="G67" s="39"/>
      <c r="H67" s="39"/>
      <c r="I67" s="39">
        <v>32487.690782250003</v>
      </c>
      <c r="J67" s="39">
        <v>16484.97784725</v>
      </c>
      <c r="K67" s="39">
        <v>48972.668629499996</v>
      </c>
    </row>
    <row r="68" spans="1:11" x14ac:dyDescent="0.2">
      <c r="A68" s="86" t="s">
        <v>354</v>
      </c>
      <c r="B68" s="39"/>
      <c r="C68" s="39"/>
      <c r="D68" s="39"/>
      <c r="E68" s="39"/>
      <c r="F68" s="39"/>
      <c r="G68" s="39"/>
      <c r="H68" s="39"/>
      <c r="I68" s="39">
        <v>3896.7755805000002</v>
      </c>
      <c r="J68" s="39">
        <v>1041.87944025</v>
      </c>
      <c r="K68" s="39">
        <v>4938.6550207499995</v>
      </c>
    </row>
    <row r="69" spans="1:11" x14ac:dyDescent="0.2">
      <c r="A69" s="98" t="s">
        <v>387</v>
      </c>
      <c r="B69" s="39"/>
      <c r="C69" s="39"/>
      <c r="D69" s="39"/>
      <c r="E69" s="39"/>
      <c r="F69" s="39"/>
      <c r="G69" s="39"/>
      <c r="H69" s="39"/>
      <c r="I69" s="39">
        <v>3896.7755805000002</v>
      </c>
      <c r="J69" s="39">
        <v>919.82191950000004</v>
      </c>
      <c r="K69" s="39">
        <v>4816.5974999999999</v>
      </c>
    </row>
    <row r="70" spans="1:11" x14ac:dyDescent="0.2">
      <c r="A70" s="98" t="s">
        <v>364</v>
      </c>
      <c r="B70" s="39"/>
      <c r="C70" s="39"/>
      <c r="D70" s="39"/>
      <c r="E70" s="39"/>
      <c r="F70" s="39"/>
      <c r="G70" s="39"/>
      <c r="H70" s="39"/>
      <c r="I70" s="39"/>
      <c r="J70" s="39">
        <v>122.05752075000001</v>
      </c>
      <c r="K70" s="39">
        <v>122.05752075000001</v>
      </c>
    </row>
    <row r="71" spans="1:11" x14ac:dyDescent="0.2">
      <c r="A71" s="86" t="s">
        <v>45</v>
      </c>
      <c r="B71" s="39"/>
      <c r="C71" s="39"/>
      <c r="D71" s="39"/>
      <c r="E71" s="39"/>
      <c r="F71" s="39"/>
      <c r="G71" s="39"/>
      <c r="H71" s="39"/>
      <c r="I71" s="39">
        <v>18350.371957500003</v>
      </c>
      <c r="J71" s="39">
        <v>9990.0060727500022</v>
      </c>
      <c r="K71" s="39">
        <v>28340.378030250005</v>
      </c>
    </row>
    <row r="72" spans="1:11" x14ac:dyDescent="0.2">
      <c r="A72" s="98" t="s">
        <v>387</v>
      </c>
      <c r="B72" s="39"/>
      <c r="C72" s="39"/>
      <c r="D72" s="39"/>
      <c r="E72" s="39"/>
      <c r="F72" s="39"/>
      <c r="G72" s="39"/>
      <c r="H72" s="39"/>
      <c r="I72" s="39">
        <v>18350.371957500003</v>
      </c>
      <c r="J72" s="39">
        <v>6557.6122425000012</v>
      </c>
      <c r="K72" s="39">
        <v>24907.984200000006</v>
      </c>
    </row>
    <row r="73" spans="1:11" x14ac:dyDescent="0.2">
      <c r="A73" s="98" t="s">
        <v>364</v>
      </c>
      <c r="B73" s="39"/>
      <c r="C73" s="39"/>
      <c r="D73" s="39"/>
      <c r="E73" s="39"/>
      <c r="F73" s="39"/>
      <c r="G73" s="39"/>
      <c r="H73" s="39"/>
      <c r="I73" s="39"/>
      <c r="J73" s="39">
        <v>3432.3938302500005</v>
      </c>
      <c r="K73" s="39">
        <v>3432.3938302500005</v>
      </c>
    </row>
    <row r="74" spans="1:11" x14ac:dyDescent="0.2">
      <c r="A74" s="86" t="s">
        <v>333</v>
      </c>
      <c r="B74" s="39"/>
      <c r="C74" s="39"/>
      <c r="D74" s="39"/>
      <c r="E74" s="39"/>
      <c r="F74" s="39"/>
      <c r="G74" s="39"/>
      <c r="H74" s="39"/>
      <c r="I74" s="39">
        <v>2436.7537260000004</v>
      </c>
      <c r="J74" s="39">
        <v>1230.54185925</v>
      </c>
      <c r="K74" s="39">
        <v>3667.2955852500004</v>
      </c>
    </row>
    <row r="75" spans="1:11" x14ac:dyDescent="0.2">
      <c r="A75" s="98" t="s">
        <v>387</v>
      </c>
      <c r="B75" s="39"/>
      <c r="C75" s="39"/>
      <c r="D75" s="39"/>
      <c r="E75" s="39"/>
      <c r="F75" s="39"/>
      <c r="G75" s="39"/>
      <c r="H75" s="39"/>
      <c r="I75" s="39">
        <v>2436.7537260000004</v>
      </c>
      <c r="J75" s="39">
        <v>783.20345400000008</v>
      </c>
      <c r="K75" s="39">
        <v>3219.9571800000003</v>
      </c>
    </row>
    <row r="76" spans="1:11" x14ac:dyDescent="0.2">
      <c r="A76" s="98" t="s">
        <v>364</v>
      </c>
      <c r="B76" s="39"/>
      <c r="C76" s="39"/>
      <c r="D76" s="39"/>
      <c r="E76" s="39"/>
      <c r="F76" s="39"/>
      <c r="G76" s="39"/>
      <c r="H76" s="39"/>
      <c r="I76" s="39"/>
      <c r="J76" s="39">
        <v>447.33840525000005</v>
      </c>
      <c r="K76" s="39">
        <v>447.33840525000005</v>
      </c>
    </row>
    <row r="77" spans="1:11" x14ac:dyDescent="0.2">
      <c r="A77" s="86" t="s">
        <v>350</v>
      </c>
      <c r="B77" s="39"/>
      <c r="C77" s="39"/>
      <c r="D77" s="39"/>
      <c r="E77" s="39"/>
      <c r="F77" s="39"/>
      <c r="G77" s="39"/>
      <c r="H77" s="39"/>
      <c r="I77" s="39">
        <v>2290.5267660000004</v>
      </c>
      <c r="J77" s="39">
        <v>1115.4375292500001</v>
      </c>
      <c r="K77" s="39">
        <v>3405.9642952500003</v>
      </c>
    </row>
    <row r="78" spans="1:11" x14ac:dyDescent="0.2">
      <c r="A78" s="98" t="s">
        <v>387</v>
      </c>
      <c r="B78" s="39"/>
      <c r="C78" s="39"/>
      <c r="D78" s="39"/>
      <c r="E78" s="39"/>
      <c r="F78" s="39"/>
      <c r="G78" s="39"/>
      <c r="H78" s="39"/>
      <c r="I78" s="39">
        <v>2290.5267660000004</v>
      </c>
      <c r="J78" s="39">
        <v>698.23373400000014</v>
      </c>
      <c r="K78" s="39">
        <v>2988.7605000000003</v>
      </c>
    </row>
    <row r="79" spans="1:11" x14ac:dyDescent="0.2">
      <c r="A79" s="98" t="s">
        <v>364</v>
      </c>
      <c r="B79" s="39"/>
      <c r="C79" s="39"/>
      <c r="D79" s="39"/>
      <c r="E79" s="39"/>
      <c r="F79" s="39"/>
      <c r="G79" s="39"/>
      <c r="H79" s="39"/>
      <c r="I79" s="39"/>
      <c r="J79" s="39">
        <v>417.20379524999998</v>
      </c>
      <c r="K79" s="39">
        <v>417.20379524999998</v>
      </c>
    </row>
    <row r="80" spans="1:11" x14ac:dyDescent="0.2">
      <c r="A80" s="86" t="s">
        <v>438</v>
      </c>
      <c r="B80" s="39"/>
      <c r="C80" s="39"/>
      <c r="D80" s="39"/>
      <c r="E80" s="39"/>
      <c r="F80" s="39"/>
      <c r="G80" s="39"/>
      <c r="H80" s="39"/>
      <c r="I80" s="39">
        <v>5513.2627522499997</v>
      </c>
      <c r="J80" s="39">
        <v>3107.1129457500001</v>
      </c>
      <c r="K80" s="39">
        <v>8620.3756979999998</v>
      </c>
    </row>
    <row r="81" spans="1:11" x14ac:dyDescent="0.2">
      <c r="A81" s="98" t="s">
        <v>387</v>
      </c>
      <c r="B81" s="39"/>
      <c r="C81" s="39"/>
      <c r="D81" s="39"/>
      <c r="E81" s="39"/>
      <c r="F81" s="39"/>
      <c r="G81" s="39"/>
      <c r="H81" s="39"/>
      <c r="I81" s="39">
        <v>5513.2627522499997</v>
      </c>
      <c r="J81" s="39">
        <v>2068.80272775</v>
      </c>
      <c r="K81" s="39">
        <v>7582.0654799999993</v>
      </c>
    </row>
    <row r="82" spans="1:11" x14ac:dyDescent="0.2">
      <c r="A82" s="98" t="s">
        <v>364</v>
      </c>
      <c r="B82" s="39"/>
      <c r="C82" s="39"/>
      <c r="D82" s="39"/>
      <c r="E82" s="39"/>
      <c r="F82" s="39"/>
      <c r="G82" s="39"/>
      <c r="H82" s="39"/>
      <c r="I82" s="39"/>
      <c r="J82" s="39">
        <v>1038.3102179999998</v>
      </c>
      <c r="K82" s="39">
        <v>1038.3102179999998</v>
      </c>
    </row>
    <row r="83" spans="1:11" x14ac:dyDescent="0.2">
      <c r="A83" s="65" t="s">
        <v>19</v>
      </c>
      <c r="B83" s="39">
        <v>35608.903397599999</v>
      </c>
      <c r="C83" s="39">
        <v>6639.141857999999</v>
      </c>
      <c r="D83" s="39">
        <v>11282.032970080001</v>
      </c>
      <c r="E83" s="39">
        <v>36131.230179199993</v>
      </c>
      <c r="F83" s="39">
        <v>17750.204227199989</v>
      </c>
      <c r="G83" s="39">
        <v>41317.440268499995</v>
      </c>
      <c r="H83" s="39">
        <v>21760.066028249996</v>
      </c>
      <c r="I83" s="39">
        <v>32487.690782250003</v>
      </c>
      <c r="J83" s="39">
        <v>16484.97784725</v>
      </c>
      <c r="K83" s="39">
        <v>219461.68755833001</v>
      </c>
    </row>
  </sheetData>
  <pageMargins left="0.7" right="0.7" top="0.75" bottom="0.75" header="0.3" footer="0.3"/>
  <pageSetup scale="46" orientation="landscape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887E-5358-4DAD-9DC7-76C512EF0AAD}">
  <dimension ref="A1:AM521"/>
  <sheetViews>
    <sheetView topLeftCell="A441" zoomScale="90" zoomScaleNormal="90" workbookViewId="0">
      <selection activeCell="H498" sqref="H498"/>
    </sheetView>
  </sheetViews>
  <sheetFormatPr defaultRowHeight="12.75" x14ac:dyDescent="0.2"/>
  <cols>
    <col min="1" max="1" width="10.5703125" customWidth="1"/>
    <col min="2" max="2" width="15.5703125" customWidth="1"/>
    <col min="3" max="3" width="20" bestFit="1" customWidth="1"/>
    <col min="4" max="4" width="34.85546875" bestFit="1" customWidth="1"/>
    <col min="5" max="5" width="8" bestFit="1" customWidth="1"/>
    <col min="6" max="6" width="10" style="37" bestFit="1" customWidth="1"/>
    <col min="7" max="7" width="13.42578125" bestFit="1" customWidth="1"/>
    <col min="8" max="8" width="19.140625" bestFit="1" customWidth="1"/>
    <col min="9" max="9" width="11.7109375" bestFit="1" customWidth="1"/>
    <col min="10" max="10" width="16" bestFit="1" customWidth="1"/>
    <col min="11" max="11" width="14.7109375" bestFit="1" customWidth="1"/>
    <col min="12" max="12" width="15.42578125" bestFit="1" customWidth="1"/>
    <col min="16" max="16" width="27.5703125" bestFit="1" customWidth="1"/>
    <col min="17" max="17" width="14.85546875" bestFit="1" customWidth="1"/>
    <col min="18" max="20" width="10" bestFit="1" customWidth="1"/>
    <col min="21" max="21" width="11" bestFit="1" customWidth="1"/>
    <col min="24" max="24" width="27.5703125" bestFit="1" customWidth="1"/>
    <col min="25" max="25" width="14.85546875" bestFit="1" customWidth="1"/>
    <col min="26" max="29" width="10" bestFit="1" customWidth="1"/>
    <col min="30" max="30" width="11" bestFit="1" customWidth="1"/>
    <col min="31" max="33" width="10" bestFit="1" customWidth="1"/>
    <col min="34" max="34" width="11" bestFit="1" customWidth="1"/>
    <col min="38" max="38" width="34.85546875" bestFit="1" customWidth="1"/>
    <col min="39" max="39" width="16.5703125" bestFit="1" customWidth="1"/>
  </cols>
  <sheetData>
    <row r="1" spans="1:39" x14ac:dyDescent="0.2">
      <c r="A1" s="83" t="s">
        <v>43</v>
      </c>
      <c r="B1" s="83" t="s">
        <v>1468</v>
      </c>
      <c r="C1" s="83" t="s">
        <v>1469</v>
      </c>
      <c r="D1" s="83" t="s">
        <v>1470</v>
      </c>
      <c r="E1" s="83" t="s">
        <v>70</v>
      </c>
      <c r="F1" s="84" t="s">
        <v>1471</v>
      </c>
      <c r="G1" s="84" t="s">
        <v>72</v>
      </c>
      <c r="H1" s="88" t="s">
        <v>1082</v>
      </c>
      <c r="I1" s="83" t="s">
        <v>1122</v>
      </c>
      <c r="J1" s="23" t="s">
        <v>64</v>
      </c>
      <c r="K1" s="23" t="s">
        <v>67</v>
      </c>
      <c r="L1" s="23" t="s">
        <v>44</v>
      </c>
      <c r="P1" t="s">
        <v>1472</v>
      </c>
      <c r="X1" t="s">
        <v>1473</v>
      </c>
      <c r="AL1" s="83" t="s">
        <v>1470</v>
      </c>
      <c r="AM1" s="83" t="s">
        <v>67</v>
      </c>
    </row>
    <row r="2" spans="1:39" x14ac:dyDescent="0.2">
      <c r="A2" t="s">
        <v>2</v>
      </c>
      <c r="B2" s="38">
        <v>46053</v>
      </c>
      <c r="C2" s="38">
        <v>46052</v>
      </c>
      <c r="D2" t="s">
        <v>1125</v>
      </c>
      <c r="E2" t="s">
        <v>82</v>
      </c>
      <c r="F2" s="37">
        <v>18018.849999999999</v>
      </c>
      <c r="G2" s="39" cm="1">
        <f t="array" ref="G2">F2*_xlfn.XLOOKUP(1,
 (FOREX!$E$2:$E$13=EOMONTH(B2,0))*
 (FOREX!$F$2:$F$13=TRIM(E2)),FOREX!$G$2:$G$13,
 100)</f>
        <v>4572.6075267999995</v>
      </c>
      <c r="H2" t="s">
        <v>386</v>
      </c>
      <c r="I2" t="s">
        <v>387</v>
      </c>
      <c r="J2" s="35" t="str">
        <f>_xlfn.XLOOKUP(I2,costcategory[Account Code],costcategory[Cost Category],"ERROR")</f>
        <v>Headcount Costs</v>
      </c>
      <c r="K2" s="89" t="str">
        <f>_xlfn.XLOOKUP(D2,$AL$2:$AL$22,$AM$2:$AM$22,"ERROR")</f>
        <v>Sales &amp; Pre-Sales</v>
      </c>
      <c r="L2" s="89" t="str">
        <f>_xlfn.XLOOKUP(K2,Table2[Department],Table2[Group],"ERROR")</f>
        <v>Sales &amp; Marketing</v>
      </c>
      <c r="P2" s="64" t="s">
        <v>11</v>
      </c>
      <c r="Q2" s="64" t="s">
        <v>40</v>
      </c>
      <c r="X2" s="64" t="s">
        <v>11</v>
      </c>
      <c r="Y2" s="64" t="s">
        <v>40</v>
      </c>
      <c r="AL2" t="s">
        <v>1125</v>
      </c>
      <c r="AM2" t="s">
        <v>438</v>
      </c>
    </row>
    <row r="3" spans="1:39" x14ac:dyDescent="0.2">
      <c r="A3" t="s">
        <v>2</v>
      </c>
      <c r="B3" s="38">
        <v>46053</v>
      </c>
      <c r="C3" s="38">
        <v>46052</v>
      </c>
      <c r="D3" t="s">
        <v>1127</v>
      </c>
      <c r="E3" t="s">
        <v>82</v>
      </c>
      <c r="F3" s="37">
        <v>3976.15</v>
      </c>
      <c r="G3" s="39" cm="1">
        <f t="array" ref="G3">F3*_xlfn.XLOOKUP(1,
 (FOREX!$E$2:$E$13=EOMONTH(B3,0))*
 (FOREX!$F$2:$F$13=TRIM(E3)),FOREX!$G$2:$G$13,
 100)</f>
        <v>1009.0196332</v>
      </c>
      <c r="H3" t="s">
        <v>386</v>
      </c>
      <c r="I3" t="s">
        <v>387</v>
      </c>
      <c r="J3" s="35" t="str">
        <f>_xlfn.XLOOKUP(I3,costcategory[Account Code],costcategory[Cost Category],"ERROR")</f>
        <v>Headcount Costs</v>
      </c>
      <c r="K3" s="89" t="str">
        <f t="shared" ref="K3:K22" si="0">_xlfn.XLOOKUP(D3,$AL$2:$AL$22,$AM$2:$AM$22,"ERROR")</f>
        <v>DSC</v>
      </c>
      <c r="L3" s="89" t="str">
        <f>_xlfn.XLOOKUP(K3,Table2[Department],Table2[Group],"ERROR")</f>
        <v>DSC</v>
      </c>
      <c r="Q3" t="s">
        <v>9</v>
      </c>
      <c r="R3" t="s">
        <v>26</v>
      </c>
      <c r="S3" t="s">
        <v>27</v>
      </c>
      <c r="T3" t="s">
        <v>36</v>
      </c>
      <c r="U3" t="s">
        <v>19</v>
      </c>
      <c r="Y3" t="s">
        <v>9</v>
      </c>
      <c r="Z3" t="s">
        <v>26</v>
      </c>
      <c r="AA3" t="s">
        <v>27</v>
      </c>
      <c r="AB3" t="s">
        <v>36</v>
      </c>
      <c r="AC3" t="s">
        <v>12</v>
      </c>
      <c r="AD3" t="s">
        <v>19</v>
      </c>
      <c r="AL3" t="s">
        <v>1127</v>
      </c>
      <c r="AM3" t="s">
        <v>45</v>
      </c>
    </row>
    <row r="4" spans="1:39" x14ac:dyDescent="0.2">
      <c r="A4" t="s">
        <v>2</v>
      </c>
      <c r="B4" s="38">
        <v>46053</v>
      </c>
      <c r="C4" s="38">
        <v>46052</v>
      </c>
      <c r="D4" t="s">
        <v>1128</v>
      </c>
      <c r="E4" t="s">
        <v>82</v>
      </c>
      <c r="F4" s="37">
        <v>8249.15</v>
      </c>
      <c r="G4" s="39" cm="1">
        <f t="array" ref="G4">F4*_xlfn.XLOOKUP(1,
 (FOREX!$E$2:$E$13=EOMONTH(B4,0))*
 (FOREX!$F$2:$F$13=TRIM(E4)),FOREX!$G$2:$G$13,
 100)</f>
        <v>2093.3702971999996</v>
      </c>
      <c r="H4" t="s">
        <v>386</v>
      </c>
      <c r="I4" t="s">
        <v>387</v>
      </c>
      <c r="J4" s="35" t="str">
        <f>_xlfn.XLOOKUP(I4,costcategory[Account Code],costcategory[Cost Category],"ERROR")</f>
        <v>Headcount Costs</v>
      </c>
      <c r="K4" s="89" t="str">
        <f t="shared" si="0"/>
        <v>Sales &amp; Pre-Sales</v>
      </c>
      <c r="L4" s="89" t="str">
        <f>_xlfn.XLOOKUP(K4,Table2[Department],Table2[Group],"ERROR")</f>
        <v>Sales &amp; Marketing</v>
      </c>
      <c r="AL4" t="s">
        <v>1128</v>
      </c>
      <c r="AM4" t="s">
        <v>438</v>
      </c>
    </row>
    <row r="5" spans="1:39" x14ac:dyDescent="0.2">
      <c r="A5" t="s">
        <v>2</v>
      </c>
      <c r="B5" s="38">
        <v>46053</v>
      </c>
      <c r="C5" s="38">
        <v>46052</v>
      </c>
      <c r="D5" t="s">
        <v>1129</v>
      </c>
      <c r="E5" t="s">
        <v>82</v>
      </c>
      <c r="F5" s="37">
        <v>4223.05</v>
      </c>
      <c r="G5" s="39" cm="1">
        <f t="array" ref="G5">F5*_xlfn.XLOOKUP(1,
 (FOREX!$E$2:$E$13=EOMONTH(B5,0))*
 (FOREX!$F$2:$F$13=TRIM(E5)),FOREX!$G$2:$G$13,
 100)</f>
        <v>1071.6749523999999</v>
      </c>
      <c r="H5" t="s">
        <v>386</v>
      </c>
      <c r="I5" t="s">
        <v>387</v>
      </c>
      <c r="J5" s="35" t="str">
        <f>_xlfn.XLOOKUP(I5,costcategory[Account Code],costcategory[Cost Category],"ERROR")</f>
        <v>Headcount Costs</v>
      </c>
      <c r="K5" s="89" t="str">
        <f t="shared" si="0"/>
        <v>Sales &amp; Pre-Sales</v>
      </c>
      <c r="L5" s="89" t="str">
        <f>_xlfn.XLOOKUP(K5,Table2[Department],Table2[Group],"ERROR")</f>
        <v>Sales &amp; Marketing</v>
      </c>
      <c r="P5" s="64" t="s">
        <v>65</v>
      </c>
      <c r="X5" s="64" t="s">
        <v>65</v>
      </c>
      <c r="AL5" t="s">
        <v>1129</v>
      </c>
      <c r="AM5" t="s">
        <v>438</v>
      </c>
    </row>
    <row r="6" spans="1:39" x14ac:dyDescent="0.2">
      <c r="A6" t="s">
        <v>2</v>
      </c>
      <c r="B6" s="38">
        <v>46053</v>
      </c>
      <c r="C6" s="38">
        <v>46052</v>
      </c>
      <c r="D6" t="s">
        <v>1131</v>
      </c>
      <c r="E6" t="s">
        <v>82</v>
      </c>
      <c r="F6" s="37">
        <v>9273.15</v>
      </c>
      <c r="G6" s="39" cm="1">
        <f t="array" ref="G6">F6*_xlfn.XLOOKUP(1,
 (FOREX!$E$2:$E$13=EOMONTH(B6,0))*
 (FOREX!$F$2:$F$13=TRIM(E6)),FOREX!$G$2:$G$13,
 100)</f>
        <v>2353.2287291999996</v>
      </c>
      <c r="H6" t="s">
        <v>386</v>
      </c>
      <c r="I6" t="s">
        <v>387</v>
      </c>
      <c r="J6" s="35" t="str">
        <f>_xlfn.XLOOKUP(I6,costcategory[Account Code],costcategory[Cost Category],"ERROR")</f>
        <v>Headcount Costs</v>
      </c>
      <c r="K6" s="89" t="str">
        <f t="shared" si="0"/>
        <v>HR</v>
      </c>
      <c r="L6" s="89" t="str">
        <f>_xlfn.XLOOKUP(K6,Table2[Department],Table2[Group],"ERROR")</f>
        <v>General &amp; Administrative</v>
      </c>
      <c r="P6" s="65" t="s">
        <v>45</v>
      </c>
      <c r="Q6" s="39">
        <v>27651.386025999993</v>
      </c>
      <c r="R6" s="39">
        <v>27750.156995999987</v>
      </c>
      <c r="S6" s="39">
        <v>35100.213266250001</v>
      </c>
      <c r="T6" s="39">
        <v>28340.378030250009</v>
      </c>
      <c r="U6" s="39">
        <v>118842.13431849999</v>
      </c>
      <c r="X6" s="65" t="s">
        <v>45</v>
      </c>
      <c r="Y6" s="39">
        <v>17880.074562799997</v>
      </c>
      <c r="Z6" s="39">
        <v>27872.9070784</v>
      </c>
      <c r="AA6" s="39">
        <v>31860.115498299987</v>
      </c>
      <c r="AB6" s="39">
        <v>31239.031106249997</v>
      </c>
      <c r="AC6" s="39">
        <v>9990.0060727500022</v>
      </c>
      <c r="AD6" s="39">
        <v>118842.13431849999</v>
      </c>
      <c r="AL6" t="s">
        <v>1131</v>
      </c>
      <c r="AM6" t="s">
        <v>350</v>
      </c>
    </row>
    <row r="7" spans="1:39" x14ac:dyDescent="0.2">
      <c r="A7" t="s">
        <v>2</v>
      </c>
      <c r="B7" s="38">
        <v>46053</v>
      </c>
      <c r="C7" s="38">
        <v>46052</v>
      </c>
      <c r="D7" t="s">
        <v>1133</v>
      </c>
      <c r="E7" t="s">
        <v>82</v>
      </c>
      <c r="F7" s="37">
        <v>9469.15</v>
      </c>
      <c r="G7" s="39" cm="1">
        <f t="array" ref="G7">F7*_xlfn.XLOOKUP(1,
 (FOREX!$E$2:$E$13=EOMONTH(B7,0))*
 (FOREX!$F$2:$F$13=TRIM(E7)),FOREX!$G$2:$G$13,
 100)</f>
        <v>2402.9672571999999</v>
      </c>
      <c r="H7" t="s">
        <v>386</v>
      </c>
      <c r="I7" t="s">
        <v>387</v>
      </c>
      <c r="J7" s="35" t="str">
        <f>_xlfn.XLOOKUP(I7,costcategory[Account Code],costcategory[Cost Category],"ERROR")</f>
        <v>Headcount Costs</v>
      </c>
      <c r="K7" s="89" t="str">
        <f t="shared" si="0"/>
        <v>Finance</v>
      </c>
      <c r="L7" s="89" t="str">
        <f>_xlfn.XLOOKUP(K7,Table2[Department],Table2[Group],"ERROR")</f>
        <v>General &amp; Administrative</v>
      </c>
      <c r="P7" s="66" t="s">
        <v>45</v>
      </c>
      <c r="Q7" s="39">
        <v>27651.386025999993</v>
      </c>
      <c r="R7" s="39">
        <v>27750.156995999987</v>
      </c>
      <c r="S7" s="39">
        <v>35100.213266250001</v>
      </c>
      <c r="T7" s="39">
        <v>28340.378030250009</v>
      </c>
      <c r="U7" s="39">
        <v>118842.13431849999</v>
      </c>
      <c r="X7" s="66" t="s">
        <v>45</v>
      </c>
      <c r="Y7" s="39">
        <v>17880.074562799997</v>
      </c>
      <c r="Z7" s="39">
        <v>27872.9070784</v>
      </c>
      <c r="AA7" s="39">
        <v>31860.115498299987</v>
      </c>
      <c r="AB7" s="39">
        <v>31239.031106249997</v>
      </c>
      <c r="AC7" s="39">
        <v>9990.0060727500022</v>
      </c>
      <c r="AD7" s="39">
        <v>118842.13431849999</v>
      </c>
      <c r="AL7" t="s">
        <v>1133</v>
      </c>
      <c r="AM7" t="s">
        <v>333</v>
      </c>
    </row>
    <row r="8" spans="1:39" x14ac:dyDescent="0.2">
      <c r="A8" t="s">
        <v>2</v>
      </c>
      <c r="B8" s="38">
        <v>46053</v>
      </c>
      <c r="C8" s="38">
        <v>46052</v>
      </c>
      <c r="D8" t="s">
        <v>1134</v>
      </c>
      <c r="E8" t="s">
        <v>82</v>
      </c>
      <c r="F8" s="37">
        <v>17378.849999999999</v>
      </c>
      <c r="G8" s="39" cm="1">
        <f t="array" ref="G8">F8*_xlfn.XLOOKUP(1,
 (FOREX!$E$2:$E$13=EOMONTH(B8,0))*
 (FOREX!$F$2:$F$13=TRIM(E8)),FOREX!$G$2:$G$13,
 100)</f>
        <v>4410.1960067999999</v>
      </c>
      <c r="H8" t="s">
        <v>386</v>
      </c>
      <c r="I8" t="s">
        <v>387</v>
      </c>
      <c r="J8" s="35" t="str">
        <f>_xlfn.XLOOKUP(I8,costcategory[Account Code],costcategory[Cost Category],"ERROR")</f>
        <v>Headcount Costs</v>
      </c>
      <c r="K8" s="89" t="str">
        <f t="shared" si="0"/>
        <v>DSC</v>
      </c>
      <c r="L8" s="89" t="str">
        <f>_xlfn.XLOOKUP(K8,Table2[Department],Table2[Group],"ERROR")</f>
        <v>DSC</v>
      </c>
      <c r="P8" s="87" t="s">
        <v>387</v>
      </c>
      <c r="Q8" s="39">
        <v>24082.583199999994</v>
      </c>
      <c r="R8" s="39">
        <v>18101.595615199996</v>
      </c>
      <c r="S8" s="39">
        <v>23440.774500000003</v>
      </c>
      <c r="T8" s="39">
        <v>24907.98420000001</v>
      </c>
      <c r="U8" s="39">
        <v>90532.937515199999</v>
      </c>
      <c r="X8" s="87" t="s">
        <v>387</v>
      </c>
      <c r="Y8" s="39">
        <v>17880.074562799997</v>
      </c>
      <c r="Z8" s="39">
        <v>24304.104252399997</v>
      </c>
      <c r="AA8" s="39">
        <v>14963.192392499997</v>
      </c>
      <c r="AB8" s="39">
        <v>26827.954064999998</v>
      </c>
      <c r="AC8" s="39">
        <v>6557.6122425000012</v>
      </c>
      <c r="AD8" s="39">
        <v>90532.937515199999</v>
      </c>
      <c r="AL8" t="s">
        <v>1134</v>
      </c>
      <c r="AM8" t="s">
        <v>45</v>
      </c>
    </row>
    <row r="9" spans="1:39" x14ac:dyDescent="0.2">
      <c r="A9" t="s">
        <v>2</v>
      </c>
      <c r="B9" s="38">
        <v>46053</v>
      </c>
      <c r="C9" s="38">
        <v>46052</v>
      </c>
      <c r="D9" t="s">
        <v>1136</v>
      </c>
      <c r="E9" t="s">
        <v>82</v>
      </c>
      <c r="F9" s="37">
        <v>11426.85</v>
      </c>
      <c r="G9" s="39" cm="1">
        <f t="array" ref="G9">F9*_xlfn.XLOOKUP(1,
 (FOREX!$E$2:$E$13=EOMONTH(B9,0))*
 (FOREX!$F$2:$F$13=TRIM(E9)),FOREX!$G$2:$G$13,
 100)</f>
        <v>2899.7688708000001</v>
      </c>
      <c r="H9" t="s">
        <v>386</v>
      </c>
      <c r="I9" t="s">
        <v>387</v>
      </c>
      <c r="J9" s="35" t="str">
        <f>_xlfn.XLOOKUP(I9,costcategory[Account Code],costcategory[Cost Category],"ERROR")</f>
        <v>Headcount Costs</v>
      </c>
      <c r="K9" s="89" t="str">
        <f t="shared" si="0"/>
        <v>DSC</v>
      </c>
      <c r="L9" s="89" t="str">
        <f>_xlfn.XLOOKUP(K9,Table2[Department],Table2[Group],"ERROR")</f>
        <v>DSC</v>
      </c>
      <c r="P9" s="87" t="s">
        <v>1160</v>
      </c>
      <c r="Q9" s="39"/>
      <c r="R9" s="39"/>
      <c r="S9" s="39">
        <v>7248.3617249999998</v>
      </c>
      <c r="T9" s="39"/>
      <c r="U9" s="39">
        <v>7248.3617249999998</v>
      </c>
      <c r="X9" s="87" t="s">
        <v>1160</v>
      </c>
      <c r="Y9" s="39"/>
      <c r="Z9" s="39"/>
      <c r="AA9" s="39">
        <v>7248.3617249999998</v>
      </c>
      <c r="AB9" s="39"/>
      <c r="AC9" s="39"/>
      <c r="AD9" s="39">
        <v>7248.3617249999998</v>
      </c>
      <c r="AL9" t="s">
        <v>1136</v>
      </c>
      <c r="AM9" t="s">
        <v>45</v>
      </c>
    </row>
    <row r="10" spans="1:39" x14ac:dyDescent="0.2">
      <c r="A10" t="s">
        <v>2</v>
      </c>
      <c r="B10" s="38">
        <v>46053</v>
      </c>
      <c r="C10" s="38">
        <v>46052</v>
      </c>
      <c r="D10" t="s">
        <v>1137</v>
      </c>
      <c r="E10" t="s">
        <v>82</v>
      </c>
      <c r="F10" s="37">
        <v>4781.6499999999996</v>
      </c>
      <c r="G10" s="39" cm="1">
        <f t="array" ref="G10">F10*_xlfn.XLOOKUP(1,
 (FOREX!$E$2:$E$13=EOMONTH(B10,0))*
 (FOREX!$F$2:$F$13=TRIM(E10)),FOREX!$G$2:$G$13,
 100)</f>
        <v>1213.4297571999998</v>
      </c>
      <c r="H10" t="s">
        <v>386</v>
      </c>
      <c r="I10" t="s">
        <v>387</v>
      </c>
      <c r="J10" s="35" t="str">
        <f>_xlfn.XLOOKUP(I10,costcategory[Account Code],costcategory[Cost Category],"ERROR")</f>
        <v>Headcount Costs</v>
      </c>
      <c r="K10" s="89" t="str">
        <f t="shared" si="0"/>
        <v>DSC</v>
      </c>
      <c r="L10" s="89" t="str">
        <f>_xlfn.XLOOKUP(K10,Table2[Department],Table2[Group],"ERROR")</f>
        <v>DSC</v>
      </c>
      <c r="P10" s="87" t="s">
        <v>364</v>
      </c>
      <c r="Q10" s="39">
        <v>3568.802826000001</v>
      </c>
      <c r="R10" s="39">
        <v>9648.5613807999907</v>
      </c>
      <c r="S10" s="39">
        <v>4411.0770412499996</v>
      </c>
      <c r="T10" s="39">
        <v>3432.3938302500005</v>
      </c>
      <c r="U10" s="39">
        <v>21060.835078299991</v>
      </c>
      <c r="X10" s="87" t="s">
        <v>364</v>
      </c>
      <c r="Y10" s="39"/>
      <c r="Z10" s="39">
        <v>3568.802826000001</v>
      </c>
      <c r="AA10" s="39">
        <v>9648.5613807999907</v>
      </c>
      <c r="AB10" s="39">
        <v>4411.0770412499996</v>
      </c>
      <c r="AC10" s="39">
        <v>3432.3938302500005</v>
      </c>
      <c r="AD10" s="39">
        <v>21060.835078299991</v>
      </c>
      <c r="AL10" t="s">
        <v>1137</v>
      </c>
      <c r="AM10" t="s">
        <v>45</v>
      </c>
    </row>
    <row r="11" spans="1:39" x14ac:dyDescent="0.2">
      <c r="A11" t="s">
        <v>2</v>
      </c>
      <c r="B11" s="38">
        <v>46053</v>
      </c>
      <c r="C11" s="38">
        <v>46052</v>
      </c>
      <c r="D11" t="s">
        <v>1139</v>
      </c>
      <c r="E11" t="s">
        <v>82</v>
      </c>
      <c r="F11" s="37">
        <v>15776.05</v>
      </c>
      <c r="G11" s="39" cm="1">
        <f t="array" ref="G11">F11*_xlfn.XLOOKUP(1,
 (FOREX!$E$2:$E$13=EOMONTH(B11,0))*
 (FOREX!$F$2:$F$13=TRIM(E11)),FOREX!$G$2:$G$13,
 100)</f>
        <v>4003.4566563999997</v>
      </c>
      <c r="H11" t="s">
        <v>386</v>
      </c>
      <c r="I11" t="s">
        <v>387</v>
      </c>
      <c r="J11" s="35" t="str">
        <f>_xlfn.XLOOKUP(I11,costcategory[Account Code],costcategory[Cost Category],"ERROR")</f>
        <v>Headcount Costs</v>
      </c>
      <c r="K11" s="89" t="str">
        <f t="shared" si="0"/>
        <v>Business Operation</v>
      </c>
      <c r="L11" s="89" t="str">
        <f>_xlfn.XLOOKUP(K11,Table2[Department],Table2[Group],"ERROR")</f>
        <v>Sales &amp; Marketing</v>
      </c>
      <c r="P11" s="65" t="s">
        <v>62</v>
      </c>
      <c r="Q11" s="39">
        <v>8831.8775532799991</v>
      </c>
      <c r="R11" s="39">
        <v>8978.8560247999994</v>
      </c>
      <c r="S11" s="39">
        <v>11248.447146750001</v>
      </c>
      <c r="T11" s="39">
        <v>7073.2598805000016</v>
      </c>
      <c r="U11" s="39">
        <v>36132.440605329997</v>
      </c>
      <c r="X11" s="65" t="s">
        <v>62</v>
      </c>
      <c r="Y11" s="39">
        <v>5987.7194019999988</v>
      </c>
      <c r="Z11" s="39">
        <v>8987.2195200799979</v>
      </c>
      <c r="AA11" s="39">
        <v>10182.686675500001</v>
      </c>
      <c r="AB11" s="39">
        <v>8628.8356192500014</v>
      </c>
      <c r="AC11" s="39">
        <v>2345.9793884999999</v>
      </c>
      <c r="AD11" s="39">
        <v>36132.440605329997</v>
      </c>
      <c r="AL11" t="s">
        <v>1139</v>
      </c>
      <c r="AM11" t="s">
        <v>354</v>
      </c>
    </row>
    <row r="12" spans="1:39" x14ac:dyDescent="0.2">
      <c r="A12" t="s">
        <v>2</v>
      </c>
      <c r="B12" s="38">
        <v>46053</v>
      </c>
      <c r="C12" s="38">
        <v>46052</v>
      </c>
      <c r="D12" t="s">
        <v>1141</v>
      </c>
      <c r="E12" t="s">
        <v>82</v>
      </c>
      <c r="F12" s="37">
        <v>21791.85</v>
      </c>
      <c r="G12" s="39" cm="1">
        <f t="array" ref="G12">F12*_xlfn.XLOOKUP(1,
 (FOREX!$E$2:$E$13=EOMONTH(B12,0))*
 (FOREX!$F$2:$F$13=TRIM(E12)),FOREX!$G$2:$G$13,
 100)</f>
        <v>5530.0741907999991</v>
      </c>
      <c r="H12" t="s">
        <v>386</v>
      </c>
      <c r="I12" t="s">
        <v>387</v>
      </c>
      <c r="J12" s="35" t="str">
        <f>_xlfn.XLOOKUP(I12,costcategory[Account Code],costcategory[Cost Category],"ERROR")</f>
        <v>Headcount Costs</v>
      </c>
      <c r="K12" s="89" t="str">
        <f t="shared" si="0"/>
        <v>DSC</v>
      </c>
      <c r="L12" s="89" t="str">
        <f>_xlfn.XLOOKUP(K12,Table2[Department],Table2[Group],"ERROR")</f>
        <v>DSC</v>
      </c>
      <c r="P12" s="66" t="s">
        <v>333</v>
      </c>
      <c r="Q12" s="39">
        <v>5301.9519848800001</v>
      </c>
      <c r="R12" s="39">
        <v>5436.2836111999995</v>
      </c>
      <c r="S12" s="39">
        <v>7812.5952465</v>
      </c>
      <c r="T12" s="39">
        <v>3667.2955852500004</v>
      </c>
      <c r="U12" s="39">
        <v>22218.12642783</v>
      </c>
      <c r="X12" s="66" t="s">
        <v>333</v>
      </c>
      <c r="Y12" s="39">
        <v>3634.4906727999996</v>
      </c>
      <c r="Z12" s="39">
        <v>5428.1391680799998</v>
      </c>
      <c r="AA12" s="39">
        <v>6731.9833589500004</v>
      </c>
      <c r="AB12" s="39">
        <v>5192.9713687500007</v>
      </c>
      <c r="AC12" s="39">
        <v>1230.54185925</v>
      </c>
      <c r="AD12" s="39">
        <v>22218.12642783</v>
      </c>
      <c r="AL12" t="s">
        <v>1141</v>
      </c>
      <c r="AM12" t="s">
        <v>45</v>
      </c>
    </row>
    <row r="13" spans="1:39" x14ac:dyDescent="0.2">
      <c r="A13" t="s">
        <v>2</v>
      </c>
      <c r="B13" s="38">
        <v>46053</v>
      </c>
      <c r="C13" s="38">
        <v>46052</v>
      </c>
      <c r="D13" t="s">
        <v>1143</v>
      </c>
      <c r="E13" t="s">
        <v>82</v>
      </c>
      <c r="F13" s="37">
        <v>5934.15</v>
      </c>
      <c r="G13" s="39" cm="1">
        <f t="array" ref="G13">F13*_xlfn.XLOOKUP(1,
 (FOREX!$E$2:$E$13=EOMONTH(B13,0))*
 (FOREX!$F$2:$F$13=TRIM(E13)),FOREX!$G$2:$G$13,
 100)</f>
        <v>1505.8973771999999</v>
      </c>
      <c r="H13" t="s">
        <v>386</v>
      </c>
      <c r="I13" t="s">
        <v>387</v>
      </c>
      <c r="J13" s="35" t="str">
        <f>_xlfn.XLOOKUP(I13,costcategory[Account Code],costcategory[Cost Category],"ERROR")</f>
        <v>Headcount Costs</v>
      </c>
      <c r="K13" s="89" t="str">
        <f t="shared" si="0"/>
        <v>DSC</v>
      </c>
      <c r="L13" s="89" t="str">
        <f>_xlfn.XLOOKUP(K13,Table2[Department],Table2[Group],"ERROR")</f>
        <v>DSC</v>
      </c>
      <c r="P13" s="87" t="s">
        <v>387</v>
      </c>
      <c r="Q13" s="39">
        <v>4599.9129635999998</v>
      </c>
      <c r="R13" s="39">
        <v>3760.6778559999998</v>
      </c>
      <c r="S13" s="39">
        <v>4574.5325999999995</v>
      </c>
      <c r="T13" s="39">
        <v>3219.9571800000003</v>
      </c>
      <c r="U13" s="39">
        <v>16155.080599600002</v>
      </c>
      <c r="X13" s="87" t="s">
        <v>387</v>
      </c>
      <c r="Y13" s="39">
        <v>3634.4906727999996</v>
      </c>
      <c r="Z13" s="39">
        <v>4726.1001467999995</v>
      </c>
      <c r="AA13" s="39">
        <v>2808.38509875</v>
      </c>
      <c r="AB13" s="39">
        <v>4202.9012272500004</v>
      </c>
      <c r="AC13" s="39">
        <v>783.20345400000008</v>
      </c>
      <c r="AD13" s="39">
        <v>16155.0805996</v>
      </c>
      <c r="AL13" t="s">
        <v>1143</v>
      </c>
      <c r="AM13" t="s">
        <v>45</v>
      </c>
    </row>
    <row r="14" spans="1:39" x14ac:dyDescent="0.2">
      <c r="A14" t="s">
        <v>2</v>
      </c>
      <c r="B14" s="38">
        <v>46053</v>
      </c>
      <c r="C14" s="38">
        <v>46052</v>
      </c>
      <c r="D14" t="s">
        <v>1145</v>
      </c>
      <c r="E14" t="s">
        <v>82</v>
      </c>
      <c r="F14" s="37">
        <v>5168.8500000000004</v>
      </c>
      <c r="G14" s="39" cm="1">
        <f t="array" ref="G14">F14*_xlfn.XLOOKUP(1,
 (FOREX!$E$2:$E$13=EOMONTH(B14,0))*
 (FOREX!$F$2:$F$13=TRIM(E14)),FOREX!$G$2:$G$13,
 100)</f>
        <v>1311.6887268</v>
      </c>
      <c r="H14" t="s">
        <v>386</v>
      </c>
      <c r="I14" t="s">
        <v>387</v>
      </c>
      <c r="J14" s="35" t="str">
        <f>_xlfn.XLOOKUP(I14,costcategory[Account Code],costcategory[Cost Category],"ERROR")</f>
        <v>Headcount Costs</v>
      </c>
      <c r="K14" s="89" t="str">
        <f t="shared" si="0"/>
        <v>DSC</v>
      </c>
      <c r="L14" s="89" t="str">
        <f>_xlfn.XLOOKUP(K14,Table2[Department],Table2[Group],"ERROR")</f>
        <v>DSC</v>
      </c>
      <c r="P14" s="87" t="s">
        <v>1160</v>
      </c>
      <c r="Q14" s="39"/>
      <c r="R14" s="39"/>
      <c r="S14" s="39">
        <v>2247.9925050000002</v>
      </c>
      <c r="T14" s="39"/>
      <c r="U14" s="39">
        <v>2247.9925050000002</v>
      </c>
      <c r="X14" s="87" t="s">
        <v>1160</v>
      </c>
      <c r="Y14" s="39"/>
      <c r="Z14" s="39"/>
      <c r="AA14" s="39">
        <v>2247.9925050000002</v>
      </c>
      <c r="AB14" s="39"/>
      <c r="AC14" s="39"/>
      <c r="AD14" s="39">
        <v>2247.9925050000002</v>
      </c>
      <c r="AL14" t="s">
        <v>1145</v>
      </c>
      <c r="AM14" t="s">
        <v>45</v>
      </c>
    </row>
    <row r="15" spans="1:39" x14ac:dyDescent="0.2">
      <c r="A15" t="s">
        <v>2</v>
      </c>
      <c r="B15" s="38">
        <v>46053</v>
      </c>
      <c r="C15" s="38">
        <v>46052</v>
      </c>
      <c r="D15" t="s">
        <v>1147</v>
      </c>
      <c r="E15" t="s">
        <v>82</v>
      </c>
      <c r="F15" s="37">
        <v>4852.95</v>
      </c>
      <c r="G15" s="39" cm="1">
        <f t="array" ref="G15">F15*_xlfn.XLOOKUP(1,
 (FOREX!$E$2:$E$13=EOMONTH(B15,0))*
 (FOREX!$F$2:$F$13=TRIM(E15)),FOREX!$G$2:$G$13,
 100)</f>
        <v>1231.5234155999999</v>
      </c>
      <c r="H15" t="s">
        <v>386</v>
      </c>
      <c r="I15" t="s">
        <v>387</v>
      </c>
      <c r="J15" s="35" t="str">
        <f>_xlfn.XLOOKUP(I15,costcategory[Account Code],costcategory[Cost Category],"ERROR")</f>
        <v>Headcount Costs</v>
      </c>
      <c r="K15" s="89" t="str">
        <f t="shared" si="0"/>
        <v>Finance</v>
      </c>
      <c r="L15" s="89" t="str">
        <f>_xlfn.XLOOKUP(K15,Table2[Department],Table2[Group],"ERROR")</f>
        <v>General &amp; Administrative</v>
      </c>
      <c r="P15" s="87" t="s">
        <v>364</v>
      </c>
      <c r="Q15" s="39">
        <v>702.03902127999993</v>
      </c>
      <c r="R15" s="39">
        <v>1675.6057552</v>
      </c>
      <c r="S15" s="39">
        <v>990.07014150000009</v>
      </c>
      <c r="T15" s="39">
        <v>447.33840525000005</v>
      </c>
      <c r="U15" s="39">
        <v>3815.0533232299999</v>
      </c>
      <c r="X15" s="87" t="s">
        <v>364</v>
      </c>
      <c r="Y15" s="39"/>
      <c r="Z15" s="39">
        <v>702.03902127999993</v>
      </c>
      <c r="AA15" s="39">
        <v>1675.6057552</v>
      </c>
      <c r="AB15" s="39">
        <v>990.07014150000009</v>
      </c>
      <c r="AC15" s="39">
        <v>447.33840525000005</v>
      </c>
      <c r="AD15" s="39">
        <v>3815.0533232299999</v>
      </c>
      <c r="AL15" t="s">
        <v>1147</v>
      </c>
      <c r="AM15" t="s">
        <v>333</v>
      </c>
    </row>
    <row r="16" spans="1:39" x14ac:dyDescent="0.2">
      <c r="A16" t="s">
        <v>2</v>
      </c>
      <c r="B16" s="38">
        <v>46053</v>
      </c>
      <c r="C16" s="38">
        <v>46065</v>
      </c>
      <c r="D16" t="s">
        <v>1125</v>
      </c>
      <c r="E16" t="s">
        <v>82</v>
      </c>
      <c r="F16" s="37">
        <v>2827</v>
      </c>
      <c r="G16" s="39" cm="1">
        <f t="array" ref="G16">F16*_xlfn.XLOOKUP(1,
 (FOREX!$E$2:$E$13=EOMONTH(B16,0))*
 (FOREX!$F$2:$F$13=TRIM(E16)),FOREX!$G$2:$G$13,
 100)</f>
        <v>717.40213599999993</v>
      </c>
      <c r="H16" t="s">
        <v>1474</v>
      </c>
      <c r="I16" t="s">
        <v>387</v>
      </c>
      <c r="J16" s="35" t="str">
        <f>_xlfn.XLOOKUP(I16,costcategory[Account Code],costcategory[Cost Category],"ERROR")</f>
        <v>Headcount Costs</v>
      </c>
      <c r="K16" s="89" t="str">
        <f t="shared" si="0"/>
        <v>Sales &amp; Pre-Sales</v>
      </c>
      <c r="L16" s="89" t="str">
        <f>_xlfn.XLOOKUP(K16,Table2[Department],Table2[Group],"ERROR")</f>
        <v>Sales &amp; Marketing</v>
      </c>
      <c r="P16" s="66" t="s">
        <v>350</v>
      </c>
      <c r="Q16" s="39">
        <v>3529.9255684</v>
      </c>
      <c r="R16" s="39">
        <v>3542.5724135999994</v>
      </c>
      <c r="S16" s="39">
        <v>3435.8519002500002</v>
      </c>
      <c r="T16" s="39">
        <v>3405.9642952500008</v>
      </c>
      <c r="U16" s="39">
        <v>13914.3141775</v>
      </c>
      <c r="X16" s="66" t="s">
        <v>350</v>
      </c>
      <c r="Y16" s="39">
        <v>2353.2287291999996</v>
      </c>
      <c r="Z16" s="39">
        <v>3559.0803519999995</v>
      </c>
      <c r="AA16" s="39">
        <v>3450.7033165499997</v>
      </c>
      <c r="AB16" s="39">
        <v>3435.8642505000003</v>
      </c>
      <c r="AC16" s="39">
        <v>1115.4375292500001</v>
      </c>
      <c r="AD16" s="39">
        <v>13914.3141775</v>
      </c>
      <c r="AL16" t="s">
        <v>1475</v>
      </c>
      <c r="AM16" t="s">
        <v>45</v>
      </c>
    </row>
    <row r="17" spans="1:39" x14ac:dyDescent="0.2">
      <c r="A17" t="s">
        <v>2</v>
      </c>
      <c r="B17" s="38">
        <v>46053</v>
      </c>
      <c r="C17" s="38">
        <v>46065</v>
      </c>
      <c r="D17" t="s">
        <v>1127</v>
      </c>
      <c r="E17" t="s">
        <v>82</v>
      </c>
      <c r="F17" s="37">
        <v>506</v>
      </c>
      <c r="G17" s="39" cm="1">
        <f t="array" ref="G17">F17*_xlfn.XLOOKUP(1,
 (FOREX!$E$2:$E$13=EOMONTH(B17,0))*
 (FOREX!$F$2:$F$13=TRIM(E17)),FOREX!$G$2:$G$13,
 100)</f>
        <v>128.40660800000001</v>
      </c>
      <c r="H17" t="s">
        <v>1474</v>
      </c>
      <c r="I17" t="s">
        <v>387</v>
      </c>
      <c r="J17" s="35" t="str">
        <f>_xlfn.XLOOKUP(I17,costcategory[Account Code],costcategory[Cost Category],"ERROR")</f>
        <v>Headcount Costs</v>
      </c>
      <c r="K17" s="89" t="str">
        <f t="shared" si="0"/>
        <v>DSC</v>
      </c>
      <c r="L17" s="89" t="str">
        <f>_xlfn.XLOOKUP(K17,Table2[Department],Table2[Group],"ERROR")</f>
        <v>DSC</v>
      </c>
      <c r="P17" s="87" t="s">
        <v>387</v>
      </c>
      <c r="Q17" s="39">
        <v>3070.5927999999999</v>
      </c>
      <c r="R17" s="39">
        <v>2382.3835127999996</v>
      </c>
      <c r="S17" s="39">
        <v>2988.7605000000003</v>
      </c>
      <c r="T17" s="39">
        <v>2988.7605000000008</v>
      </c>
      <c r="U17" s="39">
        <v>11430.4973128</v>
      </c>
      <c r="X17" s="87" t="s">
        <v>387</v>
      </c>
      <c r="Y17" s="39">
        <v>2353.2287291999996</v>
      </c>
      <c r="Z17" s="39">
        <v>3099.7475835999994</v>
      </c>
      <c r="AA17" s="39">
        <v>2290.5144157499999</v>
      </c>
      <c r="AB17" s="39">
        <v>2988.7728502500004</v>
      </c>
      <c r="AC17" s="39">
        <v>698.23373400000014</v>
      </c>
      <c r="AD17" s="39">
        <v>11430.4973128</v>
      </c>
      <c r="AL17" t="s">
        <v>1476</v>
      </c>
      <c r="AM17" t="s">
        <v>45</v>
      </c>
    </row>
    <row r="18" spans="1:39" x14ac:dyDescent="0.2">
      <c r="A18" t="s">
        <v>2</v>
      </c>
      <c r="B18" s="38">
        <v>46053</v>
      </c>
      <c r="C18" s="38">
        <v>46065</v>
      </c>
      <c r="D18" t="s">
        <v>1128</v>
      </c>
      <c r="E18" t="s">
        <v>82</v>
      </c>
      <c r="F18" s="37">
        <v>1155</v>
      </c>
      <c r="G18" s="39" cm="1">
        <f t="array" ref="G18">F18*_xlfn.XLOOKUP(1,
 (FOREX!$E$2:$E$13=EOMONTH(B18,0))*
 (FOREX!$F$2:$F$13=TRIM(E18)),FOREX!$G$2:$G$13,
 100)</f>
        <v>293.10203999999999</v>
      </c>
      <c r="H18" t="s">
        <v>1474</v>
      </c>
      <c r="I18" t="s">
        <v>387</v>
      </c>
      <c r="J18" s="35" t="str">
        <f>_xlfn.XLOOKUP(I18,costcategory[Account Code],costcategory[Cost Category],"ERROR")</f>
        <v>Headcount Costs</v>
      </c>
      <c r="K18" s="89" t="str">
        <f t="shared" si="0"/>
        <v>Sales &amp; Pre-Sales</v>
      </c>
      <c r="L18" s="89" t="str">
        <f>_xlfn.XLOOKUP(K18,Table2[Department],Table2[Group],"ERROR")</f>
        <v>Sales &amp; Marketing</v>
      </c>
      <c r="P18" s="87" t="s">
        <v>364</v>
      </c>
      <c r="Q18" s="39">
        <v>459.33276839999991</v>
      </c>
      <c r="R18" s="39">
        <v>1160.1889007999998</v>
      </c>
      <c r="S18" s="39">
        <v>447.09140024999999</v>
      </c>
      <c r="T18" s="39">
        <v>417.20379524999998</v>
      </c>
      <c r="U18" s="39">
        <v>2483.8168646999998</v>
      </c>
      <c r="X18" s="87" t="s">
        <v>364</v>
      </c>
      <c r="Y18" s="39"/>
      <c r="Z18" s="39">
        <v>459.33276839999991</v>
      </c>
      <c r="AA18" s="39">
        <v>1160.1889007999998</v>
      </c>
      <c r="AB18" s="39">
        <v>447.09140024999999</v>
      </c>
      <c r="AC18" s="39">
        <v>417.20379524999998</v>
      </c>
      <c r="AD18" s="39">
        <v>2483.8168646999998</v>
      </c>
    </row>
    <row r="19" spans="1:39" x14ac:dyDescent="0.2">
      <c r="A19" t="s">
        <v>2</v>
      </c>
      <c r="B19" s="38">
        <v>46053</v>
      </c>
      <c r="C19" s="38">
        <v>46065</v>
      </c>
      <c r="D19" t="s">
        <v>1129</v>
      </c>
      <c r="E19" t="s">
        <v>82</v>
      </c>
      <c r="F19" s="37">
        <v>539</v>
      </c>
      <c r="G19" s="39" cm="1">
        <f t="array" ref="G19">F19*_xlfn.XLOOKUP(1,
 (FOREX!$E$2:$E$13=EOMONTH(B19,0))*
 (FOREX!$F$2:$F$13=TRIM(E19)),FOREX!$G$2:$G$13,
 100)</f>
        <v>136.78095199999998</v>
      </c>
      <c r="H19" t="s">
        <v>1474</v>
      </c>
      <c r="I19" t="s">
        <v>387</v>
      </c>
      <c r="J19" s="35" t="str">
        <f>_xlfn.XLOOKUP(I19,costcategory[Account Code],costcategory[Cost Category],"ERROR")</f>
        <v>Headcount Costs</v>
      </c>
      <c r="K19" s="89" t="str">
        <f t="shared" si="0"/>
        <v>Sales &amp; Pre-Sales</v>
      </c>
      <c r="L19" s="89" t="str">
        <f>_xlfn.XLOOKUP(K19,Table2[Department],Table2[Group],"ERROR")</f>
        <v>Sales &amp; Marketing</v>
      </c>
      <c r="P19" s="65" t="s">
        <v>61</v>
      </c>
      <c r="Q19" s="39">
        <v>17046.814646399995</v>
      </c>
      <c r="R19" s="39">
        <v>17152.421385599999</v>
      </c>
      <c r="S19" s="39">
        <v>16728.84588375</v>
      </c>
      <c r="T19" s="39">
        <v>13559.030718749998</v>
      </c>
      <c r="U19" s="39">
        <v>64487.112634499994</v>
      </c>
      <c r="X19" s="65" t="s">
        <v>61</v>
      </c>
      <c r="Y19" s="39">
        <v>11741.1094328</v>
      </c>
      <c r="Z19" s="39">
        <v>17192.278408799997</v>
      </c>
      <c r="AA19" s="39">
        <v>17024.8423219</v>
      </c>
      <c r="AB19" s="39">
        <v>14379.890084999999</v>
      </c>
      <c r="AC19" s="39">
        <v>4148.9923859999999</v>
      </c>
      <c r="AD19" s="39">
        <v>64487.112634500001</v>
      </c>
    </row>
    <row r="20" spans="1:39" x14ac:dyDescent="0.2">
      <c r="A20" t="s">
        <v>2</v>
      </c>
      <c r="B20" s="38">
        <v>46053</v>
      </c>
      <c r="C20" s="38">
        <v>46065</v>
      </c>
      <c r="D20" t="s">
        <v>1131</v>
      </c>
      <c r="E20" t="s">
        <v>82</v>
      </c>
      <c r="F20" s="37">
        <v>1331</v>
      </c>
      <c r="G20" s="39" cm="1">
        <f t="array" ref="G20">F20*_xlfn.XLOOKUP(1,
 (FOREX!$E$2:$E$13=EOMONTH(B20,0))*
 (FOREX!$F$2:$F$13=TRIM(E20)),FOREX!$G$2:$G$13,
 100)</f>
        <v>337.76520799999997</v>
      </c>
      <c r="H20" t="s">
        <v>1474</v>
      </c>
      <c r="I20" t="s">
        <v>387</v>
      </c>
      <c r="J20" s="35" t="str">
        <f>_xlfn.XLOOKUP(I20,costcategory[Account Code],costcategory[Cost Category],"ERROR")</f>
        <v>Headcount Costs</v>
      </c>
      <c r="K20" s="89" t="str">
        <f t="shared" si="0"/>
        <v>HR</v>
      </c>
      <c r="L20" s="89" t="str">
        <f>_xlfn.XLOOKUP(K20,Table2[Department],Table2[Group],"ERROR")</f>
        <v>General &amp; Administrative</v>
      </c>
      <c r="P20" s="66" t="s">
        <v>354</v>
      </c>
      <c r="Q20" s="39">
        <v>5073.8754571999989</v>
      </c>
      <c r="R20" s="39">
        <v>5136.7370647999996</v>
      </c>
      <c r="S20" s="39">
        <v>7132.30642575</v>
      </c>
      <c r="T20" s="39">
        <v>4938.6550207499995</v>
      </c>
      <c r="U20" s="39">
        <v>22281.573968499997</v>
      </c>
      <c r="X20" s="66" t="s">
        <v>354</v>
      </c>
      <c r="Y20" s="39">
        <v>4003.4566563999997</v>
      </c>
      <c r="Z20" s="39">
        <v>5123.4753584</v>
      </c>
      <c r="AA20" s="39">
        <v>6550.0370099499996</v>
      </c>
      <c r="AB20" s="39">
        <v>5562.7255034999998</v>
      </c>
      <c r="AC20" s="39">
        <v>1041.87944025</v>
      </c>
      <c r="AD20" s="39">
        <v>22281.573968500001</v>
      </c>
    </row>
    <row r="21" spans="1:39" x14ac:dyDescent="0.2">
      <c r="A21" t="s">
        <v>2</v>
      </c>
      <c r="B21" s="38">
        <v>46053</v>
      </c>
      <c r="C21" s="38">
        <v>46065</v>
      </c>
      <c r="D21" t="s">
        <v>1133</v>
      </c>
      <c r="E21" t="s">
        <v>82</v>
      </c>
      <c r="F21" s="37">
        <v>1375</v>
      </c>
      <c r="G21" s="39" cm="1">
        <f t="array" ref="G21">F21*_xlfn.XLOOKUP(1,
 (FOREX!$E$2:$E$13=EOMONTH(B21,0))*
 (FOREX!$F$2:$F$13=TRIM(E21)),FOREX!$G$2:$G$13,
 100)</f>
        <v>348.93099999999998</v>
      </c>
      <c r="H21" t="s">
        <v>1474</v>
      </c>
      <c r="I21" t="s">
        <v>387</v>
      </c>
      <c r="J21" s="35" t="str">
        <f>_xlfn.XLOOKUP(I21,costcategory[Account Code],costcategory[Cost Category],"ERROR")</f>
        <v>Headcount Costs</v>
      </c>
      <c r="K21" s="89" t="str">
        <f t="shared" si="0"/>
        <v>Finance</v>
      </c>
      <c r="L21" s="89" t="str">
        <f>_xlfn.XLOOKUP(K21,Table2[Department],Table2[Group],"ERROR")</f>
        <v>General &amp; Administrative</v>
      </c>
      <c r="P21" s="87" t="s">
        <v>387</v>
      </c>
      <c r="Q21" s="39">
        <v>4948.4759999999987</v>
      </c>
      <c r="R21" s="39">
        <v>4053.0565575999995</v>
      </c>
      <c r="S21" s="39">
        <v>4816.5974999999999</v>
      </c>
      <c r="T21" s="39">
        <v>4816.5974999999999</v>
      </c>
      <c r="U21" s="39">
        <v>18634.727557599996</v>
      </c>
      <c r="X21" s="87" t="s">
        <v>387</v>
      </c>
      <c r="Y21" s="39">
        <v>4003.4566563999997</v>
      </c>
      <c r="Z21" s="39">
        <v>4998.0759011999999</v>
      </c>
      <c r="AA21" s="39">
        <v>3315.9309727499999</v>
      </c>
      <c r="AB21" s="39">
        <v>5397.4421077500001</v>
      </c>
      <c r="AC21" s="39">
        <v>919.82191950000004</v>
      </c>
      <c r="AD21" s="39">
        <v>18634.727557599999</v>
      </c>
    </row>
    <row r="22" spans="1:39" x14ac:dyDescent="0.2">
      <c r="A22" t="s">
        <v>2</v>
      </c>
      <c r="B22" s="38">
        <v>46053</v>
      </c>
      <c r="C22" s="38">
        <v>46065</v>
      </c>
      <c r="D22" t="s">
        <v>1134</v>
      </c>
      <c r="E22" t="s">
        <v>82</v>
      </c>
      <c r="F22" s="37">
        <v>2717</v>
      </c>
      <c r="G22" s="39" cm="1">
        <f t="array" ref="G22">F22*_xlfn.XLOOKUP(1,
 (FOREX!$E$2:$E$13=EOMONTH(B22,0))*
 (FOREX!$F$2:$F$13=TRIM(E22)),FOREX!$G$2:$G$13,
 100)</f>
        <v>689.48765600000002</v>
      </c>
      <c r="H22" t="s">
        <v>1474</v>
      </c>
      <c r="I22" t="s">
        <v>387</v>
      </c>
      <c r="J22" s="35" t="str">
        <f>_xlfn.XLOOKUP(I22,costcategory[Account Code],costcategory[Cost Category],"ERROR")</f>
        <v>Headcount Costs</v>
      </c>
      <c r="K22" s="89" t="str">
        <f t="shared" si="0"/>
        <v>DSC</v>
      </c>
      <c r="L22" s="89" t="str">
        <f>_xlfn.XLOOKUP(K22,Table2[Department],Table2[Group],"ERROR")</f>
        <v>DSC</v>
      </c>
      <c r="P22" s="87" t="s">
        <v>1160</v>
      </c>
      <c r="Q22" s="39"/>
      <c r="R22" s="39"/>
      <c r="S22" s="39">
        <v>2150.42553</v>
      </c>
      <c r="T22" s="39"/>
      <c r="U22" s="39">
        <v>2150.42553</v>
      </c>
      <c r="X22" s="87" t="s">
        <v>1160</v>
      </c>
      <c r="Y22" s="39"/>
      <c r="Z22" s="39"/>
      <c r="AA22" s="39">
        <v>2150.42553</v>
      </c>
      <c r="AB22" s="39"/>
      <c r="AC22" s="39"/>
      <c r="AD22" s="39">
        <v>2150.42553</v>
      </c>
    </row>
    <row r="23" spans="1:39" x14ac:dyDescent="0.2">
      <c r="A23" t="s">
        <v>2</v>
      </c>
      <c r="B23" s="38">
        <v>46053</v>
      </c>
      <c r="C23" s="38">
        <v>46065</v>
      </c>
      <c r="D23" t="s">
        <v>1136</v>
      </c>
      <c r="E23" t="s">
        <v>82</v>
      </c>
      <c r="F23" s="37">
        <v>1694</v>
      </c>
      <c r="G23" s="39" cm="1">
        <f t="array" ref="G23">F23*_xlfn.XLOOKUP(1,
 (FOREX!$E$2:$E$13=EOMONTH(B23,0))*
 (FOREX!$F$2:$F$13=TRIM(E23)),FOREX!$G$2:$G$13,
 100)</f>
        <v>429.882992</v>
      </c>
      <c r="H23" t="s">
        <v>1474</v>
      </c>
      <c r="I23" t="s">
        <v>387</v>
      </c>
      <c r="J23" s="35" t="str">
        <f>_xlfn.XLOOKUP(I23,costcategory[Account Code],costcategory[Cost Category],"ERROR")</f>
        <v>Headcount Costs</v>
      </c>
      <c r="K23" s="89" t="str">
        <f>_xlfn.XLOOKUP(D23,$AL$2:$AL$25,$AM$2:$AM$25,"ERROR")</f>
        <v>DSC</v>
      </c>
      <c r="L23" s="89" t="str">
        <f>_xlfn.XLOOKUP(K23,Table2[Department],Table2[Group],"ERROR")</f>
        <v>DSC</v>
      </c>
      <c r="P23" s="87" t="s">
        <v>364</v>
      </c>
      <c r="Q23" s="39">
        <v>125.3994572</v>
      </c>
      <c r="R23" s="39">
        <v>1083.6805071999997</v>
      </c>
      <c r="S23" s="39">
        <v>165.28339575000001</v>
      </c>
      <c r="T23" s="39">
        <v>122.05752075000001</v>
      </c>
      <c r="U23" s="39">
        <v>1496.4208808999997</v>
      </c>
      <c r="X23" s="87" t="s">
        <v>364</v>
      </c>
      <c r="Y23" s="39"/>
      <c r="Z23" s="39">
        <v>125.3994572</v>
      </c>
      <c r="AA23" s="39">
        <v>1083.6805071999997</v>
      </c>
      <c r="AB23" s="39">
        <v>165.28339575000001</v>
      </c>
      <c r="AC23" s="39">
        <v>122.05752075000001</v>
      </c>
      <c r="AD23" s="39">
        <v>1496.4208808999997</v>
      </c>
    </row>
    <row r="24" spans="1:39" x14ac:dyDescent="0.2">
      <c r="A24" t="s">
        <v>2</v>
      </c>
      <c r="B24" s="38">
        <v>46053</v>
      </c>
      <c r="C24" s="38">
        <v>46065</v>
      </c>
      <c r="D24" t="s">
        <v>1137</v>
      </c>
      <c r="E24" t="s">
        <v>82</v>
      </c>
      <c r="F24" s="37">
        <v>616</v>
      </c>
      <c r="G24" s="39" cm="1">
        <f t="array" ref="G24">F24*_xlfn.XLOOKUP(1,
 (FOREX!$E$2:$E$13=EOMONTH(B24,0))*
 (FOREX!$F$2:$F$13=TRIM(E24)),FOREX!$G$2:$G$13,
 100)</f>
        <v>156.321088</v>
      </c>
      <c r="H24" t="s">
        <v>1474</v>
      </c>
      <c r="I24" t="s">
        <v>387</v>
      </c>
      <c r="J24" s="35" t="str">
        <f>_xlfn.XLOOKUP(I24,costcategory[Account Code],costcategory[Cost Category],"ERROR")</f>
        <v>Headcount Costs</v>
      </c>
      <c r="K24" s="89" t="str">
        <f t="shared" ref="K24:K87" si="1">_xlfn.XLOOKUP(D24,$AL$2:$AL$25,$AM$2:$AM$25,"ERROR")</f>
        <v>DSC</v>
      </c>
      <c r="L24" s="89" t="str">
        <f>_xlfn.XLOOKUP(K24,Table2[Department],Table2[Group],"ERROR")</f>
        <v>DSC</v>
      </c>
      <c r="P24" s="66" t="s">
        <v>438</v>
      </c>
      <c r="Q24" s="39">
        <v>11972.939189199997</v>
      </c>
      <c r="R24" s="39">
        <v>12015.684320799999</v>
      </c>
      <c r="S24" s="39">
        <v>9596.5394579999993</v>
      </c>
      <c r="T24" s="39">
        <v>8620.3756979999998</v>
      </c>
      <c r="U24" s="39">
        <v>42205.538666</v>
      </c>
      <c r="X24" s="66" t="s">
        <v>438</v>
      </c>
      <c r="Y24" s="39">
        <v>7737.6527763999993</v>
      </c>
      <c r="Z24" s="39">
        <v>12068.803050399998</v>
      </c>
      <c r="AA24" s="39">
        <v>10474.80531195</v>
      </c>
      <c r="AB24" s="39">
        <v>8817.1645814999993</v>
      </c>
      <c r="AC24" s="39">
        <v>3107.1129457500001</v>
      </c>
      <c r="AD24" s="39">
        <v>42205.538666</v>
      </c>
    </row>
    <row r="25" spans="1:39" x14ac:dyDescent="0.2">
      <c r="A25" t="s">
        <v>2</v>
      </c>
      <c r="B25" s="38">
        <v>46053</v>
      </c>
      <c r="C25" s="38">
        <v>46065</v>
      </c>
      <c r="D25" t="s">
        <v>1139</v>
      </c>
      <c r="E25" t="s">
        <v>82</v>
      </c>
      <c r="F25" s="37">
        <v>390</v>
      </c>
      <c r="G25" s="39" cm="1">
        <f t="array" ref="G25">F25*_xlfn.XLOOKUP(1,
 (FOREX!$E$2:$E$13=EOMONTH(B25,0))*
 (FOREX!$F$2:$F$13=TRIM(E25)),FOREX!$G$2:$G$13,
 100)</f>
        <v>98.969520000000003</v>
      </c>
      <c r="H25" t="s">
        <v>1474</v>
      </c>
      <c r="I25" t="s">
        <v>387</v>
      </c>
      <c r="J25" s="35" t="str">
        <f>_xlfn.XLOOKUP(I25,costcategory[Account Code],costcategory[Cost Category],"ERROR")</f>
        <v>Headcount Costs</v>
      </c>
      <c r="K25" s="89" t="str">
        <f t="shared" si="1"/>
        <v>Business Operation</v>
      </c>
      <c r="L25" s="89" t="str">
        <f>_xlfn.XLOOKUP(K25,Table2[Department],Table2[Group],"ERROR")</f>
        <v>Sales &amp; Marketing</v>
      </c>
      <c r="P25" s="87" t="s">
        <v>387</v>
      </c>
      <c r="Q25" s="39">
        <v>10429.864799999998</v>
      </c>
      <c r="R25" s="39">
        <v>7833.5166375999997</v>
      </c>
      <c r="S25" s="39">
        <v>7995.3048449999987</v>
      </c>
      <c r="T25" s="39">
        <v>7582.0654799999993</v>
      </c>
      <c r="U25" s="39">
        <v>33840.751762599997</v>
      </c>
      <c r="X25" s="87" t="s">
        <v>387</v>
      </c>
      <c r="Y25" s="39">
        <v>7737.6527763999993</v>
      </c>
      <c r="Z25" s="39">
        <v>10525.728661199999</v>
      </c>
      <c r="AA25" s="39">
        <v>5855.6857837499992</v>
      </c>
      <c r="AB25" s="39">
        <v>7652.8818134999992</v>
      </c>
      <c r="AC25" s="39">
        <v>2068.80272775</v>
      </c>
      <c r="AD25" s="39">
        <v>33840.751762599997</v>
      </c>
    </row>
    <row r="26" spans="1:39" x14ac:dyDescent="0.2">
      <c r="A26" t="s">
        <v>2</v>
      </c>
      <c r="B26" s="38">
        <v>46053</v>
      </c>
      <c r="C26" s="38">
        <v>46065</v>
      </c>
      <c r="D26" t="s">
        <v>1141</v>
      </c>
      <c r="E26" t="s">
        <v>82</v>
      </c>
      <c r="F26" s="37">
        <v>3454</v>
      </c>
      <c r="G26" s="39" cm="1">
        <f t="array" ref="G26">F26*_xlfn.XLOOKUP(1,
 (FOREX!$E$2:$E$13=EOMONTH(B26,0))*
 (FOREX!$F$2:$F$13=TRIM(E26)),FOREX!$G$2:$G$13,
 100)</f>
        <v>876.51467200000002</v>
      </c>
      <c r="H26" t="s">
        <v>1474</v>
      </c>
      <c r="I26" t="s">
        <v>387</v>
      </c>
      <c r="J26" s="35" t="str">
        <f>_xlfn.XLOOKUP(I26,costcategory[Account Code],costcategory[Cost Category],"ERROR")</f>
        <v>Headcount Costs</v>
      </c>
      <c r="K26" s="89" t="str">
        <f t="shared" si="1"/>
        <v>DSC</v>
      </c>
      <c r="L26" s="89" t="str">
        <f>_xlfn.XLOOKUP(K26,Table2[Department],Table2[Group],"ERROR")</f>
        <v>DSC</v>
      </c>
      <c r="P26" s="87" t="s">
        <v>1160</v>
      </c>
      <c r="Q26" s="39"/>
      <c r="R26" s="39"/>
      <c r="S26" s="39">
        <v>436.95184499999999</v>
      </c>
      <c r="T26" s="39"/>
      <c r="U26" s="39">
        <v>436.95184499999999</v>
      </c>
      <c r="X26" s="87" t="s">
        <v>1160</v>
      </c>
      <c r="Y26" s="39"/>
      <c r="Z26" s="39"/>
      <c r="AA26" s="39">
        <v>436.95184499999999</v>
      </c>
      <c r="AB26" s="39"/>
      <c r="AC26" s="39"/>
      <c r="AD26" s="39">
        <v>436.95184499999999</v>
      </c>
    </row>
    <row r="27" spans="1:39" x14ac:dyDescent="0.2">
      <c r="A27" t="s">
        <v>2</v>
      </c>
      <c r="B27" s="38">
        <v>46053</v>
      </c>
      <c r="C27" s="38">
        <v>46065</v>
      </c>
      <c r="D27" t="s">
        <v>1143</v>
      </c>
      <c r="E27" t="s">
        <v>82</v>
      </c>
      <c r="F27" s="37">
        <v>781</v>
      </c>
      <c r="G27" s="39" cm="1">
        <f t="array" ref="G27">F27*_xlfn.XLOOKUP(1,
 (FOREX!$E$2:$E$13=EOMONTH(B27,0))*
 (FOREX!$F$2:$F$13=TRIM(E27)),FOREX!$G$2:$G$13,
 100)</f>
        <v>198.19280799999999</v>
      </c>
      <c r="H27" t="s">
        <v>1474</v>
      </c>
      <c r="I27" t="s">
        <v>387</v>
      </c>
      <c r="J27" s="35" t="str">
        <f>_xlfn.XLOOKUP(I27,costcategory[Account Code],costcategory[Cost Category],"ERROR")</f>
        <v>Headcount Costs</v>
      </c>
      <c r="K27" s="89" t="str">
        <f t="shared" si="1"/>
        <v>DSC</v>
      </c>
      <c r="L27" s="89" t="str">
        <f>_xlfn.XLOOKUP(K27,Table2[Department],Table2[Group],"ERROR")</f>
        <v>DSC</v>
      </c>
      <c r="P27" s="87" t="s">
        <v>364</v>
      </c>
      <c r="Q27" s="39">
        <v>1543.0743891999998</v>
      </c>
      <c r="R27" s="39">
        <v>4182.1676832000003</v>
      </c>
      <c r="S27" s="39">
        <v>1164.282768</v>
      </c>
      <c r="T27" s="39">
        <v>1038.3102179999998</v>
      </c>
      <c r="U27" s="39">
        <v>7927.8350584</v>
      </c>
      <c r="X27" s="87" t="s">
        <v>364</v>
      </c>
      <c r="Y27" s="39"/>
      <c r="Z27" s="39">
        <v>1543.0743891999998</v>
      </c>
      <c r="AA27" s="39">
        <v>4182.1676832000003</v>
      </c>
      <c r="AB27" s="39">
        <v>1164.282768</v>
      </c>
      <c r="AC27" s="39">
        <v>1038.3102179999998</v>
      </c>
      <c r="AD27" s="39">
        <v>7927.8350584</v>
      </c>
    </row>
    <row r="28" spans="1:39" x14ac:dyDescent="0.2">
      <c r="A28" t="s">
        <v>2</v>
      </c>
      <c r="B28" s="38">
        <v>46053</v>
      </c>
      <c r="C28" s="38">
        <v>46065</v>
      </c>
      <c r="D28" t="s">
        <v>1145</v>
      </c>
      <c r="E28" t="s">
        <v>82</v>
      </c>
      <c r="F28" s="37">
        <v>671</v>
      </c>
      <c r="G28" s="39" cm="1">
        <f t="array" ref="G28">F28*_xlfn.XLOOKUP(1,
 (FOREX!$E$2:$E$13=EOMONTH(B28,0))*
 (FOREX!$F$2:$F$13=TRIM(E28)),FOREX!$G$2:$G$13,
 100)</f>
        <v>170.27832799999999</v>
      </c>
      <c r="H28" t="s">
        <v>1474</v>
      </c>
      <c r="I28" t="s">
        <v>387</v>
      </c>
      <c r="J28" s="35" t="str">
        <f>_xlfn.XLOOKUP(I28,costcategory[Account Code],costcategory[Cost Category],"ERROR")</f>
        <v>Headcount Costs</v>
      </c>
      <c r="K28" s="89" t="str">
        <f t="shared" si="1"/>
        <v>DSC</v>
      </c>
      <c r="L28" s="89" t="str">
        <f>_xlfn.XLOOKUP(K28,Table2[Department],Table2[Group],"ERROR")</f>
        <v>DSC</v>
      </c>
      <c r="P28" s="65" t="s">
        <v>19</v>
      </c>
      <c r="Q28" s="39">
        <v>53530.078225679994</v>
      </c>
      <c r="R28" s="39">
        <v>53881.434406399982</v>
      </c>
      <c r="S28" s="39">
        <v>63077.506296749991</v>
      </c>
      <c r="T28" s="39">
        <v>48972.668629500011</v>
      </c>
      <c r="U28" s="39">
        <v>219461.68755833001</v>
      </c>
      <c r="X28" s="65" t="s">
        <v>19</v>
      </c>
      <c r="Y28" s="39">
        <v>35608.903397599992</v>
      </c>
      <c r="Z28" s="39">
        <v>54052.405007280002</v>
      </c>
      <c r="AA28" s="39">
        <v>59067.644495699984</v>
      </c>
      <c r="AB28" s="39">
        <v>54247.756810499988</v>
      </c>
      <c r="AC28" s="39">
        <v>16484.977847250004</v>
      </c>
      <c r="AD28" s="39">
        <v>219461.68755833001</v>
      </c>
    </row>
    <row r="29" spans="1:39" x14ac:dyDescent="0.2">
      <c r="A29" t="s">
        <v>2</v>
      </c>
      <c r="B29" s="38">
        <v>46053</v>
      </c>
      <c r="C29" s="38">
        <v>46065</v>
      </c>
      <c r="D29" t="s">
        <v>1147</v>
      </c>
      <c r="E29" t="s">
        <v>82</v>
      </c>
      <c r="F29" s="37">
        <v>638</v>
      </c>
      <c r="G29" s="39" cm="1">
        <f t="array" ref="G29">F29*_xlfn.XLOOKUP(1,
 (FOREX!$E$2:$E$13=EOMONTH(B29,0))*
 (FOREX!$F$2:$F$13=TRIM(E29)),FOREX!$G$2:$G$13,
 100)</f>
        <v>161.90398400000001</v>
      </c>
      <c r="H29" t="s">
        <v>1474</v>
      </c>
      <c r="I29" t="s">
        <v>387</v>
      </c>
      <c r="J29" s="35" t="str">
        <f>_xlfn.XLOOKUP(I29,costcategory[Account Code],costcategory[Cost Category],"ERROR")</f>
        <v>Headcount Costs</v>
      </c>
      <c r="K29" s="89" t="str">
        <f t="shared" si="1"/>
        <v>Finance</v>
      </c>
      <c r="L29" s="89" t="str">
        <f>_xlfn.XLOOKUP(K29,Table2[Department],Table2[Group],"ERROR")</f>
        <v>General &amp; Administrative</v>
      </c>
    </row>
    <row r="30" spans="1:39" x14ac:dyDescent="0.2">
      <c r="A30" t="s">
        <v>2</v>
      </c>
      <c r="B30" s="38">
        <v>46053</v>
      </c>
      <c r="C30" s="38">
        <v>46065</v>
      </c>
      <c r="D30" t="s">
        <v>1125</v>
      </c>
      <c r="E30" t="s">
        <v>82</v>
      </c>
      <c r="F30" s="37">
        <v>29.75</v>
      </c>
      <c r="G30" s="39" cm="1">
        <f t="array" ref="G30">F30*_xlfn.XLOOKUP(1,
 (FOREX!$E$2:$E$13=EOMONTH(B30,0))*
 (FOREX!$F$2:$F$13=TRIM(E30)),FOREX!$G$2:$G$13,
 100)</f>
        <v>7.5495979999999996</v>
      </c>
      <c r="H30" t="s">
        <v>1477</v>
      </c>
      <c r="I30" t="s">
        <v>387</v>
      </c>
      <c r="J30" s="35" t="str">
        <f>_xlfn.XLOOKUP(I30,costcategory[Account Code],costcategory[Cost Category],"ERROR")</f>
        <v>Headcount Costs</v>
      </c>
      <c r="K30" s="89" t="str">
        <f t="shared" si="1"/>
        <v>Sales &amp; Pre-Sales</v>
      </c>
      <c r="L30" s="89" t="str">
        <f>_xlfn.XLOOKUP(K30,Table2[Department],Table2[Group],"ERROR")</f>
        <v>Sales &amp; Marketing</v>
      </c>
    </row>
    <row r="31" spans="1:39" x14ac:dyDescent="0.2">
      <c r="A31" t="s">
        <v>2</v>
      </c>
      <c r="B31" s="38">
        <v>46053</v>
      </c>
      <c r="C31" s="38">
        <v>46065</v>
      </c>
      <c r="D31" t="s">
        <v>1127</v>
      </c>
      <c r="E31" t="s">
        <v>82</v>
      </c>
      <c r="F31" s="37">
        <v>22.75</v>
      </c>
      <c r="G31" s="39" cm="1">
        <f t="array" ref="G31">F31*_xlfn.XLOOKUP(1,
 (FOREX!$E$2:$E$13=EOMONTH(B31,0))*
 (FOREX!$F$2:$F$13=TRIM(E31)),FOREX!$G$2:$G$13,
 100)</f>
        <v>5.7732219999999996</v>
      </c>
      <c r="H31" t="s">
        <v>1477</v>
      </c>
      <c r="I31" t="s">
        <v>387</v>
      </c>
      <c r="J31" s="35" t="str">
        <f>_xlfn.XLOOKUP(I31,costcategory[Account Code],costcategory[Cost Category],"ERROR")</f>
        <v>Headcount Costs</v>
      </c>
      <c r="K31" s="89" t="str">
        <f t="shared" si="1"/>
        <v>DSC</v>
      </c>
      <c r="L31" s="89" t="str">
        <f>_xlfn.XLOOKUP(K31,Table2[Department],Table2[Group],"ERROR")</f>
        <v>DSC</v>
      </c>
    </row>
    <row r="32" spans="1:39" x14ac:dyDescent="0.2">
      <c r="A32" t="s">
        <v>2</v>
      </c>
      <c r="B32" s="38">
        <v>46053</v>
      </c>
      <c r="C32" s="38">
        <v>46065</v>
      </c>
      <c r="D32" t="s">
        <v>1128</v>
      </c>
      <c r="E32" t="s">
        <v>82</v>
      </c>
      <c r="F32" s="37">
        <v>29.75</v>
      </c>
      <c r="G32" s="39" cm="1">
        <f t="array" ref="G32">F32*_xlfn.XLOOKUP(1,
 (FOREX!$E$2:$E$13=EOMONTH(B32,0))*
 (FOREX!$F$2:$F$13=TRIM(E32)),FOREX!$G$2:$G$13,
 100)</f>
        <v>7.5495979999999996</v>
      </c>
      <c r="H32" t="s">
        <v>1477</v>
      </c>
      <c r="I32" t="s">
        <v>387</v>
      </c>
      <c r="J32" s="35" t="str">
        <f>_xlfn.XLOOKUP(I32,costcategory[Account Code],costcategory[Cost Category],"ERROR")</f>
        <v>Headcount Costs</v>
      </c>
      <c r="K32" s="89" t="str">
        <f t="shared" si="1"/>
        <v>Sales &amp; Pre-Sales</v>
      </c>
      <c r="L32" s="89" t="str">
        <f>_xlfn.XLOOKUP(K32,Table2[Department],Table2[Group],"ERROR")</f>
        <v>Sales &amp; Marketing</v>
      </c>
    </row>
    <row r="33" spans="1:12" x14ac:dyDescent="0.2">
      <c r="A33" t="s">
        <v>2</v>
      </c>
      <c r="B33" s="38">
        <v>46053</v>
      </c>
      <c r="C33" s="38">
        <v>46065</v>
      </c>
      <c r="D33" t="s">
        <v>1129</v>
      </c>
      <c r="E33" t="s">
        <v>82</v>
      </c>
      <c r="F33" s="37">
        <v>24.25</v>
      </c>
      <c r="G33" s="39" cm="1">
        <f t="array" ref="G33">F33*_xlfn.XLOOKUP(1,
 (FOREX!$E$2:$E$13=EOMONTH(B33,0))*
 (FOREX!$F$2:$F$13=TRIM(E33)),FOREX!$G$2:$G$13,
 100)</f>
        <v>6.1538740000000001</v>
      </c>
      <c r="H33" t="s">
        <v>1477</v>
      </c>
      <c r="I33" t="s">
        <v>387</v>
      </c>
      <c r="J33" s="35" t="str">
        <f>_xlfn.XLOOKUP(I33,costcategory[Account Code],costcategory[Cost Category],"ERROR")</f>
        <v>Headcount Costs</v>
      </c>
      <c r="K33" s="89" t="str">
        <f t="shared" si="1"/>
        <v>Sales &amp; Pre-Sales</v>
      </c>
      <c r="L33" s="89" t="str">
        <f>_xlfn.XLOOKUP(K33,Table2[Department],Table2[Group],"ERROR")</f>
        <v>Sales &amp; Marketing</v>
      </c>
    </row>
    <row r="34" spans="1:12" x14ac:dyDescent="0.2">
      <c r="A34" t="s">
        <v>2</v>
      </c>
      <c r="B34" s="38">
        <v>46053</v>
      </c>
      <c r="C34" s="38">
        <v>46065</v>
      </c>
      <c r="D34" t="s">
        <v>1131</v>
      </c>
      <c r="E34" t="s">
        <v>82</v>
      </c>
      <c r="F34" s="37">
        <v>29.75</v>
      </c>
      <c r="G34" s="39" cm="1">
        <f t="array" ref="G34">F34*_xlfn.XLOOKUP(1,
 (FOREX!$E$2:$E$13=EOMONTH(B34,0))*
 (FOREX!$F$2:$F$13=TRIM(E34)),FOREX!$G$2:$G$13,
 100)</f>
        <v>7.5495979999999996</v>
      </c>
      <c r="H34" t="s">
        <v>1477</v>
      </c>
      <c r="I34" t="s">
        <v>387</v>
      </c>
      <c r="J34" s="35" t="str">
        <f>_xlfn.XLOOKUP(I34,costcategory[Account Code],costcategory[Cost Category],"ERROR")</f>
        <v>Headcount Costs</v>
      </c>
      <c r="K34" s="89" t="str">
        <f t="shared" si="1"/>
        <v>HR</v>
      </c>
      <c r="L34" s="89" t="str">
        <f>_xlfn.XLOOKUP(K34,Table2[Department],Table2[Group],"ERROR")</f>
        <v>General &amp; Administrative</v>
      </c>
    </row>
    <row r="35" spans="1:12" x14ac:dyDescent="0.2">
      <c r="A35" t="s">
        <v>2</v>
      </c>
      <c r="B35" s="38">
        <v>46053</v>
      </c>
      <c r="C35" s="38">
        <v>46065</v>
      </c>
      <c r="D35" t="s">
        <v>1133</v>
      </c>
      <c r="E35" t="s">
        <v>82</v>
      </c>
      <c r="F35" s="37">
        <v>29.75</v>
      </c>
      <c r="G35" s="39" cm="1">
        <f t="array" ref="G35">F35*_xlfn.XLOOKUP(1,
 (FOREX!$E$2:$E$13=EOMONTH(B35,0))*
 (FOREX!$F$2:$F$13=TRIM(E35)),FOREX!$G$2:$G$13,
 100)</f>
        <v>7.5495979999999996</v>
      </c>
      <c r="H35" t="s">
        <v>1477</v>
      </c>
      <c r="I35" t="s">
        <v>387</v>
      </c>
      <c r="J35" s="35" t="str">
        <f>_xlfn.XLOOKUP(I35,costcategory[Account Code],costcategory[Cost Category],"ERROR")</f>
        <v>Headcount Costs</v>
      </c>
      <c r="K35" s="89" t="str">
        <f t="shared" si="1"/>
        <v>Finance</v>
      </c>
      <c r="L35" s="89" t="str">
        <f>_xlfn.XLOOKUP(K35,Table2[Department],Table2[Group],"ERROR")</f>
        <v>General &amp; Administrative</v>
      </c>
    </row>
    <row r="36" spans="1:12" x14ac:dyDescent="0.2">
      <c r="A36" t="s">
        <v>2</v>
      </c>
      <c r="B36" s="38">
        <v>46053</v>
      </c>
      <c r="C36" s="38">
        <v>46065</v>
      </c>
      <c r="D36" t="s">
        <v>1134</v>
      </c>
      <c r="E36" t="s">
        <v>82</v>
      </c>
      <c r="F36" s="37">
        <v>29.75</v>
      </c>
      <c r="G36" s="39" cm="1">
        <f t="array" ref="G36">F36*_xlfn.XLOOKUP(1,
 (FOREX!$E$2:$E$13=EOMONTH(B36,0))*
 (FOREX!$F$2:$F$13=TRIM(E36)),FOREX!$G$2:$G$13,
 100)</f>
        <v>7.5495979999999996</v>
      </c>
      <c r="H36" t="s">
        <v>1477</v>
      </c>
      <c r="I36" t="s">
        <v>387</v>
      </c>
      <c r="J36" s="35" t="str">
        <f>_xlfn.XLOOKUP(I36,costcategory[Account Code],costcategory[Cost Category],"ERROR")</f>
        <v>Headcount Costs</v>
      </c>
      <c r="K36" s="89" t="str">
        <f t="shared" si="1"/>
        <v>DSC</v>
      </c>
      <c r="L36" s="89" t="str">
        <f>_xlfn.XLOOKUP(K36,Table2[Department],Table2[Group],"ERROR")</f>
        <v>DSC</v>
      </c>
    </row>
    <row r="37" spans="1:12" x14ac:dyDescent="0.2">
      <c r="A37" t="s">
        <v>2</v>
      </c>
      <c r="B37" s="38">
        <v>46053</v>
      </c>
      <c r="C37" s="38">
        <v>46065</v>
      </c>
      <c r="D37" t="s">
        <v>1136</v>
      </c>
      <c r="E37" t="s">
        <v>82</v>
      </c>
      <c r="F37" s="37">
        <v>29.75</v>
      </c>
      <c r="G37" s="39" cm="1">
        <f t="array" ref="G37">F37*_xlfn.XLOOKUP(1,
 (FOREX!$E$2:$E$13=EOMONTH(B37,0))*
 (FOREX!$F$2:$F$13=TRIM(E37)),FOREX!$G$2:$G$13,
 100)</f>
        <v>7.5495979999999996</v>
      </c>
      <c r="H37" t="s">
        <v>1477</v>
      </c>
      <c r="I37" t="s">
        <v>387</v>
      </c>
      <c r="J37" s="35" t="str">
        <f>_xlfn.XLOOKUP(I37,costcategory[Account Code],costcategory[Cost Category],"ERROR")</f>
        <v>Headcount Costs</v>
      </c>
      <c r="K37" s="89" t="str">
        <f t="shared" si="1"/>
        <v>DSC</v>
      </c>
      <c r="L37" s="89" t="str">
        <f>_xlfn.XLOOKUP(K37,Table2[Department],Table2[Group],"ERROR")</f>
        <v>DSC</v>
      </c>
    </row>
    <row r="38" spans="1:12" x14ac:dyDescent="0.2">
      <c r="A38" t="s">
        <v>2</v>
      </c>
      <c r="B38" s="38">
        <v>46053</v>
      </c>
      <c r="C38" s="38">
        <v>46065</v>
      </c>
      <c r="D38" t="s">
        <v>1137</v>
      </c>
      <c r="E38" t="s">
        <v>82</v>
      </c>
      <c r="F38" s="37">
        <v>27.75</v>
      </c>
      <c r="G38" s="39" cm="1">
        <f t="array" ref="G38">F38*_xlfn.XLOOKUP(1,
 (FOREX!$E$2:$E$13=EOMONTH(B38,0))*
 (FOREX!$F$2:$F$13=TRIM(E38)),FOREX!$G$2:$G$13,
 100)</f>
        <v>7.0420619999999996</v>
      </c>
      <c r="H38" t="s">
        <v>1477</v>
      </c>
      <c r="I38" t="s">
        <v>387</v>
      </c>
      <c r="J38" s="35" t="str">
        <f>_xlfn.XLOOKUP(I38,costcategory[Account Code],costcategory[Cost Category],"ERROR")</f>
        <v>Headcount Costs</v>
      </c>
      <c r="K38" s="89" t="str">
        <f t="shared" si="1"/>
        <v>DSC</v>
      </c>
      <c r="L38" s="89" t="str">
        <f>_xlfn.XLOOKUP(K38,Table2[Department],Table2[Group],"ERROR")</f>
        <v>DSC</v>
      </c>
    </row>
    <row r="39" spans="1:12" x14ac:dyDescent="0.2">
      <c r="A39" t="s">
        <v>2</v>
      </c>
      <c r="B39" s="38">
        <v>46053</v>
      </c>
      <c r="C39" s="38">
        <v>46065</v>
      </c>
      <c r="D39" t="s">
        <v>1139</v>
      </c>
      <c r="E39" t="s">
        <v>82</v>
      </c>
      <c r="F39" s="37">
        <v>29.75</v>
      </c>
      <c r="G39" s="39" cm="1">
        <f t="array" ref="G39">F39*_xlfn.XLOOKUP(1,
 (FOREX!$E$2:$E$13=EOMONTH(B39,0))*
 (FOREX!$F$2:$F$13=TRIM(E39)),FOREX!$G$2:$G$13,
 100)</f>
        <v>7.5495979999999996</v>
      </c>
      <c r="H39" t="s">
        <v>1477</v>
      </c>
      <c r="I39" t="s">
        <v>387</v>
      </c>
      <c r="J39" s="35" t="str">
        <f>_xlfn.XLOOKUP(I39,costcategory[Account Code],costcategory[Cost Category],"ERROR")</f>
        <v>Headcount Costs</v>
      </c>
      <c r="K39" s="89" t="str">
        <f t="shared" si="1"/>
        <v>Business Operation</v>
      </c>
      <c r="L39" s="89" t="str">
        <f>_xlfn.XLOOKUP(K39,Table2[Department],Table2[Group],"ERROR")</f>
        <v>Sales &amp; Marketing</v>
      </c>
    </row>
    <row r="40" spans="1:12" x14ac:dyDescent="0.2">
      <c r="A40" t="s">
        <v>2</v>
      </c>
      <c r="B40" s="38">
        <v>46053</v>
      </c>
      <c r="C40" s="38">
        <v>46065</v>
      </c>
      <c r="D40" t="s">
        <v>1141</v>
      </c>
      <c r="E40" t="s">
        <v>82</v>
      </c>
      <c r="F40" s="37">
        <v>29.75</v>
      </c>
      <c r="G40" s="39" cm="1">
        <f t="array" ref="G40">F40*_xlfn.XLOOKUP(1,
 (FOREX!$E$2:$E$13=EOMONTH(B40,0))*
 (FOREX!$F$2:$F$13=TRIM(E40)),FOREX!$G$2:$G$13,
 100)</f>
        <v>7.5495979999999996</v>
      </c>
      <c r="H40" t="s">
        <v>1477</v>
      </c>
      <c r="I40" t="s">
        <v>387</v>
      </c>
      <c r="J40" s="35" t="str">
        <f>_xlfn.XLOOKUP(I40,costcategory[Account Code],costcategory[Cost Category],"ERROR")</f>
        <v>Headcount Costs</v>
      </c>
      <c r="K40" s="89" t="str">
        <f t="shared" si="1"/>
        <v>DSC</v>
      </c>
      <c r="L40" s="89" t="str">
        <f>_xlfn.XLOOKUP(K40,Table2[Department],Table2[Group],"ERROR")</f>
        <v>DSC</v>
      </c>
    </row>
    <row r="41" spans="1:12" x14ac:dyDescent="0.2">
      <c r="A41" t="s">
        <v>2</v>
      </c>
      <c r="B41" s="38">
        <v>46053</v>
      </c>
      <c r="C41" s="38">
        <v>46065</v>
      </c>
      <c r="D41" t="s">
        <v>1143</v>
      </c>
      <c r="E41" t="s">
        <v>82</v>
      </c>
      <c r="F41" s="37">
        <v>29.75</v>
      </c>
      <c r="G41" s="39" cm="1">
        <f t="array" ref="G41">F41*_xlfn.XLOOKUP(1,
 (FOREX!$E$2:$E$13=EOMONTH(B41,0))*
 (FOREX!$F$2:$F$13=TRIM(E41)),FOREX!$G$2:$G$13,
 100)</f>
        <v>7.5495979999999996</v>
      </c>
      <c r="H41" t="s">
        <v>1477</v>
      </c>
      <c r="I41" t="s">
        <v>387</v>
      </c>
      <c r="J41" s="35" t="str">
        <f>_xlfn.XLOOKUP(I41,costcategory[Account Code],costcategory[Cost Category],"ERROR")</f>
        <v>Headcount Costs</v>
      </c>
      <c r="K41" s="89" t="str">
        <f t="shared" si="1"/>
        <v>DSC</v>
      </c>
      <c r="L41" s="89" t="str">
        <f>_xlfn.XLOOKUP(K41,Table2[Department],Table2[Group],"ERROR")</f>
        <v>DSC</v>
      </c>
    </row>
    <row r="42" spans="1:12" x14ac:dyDescent="0.2">
      <c r="A42" t="s">
        <v>2</v>
      </c>
      <c r="B42" s="38">
        <v>46053</v>
      </c>
      <c r="C42" s="38">
        <v>46065</v>
      </c>
      <c r="D42" t="s">
        <v>1145</v>
      </c>
      <c r="E42" t="s">
        <v>82</v>
      </c>
      <c r="F42" s="37">
        <v>29.75</v>
      </c>
      <c r="G42" s="39" cm="1">
        <f t="array" ref="G42">F42*_xlfn.XLOOKUP(1,
 (FOREX!$E$2:$E$13=EOMONTH(B42,0))*
 (FOREX!$F$2:$F$13=TRIM(E42)),FOREX!$G$2:$G$13,
 100)</f>
        <v>7.5495979999999996</v>
      </c>
      <c r="H42" t="s">
        <v>1477</v>
      </c>
      <c r="I42" t="s">
        <v>387</v>
      </c>
      <c r="J42" s="35" t="str">
        <f>_xlfn.XLOOKUP(I42,costcategory[Account Code],costcategory[Cost Category],"ERROR")</f>
        <v>Headcount Costs</v>
      </c>
      <c r="K42" s="89" t="str">
        <f t="shared" si="1"/>
        <v>DSC</v>
      </c>
      <c r="L42" s="89" t="str">
        <f>_xlfn.XLOOKUP(K42,Table2[Department],Table2[Group],"ERROR")</f>
        <v>DSC</v>
      </c>
    </row>
    <row r="43" spans="1:12" x14ac:dyDescent="0.2">
      <c r="A43" t="s">
        <v>2</v>
      </c>
      <c r="B43" s="38">
        <v>46053</v>
      </c>
      <c r="C43" s="38">
        <v>46065</v>
      </c>
      <c r="D43" t="s">
        <v>1147</v>
      </c>
      <c r="E43" t="s">
        <v>82</v>
      </c>
      <c r="F43" s="37">
        <v>28.75</v>
      </c>
      <c r="G43" s="39" cm="1">
        <f t="array" ref="G43">F43*_xlfn.XLOOKUP(1,
 (FOREX!$E$2:$E$13=EOMONTH(B43,0))*
 (FOREX!$F$2:$F$13=TRIM(E43)),FOREX!$G$2:$G$13,
 100)</f>
        <v>7.2958299999999996</v>
      </c>
      <c r="H43" t="s">
        <v>1477</v>
      </c>
      <c r="I43" t="s">
        <v>387</v>
      </c>
      <c r="J43" s="35" t="str">
        <f>_xlfn.XLOOKUP(I43,costcategory[Account Code],costcategory[Cost Category],"ERROR")</f>
        <v>Headcount Costs</v>
      </c>
      <c r="K43" s="89" t="str">
        <f t="shared" si="1"/>
        <v>Finance</v>
      </c>
      <c r="L43" s="89" t="str">
        <f>_xlfn.XLOOKUP(K43,Table2[Department],Table2[Group],"ERROR")</f>
        <v>General &amp; Administrative</v>
      </c>
    </row>
    <row r="44" spans="1:12" x14ac:dyDescent="0.2">
      <c r="A44" t="s">
        <v>2</v>
      </c>
      <c r="B44" s="38">
        <v>46053</v>
      </c>
      <c r="C44" s="38">
        <v>46065</v>
      </c>
      <c r="D44" t="s">
        <v>1125</v>
      </c>
      <c r="E44" t="s">
        <v>82</v>
      </c>
      <c r="F44" s="37">
        <v>11.9</v>
      </c>
      <c r="G44" s="39" cm="1">
        <f t="array" ref="G44">F44*_xlfn.XLOOKUP(1,
 (FOREX!$E$2:$E$13=EOMONTH(B44,0))*
 (FOREX!$F$2:$F$13=TRIM(E44)),FOREX!$G$2:$G$13,
 100)</f>
        <v>3.0198391999999998</v>
      </c>
      <c r="H44" t="s">
        <v>1478</v>
      </c>
      <c r="I44" t="s">
        <v>387</v>
      </c>
      <c r="J44" s="35" t="str">
        <f>_xlfn.XLOOKUP(I44,costcategory[Account Code],costcategory[Cost Category],"ERROR")</f>
        <v>Headcount Costs</v>
      </c>
      <c r="K44" s="89" t="str">
        <f t="shared" si="1"/>
        <v>Sales &amp; Pre-Sales</v>
      </c>
      <c r="L44" s="89" t="str">
        <f>_xlfn.XLOOKUP(K44,Table2[Department],Table2[Group],"ERROR")</f>
        <v>Sales &amp; Marketing</v>
      </c>
    </row>
    <row r="45" spans="1:12" x14ac:dyDescent="0.2">
      <c r="A45" t="s">
        <v>2</v>
      </c>
      <c r="B45" s="38">
        <v>46053</v>
      </c>
      <c r="C45" s="38">
        <v>46065</v>
      </c>
      <c r="D45" t="s">
        <v>1127</v>
      </c>
      <c r="E45" t="s">
        <v>82</v>
      </c>
      <c r="F45" s="37">
        <v>9.1</v>
      </c>
      <c r="G45" s="39" cm="1">
        <f t="array" ref="G45">F45*_xlfn.XLOOKUP(1,
 (FOREX!$E$2:$E$13=EOMONTH(B45,0))*
 (FOREX!$F$2:$F$13=TRIM(E45)),FOREX!$G$2:$G$13,
 100)</f>
        <v>2.3092888</v>
      </c>
      <c r="H45" t="s">
        <v>1478</v>
      </c>
      <c r="I45" t="s">
        <v>387</v>
      </c>
      <c r="J45" s="35" t="str">
        <f>_xlfn.XLOOKUP(I45,costcategory[Account Code],costcategory[Cost Category],"ERROR")</f>
        <v>Headcount Costs</v>
      </c>
      <c r="K45" s="89" t="str">
        <f t="shared" si="1"/>
        <v>DSC</v>
      </c>
      <c r="L45" s="89" t="str">
        <f>_xlfn.XLOOKUP(K45,Table2[Department],Table2[Group],"ERROR")</f>
        <v>DSC</v>
      </c>
    </row>
    <row r="46" spans="1:12" x14ac:dyDescent="0.2">
      <c r="A46" t="s">
        <v>2</v>
      </c>
      <c r="B46" s="38">
        <v>46053</v>
      </c>
      <c r="C46" s="38">
        <v>46065</v>
      </c>
      <c r="D46" t="s">
        <v>1128</v>
      </c>
      <c r="E46" t="s">
        <v>82</v>
      </c>
      <c r="F46" s="37">
        <v>11.9</v>
      </c>
      <c r="G46" s="39" cm="1">
        <f t="array" ref="G46">F46*_xlfn.XLOOKUP(1,
 (FOREX!$E$2:$E$13=EOMONTH(B46,0))*
 (FOREX!$F$2:$F$13=TRIM(E46)),FOREX!$G$2:$G$13,
 100)</f>
        <v>3.0198391999999998</v>
      </c>
      <c r="H46" t="s">
        <v>1478</v>
      </c>
      <c r="I46" t="s">
        <v>387</v>
      </c>
      <c r="J46" s="35" t="str">
        <f>_xlfn.XLOOKUP(I46,costcategory[Account Code],costcategory[Cost Category],"ERROR")</f>
        <v>Headcount Costs</v>
      </c>
      <c r="K46" s="89" t="str">
        <f t="shared" si="1"/>
        <v>Sales &amp; Pre-Sales</v>
      </c>
      <c r="L46" s="89" t="str">
        <f>_xlfn.XLOOKUP(K46,Table2[Department],Table2[Group],"ERROR")</f>
        <v>Sales &amp; Marketing</v>
      </c>
    </row>
    <row r="47" spans="1:12" x14ac:dyDescent="0.2">
      <c r="A47" t="s">
        <v>2</v>
      </c>
      <c r="B47" s="38">
        <v>46053</v>
      </c>
      <c r="C47" s="38">
        <v>46065</v>
      </c>
      <c r="D47" t="s">
        <v>1129</v>
      </c>
      <c r="E47" t="s">
        <v>82</v>
      </c>
      <c r="F47" s="37">
        <v>9.6999999999999993</v>
      </c>
      <c r="G47" s="39" cm="1">
        <f t="array" ref="G47">F47*_xlfn.XLOOKUP(1,
 (FOREX!$E$2:$E$13=EOMONTH(B47,0))*
 (FOREX!$F$2:$F$13=TRIM(E47)),FOREX!$G$2:$G$13,
 100)</f>
        <v>2.4615495999999997</v>
      </c>
      <c r="H47" t="s">
        <v>1478</v>
      </c>
      <c r="I47" t="s">
        <v>387</v>
      </c>
      <c r="J47" s="35" t="str">
        <f>_xlfn.XLOOKUP(I47,costcategory[Account Code],costcategory[Cost Category],"ERROR")</f>
        <v>Headcount Costs</v>
      </c>
      <c r="K47" s="89" t="str">
        <f t="shared" si="1"/>
        <v>Sales &amp; Pre-Sales</v>
      </c>
      <c r="L47" s="89" t="str">
        <f>_xlfn.XLOOKUP(K47,Table2[Department],Table2[Group],"ERROR")</f>
        <v>Sales &amp; Marketing</v>
      </c>
    </row>
    <row r="48" spans="1:12" x14ac:dyDescent="0.2">
      <c r="A48" t="s">
        <v>2</v>
      </c>
      <c r="B48" s="38">
        <v>46053</v>
      </c>
      <c r="C48" s="38">
        <v>46065</v>
      </c>
      <c r="D48" t="s">
        <v>1131</v>
      </c>
      <c r="E48" t="s">
        <v>82</v>
      </c>
      <c r="F48" s="37">
        <v>11.9</v>
      </c>
      <c r="G48" s="39" cm="1">
        <f t="array" ref="G48">F48*_xlfn.XLOOKUP(1,
 (FOREX!$E$2:$E$13=EOMONTH(B48,0))*
 (FOREX!$F$2:$F$13=TRIM(E48)),FOREX!$G$2:$G$13,
 100)</f>
        <v>3.0198391999999998</v>
      </c>
      <c r="H48" t="s">
        <v>1478</v>
      </c>
      <c r="I48" t="s">
        <v>387</v>
      </c>
      <c r="J48" s="35" t="str">
        <f>_xlfn.XLOOKUP(I48,costcategory[Account Code],costcategory[Cost Category],"ERROR")</f>
        <v>Headcount Costs</v>
      </c>
      <c r="K48" s="89" t="str">
        <f t="shared" si="1"/>
        <v>HR</v>
      </c>
      <c r="L48" s="89" t="str">
        <f>_xlfn.XLOOKUP(K48,Table2[Department],Table2[Group],"ERROR")</f>
        <v>General &amp; Administrative</v>
      </c>
    </row>
    <row r="49" spans="1:12" x14ac:dyDescent="0.2">
      <c r="A49" t="s">
        <v>2</v>
      </c>
      <c r="B49" s="38">
        <v>46053</v>
      </c>
      <c r="C49" s="38">
        <v>46065</v>
      </c>
      <c r="D49" t="s">
        <v>1133</v>
      </c>
      <c r="E49" t="s">
        <v>82</v>
      </c>
      <c r="F49" s="37">
        <v>11.9</v>
      </c>
      <c r="G49" s="39" cm="1">
        <f t="array" ref="G49">F49*_xlfn.XLOOKUP(1,
 (FOREX!$E$2:$E$13=EOMONTH(B49,0))*
 (FOREX!$F$2:$F$13=TRIM(E49)),FOREX!$G$2:$G$13,
 100)</f>
        <v>3.0198391999999998</v>
      </c>
      <c r="H49" t="s">
        <v>1478</v>
      </c>
      <c r="I49" t="s">
        <v>387</v>
      </c>
      <c r="J49" s="35" t="str">
        <f>_xlfn.XLOOKUP(I49,costcategory[Account Code],costcategory[Cost Category],"ERROR")</f>
        <v>Headcount Costs</v>
      </c>
      <c r="K49" s="89" t="str">
        <f t="shared" si="1"/>
        <v>Finance</v>
      </c>
      <c r="L49" s="89" t="str">
        <f>_xlfn.XLOOKUP(K49,Table2[Department],Table2[Group],"ERROR")</f>
        <v>General &amp; Administrative</v>
      </c>
    </row>
    <row r="50" spans="1:12" x14ac:dyDescent="0.2">
      <c r="A50" t="s">
        <v>2</v>
      </c>
      <c r="B50" s="38">
        <v>46053</v>
      </c>
      <c r="C50" s="38">
        <v>46065</v>
      </c>
      <c r="D50" t="s">
        <v>1134</v>
      </c>
      <c r="E50" t="s">
        <v>82</v>
      </c>
      <c r="F50" s="37">
        <v>11.9</v>
      </c>
      <c r="G50" s="39" cm="1">
        <f t="array" ref="G50">F50*_xlfn.XLOOKUP(1,
 (FOREX!$E$2:$E$13=EOMONTH(B50,0))*
 (FOREX!$F$2:$F$13=TRIM(E50)),FOREX!$G$2:$G$13,
 100)</f>
        <v>3.0198391999999998</v>
      </c>
      <c r="H50" t="s">
        <v>1478</v>
      </c>
      <c r="I50" t="s">
        <v>387</v>
      </c>
      <c r="J50" s="35" t="str">
        <f>_xlfn.XLOOKUP(I50,costcategory[Account Code],costcategory[Cost Category],"ERROR")</f>
        <v>Headcount Costs</v>
      </c>
      <c r="K50" s="89" t="str">
        <f t="shared" si="1"/>
        <v>DSC</v>
      </c>
      <c r="L50" s="89" t="str">
        <f>_xlfn.XLOOKUP(K50,Table2[Department],Table2[Group],"ERROR")</f>
        <v>DSC</v>
      </c>
    </row>
    <row r="51" spans="1:12" x14ac:dyDescent="0.2">
      <c r="A51" t="s">
        <v>2</v>
      </c>
      <c r="B51" s="38">
        <v>46053</v>
      </c>
      <c r="C51" s="38">
        <v>46065</v>
      </c>
      <c r="D51" t="s">
        <v>1136</v>
      </c>
      <c r="E51" t="s">
        <v>82</v>
      </c>
      <c r="F51" s="37">
        <v>11.9</v>
      </c>
      <c r="G51" s="39" cm="1">
        <f t="array" ref="G51">F51*_xlfn.XLOOKUP(1,
 (FOREX!$E$2:$E$13=EOMONTH(B51,0))*
 (FOREX!$F$2:$F$13=TRIM(E51)),FOREX!$G$2:$G$13,
 100)</f>
        <v>3.0198391999999998</v>
      </c>
      <c r="H51" t="s">
        <v>1478</v>
      </c>
      <c r="I51" t="s">
        <v>387</v>
      </c>
      <c r="J51" s="35" t="str">
        <f>_xlfn.XLOOKUP(I51,costcategory[Account Code],costcategory[Cost Category],"ERROR")</f>
        <v>Headcount Costs</v>
      </c>
      <c r="K51" s="89" t="str">
        <f t="shared" si="1"/>
        <v>DSC</v>
      </c>
      <c r="L51" s="89" t="str">
        <f>_xlfn.XLOOKUP(K51,Table2[Department],Table2[Group],"ERROR")</f>
        <v>DSC</v>
      </c>
    </row>
    <row r="52" spans="1:12" x14ac:dyDescent="0.2">
      <c r="A52" t="s">
        <v>2</v>
      </c>
      <c r="B52" s="38">
        <v>46053</v>
      </c>
      <c r="C52" s="38">
        <v>46065</v>
      </c>
      <c r="D52" t="s">
        <v>1137</v>
      </c>
      <c r="E52" t="s">
        <v>82</v>
      </c>
      <c r="F52" s="37">
        <v>11.1</v>
      </c>
      <c r="G52" s="39" cm="1">
        <f t="array" ref="G52">F52*_xlfn.XLOOKUP(1,
 (FOREX!$E$2:$E$13=EOMONTH(B52,0))*
 (FOREX!$F$2:$F$13=TRIM(E52)),FOREX!$G$2:$G$13,
 100)</f>
        <v>2.8168248</v>
      </c>
      <c r="H52" t="s">
        <v>1478</v>
      </c>
      <c r="I52" t="s">
        <v>387</v>
      </c>
      <c r="J52" s="35" t="str">
        <f>_xlfn.XLOOKUP(I52,costcategory[Account Code],costcategory[Cost Category],"ERROR")</f>
        <v>Headcount Costs</v>
      </c>
      <c r="K52" s="89" t="str">
        <f t="shared" si="1"/>
        <v>DSC</v>
      </c>
      <c r="L52" s="89" t="str">
        <f>_xlfn.XLOOKUP(K52,Table2[Department],Table2[Group],"ERROR")</f>
        <v>DSC</v>
      </c>
    </row>
    <row r="53" spans="1:12" x14ac:dyDescent="0.2">
      <c r="A53" t="s">
        <v>2</v>
      </c>
      <c r="B53" s="38">
        <v>46053</v>
      </c>
      <c r="C53" s="38">
        <v>46065</v>
      </c>
      <c r="D53" t="s">
        <v>1139</v>
      </c>
      <c r="E53" t="s">
        <v>82</v>
      </c>
      <c r="F53" s="37">
        <v>0</v>
      </c>
      <c r="G53" s="39" cm="1">
        <f t="array" ref="G53">F53*_xlfn.XLOOKUP(1,
 (FOREX!$E$2:$E$13=EOMONTH(B53,0))*
 (FOREX!$F$2:$F$13=TRIM(E53)),FOREX!$G$2:$G$13,
 100)</f>
        <v>0</v>
      </c>
      <c r="H53" t="s">
        <v>1478</v>
      </c>
      <c r="I53" t="s">
        <v>387</v>
      </c>
      <c r="J53" s="35" t="str">
        <f>_xlfn.XLOOKUP(I53,costcategory[Account Code],costcategory[Cost Category],"ERROR")</f>
        <v>Headcount Costs</v>
      </c>
      <c r="K53" s="89" t="str">
        <f t="shared" si="1"/>
        <v>Business Operation</v>
      </c>
      <c r="L53" s="89" t="str">
        <f>_xlfn.XLOOKUP(K53,Table2[Department],Table2[Group],"ERROR")</f>
        <v>Sales &amp; Marketing</v>
      </c>
    </row>
    <row r="54" spans="1:12" x14ac:dyDescent="0.2">
      <c r="A54" t="s">
        <v>2</v>
      </c>
      <c r="B54" s="38">
        <v>46053</v>
      </c>
      <c r="C54" s="38">
        <v>46065</v>
      </c>
      <c r="D54" t="s">
        <v>1141</v>
      </c>
      <c r="E54" t="s">
        <v>82</v>
      </c>
      <c r="F54" s="37">
        <v>11.9</v>
      </c>
      <c r="G54" s="39" cm="1">
        <f t="array" ref="G54">F54*_xlfn.XLOOKUP(1,
 (FOREX!$E$2:$E$13=EOMONTH(B54,0))*
 (FOREX!$F$2:$F$13=TRIM(E54)),FOREX!$G$2:$G$13,
 100)</f>
        <v>3.0198391999999998</v>
      </c>
      <c r="H54" t="s">
        <v>1478</v>
      </c>
      <c r="I54" t="s">
        <v>387</v>
      </c>
      <c r="J54" s="35" t="str">
        <f>_xlfn.XLOOKUP(I54,costcategory[Account Code],costcategory[Cost Category],"ERROR")</f>
        <v>Headcount Costs</v>
      </c>
      <c r="K54" s="89" t="str">
        <f t="shared" si="1"/>
        <v>DSC</v>
      </c>
      <c r="L54" s="89" t="str">
        <f>_xlfn.XLOOKUP(K54,Table2[Department],Table2[Group],"ERROR")</f>
        <v>DSC</v>
      </c>
    </row>
    <row r="55" spans="1:12" x14ac:dyDescent="0.2">
      <c r="A55" t="s">
        <v>2</v>
      </c>
      <c r="B55" s="38">
        <v>46053</v>
      </c>
      <c r="C55" s="38">
        <v>46065</v>
      </c>
      <c r="D55" t="s">
        <v>1143</v>
      </c>
      <c r="E55" t="s">
        <v>82</v>
      </c>
      <c r="F55" s="37">
        <v>11.9</v>
      </c>
      <c r="G55" s="39" cm="1">
        <f t="array" ref="G55">F55*_xlfn.XLOOKUP(1,
 (FOREX!$E$2:$E$13=EOMONTH(B55,0))*
 (FOREX!$F$2:$F$13=TRIM(E55)),FOREX!$G$2:$G$13,
 100)</f>
        <v>3.0198391999999998</v>
      </c>
      <c r="H55" t="s">
        <v>1478</v>
      </c>
      <c r="I55" t="s">
        <v>387</v>
      </c>
      <c r="J55" s="35" t="str">
        <f>_xlfn.XLOOKUP(I55,costcategory[Account Code],costcategory[Cost Category],"ERROR")</f>
        <v>Headcount Costs</v>
      </c>
      <c r="K55" s="89" t="str">
        <f t="shared" si="1"/>
        <v>DSC</v>
      </c>
      <c r="L55" s="89" t="str">
        <f>_xlfn.XLOOKUP(K55,Table2[Department],Table2[Group],"ERROR")</f>
        <v>DSC</v>
      </c>
    </row>
    <row r="56" spans="1:12" x14ac:dyDescent="0.2">
      <c r="A56" t="s">
        <v>2</v>
      </c>
      <c r="B56" s="38">
        <v>46053</v>
      </c>
      <c r="C56" s="38">
        <v>46065</v>
      </c>
      <c r="D56" t="s">
        <v>1145</v>
      </c>
      <c r="E56" t="s">
        <v>82</v>
      </c>
      <c r="F56" s="37">
        <v>11.9</v>
      </c>
      <c r="G56" s="39" cm="1">
        <f t="array" ref="G56">F56*_xlfn.XLOOKUP(1,
 (FOREX!$E$2:$E$13=EOMONTH(B56,0))*
 (FOREX!$F$2:$F$13=TRIM(E56)),FOREX!$G$2:$G$13,
 100)</f>
        <v>3.0198391999999998</v>
      </c>
      <c r="H56" t="s">
        <v>1478</v>
      </c>
      <c r="I56" t="s">
        <v>387</v>
      </c>
      <c r="J56" s="35" t="str">
        <f>_xlfn.XLOOKUP(I56,costcategory[Account Code],costcategory[Cost Category],"ERROR")</f>
        <v>Headcount Costs</v>
      </c>
      <c r="K56" s="89" t="str">
        <f t="shared" si="1"/>
        <v>DSC</v>
      </c>
      <c r="L56" s="89" t="str">
        <f>_xlfn.XLOOKUP(K56,Table2[Department],Table2[Group],"ERROR")</f>
        <v>DSC</v>
      </c>
    </row>
    <row r="57" spans="1:12" x14ac:dyDescent="0.2">
      <c r="A57" t="s">
        <v>2</v>
      </c>
      <c r="B57" s="38">
        <v>46053</v>
      </c>
      <c r="C57" s="38">
        <v>46065</v>
      </c>
      <c r="D57" t="s">
        <v>1147</v>
      </c>
      <c r="E57" t="s">
        <v>82</v>
      </c>
      <c r="F57" s="37">
        <v>11.5</v>
      </c>
      <c r="G57" s="39" cm="1">
        <f t="array" ref="G57">F57*_xlfn.XLOOKUP(1,
 (FOREX!$E$2:$E$13=EOMONTH(B57,0))*
 (FOREX!$F$2:$F$13=TRIM(E57)),FOREX!$G$2:$G$13,
 100)</f>
        <v>2.9183319999999999</v>
      </c>
      <c r="H57" t="s">
        <v>1478</v>
      </c>
      <c r="I57" t="s">
        <v>387</v>
      </c>
      <c r="J57" s="35" t="str">
        <f>_xlfn.XLOOKUP(I57,costcategory[Account Code],costcategory[Cost Category],"ERROR")</f>
        <v>Headcount Costs</v>
      </c>
      <c r="K57" s="89" t="str">
        <f t="shared" si="1"/>
        <v>Finance</v>
      </c>
      <c r="L57" s="89" t="str">
        <f>_xlfn.XLOOKUP(K57,Table2[Department],Table2[Group],"ERROR")</f>
        <v>General &amp; Administrative</v>
      </c>
    </row>
    <row r="58" spans="1:12" x14ac:dyDescent="0.2">
      <c r="A58" t="s">
        <v>2</v>
      </c>
      <c r="B58" s="38">
        <v>46053</v>
      </c>
      <c r="C58" s="38">
        <v>46055</v>
      </c>
      <c r="D58" t="s">
        <v>1125</v>
      </c>
      <c r="E58" t="s">
        <v>82</v>
      </c>
      <c r="F58" s="37">
        <v>4812.5</v>
      </c>
      <c r="G58" s="39" cm="1">
        <f t="array" ref="G58">F58*_xlfn.XLOOKUP(1,
 (FOREX!$E$2:$E$13=EOMONTH(B58,0))*
 (FOREX!$F$2:$F$13=TRIM(E58)),FOREX!$G$2:$G$13,
 100)</f>
        <v>1221.2584999999999</v>
      </c>
      <c r="H58" t="s">
        <v>1479</v>
      </c>
      <c r="I58" t="s">
        <v>387</v>
      </c>
      <c r="J58" s="35" t="str">
        <f>_xlfn.XLOOKUP(I58,costcategory[Account Code],costcategory[Cost Category],"ERROR")</f>
        <v>Headcount Costs</v>
      </c>
      <c r="K58" s="89" t="str">
        <f t="shared" si="1"/>
        <v>Sales &amp; Pre-Sales</v>
      </c>
      <c r="L58" s="89" t="str">
        <f>_xlfn.XLOOKUP(K58,Table2[Department],Table2[Group],"ERROR")</f>
        <v>Sales &amp; Marketing</v>
      </c>
    </row>
    <row r="59" spans="1:12" x14ac:dyDescent="0.2">
      <c r="A59" t="s">
        <v>2</v>
      </c>
      <c r="B59" s="38">
        <v>46053</v>
      </c>
      <c r="C59" s="38">
        <v>46055</v>
      </c>
      <c r="D59" t="s">
        <v>1127</v>
      </c>
      <c r="E59" t="s">
        <v>82</v>
      </c>
      <c r="F59" s="37">
        <v>86</v>
      </c>
      <c r="G59" s="39" cm="1">
        <f t="array" ref="G59">F59*_xlfn.XLOOKUP(1,
 (FOREX!$E$2:$E$13=EOMONTH(B59,0))*
 (FOREX!$F$2:$F$13=TRIM(E59)),FOREX!$G$2:$G$13,
 100)</f>
        <v>21.824047999999998</v>
      </c>
      <c r="H59" t="s">
        <v>1479</v>
      </c>
      <c r="I59" t="s">
        <v>387</v>
      </c>
      <c r="J59" s="35" t="str">
        <f>_xlfn.XLOOKUP(I59,costcategory[Account Code],costcategory[Cost Category],"ERROR")</f>
        <v>Headcount Costs</v>
      </c>
      <c r="K59" s="89" t="str">
        <f t="shared" si="1"/>
        <v>DSC</v>
      </c>
      <c r="L59" s="89" t="str">
        <f>_xlfn.XLOOKUP(K59,Table2[Department],Table2[Group],"ERROR")</f>
        <v>DSC</v>
      </c>
    </row>
    <row r="60" spans="1:12" x14ac:dyDescent="0.2">
      <c r="A60" t="s">
        <v>2</v>
      </c>
      <c r="B60" s="38">
        <v>46053</v>
      </c>
      <c r="C60" s="38">
        <v>46055</v>
      </c>
      <c r="D60" t="s">
        <v>1128</v>
      </c>
      <c r="E60" t="s">
        <v>82</v>
      </c>
      <c r="F60" s="37">
        <v>1054.2</v>
      </c>
      <c r="G60" s="39" cm="1">
        <f t="array" ref="G60">F60*_xlfn.XLOOKUP(1,
 (FOREX!$E$2:$E$13=EOMONTH(B60,0))*
 (FOREX!$F$2:$F$13=TRIM(E60)),FOREX!$G$2:$G$13,
 100)</f>
        <v>267.52222560000001</v>
      </c>
      <c r="H60" t="s">
        <v>1479</v>
      </c>
      <c r="I60" t="s">
        <v>387</v>
      </c>
      <c r="J60" s="35" t="str">
        <f>_xlfn.XLOOKUP(I60,costcategory[Account Code],costcategory[Cost Category],"ERROR")</f>
        <v>Headcount Costs</v>
      </c>
      <c r="K60" s="89" t="str">
        <f t="shared" si="1"/>
        <v>Sales &amp; Pre-Sales</v>
      </c>
      <c r="L60" s="89" t="str">
        <f>_xlfn.XLOOKUP(K60,Table2[Department],Table2[Group],"ERROR")</f>
        <v>Sales &amp; Marketing</v>
      </c>
    </row>
    <row r="61" spans="1:12" x14ac:dyDescent="0.2">
      <c r="A61" t="s">
        <v>2</v>
      </c>
      <c r="B61" s="38">
        <v>46053</v>
      </c>
      <c r="C61" s="38">
        <v>46055</v>
      </c>
      <c r="D61" t="s">
        <v>1129</v>
      </c>
      <c r="E61" t="s">
        <v>82</v>
      </c>
      <c r="F61" s="37">
        <v>104</v>
      </c>
      <c r="G61" s="39" cm="1">
        <f t="array" ref="G61">F61*_xlfn.XLOOKUP(1,
 (FOREX!$E$2:$E$13=EOMONTH(B61,0))*
 (FOREX!$F$2:$F$13=TRIM(E61)),FOREX!$G$2:$G$13,
 100)</f>
        <v>26.391871999999999</v>
      </c>
      <c r="H61" t="s">
        <v>1479</v>
      </c>
      <c r="I61" t="s">
        <v>387</v>
      </c>
      <c r="J61" s="35" t="str">
        <f>_xlfn.XLOOKUP(I61,costcategory[Account Code],costcategory[Cost Category],"ERROR")</f>
        <v>Headcount Costs</v>
      </c>
      <c r="K61" s="89" t="str">
        <f t="shared" si="1"/>
        <v>Sales &amp; Pre-Sales</v>
      </c>
      <c r="L61" s="89" t="str">
        <f>_xlfn.XLOOKUP(K61,Table2[Department],Table2[Group],"ERROR")</f>
        <v>Sales &amp; Marketing</v>
      </c>
    </row>
    <row r="62" spans="1:12" x14ac:dyDescent="0.2">
      <c r="A62" t="s">
        <v>2</v>
      </c>
      <c r="B62" s="38">
        <v>46053</v>
      </c>
      <c r="C62" s="38">
        <v>46055</v>
      </c>
      <c r="D62" t="s">
        <v>1131</v>
      </c>
      <c r="E62" t="s">
        <v>82</v>
      </c>
      <c r="F62" s="37">
        <v>1454.2</v>
      </c>
      <c r="G62" s="39" cm="1">
        <f t="array" ref="G62">F62*_xlfn.XLOOKUP(1,
 (FOREX!$E$2:$E$13=EOMONTH(B62,0))*
 (FOREX!$F$2:$F$13=TRIM(E62)),FOREX!$G$2:$G$13,
 100)</f>
        <v>369.02942560000002</v>
      </c>
      <c r="H62" t="s">
        <v>1479</v>
      </c>
      <c r="I62" t="s">
        <v>387</v>
      </c>
      <c r="J62" s="35" t="str">
        <f>_xlfn.XLOOKUP(I62,costcategory[Account Code],costcategory[Cost Category],"ERROR")</f>
        <v>Headcount Costs</v>
      </c>
      <c r="K62" s="89" t="str">
        <f t="shared" si="1"/>
        <v>HR</v>
      </c>
      <c r="L62" s="89" t="str">
        <f>_xlfn.XLOOKUP(K62,Table2[Department],Table2[Group],"ERROR")</f>
        <v>General &amp; Administrative</v>
      </c>
    </row>
    <row r="63" spans="1:12" x14ac:dyDescent="0.2">
      <c r="A63" t="s">
        <v>2</v>
      </c>
      <c r="B63" s="38">
        <v>46053</v>
      </c>
      <c r="C63" s="38">
        <v>46055</v>
      </c>
      <c r="D63" t="s">
        <v>1133</v>
      </c>
      <c r="E63" t="s">
        <v>82</v>
      </c>
      <c r="F63" s="37">
        <v>1534.2</v>
      </c>
      <c r="G63" s="39" cm="1">
        <f t="array" ref="G63">F63*_xlfn.XLOOKUP(1,
 (FOREX!$E$2:$E$13=EOMONTH(B63,0))*
 (FOREX!$F$2:$F$13=TRIM(E63)),FOREX!$G$2:$G$13,
 100)</f>
        <v>389.33086559999998</v>
      </c>
      <c r="H63" t="s">
        <v>1479</v>
      </c>
      <c r="I63" t="s">
        <v>387</v>
      </c>
      <c r="J63" s="35" t="str">
        <f>_xlfn.XLOOKUP(I63,costcategory[Account Code],costcategory[Cost Category],"ERROR")</f>
        <v>Headcount Costs</v>
      </c>
      <c r="K63" s="89" t="str">
        <f t="shared" si="1"/>
        <v>Finance</v>
      </c>
      <c r="L63" s="89" t="str">
        <f>_xlfn.XLOOKUP(K63,Table2[Department],Table2[Group],"ERROR")</f>
        <v>General &amp; Administrative</v>
      </c>
    </row>
    <row r="64" spans="1:12" x14ac:dyDescent="0.2">
      <c r="A64" t="s">
        <v>2</v>
      </c>
      <c r="B64" s="38">
        <v>46053</v>
      </c>
      <c r="C64" s="38">
        <v>46055</v>
      </c>
      <c r="D64" t="s">
        <v>1134</v>
      </c>
      <c r="E64" t="s">
        <v>82</v>
      </c>
      <c r="F64" s="37">
        <v>4562.5</v>
      </c>
      <c r="G64" s="39" cm="1">
        <f t="array" ref="G64">F64*_xlfn.XLOOKUP(1,
 (FOREX!$E$2:$E$13=EOMONTH(B64,0))*
 (FOREX!$F$2:$F$13=TRIM(E64)),FOREX!$G$2:$G$13,
 100)</f>
        <v>1157.8164999999999</v>
      </c>
      <c r="H64" t="s">
        <v>1479</v>
      </c>
      <c r="I64" t="s">
        <v>387</v>
      </c>
      <c r="J64" s="35" t="str">
        <f>_xlfn.XLOOKUP(I64,costcategory[Account Code],costcategory[Cost Category],"ERROR")</f>
        <v>Headcount Costs</v>
      </c>
      <c r="K64" s="89" t="str">
        <f t="shared" si="1"/>
        <v>DSC</v>
      </c>
      <c r="L64" s="89" t="str">
        <f>_xlfn.XLOOKUP(K64,Table2[Department],Table2[Group],"ERROR")</f>
        <v>DSC</v>
      </c>
    </row>
    <row r="65" spans="1:12" x14ac:dyDescent="0.2">
      <c r="A65" t="s">
        <v>2</v>
      </c>
      <c r="B65" s="38">
        <v>46053</v>
      </c>
      <c r="C65" s="38">
        <v>46055</v>
      </c>
      <c r="D65" t="s">
        <v>1136</v>
      </c>
      <c r="E65" t="s">
        <v>82</v>
      </c>
      <c r="F65" s="37">
        <v>2237.5</v>
      </c>
      <c r="G65" s="39" cm="1">
        <f t="array" ref="G65">F65*_xlfn.XLOOKUP(1,
 (FOREX!$E$2:$E$13=EOMONTH(B65,0))*
 (FOREX!$F$2:$F$13=TRIM(E65)),FOREX!$G$2:$G$13,
 100)</f>
        <v>567.80589999999995</v>
      </c>
      <c r="H65" t="s">
        <v>1479</v>
      </c>
      <c r="I65" t="s">
        <v>387</v>
      </c>
      <c r="J65" s="35" t="str">
        <f>_xlfn.XLOOKUP(I65,costcategory[Account Code],costcategory[Cost Category],"ERROR")</f>
        <v>Headcount Costs</v>
      </c>
      <c r="K65" s="89" t="str">
        <f t="shared" si="1"/>
        <v>DSC</v>
      </c>
      <c r="L65" s="89" t="str">
        <f>_xlfn.XLOOKUP(K65,Table2[Department],Table2[Group],"ERROR")</f>
        <v>DSC</v>
      </c>
    </row>
    <row r="66" spans="1:12" x14ac:dyDescent="0.2">
      <c r="A66" t="s">
        <v>2</v>
      </c>
      <c r="B66" s="38">
        <v>46053</v>
      </c>
      <c r="C66" s="38">
        <v>46055</v>
      </c>
      <c r="D66" t="s">
        <v>1137</v>
      </c>
      <c r="E66" t="s">
        <v>82</v>
      </c>
      <c r="F66" s="37">
        <v>163.5</v>
      </c>
      <c r="G66" s="39" cm="1">
        <f t="array" ref="G66">F66*_xlfn.XLOOKUP(1,
 (FOREX!$E$2:$E$13=EOMONTH(B66,0))*
 (FOREX!$F$2:$F$13=TRIM(E66)),FOREX!$G$2:$G$13,
 100)</f>
        <v>41.491067999999999</v>
      </c>
      <c r="H66" t="s">
        <v>1479</v>
      </c>
      <c r="I66" t="s">
        <v>387</v>
      </c>
      <c r="J66" s="35" t="str">
        <f>_xlfn.XLOOKUP(I66,costcategory[Account Code],costcategory[Cost Category],"ERROR")</f>
        <v>Headcount Costs</v>
      </c>
      <c r="K66" s="89" t="str">
        <f t="shared" si="1"/>
        <v>DSC</v>
      </c>
      <c r="L66" s="89" t="str">
        <f>_xlfn.XLOOKUP(K66,Table2[Department],Table2[Group],"ERROR")</f>
        <v>DSC</v>
      </c>
    </row>
    <row r="67" spans="1:12" x14ac:dyDescent="0.2">
      <c r="A67" t="s">
        <v>2</v>
      </c>
      <c r="B67" s="38">
        <v>46053</v>
      </c>
      <c r="C67" s="38">
        <v>46055</v>
      </c>
      <c r="D67" t="s">
        <v>1139</v>
      </c>
      <c r="E67" t="s">
        <v>82</v>
      </c>
      <c r="F67" s="37">
        <v>3304.2</v>
      </c>
      <c r="G67" s="39" cm="1">
        <f t="array" ref="G67">F67*_xlfn.XLOOKUP(1,
 (FOREX!$E$2:$E$13=EOMONTH(B67,0))*
 (FOREX!$F$2:$F$13=TRIM(E67)),FOREX!$G$2:$G$13,
 100)</f>
        <v>838.50022559999991</v>
      </c>
      <c r="H67" t="s">
        <v>1479</v>
      </c>
      <c r="I67" t="s">
        <v>387</v>
      </c>
      <c r="J67" s="35" t="str">
        <f>_xlfn.XLOOKUP(I67,costcategory[Account Code],costcategory[Cost Category],"ERROR")</f>
        <v>Headcount Costs</v>
      </c>
      <c r="K67" s="89" t="str">
        <f t="shared" si="1"/>
        <v>Business Operation</v>
      </c>
      <c r="L67" s="89" t="str">
        <f>_xlfn.XLOOKUP(K67,Table2[Department],Table2[Group],"ERROR")</f>
        <v>Sales &amp; Marketing</v>
      </c>
    </row>
    <row r="68" spans="1:12" x14ac:dyDescent="0.2">
      <c r="A68" t="s">
        <v>2</v>
      </c>
      <c r="B68" s="38">
        <v>46053</v>
      </c>
      <c r="C68" s="38">
        <v>46055</v>
      </c>
      <c r="D68" t="s">
        <v>1141</v>
      </c>
      <c r="E68" t="s">
        <v>82</v>
      </c>
      <c r="F68" s="37">
        <v>6112.5</v>
      </c>
      <c r="G68" s="39" cm="1">
        <f t="array" ref="G68">F68*_xlfn.XLOOKUP(1,
 (FOREX!$E$2:$E$13=EOMONTH(B68,0))*
 (FOREX!$F$2:$F$13=TRIM(E68)),FOREX!$G$2:$G$13,
 100)</f>
        <v>1551.1569</v>
      </c>
      <c r="H68" t="s">
        <v>1479</v>
      </c>
      <c r="I68" t="s">
        <v>387</v>
      </c>
      <c r="J68" s="35" t="str">
        <f>_xlfn.XLOOKUP(I68,costcategory[Account Code],costcategory[Cost Category],"ERROR")</f>
        <v>Headcount Costs</v>
      </c>
      <c r="K68" s="89" t="str">
        <f t="shared" si="1"/>
        <v>DSC</v>
      </c>
      <c r="L68" s="89" t="str">
        <f>_xlfn.XLOOKUP(K68,Table2[Department],Table2[Group],"ERROR")</f>
        <v>DSC</v>
      </c>
    </row>
    <row r="69" spans="1:12" x14ac:dyDescent="0.2">
      <c r="A69" t="s">
        <v>2</v>
      </c>
      <c r="B69" s="38">
        <v>46053</v>
      </c>
      <c r="C69" s="38">
        <v>46055</v>
      </c>
      <c r="D69" t="s">
        <v>1143</v>
      </c>
      <c r="E69" t="s">
        <v>82</v>
      </c>
      <c r="F69" s="37">
        <v>343.2</v>
      </c>
      <c r="G69" s="39" cm="1">
        <f t="array" ref="G69">F69*_xlfn.XLOOKUP(1,
 (FOREX!$E$2:$E$13=EOMONTH(B69,0))*
 (FOREX!$F$2:$F$13=TRIM(E69)),FOREX!$G$2:$G$13,
 100)</f>
        <v>87.09317759999999</v>
      </c>
      <c r="H69" t="s">
        <v>1479</v>
      </c>
      <c r="I69" t="s">
        <v>387</v>
      </c>
      <c r="J69" s="35" t="str">
        <f>_xlfn.XLOOKUP(I69,costcategory[Account Code],costcategory[Cost Category],"ERROR")</f>
        <v>Headcount Costs</v>
      </c>
      <c r="K69" s="89" t="str">
        <f t="shared" si="1"/>
        <v>DSC</v>
      </c>
      <c r="L69" s="89" t="str">
        <f>_xlfn.XLOOKUP(K69,Table2[Department],Table2[Group],"ERROR")</f>
        <v>DSC</v>
      </c>
    </row>
    <row r="70" spans="1:12" x14ac:dyDescent="0.2">
      <c r="A70" t="s">
        <v>2</v>
      </c>
      <c r="B70" s="38">
        <v>46053</v>
      </c>
      <c r="C70" s="38">
        <v>46055</v>
      </c>
      <c r="D70" t="s">
        <v>1145</v>
      </c>
      <c r="E70" t="s">
        <v>82</v>
      </c>
      <c r="F70" s="37">
        <v>218.5</v>
      </c>
      <c r="G70" s="39" cm="1">
        <f t="array" ref="G70">F70*_xlfn.XLOOKUP(1,
 (FOREX!$E$2:$E$13=EOMONTH(B70,0))*
 (FOREX!$F$2:$F$13=TRIM(E70)),FOREX!$G$2:$G$13,
 100)</f>
        <v>55.448307999999997</v>
      </c>
      <c r="H70" t="s">
        <v>1479</v>
      </c>
      <c r="I70" t="s">
        <v>387</v>
      </c>
      <c r="J70" s="35" t="str">
        <f>_xlfn.XLOOKUP(I70,costcategory[Account Code],costcategory[Cost Category],"ERROR")</f>
        <v>Headcount Costs</v>
      </c>
      <c r="K70" s="89" t="str">
        <f t="shared" si="1"/>
        <v>DSC</v>
      </c>
      <c r="L70" s="89" t="str">
        <f>_xlfn.XLOOKUP(K70,Table2[Department],Table2[Group],"ERROR")</f>
        <v>DSC</v>
      </c>
    </row>
    <row r="71" spans="1:12" x14ac:dyDescent="0.2">
      <c r="A71" t="s">
        <v>2</v>
      </c>
      <c r="B71" s="38">
        <v>46053</v>
      </c>
      <c r="C71" s="38">
        <v>46055</v>
      </c>
      <c r="D71" t="s">
        <v>1147</v>
      </c>
      <c r="E71" t="s">
        <v>82</v>
      </c>
      <c r="F71" s="37">
        <v>175.25</v>
      </c>
      <c r="G71" s="39" cm="1">
        <f t="array" ref="G71">F71*_xlfn.XLOOKUP(1,
 (FOREX!$E$2:$E$13=EOMONTH(B71,0))*
 (FOREX!$F$2:$F$13=TRIM(E71)),FOREX!$G$2:$G$13,
 100)</f>
        <v>44.472842</v>
      </c>
      <c r="H71" t="s">
        <v>1479</v>
      </c>
      <c r="I71" t="s">
        <v>387</v>
      </c>
      <c r="J71" s="35" t="str">
        <f>_xlfn.XLOOKUP(I71,costcategory[Account Code],costcategory[Cost Category],"ERROR")</f>
        <v>Headcount Costs</v>
      </c>
      <c r="K71" s="89" t="str">
        <f t="shared" si="1"/>
        <v>Finance</v>
      </c>
      <c r="L71" s="89" t="str">
        <f>_xlfn.XLOOKUP(K71,Table2[Department],Table2[Group],"ERROR")</f>
        <v>General &amp; Administrative</v>
      </c>
    </row>
    <row r="72" spans="1:12" x14ac:dyDescent="0.2">
      <c r="A72" t="s">
        <v>2</v>
      </c>
      <c r="B72" s="38">
        <v>46053</v>
      </c>
      <c r="C72" s="38">
        <v>46065</v>
      </c>
      <c r="D72" t="s">
        <v>1125</v>
      </c>
      <c r="E72" t="s">
        <v>82</v>
      </c>
      <c r="F72" s="37">
        <v>257</v>
      </c>
      <c r="G72" s="39" cm="1">
        <f t="array" ref="G72">F72*_xlfn.XLOOKUP(1,
 (FOREX!$E$2:$E$13=EOMONTH(B72,0))*
 (FOREX!$F$2:$F$13=TRIM(E72)),FOREX!$G$2:$G$13,
 100)</f>
        <v>65.218375999999992</v>
      </c>
      <c r="H72" t="s">
        <v>1480</v>
      </c>
      <c r="I72" t="s">
        <v>364</v>
      </c>
      <c r="J72" s="35" t="str">
        <f>_xlfn.XLOOKUP(I72,costcategory[Account Code],costcategory[Cost Category],"ERROR")</f>
        <v>Headcount Costs</v>
      </c>
      <c r="K72" s="89" t="str">
        <f t="shared" si="1"/>
        <v>Sales &amp; Pre-Sales</v>
      </c>
      <c r="L72" s="89" t="str">
        <f>_xlfn.XLOOKUP(K72,Table2[Department],Table2[Group],"ERROR")</f>
        <v>Sales &amp; Marketing</v>
      </c>
    </row>
    <row r="73" spans="1:12" x14ac:dyDescent="0.2">
      <c r="A73" t="s">
        <v>2</v>
      </c>
      <c r="B73" s="38">
        <v>46053</v>
      </c>
      <c r="C73" s="38">
        <v>46065</v>
      </c>
      <c r="D73" t="s">
        <v>1127</v>
      </c>
      <c r="E73" t="s">
        <v>82</v>
      </c>
      <c r="F73" s="37">
        <v>46</v>
      </c>
      <c r="G73" s="39" cm="1">
        <f t="array" ref="G73">F73*_xlfn.XLOOKUP(1,
 (FOREX!$E$2:$E$13=EOMONTH(B73,0))*
 (FOREX!$F$2:$F$13=TRIM(E73)),FOREX!$G$2:$G$13,
 100)</f>
        <v>11.673328</v>
      </c>
      <c r="H73" t="s">
        <v>1480</v>
      </c>
      <c r="I73" t="s">
        <v>364</v>
      </c>
      <c r="J73" s="35" t="str">
        <f>_xlfn.XLOOKUP(I73,costcategory[Account Code],costcategory[Cost Category],"ERROR")</f>
        <v>Headcount Costs</v>
      </c>
      <c r="K73" s="89" t="str">
        <f t="shared" si="1"/>
        <v>DSC</v>
      </c>
      <c r="L73" s="89" t="str">
        <f>_xlfn.XLOOKUP(K73,Table2[Department],Table2[Group],"ERROR")</f>
        <v>DSC</v>
      </c>
    </row>
    <row r="74" spans="1:12" x14ac:dyDescent="0.2">
      <c r="A74" t="s">
        <v>2</v>
      </c>
      <c r="B74" s="38">
        <v>46053</v>
      </c>
      <c r="C74" s="38">
        <v>46065</v>
      </c>
      <c r="D74" t="s">
        <v>1128</v>
      </c>
      <c r="E74" t="s">
        <v>82</v>
      </c>
      <c r="F74" s="37">
        <v>105</v>
      </c>
      <c r="G74" s="39" cm="1">
        <f t="array" ref="G74">F74*_xlfn.XLOOKUP(1,
 (FOREX!$E$2:$E$13=EOMONTH(B74,0))*
 (FOREX!$F$2:$F$13=TRIM(E74)),FOREX!$G$2:$G$13,
 100)</f>
        <v>26.64564</v>
      </c>
      <c r="H74" t="s">
        <v>1480</v>
      </c>
      <c r="I74" t="s">
        <v>364</v>
      </c>
      <c r="J74" s="35" t="str">
        <f>_xlfn.XLOOKUP(I74,costcategory[Account Code],costcategory[Cost Category],"ERROR")</f>
        <v>Headcount Costs</v>
      </c>
      <c r="K74" s="89" t="str">
        <f t="shared" si="1"/>
        <v>Sales &amp; Pre-Sales</v>
      </c>
      <c r="L74" s="89" t="str">
        <f>_xlfn.XLOOKUP(K74,Table2[Department],Table2[Group],"ERROR")</f>
        <v>Sales &amp; Marketing</v>
      </c>
    </row>
    <row r="75" spans="1:12" x14ac:dyDescent="0.2">
      <c r="A75" t="s">
        <v>2</v>
      </c>
      <c r="B75" s="38">
        <v>46053</v>
      </c>
      <c r="C75" s="38">
        <v>46065</v>
      </c>
      <c r="D75" t="s">
        <v>1129</v>
      </c>
      <c r="E75" t="s">
        <v>82</v>
      </c>
      <c r="F75" s="37">
        <v>49</v>
      </c>
      <c r="G75" s="39" cm="1">
        <f t="array" ref="G75">F75*_xlfn.XLOOKUP(1,
 (FOREX!$E$2:$E$13=EOMONTH(B75,0))*
 (FOREX!$F$2:$F$13=TRIM(E75)),FOREX!$G$2:$G$13,
 100)</f>
        <v>12.434632000000001</v>
      </c>
      <c r="H75" t="s">
        <v>1480</v>
      </c>
      <c r="I75" t="s">
        <v>364</v>
      </c>
      <c r="J75" s="35" t="str">
        <f>_xlfn.XLOOKUP(I75,costcategory[Account Code],costcategory[Cost Category],"ERROR")</f>
        <v>Headcount Costs</v>
      </c>
      <c r="K75" s="89" t="str">
        <f t="shared" si="1"/>
        <v>Sales &amp; Pre-Sales</v>
      </c>
      <c r="L75" s="89" t="str">
        <f>_xlfn.XLOOKUP(K75,Table2[Department],Table2[Group],"ERROR")</f>
        <v>Sales &amp; Marketing</v>
      </c>
    </row>
    <row r="76" spans="1:12" x14ac:dyDescent="0.2">
      <c r="A76" t="s">
        <v>2</v>
      </c>
      <c r="B76" s="38">
        <v>46053</v>
      </c>
      <c r="C76" s="38">
        <v>46065</v>
      </c>
      <c r="D76" t="s">
        <v>1131</v>
      </c>
      <c r="E76" t="s">
        <v>82</v>
      </c>
      <c r="F76" s="37">
        <v>121</v>
      </c>
      <c r="G76" s="39" cm="1">
        <f t="array" ref="G76">F76*_xlfn.XLOOKUP(1,
 (FOREX!$E$2:$E$13=EOMONTH(B76,0))*
 (FOREX!$F$2:$F$13=TRIM(E76)),FOREX!$G$2:$G$13,
 100)</f>
        <v>30.705928</v>
      </c>
      <c r="H76" t="s">
        <v>1480</v>
      </c>
      <c r="I76" t="s">
        <v>364</v>
      </c>
      <c r="J76" s="35" t="str">
        <f>_xlfn.XLOOKUP(I76,costcategory[Account Code],costcategory[Cost Category],"ERROR")</f>
        <v>Headcount Costs</v>
      </c>
      <c r="K76" s="89" t="str">
        <f t="shared" si="1"/>
        <v>HR</v>
      </c>
      <c r="L76" s="89" t="str">
        <f>_xlfn.XLOOKUP(K76,Table2[Department],Table2[Group],"ERROR")</f>
        <v>General &amp; Administrative</v>
      </c>
    </row>
    <row r="77" spans="1:12" x14ac:dyDescent="0.2">
      <c r="A77" t="s">
        <v>2</v>
      </c>
      <c r="B77" s="38">
        <v>46053</v>
      </c>
      <c r="C77" s="38">
        <v>46065</v>
      </c>
      <c r="D77" t="s">
        <v>1133</v>
      </c>
      <c r="E77" t="s">
        <v>82</v>
      </c>
      <c r="F77" s="37">
        <v>124.2</v>
      </c>
      <c r="G77" s="39" cm="1">
        <f t="array" ref="G77">F77*_xlfn.XLOOKUP(1,
 (FOREX!$E$2:$E$13=EOMONTH(B77,0))*
 (FOREX!$F$2:$F$13=TRIM(E77)),FOREX!$G$2:$G$13,
 100)</f>
        <v>31.517985599999999</v>
      </c>
      <c r="H77" t="s">
        <v>1480</v>
      </c>
      <c r="I77" t="s">
        <v>364</v>
      </c>
      <c r="J77" s="35" t="str">
        <f>_xlfn.XLOOKUP(I77,costcategory[Account Code],costcategory[Cost Category],"ERROR")</f>
        <v>Headcount Costs</v>
      </c>
      <c r="K77" s="89" t="str">
        <f t="shared" si="1"/>
        <v>Finance</v>
      </c>
      <c r="L77" s="89" t="str">
        <f>_xlfn.XLOOKUP(K77,Table2[Department],Table2[Group],"ERROR")</f>
        <v>General &amp; Administrative</v>
      </c>
    </row>
    <row r="78" spans="1:12" x14ac:dyDescent="0.2">
      <c r="A78" t="s">
        <v>2</v>
      </c>
      <c r="B78" s="38">
        <v>46053</v>
      </c>
      <c r="C78" s="38">
        <v>46065</v>
      </c>
      <c r="D78" t="s">
        <v>1134</v>
      </c>
      <c r="E78" t="s">
        <v>82</v>
      </c>
      <c r="F78" s="37">
        <v>247</v>
      </c>
      <c r="G78" s="39" cm="1">
        <f t="array" ref="G78">F78*_xlfn.XLOOKUP(1,
 (FOREX!$E$2:$E$13=EOMONTH(B78,0))*
 (FOREX!$F$2:$F$13=TRIM(E78)),FOREX!$G$2:$G$13,
 100)</f>
        <v>62.680695999999998</v>
      </c>
      <c r="H78" t="s">
        <v>1480</v>
      </c>
      <c r="I78" t="s">
        <v>364</v>
      </c>
      <c r="J78" s="35" t="str">
        <f>_xlfn.XLOOKUP(I78,costcategory[Account Code],costcategory[Cost Category],"ERROR")</f>
        <v>Headcount Costs</v>
      </c>
      <c r="K78" s="89" t="str">
        <f t="shared" si="1"/>
        <v>DSC</v>
      </c>
      <c r="L78" s="89" t="str">
        <f>_xlfn.XLOOKUP(K78,Table2[Department],Table2[Group],"ERROR")</f>
        <v>DSC</v>
      </c>
    </row>
    <row r="79" spans="1:12" x14ac:dyDescent="0.2">
      <c r="A79" t="s">
        <v>2</v>
      </c>
      <c r="B79" s="38">
        <v>46053</v>
      </c>
      <c r="C79" s="38">
        <v>46065</v>
      </c>
      <c r="D79" t="s">
        <v>1136</v>
      </c>
      <c r="E79" t="s">
        <v>82</v>
      </c>
      <c r="F79" s="37">
        <v>154</v>
      </c>
      <c r="G79" s="39" cm="1">
        <f t="array" ref="G79">F79*_xlfn.XLOOKUP(1,
 (FOREX!$E$2:$E$13=EOMONTH(B79,0))*
 (FOREX!$F$2:$F$13=TRIM(E79)),FOREX!$G$2:$G$13,
 100)</f>
        <v>39.080272000000001</v>
      </c>
      <c r="H79" t="s">
        <v>1480</v>
      </c>
      <c r="I79" t="s">
        <v>364</v>
      </c>
      <c r="J79" s="35" t="str">
        <f>_xlfn.XLOOKUP(I79,costcategory[Account Code],costcategory[Cost Category],"ERROR")</f>
        <v>Headcount Costs</v>
      </c>
      <c r="K79" s="89" t="str">
        <f t="shared" si="1"/>
        <v>DSC</v>
      </c>
      <c r="L79" s="89" t="str">
        <f>_xlfn.XLOOKUP(K79,Table2[Department],Table2[Group],"ERROR")</f>
        <v>DSC</v>
      </c>
    </row>
    <row r="80" spans="1:12" x14ac:dyDescent="0.2">
      <c r="A80" t="s">
        <v>2</v>
      </c>
      <c r="B80" s="38">
        <v>46053</v>
      </c>
      <c r="C80" s="38">
        <v>46065</v>
      </c>
      <c r="D80" t="s">
        <v>1137</v>
      </c>
      <c r="E80" t="s">
        <v>82</v>
      </c>
      <c r="F80" s="37">
        <v>56</v>
      </c>
      <c r="G80" s="39" cm="1">
        <f t="array" ref="G80">F80*_xlfn.XLOOKUP(1,
 (FOREX!$E$2:$E$13=EOMONTH(B80,0))*
 (FOREX!$F$2:$F$13=TRIM(E80)),FOREX!$G$2:$G$13,
 100)</f>
        <v>14.211008</v>
      </c>
      <c r="H80" t="s">
        <v>1480</v>
      </c>
      <c r="I80" t="s">
        <v>364</v>
      </c>
      <c r="J80" s="35" t="str">
        <f>_xlfn.XLOOKUP(I80,costcategory[Account Code],costcategory[Cost Category],"ERROR")</f>
        <v>Headcount Costs</v>
      </c>
      <c r="K80" s="89" t="str">
        <f t="shared" si="1"/>
        <v>DSC</v>
      </c>
      <c r="L80" s="89" t="str">
        <f>_xlfn.XLOOKUP(K80,Table2[Department],Table2[Group],"ERROR")</f>
        <v>DSC</v>
      </c>
    </row>
    <row r="81" spans="1:12" x14ac:dyDescent="0.2">
      <c r="A81" t="s">
        <v>2</v>
      </c>
      <c r="B81" s="38">
        <v>46053</v>
      </c>
      <c r="C81" s="38">
        <v>46065</v>
      </c>
      <c r="D81" t="s">
        <v>1139</v>
      </c>
      <c r="E81" t="s">
        <v>82</v>
      </c>
      <c r="F81" s="37">
        <v>0</v>
      </c>
      <c r="G81" s="39" cm="1">
        <f t="array" ref="G81">F81*_xlfn.XLOOKUP(1,
 (FOREX!$E$2:$E$13=EOMONTH(B81,0))*
 (FOREX!$F$2:$F$13=TRIM(E81)),FOREX!$G$2:$G$13,
 100)</f>
        <v>0</v>
      </c>
      <c r="H81" t="s">
        <v>1480</v>
      </c>
      <c r="I81" t="s">
        <v>364</v>
      </c>
      <c r="J81" s="35" t="str">
        <f>_xlfn.XLOOKUP(I81,costcategory[Account Code],costcategory[Cost Category],"ERROR")</f>
        <v>Headcount Costs</v>
      </c>
      <c r="K81" s="89" t="str">
        <f t="shared" si="1"/>
        <v>Business Operation</v>
      </c>
      <c r="L81" s="89" t="str">
        <f>_xlfn.XLOOKUP(K81,Table2[Department],Table2[Group],"ERROR")</f>
        <v>Sales &amp; Marketing</v>
      </c>
    </row>
    <row r="82" spans="1:12" x14ac:dyDescent="0.2">
      <c r="A82" t="s">
        <v>2</v>
      </c>
      <c r="B82" s="38">
        <v>46053</v>
      </c>
      <c r="C82" s="38">
        <v>46065</v>
      </c>
      <c r="D82" t="s">
        <v>1141</v>
      </c>
      <c r="E82" t="s">
        <v>82</v>
      </c>
      <c r="F82" s="37">
        <v>314</v>
      </c>
      <c r="G82" s="39" cm="1">
        <f t="array" ref="G82">F82*_xlfn.XLOOKUP(1,
 (FOREX!$E$2:$E$13=EOMONTH(B82,0))*
 (FOREX!$F$2:$F$13=TRIM(E82)),FOREX!$G$2:$G$13,
 100)</f>
        <v>79.683151999999993</v>
      </c>
      <c r="H82" t="s">
        <v>1480</v>
      </c>
      <c r="I82" t="s">
        <v>364</v>
      </c>
      <c r="J82" s="35" t="str">
        <f>_xlfn.XLOOKUP(I82,costcategory[Account Code],costcategory[Cost Category],"ERROR")</f>
        <v>Headcount Costs</v>
      </c>
      <c r="K82" s="89" t="str">
        <f t="shared" si="1"/>
        <v>DSC</v>
      </c>
      <c r="L82" s="89" t="str">
        <f>_xlfn.XLOOKUP(K82,Table2[Department],Table2[Group],"ERROR")</f>
        <v>DSC</v>
      </c>
    </row>
    <row r="83" spans="1:12" x14ac:dyDescent="0.2">
      <c r="A83" t="s">
        <v>2</v>
      </c>
      <c r="B83" s="38">
        <v>46053</v>
      </c>
      <c r="C83" s="38">
        <v>46065</v>
      </c>
      <c r="D83" t="s">
        <v>1143</v>
      </c>
      <c r="E83" t="s">
        <v>82</v>
      </c>
      <c r="F83" s="37">
        <v>71</v>
      </c>
      <c r="G83" s="39" cm="1">
        <f t="array" ref="G83">F83*_xlfn.XLOOKUP(1,
 (FOREX!$E$2:$E$13=EOMONTH(B83,0))*
 (FOREX!$F$2:$F$13=TRIM(E83)),FOREX!$G$2:$G$13,
 100)</f>
        <v>18.017527999999999</v>
      </c>
      <c r="H83" t="s">
        <v>1480</v>
      </c>
      <c r="I83" t="s">
        <v>364</v>
      </c>
      <c r="J83" s="35" t="str">
        <f>_xlfn.XLOOKUP(I83,costcategory[Account Code],costcategory[Cost Category],"ERROR")</f>
        <v>Headcount Costs</v>
      </c>
      <c r="K83" s="89" t="str">
        <f t="shared" si="1"/>
        <v>DSC</v>
      </c>
      <c r="L83" s="89" t="str">
        <f>_xlfn.XLOOKUP(K83,Table2[Department],Table2[Group],"ERROR")</f>
        <v>DSC</v>
      </c>
    </row>
    <row r="84" spans="1:12" x14ac:dyDescent="0.2">
      <c r="A84" t="s">
        <v>2</v>
      </c>
      <c r="B84" s="38">
        <v>46053</v>
      </c>
      <c r="C84" s="38">
        <v>46065</v>
      </c>
      <c r="D84" t="s">
        <v>1145</v>
      </c>
      <c r="E84" t="s">
        <v>82</v>
      </c>
      <c r="F84" s="37">
        <v>61</v>
      </c>
      <c r="G84" s="39" cm="1">
        <f t="array" ref="G84">F84*_xlfn.XLOOKUP(1,
 (FOREX!$E$2:$E$13=EOMONTH(B84,0))*
 (FOREX!$F$2:$F$13=TRIM(E84)),FOREX!$G$2:$G$13,
 100)</f>
        <v>15.479848</v>
      </c>
      <c r="H84" t="s">
        <v>1480</v>
      </c>
      <c r="I84" t="s">
        <v>364</v>
      </c>
      <c r="J84" s="35" t="str">
        <f>_xlfn.XLOOKUP(I84,costcategory[Account Code],costcategory[Cost Category],"ERROR")</f>
        <v>Headcount Costs</v>
      </c>
      <c r="K84" s="89" t="str">
        <f t="shared" si="1"/>
        <v>DSC</v>
      </c>
      <c r="L84" s="89" t="str">
        <f>_xlfn.XLOOKUP(K84,Table2[Department],Table2[Group],"ERROR")</f>
        <v>DSC</v>
      </c>
    </row>
    <row r="85" spans="1:12" x14ac:dyDescent="0.2">
      <c r="A85" t="s">
        <v>2</v>
      </c>
      <c r="B85" s="38">
        <v>46053</v>
      </c>
      <c r="C85" s="38">
        <v>46065</v>
      </c>
      <c r="D85" t="s">
        <v>1147</v>
      </c>
      <c r="E85" t="s">
        <v>82</v>
      </c>
      <c r="F85" s="37">
        <v>57.06</v>
      </c>
      <c r="G85" s="39" cm="1">
        <f t="array" ref="G85">F85*_xlfn.XLOOKUP(1,
 (FOREX!$E$2:$E$13=EOMONTH(B85,0))*
 (FOREX!$F$2:$F$13=TRIM(E85)),FOREX!$G$2:$G$13,
 100)</f>
        <v>14.48000208</v>
      </c>
      <c r="H85" t="s">
        <v>1480</v>
      </c>
      <c r="I85" t="s">
        <v>364</v>
      </c>
      <c r="J85" s="35" t="str">
        <f>_xlfn.XLOOKUP(I85,costcategory[Account Code],costcategory[Cost Category],"ERROR")</f>
        <v>Headcount Costs</v>
      </c>
      <c r="K85" s="89" t="str">
        <f t="shared" si="1"/>
        <v>Finance</v>
      </c>
      <c r="L85" s="89" t="str">
        <f>_xlfn.XLOOKUP(K85,Table2[Department],Table2[Group],"ERROR")</f>
        <v>General &amp; Administrative</v>
      </c>
    </row>
    <row r="86" spans="1:12" x14ac:dyDescent="0.2">
      <c r="A86" t="s">
        <v>2</v>
      </c>
      <c r="B86" s="38">
        <v>46053</v>
      </c>
      <c r="C86" s="38">
        <v>46065</v>
      </c>
      <c r="D86" t="s">
        <v>1125</v>
      </c>
      <c r="E86" t="s">
        <v>82</v>
      </c>
      <c r="F86" s="37">
        <v>3341</v>
      </c>
      <c r="G86" s="39" cm="1">
        <f t="array" ref="G86">F86*_xlfn.XLOOKUP(1,
 (FOREX!$E$2:$E$13=EOMONTH(B86,0))*
 (FOREX!$F$2:$F$13=TRIM(E86)),FOREX!$G$2:$G$13,
 100)</f>
        <v>847.838888</v>
      </c>
      <c r="H86" t="s">
        <v>1481</v>
      </c>
      <c r="I86" t="s">
        <v>364</v>
      </c>
      <c r="J86" s="35" t="str">
        <f>_xlfn.XLOOKUP(I86,costcategory[Account Code],costcategory[Cost Category],"ERROR")</f>
        <v>Headcount Costs</v>
      </c>
      <c r="K86" s="89" t="str">
        <f t="shared" si="1"/>
        <v>Sales &amp; Pre-Sales</v>
      </c>
      <c r="L86" s="89" t="str">
        <f>_xlfn.XLOOKUP(K86,Table2[Department],Table2[Group],"ERROR")</f>
        <v>Sales &amp; Marketing</v>
      </c>
    </row>
    <row r="87" spans="1:12" x14ac:dyDescent="0.2">
      <c r="A87" t="s">
        <v>2</v>
      </c>
      <c r="B87" s="38">
        <v>46053</v>
      </c>
      <c r="C87" s="38">
        <v>46065</v>
      </c>
      <c r="D87" t="s">
        <v>1127</v>
      </c>
      <c r="E87" t="s">
        <v>82</v>
      </c>
      <c r="F87" s="37">
        <v>598</v>
      </c>
      <c r="G87" s="39" cm="1">
        <f t="array" ref="G87">F87*_xlfn.XLOOKUP(1,
 (FOREX!$E$2:$E$13=EOMONTH(B87,0))*
 (FOREX!$F$2:$F$13=TRIM(E87)),FOREX!$G$2:$G$13,
 100)</f>
        <v>151.753264</v>
      </c>
      <c r="H87" t="s">
        <v>1481</v>
      </c>
      <c r="I87" t="s">
        <v>364</v>
      </c>
      <c r="J87" s="35" t="str">
        <f>_xlfn.XLOOKUP(I87,costcategory[Account Code],costcategory[Cost Category],"ERROR")</f>
        <v>Headcount Costs</v>
      </c>
      <c r="K87" s="89" t="str">
        <f t="shared" si="1"/>
        <v>DSC</v>
      </c>
      <c r="L87" s="89" t="str">
        <f>_xlfn.XLOOKUP(K87,Table2[Department],Table2[Group],"ERROR")</f>
        <v>DSC</v>
      </c>
    </row>
    <row r="88" spans="1:12" x14ac:dyDescent="0.2">
      <c r="A88" t="s">
        <v>2</v>
      </c>
      <c r="B88" s="38">
        <v>46053</v>
      </c>
      <c r="C88" s="38">
        <v>46065</v>
      </c>
      <c r="D88" t="s">
        <v>1128</v>
      </c>
      <c r="E88" t="s">
        <v>82</v>
      </c>
      <c r="F88" s="37">
        <v>1365</v>
      </c>
      <c r="G88" s="39" cm="1">
        <f t="array" ref="G88">F88*_xlfn.XLOOKUP(1,
 (FOREX!$E$2:$E$13=EOMONTH(B88,0))*
 (FOREX!$F$2:$F$13=TRIM(E88)),FOREX!$G$2:$G$13,
 100)</f>
        <v>346.39332000000002</v>
      </c>
      <c r="H88" t="s">
        <v>1481</v>
      </c>
      <c r="I88" t="s">
        <v>364</v>
      </c>
      <c r="J88" s="35" t="str">
        <f>_xlfn.XLOOKUP(I88,costcategory[Account Code],costcategory[Cost Category],"ERROR")</f>
        <v>Headcount Costs</v>
      </c>
      <c r="K88" s="89" t="str">
        <f t="shared" ref="K88:K151" si="2">_xlfn.XLOOKUP(D88,$AL$2:$AL$25,$AM$2:$AM$25,"ERROR")</f>
        <v>Sales &amp; Pre-Sales</v>
      </c>
      <c r="L88" s="89" t="str">
        <f>_xlfn.XLOOKUP(K88,Table2[Department],Table2[Group],"ERROR")</f>
        <v>Sales &amp; Marketing</v>
      </c>
    </row>
    <row r="89" spans="1:12" x14ac:dyDescent="0.2">
      <c r="A89" t="s">
        <v>2</v>
      </c>
      <c r="B89" s="38">
        <v>46053</v>
      </c>
      <c r="C89" s="38">
        <v>46065</v>
      </c>
      <c r="D89" t="s">
        <v>1129</v>
      </c>
      <c r="E89" t="s">
        <v>82</v>
      </c>
      <c r="F89" s="37">
        <v>637</v>
      </c>
      <c r="G89" s="39" cm="1">
        <f t="array" ref="G89">F89*_xlfn.XLOOKUP(1,
 (FOREX!$E$2:$E$13=EOMONTH(B89,0))*
 (FOREX!$F$2:$F$13=TRIM(E89)),FOREX!$G$2:$G$13,
 100)</f>
        <v>161.650216</v>
      </c>
      <c r="H89" t="s">
        <v>1481</v>
      </c>
      <c r="I89" t="s">
        <v>364</v>
      </c>
      <c r="J89" s="35" t="str">
        <f>_xlfn.XLOOKUP(I89,costcategory[Account Code],costcategory[Cost Category],"ERROR")</f>
        <v>Headcount Costs</v>
      </c>
      <c r="K89" s="89" t="str">
        <f t="shared" si="2"/>
        <v>Sales &amp; Pre-Sales</v>
      </c>
      <c r="L89" s="89" t="str">
        <f>_xlfn.XLOOKUP(K89,Table2[Department],Table2[Group],"ERROR")</f>
        <v>Sales &amp; Marketing</v>
      </c>
    </row>
    <row r="90" spans="1:12" x14ac:dyDescent="0.2">
      <c r="A90" t="s">
        <v>2</v>
      </c>
      <c r="B90" s="38">
        <v>46053</v>
      </c>
      <c r="C90" s="38">
        <v>46065</v>
      </c>
      <c r="D90" t="s">
        <v>1131</v>
      </c>
      <c r="E90" t="s">
        <v>82</v>
      </c>
      <c r="F90" s="37">
        <v>1573</v>
      </c>
      <c r="G90" s="39" cm="1">
        <f t="array" ref="G90">F90*_xlfn.XLOOKUP(1,
 (FOREX!$E$2:$E$13=EOMONTH(B90,0))*
 (FOREX!$F$2:$F$13=TRIM(E90)),FOREX!$G$2:$G$13,
 100)</f>
        <v>399.17706399999997</v>
      </c>
      <c r="H90" t="s">
        <v>1481</v>
      </c>
      <c r="I90" t="s">
        <v>364</v>
      </c>
      <c r="J90" s="35" t="str">
        <f>_xlfn.XLOOKUP(I90,costcategory[Account Code],costcategory[Cost Category],"ERROR")</f>
        <v>Headcount Costs</v>
      </c>
      <c r="K90" s="89" t="str">
        <f t="shared" si="2"/>
        <v>HR</v>
      </c>
      <c r="L90" s="89" t="str">
        <f>_xlfn.XLOOKUP(K90,Table2[Department],Table2[Group],"ERROR")</f>
        <v>General &amp; Administrative</v>
      </c>
    </row>
    <row r="91" spans="1:12" x14ac:dyDescent="0.2">
      <c r="A91" t="s">
        <v>2</v>
      </c>
      <c r="B91" s="38">
        <v>46053</v>
      </c>
      <c r="C91" s="38">
        <v>46065</v>
      </c>
      <c r="D91" t="s">
        <v>1133</v>
      </c>
      <c r="E91" t="s">
        <v>82</v>
      </c>
      <c r="F91" s="37">
        <v>1615</v>
      </c>
      <c r="G91" s="39" cm="1">
        <f t="array" ref="G91">F91*_xlfn.XLOOKUP(1,
 (FOREX!$E$2:$E$13=EOMONTH(B91,0))*
 (FOREX!$F$2:$F$13=TRIM(E91)),FOREX!$G$2:$G$13,
 100)</f>
        <v>409.83531999999997</v>
      </c>
      <c r="H91" t="s">
        <v>1481</v>
      </c>
      <c r="I91" t="s">
        <v>364</v>
      </c>
      <c r="J91" s="35" t="str">
        <f>_xlfn.XLOOKUP(I91,costcategory[Account Code],costcategory[Cost Category],"ERROR")</f>
        <v>Headcount Costs</v>
      </c>
      <c r="K91" s="89" t="str">
        <f t="shared" si="2"/>
        <v>Finance</v>
      </c>
      <c r="L91" s="89" t="str">
        <f>_xlfn.XLOOKUP(K91,Table2[Department],Table2[Group],"ERROR")</f>
        <v>General &amp; Administrative</v>
      </c>
    </row>
    <row r="92" spans="1:12" x14ac:dyDescent="0.2">
      <c r="A92" t="s">
        <v>2</v>
      </c>
      <c r="B92" s="38">
        <v>46053</v>
      </c>
      <c r="C92" s="38">
        <v>46065</v>
      </c>
      <c r="D92" t="s">
        <v>1134</v>
      </c>
      <c r="E92" t="s">
        <v>82</v>
      </c>
      <c r="F92" s="37">
        <v>3211</v>
      </c>
      <c r="G92" s="39" cm="1">
        <f t="array" ref="G92">F92*_xlfn.XLOOKUP(1,
 (FOREX!$E$2:$E$13=EOMONTH(B92,0))*
 (FOREX!$F$2:$F$13=TRIM(E92)),FOREX!$G$2:$G$13,
 100)</f>
        <v>814.84904799999993</v>
      </c>
      <c r="H92" t="s">
        <v>1481</v>
      </c>
      <c r="I92" t="s">
        <v>364</v>
      </c>
      <c r="J92" s="35" t="str">
        <f>_xlfn.XLOOKUP(I92,costcategory[Account Code],costcategory[Cost Category],"ERROR")</f>
        <v>Headcount Costs</v>
      </c>
      <c r="K92" s="89" t="str">
        <f t="shared" si="2"/>
        <v>DSC</v>
      </c>
      <c r="L92" s="89" t="str">
        <f>_xlfn.XLOOKUP(K92,Table2[Department],Table2[Group],"ERROR")</f>
        <v>DSC</v>
      </c>
    </row>
    <row r="93" spans="1:12" x14ac:dyDescent="0.2">
      <c r="A93" t="s">
        <v>2</v>
      </c>
      <c r="B93" s="38">
        <v>46053</v>
      </c>
      <c r="C93" s="38">
        <v>46065</v>
      </c>
      <c r="D93" t="s">
        <v>1136</v>
      </c>
      <c r="E93" t="s">
        <v>82</v>
      </c>
      <c r="F93" s="37">
        <v>2002</v>
      </c>
      <c r="G93" s="39" cm="1">
        <f t="array" ref="G93">F93*_xlfn.XLOOKUP(1,
 (FOREX!$E$2:$E$13=EOMONTH(B93,0))*
 (FOREX!$F$2:$F$13=TRIM(E93)),FOREX!$G$2:$G$13,
 100)</f>
        <v>508.04353599999996</v>
      </c>
      <c r="H93" t="s">
        <v>1481</v>
      </c>
      <c r="I93" t="s">
        <v>364</v>
      </c>
      <c r="J93" s="35" t="str">
        <f>_xlfn.XLOOKUP(I93,costcategory[Account Code],costcategory[Cost Category],"ERROR")</f>
        <v>Headcount Costs</v>
      </c>
      <c r="K93" s="89" t="str">
        <f t="shared" si="2"/>
        <v>DSC</v>
      </c>
      <c r="L93" s="89" t="str">
        <f>_xlfn.XLOOKUP(K93,Table2[Department],Table2[Group],"ERROR")</f>
        <v>DSC</v>
      </c>
    </row>
    <row r="94" spans="1:12" x14ac:dyDescent="0.2">
      <c r="A94" t="s">
        <v>2</v>
      </c>
      <c r="B94" s="38">
        <v>46053</v>
      </c>
      <c r="C94" s="38">
        <v>46065</v>
      </c>
      <c r="D94" t="s">
        <v>1137</v>
      </c>
      <c r="E94" t="s">
        <v>82</v>
      </c>
      <c r="F94" s="37">
        <v>728</v>
      </c>
      <c r="G94" s="39" cm="1">
        <f t="array" ref="G94">F94*_xlfn.XLOOKUP(1,
 (FOREX!$E$2:$E$13=EOMONTH(B94,0))*
 (FOREX!$F$2:$F$13=TRIM(E94)),FOREX!$G$2:$G$13,
 100)</f>
        <v>184.74310399999999</v>
      </c>
      <c r="H94" t="s">
        <v>1481</v>
      </c>
      <c r="I94" t="s">
        <v>364</v>
      </c>
      <c r="J94" s="35" t="str">
        <f>_xlfn.XLOOKUP(I94,costcategory[Account Code],costcategory[Cost Category],"ERROR")</f>
        <v>Headcount Costs</v>
      </c>
      <c r="K94" s="89" t="str">
        <f t="shared" si="2"/>
        <v>DSC</v>
      </c>
      <c r="L94" s="89" t="str">
        <f>_xlfn.XLOOKUP(K94,Table2[Department],Table2[Group],"ERROR")</f>
        <v>DSC</v>
      </c>
    </row>
    <row r="95" spans="1:12" x14ac:dyDescent="0.2">
      <c r="A95" t="s">
        <v>2</v>
      </c>
      <c r="B95" s="38">
        <v>46053</v>
      </c>
      <c r="C95" s="38">
        <v>46065</v>
      </c>
      <c r="D95" t="s">
        <v>1139</v>
      </c>
      <c r="E95" t="s">
        <v>82</v>
      </c>
      <c r="F95" s="37">
        <v>390</v>
      </c>
      <c r="G95" s="39" cm="1">
        <f t="array" ref="G95">F95*_xlfn.XLOOKUP(1,
 (FOREX!$E$2:$E$13=EOMONTH(B95,0))*
 (FOREX!$F$2:$F$13=TRIM(E95)),FOREX!$G$2:$G$13,
 100)</f>
        <v>98.969520000000003</v>
      </c>
      <c r="H95" t="s">
        <v>1481</v>
      </c>
      <c r="I95" t="s">
        <v>364</v>
      </c>
      <c r="J95" s="35" t="str">
        <f>_xlfn.XLOOKUP(I95,costcategory[Account Code],costcategory[Cost Category],"ERROR")</f>
        <v>Headcount Costs</v>
      </c>
      <c r="K95" s="89" t="str">
        <f t="shared" si="2"/>
        <v>Business Operation</v>
      </c>
      <c r="L95" s="89" t="str">
        <f>_xlfn.XLOOKUP(K95,Table2[Department],Table2[Group],"ERROR")</f>
        <v>Sales &amp; Marketing</v>
      </c>
    </row>
    <row r="96" spans="1:12" x14ac:dyDescent="0.2">
      <c r="A96" t="s">
        <v>2</v>
      </c>
      <c r="B96" s="38">
        <v>46053</v>
      </c>
      <c r="C96" s="38">
        <v>46065</v>
      </c>
      <c r="D96" t="s">
        <v>1141</v>
      </c>
      <c r="E96" t="s">
        <v>82</v>
      </c>
      <c r="F96" s="37">
        <v>4082</v>
      </c>
      <c r="G96" s="39" cm="1">
        <f t="array" ref="G96">F96*_xlfn.XLOOKUP(1,
 (FOREX!$E$2:$E$13=EOMONTH(B96,0))*
 (FOREX!$F$2:$F$13=TRIM(E96)),FOREX!$G$2:$G$13,
 100)</f>
        <v>1035.8809759999999</v>
      </c>
      <c r="H96" t="s">
        <v>1481</v>
      </c>
      <c r="I96" t="s">
        <v>364</v>
      </c>
      <c r="J96" s="35" t="str">
        <f>_xlfn.XLOOKUP(I96,costcategory[Account Code],costcategory[Cost Category],"ERROR")</f>
        <v>Headcount Costs</v>
      </c>
      <c r="K96" s="89" t="str">
        <f t="shared" si="2"/>
        <v>DSC</v>
      </c>
      <c r="L96" s="89" t="str">
        <f>_xlfn.XLOOKUP(K96,Table2[Department],Table2[Group],"ERROR")</f>
        <v>DSC</v>
      </c>
    </row>
    <row r="97" spans="1:12" x14ac:dyDescent="0.2">
      <c r="A97" t="s">
        <v>2</v>
      </c>
      <c r="B97" s="38">
        <v>46053</v>
      </c>
      <c r="C97" s="38">
        <v>46065</v>
      </c>
      <c r="D97" t="s">
        <v>1143</v>
      </c>
      <c r="E97" t="s">
        <v>82</v>
      </c>
      <c r="F97" s="37">
        <v>923</v>
      </c>
      <c r="G97" s="39" cm="1">
        <f t="array" ref="G97">F97*_xlfn.XLOOKUP(1,
 (FOREX!$E$2:$E$13=EOMONTH(B97,0))*
 (FOREX!$F$2:$F$13=TRIM(E97)),FOREX!$G$2:$G$13,
 100)</f>
        <v>234.22786399999998</v>
      </c>
      <c r="H97" t="s">
        <v>1481</v>
      </c>
      <c r="I97" t="s">
        <v>364</v>
      </c>
      <c r="J97" s="35" t="str">
        <f>_xlfn.XLOOKUP(I97,costcategory[Account Code],costcategory[Cost Category],"ERROR")</f>
        <v>Headcount Costs</v>
      </c>
      <c r="K97" s="89" t="str">
        <f t="shared" si="2"/>
        <v>DSC</v>
      </c>
      <c r="L97" s="89" t="str">
        <f>_xlfn.XLOOKUP(K97,Table2[Department],Table2[Group],"ERROR")</f>
        <v>DSC</v>
      </c>
    </row>
    <row r="98" spans="1:12" x14ac:dyDescent="0.2">
      <c r="A98" t="s">
        <v>2</v>
      </c>
      <c r="B98" s="38">
        <v>46053</v>
      </c>
      <c r="C98" s="38">
        <v>46065</v>
      </c>
      <c r="D98" t="s">
        <v>1145</v>
      </c>
      <c r="E98" t="s">
        <v>82</v>
      </c>
      <c r="F98" s="37">
        <v>793</v>
      </c>
      <c r="G98" s="39" cm="1">
        <f t="array" ref="G98">F98*_xlfn.XLOOKUP(1,
 (FOREX!$E$2:$E$13=EOMONTH(B98,0))*
 (FOREX!$F$2:$F$13=TRIM(E98)),FOREX!$G$2:$G$13,
 100)</f>
        <v>201.238024</v>
      </c>
      <c r="H98" t="s">
        <v>1481</v>
      </c>
      <c r="I98" t="s">
        <v>364</v>
      </c>
      <c r="J98" s="35" t="str">
        <f>_xlfn.XLOOKUP(I98,costcategory[Account Code],costcategory[Cost Category],"ERROR")</f>
        <v>Headcount Costs</v>
      </c>
      <c r="K98" s="89" t="str">
        <f t="shared" si="2"/>
        <v>DSC</v>
      </c>
      <c r="L98" s="89" t="str">
        <f>_xlfn.XLOOKUP(K98,Table2[Department],Table2[Group],"ERROR")</f>
        <v>DSC</v>
      </c>
    </row>
    <row r="99" spans="1:12" x14ac:dyDescent="0.2">
      <c r="A99" t="s">
        <v>2</v>
      </c>
      <c r="B99" s="38">
        <v>46053</v>
      </c>
      <c r="C99" s="38">
        <v>46065</v>
      </c>
      <c r="D99" t="s">
        <v>1147</v>
      </c>
      <c r="E99" t="s">
        <v>82</v>
      </c>
      <c r="F99" s="37">
        <v>742</v>
      </c>
      <c r="G99" s="39" cm="1">
        <f t="array" ref="G99">F99*_xlfn.XLOOKUP(1,
 (FOREX!$E$2:$E$13=EOMONTH(B99,0))*
 (FOREX!$F$2:$F$13=TRIM(E99)),FOREX!$G$2:$G$13,
 100)</f>
        <v>188.29585599999999</v>
      </c>
      <c r="H99" t="s">
        <v>1481</v>
      </c>
      <c r="I99" t="s">
        <v>364</v>
      </c>
      <c r="J99" s="35" t="str">
        <f>_xlfn.XLOOKUP(I99,costcategory[Account Code],costcategory[Cost Category],"ERROR")</f>
        <v>Headcount Costs</v>
      </c>
      <c r="K99" s="89" t="str">
        <f t="shared" si="2"/>
        <v>Finance</v>
      </c>
      <c r="L99" s="89" t="str">
        <f>_xlfn.XLOOKUP(K99,Table2[Department],Table2[Group],"ERROR")</f>
        <v>General &amp; Administrative</v>
      </c>
    </row>
    <row r="100" spans="1:12" x14ac:dyDescent="0.2">
      <c r="A100" t="s">
        <v>2</v>
      </c>
      <c r="B100" s="38">
        <v>46053</v>
      </c>
      <c r="C100" s="38">
        <v>46065</v>
      </c>
      <c r="D100" t="s">
        <v>1125</v>
      </c>
      <c r="E100" t="s">
        <v>82</v>
      </c>
      <c r="F100" s="37">
        <v>104.15</v>
      </c>
      <c r="G100" s="39" cm="1">
        <f t="array" ref="G100">F100*_xlfn.XLOOKUP(1,
 (FOREX!$E$2:$E$13=EOMONTH(B100,0))*
 (FOREX!$F$2:$F$13=TRIM(E100)),FOREX!$G$2:$G$13,
 100)</f>
        <v>26.429937200000001</v>
      </c>
      <c r="H100" t="s">
        <v>1482</v>
      </c>
      <c r="I100" t="s">
        <v>364</v>
      </c>
      <c r="J100" s="35" t="str">
        <f>_xlfn.XLOOKUP(I100,costcategory[Account Code],costcategory[Cost Category],"ERROR")</f>
        <v>Headcount Costs</v>
      </c>
      <c r="K100" s="89" t="str">
        <f t="shared" si="2"/>
        <v>Sales &amp; Pre-Sales</v>
      </c>
      <c r="L100" s="89" t="str">
        <f>_xlfn.XLOOKUP(K100,Table2[Department],Table2[Group],"ERROR")</f>
        <v>Sales &amp; Marketing</v>
      </c>
    </row>
    <row r="101" spans="1:12" x14ac:dyDescent="0.2">
      <c r="A101" t="s">
        <v>2</v>
      </c>
      <c r="B101" s="38">
        <v>46053</v>
      </c>
      <c r="C101" s="38">
        <v>46065</v>
      </c>
      <c r="D101" t="s">
        <v>1127</v>
      </c>
      <c r="E101" t="s">
        <v>82</v>
      </c>
      <c r="F101" s="37">
        <v>79.650000000000006</v>
      </c>
      <c r="G101" s="39" cm="1">
        <f t="array" ref="G101">F101*_xlfn.XLOOKUP(1,
 (FOREX!$E$2:$E$13=EOMONTH(B101,0))*
 (FOREX!$F$2:$F$13=TRIM(E101)),FOREX!$G$2:$G$13,
 100)</f>
        <v>20.212621200000001</v>
      </c>
      <c r="H101" t="s">
        <v>1482</v>
      </c>
      <c r="I101" t="s">
        <v>364</v>
      </c>
      <c r="J101" s="35" t="str">
        <f>_xlfn.XLOOKUP(I101,costcategory[Account Code],costcategory[Cost Category],"ERROR")</f>
        <v>Headcount Costs</v>
      </c>
      <c r="K101" s="89" t="str">
        <f t="shared" si="2"/>
        <v>DSC</v>
      </c>
      <c r="L101" s="89" t="str">
        <f>_xlfn.XLOOKUP(K101,Table2[Department],Table2[Group],"ERROR")</f>
        <v>DSC</v>
      </c>
    </row>
    <row r="102" spans="1:12" x14ac:dyDescent="0.2">
      <c r="A102" t="s">
        <v>2</v>
      </c>
      <c r="B102" s="38">
        <v>46053</v>
      </c>
      <c r="C102" s="38">
        <v>46065</v>
      </c>
      <c r="D102" t="s">
        <v>1128</v>
      </c>
      <c r="E102" t="s">
        <v>82</v>
      </c>
      <c r="F102" s="37">
        <v>104.15</v>
      </c>
      <c r="G102" s="39" cm="1">
        <f t="array" ref="G102">F102*_xlfn.XLOOKUP(1,
 (FOREX!$E$2:$E$13=EOMONTH(B102,0))*
 (FOREX!$F$2:$F$13=TRIM(E102)),FOREX!$G$2:$G$13,
 100)</f>
        <v>26.429937200000001</v>
      </c>
      <c r="H102" t="s">
        <v>1482</v>
      </c>
      <c r="I102" t="s">
        <v>364</v>
      </c>
      <c r="J102" s="35" t="str">
        <f>_xlfn.XLOOKUP(I102,costcategory[Account Code],costcategory[Cost Category],"ERROR")</f>
        <v>Headcount Costs</v>
      </c>
      <c r="K102" s="89" t="str">
        <f t="shared" si="2"/>
        <v>Sales &amp; Pre-Sales</v>
      </c>
      <c r="L102" s="89" t="str">
        <f>_xlfn.XLOOKUP(K102,Table2[Department],Table2[Group],"ERROR")</f>
        <v>Sales &amp; Marketing</v>
      </c>
    </row>
    <row r="103" spans="1:12" x14ac:dyDescent="0.2">
      <c r="A103" t="s">
        <v>2</v>
      </c>
      <c r="B103" s="38">
        <v>46053</v>
      </c>
      <c r="C103" s="38">
        <v>46065</v>
      </c>
      <c r="D103" t="s">
        <v>1129</v>
      </c>
      <c r="E103" t="s">
        <v>82</v>
      </c>
      <c r="F103" s="37">
        <v>84.85</v>
      </c>
      <c r="G103" s="39" cm="1">
        <f t="array" ref="G103">F103*_xlfn.XLOOKUP(1,
 (FOREX!$E$2:$E$13=EOMONTH(B103,0))*
 (FOREX!$F$2:$F$13=TRIM(E103)),FOREX!$G$2:$G$13,
 100)</f>
        <v>21.532214799999998</v>
      </c>
      <c r="H103" t="s">
        <v>1482</v>
      </c>
      <c r="I103" t="s">
        <v>364</v>
      </c>
      <c r="J103" s="35" t="str">
        <f>_xlfn.XLOOKUP(I103,costcategory[Account Code],costcategory[Cost Category],"ERROR")</f>
        <v>Headcount Costs</v>
      </c>
      <c r="K103" s="89" t="str">
        <f t="shared" si="2"/>
        <v>Sales &amp; Pre-Sales</v>
      </c>
      <c r="L103" s="89" t="str">
        <f>_xlfn.XLOOKUP(K103,Table2[Department],Table2[Group],"ERROR")</f>
        <v>Sales &amp; Marketing</v>
      </c>
    </row>
    <row r="104" spans="1:12" x14ac:dyDescent="0.2">
      <c r="A104" t="s">
        <v>2</v>
      </c>
      <c r="B104" s="38">
        <v>46053</v>
      </c>
      <c r="C104" s="38">
        <v>46065</v>
      </c>
      <c r="D104" t="s">
        <v>1131</v>
      </c>
      <c r="E104" t="s">
        <v>82</v>
      </c>
      <c r="F104" s="37">
        <v>104.15</v>
      </c>
      <c r="G104" s="39" cm="1">
        <f t="array" ref="G104">F104*_xlfn.XLOOKUP(1,
 (FOREX!$E$2:$E$13=EOMONTH(B104,0))*
 (FOREX!$F$2:$F$13=TRIM(E104)),FOREX!$G$2:$G$13,
 100)</f>
        <v>26.429937200000001</v>
      </c>
      <c r="H104" t="s">
        <v>1482</v>
      </c>
      <c r="I104" t="s">
        <v>364</v>
      </c>
      <c r="J104" s="35" t="str">
        <f>_xlfn.XLOOKUP(I104,costcategory[Account Code],costcategory[Cost Category],"ERROR")</f>
        <v>Headcount Costs</v>
      </c>
      <c r="K104" s="89" t="str">
        <f t="shared" si="2"/>
        <v>HR</v>
      </c>
      <c r="L104" s="89" t="str">
        <f>_xlfn.XLOOKUP(K104,Table2[Department],Table2[Group],"ERROR")</f>
        <v>General &amp; Administrative</v>
      </c>
    </row>
    <row r="105" spans="1:12" x14ac:dyDescent="0.2">
      <c r="A105" t="s">
        <v>2</v>
      </c>
      <c r="B105" s="38">
        <v>46053</v>
      </c>
      <c r="C105" s="38">
        <v>46065</v>
      </c>
      <c r="D105" t="s">
        <v>1133</v>
      </c>
      <c r="E105" t="s">
        <v>82</v>
      </c>
      <c r="F105" s="37">
        <v>104.15</v>
      </c>
      <c r="G105" s="39" cm="1">
        <f t="array" ref="G105">F105*_xlfn.XLOOKUP(1,
 (FOREX!$E$2:$E$13=EOMONTH(B105,0))*
 (FOREX!$F$2:$F$13=TRIM(E105)),FOREX!$G$2:$G$13,
 100)</f>
        <v>26.429937200000001</v>
      </c>
      <c r="H105" t="s">
        <v>1482</v>
      </c>
      <c r="I105" t="s">
        <v>364</v>
      </c>
      <c r="J105" s="35" t="str">
        <f>_xlfn.XLOOKUP(I105,costcategory[Account Code],costcategory[Cost Category],"ERROR")</f>
        <v>Headcount Costs</v>
      </c>
      <c r="K105" s="89" t="str">
        <f t="shared" si="2"/>
        <v>Finance</v>
      </c>
      <c r="L105" s="89" t="str">
        <f>_xlfn.XLOOKUP(K105,Table2[Department],Table2[Group],"ERROR")</f>
        <v>General &amp; Administrative</v>
      </c>
    </row>
    <row r="106" spans="1:12" x14ac:dyDescent="0.2">
      <c r="A106" t="s">
        <v>2</v>
      </c>
      <c r="B106" s="38">
        <v>46053</v>
      </c>
      <c r="C106" s="38">
        <v>46065</v>
      </c>
      <c r="D106" t="s">
        <v>1134</v>
      </c>
      <c r="E106" t="s">
        <v>82</v>
      </c>
      <c r="F106" s="37">
        <v>104.15</v>
      </c>
      <c r="G106" s="39" cm="1">
        <f t="array" ref="G106">F106*_xlfn.XLOOKUP(1,
 (FOREX!$E$2:$E$13=EOMONTH(B106,0))*
 (FOREX!$F$2:$F$13=TRIM(E106)),FOREX!$G$2:$G$13,
 100)</f>
        <v>26.429937200000001</v>
      </c>
      <c r="H106" t="s">
        <v>1482</v>
      </c>
      <c r="I106" t="s">
        <v>364</v>
      </c>
      <c r="J106" s="35" t="str">
        <f>_xlfn.XLOOKUP(I106,costcategory[Account Code],costcategory[Cost Category],"ERROR")</f>
        <v>Headcount Costs</v>
      </c>
      <c r="K106" s="89" t="str">
        <f t="shared" si="2"/>
        <v>DSC</v>
      </c>
      <c r="L106" s="89" t="str">
        <f>_xlfn.XLOOKUP(K106,Table2[Department],Table2[Group],"ERROR")</f>
        <v>DSC</v>
      </c>
    </row>
    <row r="107" spans="1:12" x14ac:dyDescent="0.2">
      <c r="A107" t="s">
        <v>2</v>
      </c>
      <c r="B107" s="38">
        <v>46053</v>
      </c>
      <c r="C107" s="38">
        <v>46065</v>
      </c>
      <c r="D107" t="s">
        <v>1136</v>
      </c>
      <c r="E107" t="s">
        <v>82</v>
      </c>
      <c r="F107" s="37">
        <v>104.15</v>
      </c>
      <c r="G107" s="39" cm="1">
        <f t="array" ref="G107">F107*_xlfn.XLOOKUP(1,
 (FOREX!$E$2:$E$13=EOMONTH(B107,0))*
 (FOREX!$F$2:$F$13=TRIM(E107)),FOREX!$G$2:$G$13,
 100)</f>
        <v>26.429937200000001</v>
      </c>
      <c r="H107" t="s">
        <v>1482</v>
      </c>
      <c r="I107" t="s">
        <v>364</v>
      </c>
      <c r="J107" s="35" t="str">
        <f>_xlfn.XLOOKUP(I107,costcategory[Account Code],costcategory[Cost Category],"ERROR")</f>
        <v>Headcount Costs</v>
      </c>
      <c r="K107" s="89" t="str">
        <f t="shared" si="2"/>
        <v>DSC</v>
      </c>
      <c r="L107" s="89" t="str">
        <f>_xlfn.XLOOKUP(K107,Table2[Department],Table2[Group],"ERROR")</f>
        <v>DSC</v>
      </c>
    </row>
    <row r="108" spans="1:12" x14ac:dyDescent="0.2">
      <c r="A108" t="s">
        <v>2</v>
      </c>
      <c r="B108" s="38">
        <v>46053</v>
      </c>
      <c r="C108" s="38">
        <v>46065</v>
      </c>
      <c r="D108" t="s">
        <v>1137</v>
      </c>
      <c r="E108" t="s">
        <v>82</v>
      </c>
      <c r="F108" s="37">
        <v>97.15</v>
      </c>
      <c r="G108" s="39" cm="1">
        <f t="array" ref="G108">F108*_xlfn.XLOOKUP(1,
 (FOREX!$E$2:$E$13=EOMONTH(B108,0))*
 (FOREX!$F$2:$F$13=TRIM(E108)),FOREX!$G$2:$G$13,
 100)</f>
        <v>24.653561200000002</v>
      </c>
      <c r="H108" t="s">
        <v>1482</v>
      </c>
      <c r="I108" t="s">
        <v>364</v>
      </c>
      <c r="J108" s="35" t="str">
        <f>_xlfn.XLOOKUP(I108,costcategory[Account Code],costcategory[Cost Category],"ERROR")</f>
        <v>Headcount Costs</v>
      </c>
      <c r="K108" s="89" t="str">
        <f t="shared" si="2"/>
        <v>DSC</v>
      </c>
      <c r="L108" s="89" t="str">
        <f>_xlfn.XLOOKUP(K108,Table2[Department],Table2[Group],"ERROR")</f>
        <v>DSC</v>
      </c>
    </row>
    <row r="109" spans="1:12" x14ac:dyDescent="0.2">
      <c r="A109" t="s">
        <v>2</v>
      </c>
      <c r="B109" s="38">
        <v>46053</v>
      </c>
      <c r="C109" s="38">
        <v>46065</v>
      </c>
      <c r="D109" t="s">
        <v>1139</v>
      </c>
      <c r="E109" t="s">
        <v>82</v>
      </c>
      <c r="F109" s="37">
        <v>104.15</v>
      </c>
      <c r="G109" s="39" cm="1">
        <f t="array" ref="G109">F109*_xlfn.XLOOKUP(1,
 (FOREX!$E$2:$E$13=EOMONTH(B109,0))*
 (FOREX!$F$2:$F$13=TRIM(E109)),FOREX!$G$2:$G$13,
 100)</f>
        <v>26.429937200000001</v>
      </c>
      <c r="H109" t="s">
        <v>1482</v>
      </c>
      <c r="I109" t="s">
        <v>364</v>
      </c>
      <c r="J109" s="35" t="str">
        <f>_xlfn.XLOOKUP(I109,costcategory[Account Code],costcategory[Cost Category],"ERROR")</f>
        <v>Headcount Costs</v>
      </c>
      <c r="K109" s="89" t="str">
        <f t="shared" si="2"/>
        <v>Business Operation</v>
      </c>
      <c r="L109" s="89" t="str">
        <f>_xlfn.XLOOKUP(K109,Table2[Department],Table2[Group],"ERROR")</f>
        <v>Sales &amp; Marketing</v>
      </c>
    </row>
    <row r="110" spans="1:12" x14ac:dyDescent="0.2">
      <c r="A110" t="s">
        <v>2</v>
      </c>
      <c r="B110" s="38">
        <v>46053</v>
      </c>
      <c r="C110" s="38">
        <v>46065</v>
      </c>
      <c r="D110" t="s">
        <v>1141</v>
      </c>
      <c r="E110" t="s">
        <v>82</v>
      </c>
      <c r="F110" s="37">
        <v>104.15</v>
      </c>
      <c r="G110" s="39" cm="1">
        <f t="array" ref="G110">F110*_xlfn.XLOOKUP(1,
 (FOREX!$E$2:$E$13=EOMONTH(B110,0))*
 (FOREX!$F$2:$F$13=TRIM(E110)),FOREX!$G$2:$G$13,
 100)</f>
        <v>26.429937200000001</v>
      </c>
      <c r="H110" t="s">
        <v>1482</v>
      </c>
      <c r="I110" t="s">
        <v>364</v>
      </c>
      <c r="J110" s="35" t="str">
        <f>_xlfn.XLOOKUP(I110,costcategory[Account Code],costcategory[Cost Category],"ERROR")</f>
        <v>Headcount Costs</v>
      </c>
      <c r="K110" s="89" t="str">
        <f t="shared" si="2"/>
        <v>DSC</v>
      </c>
      <c r="L110" s="89" t="str">
        <f>_xlfn.XLOOKUP(K110,Table2[Department],Table2[Group],"ERROR")</f>
        <v>DSC</v>
      </c>
    </row>
    <row r="111" spans="1:12" x14ac:dyDescent="0.2">
      <c r="A111" t="s">
        <v>2</v>
      </c>
      <c r="B111" s="38">
        <v>46053</v>
      </c>
      <c r="C111" s="38">
        <v>46065</v>
      </c>
      <c r="D111" t="s">
        <v>1143</v>
      </c>
      <c r="E111" t="s">
        <v>82</v>
      </c>
      <c r="F111" s="37">
        <v>104.15</v>
      </c>
      <c r="G111" s="39" cm="1">
        <f t="array" ref="G111">F111*_xlfn.XLOOKUP(1,
 (FOREX!$E$2:$E$13=EOMONTH(B111,0))*
 (FOREX!$F$2:$F$13=TRIM(E111)),FOREX!$G$2:$G$13,
 100)</f>
        <v>26.429937200000001</v>
      </c>
      <c r="H111" t="s">
        <v>1482</v>
      </c>
      <c r="I111" t="s">
        <v>364</v>
      </c>
      <c r="J111" s="35" t="str">
        <f>_xlfn.XLOOKUP(I111,costcategory[Account Code],costcategory[Cost Category],"ERROR")</f>
        <v>Headcount Costs</v>
      </c>
      <c r="K111" s="89" t="str">
        <f t="shared" si="2"/>
        <v>DSC</v>
      </c>
      <c r="L111" s="89" t="str">
        <f>_xlfn.XLOOKUP(K111,Table2[Department],Table2[Group],"ERROR")</f>
        <v>DSC</v>
      </c>
    </row>
    <row r="112" spans="1:12" x14ac:dyDescent="0.2">
      <c r="A112" t="s">
        <v>2</v>
      </c>
      <c r="B112" s="38">
        <v>46053</v>
      </c>
      <c r="C112" s="38">
        <v>46065</v>
      </c>
      <c r="D112" t="s">
        <v>1145</v>
      </c>
      <c r="E112" t="s">
        <v>82</v>
      </c>
      <c r="F112" s="37">
        <v>104.15</v>
      </c>
      <c r="G112" s="39" cm="1">
        <f t="array" ref="G112">F112*_xlfn.XLOOKUP(1,
 (FOREX!$E$2:$E$13=EOMONTH(B112,0))*
 (FOREX!$F$2:$F$13=TRIM(E112)),FOREX!$G$2:$G$13,
 100)</f>
        <v>26.429937200000001</v>
      </c>
      <c r="H112" t="s">
        <v>1482</v>
      </c>
      <c r="I112" t="s">
        <v>364</v>
      </c>
      <c r="J112" s="35" t="str">
        <f>_xlfn.XLOOKUP(I112,costcategory[Account Code],costcategory[Cost Category],"ERROR")</f>
        <v>Headcount Costs</v>
      </c>
      <c r="K112" s="89" t="str">
        <f t="shared" si="2"/>
        <v>DSC</v>
      </c>
      <c r="L112" s="89" t="str">
        <f>_xlfn.XLOOKUP(K112,Table2[Department],Table2[Group],"ERROR")</f>
        <v>DSC</v>
      </c>
    </row>
    <row r="113" spans="1:12" x14ac:dyDescent="0.2">
      <c r="A113" t="s">
        <v>2</v>
      </c>
      <c r="B113" s="38">
        <v>46053</v>
      </c>
      <c r="C113" s="38">
        <v>46065</v>
      </c>
      <c r="D113" t="s">
        <v>1147</v>
      </c>
      <c r="E113" t="s">
        <v>82</v>
      </c>
      <c r="F113" s="37">
        <v>100.65</v>
      </c>
      <c r="G113" s="39" cm="1">
        <f t="array" ref="G113">F113*_xlfn.XLOOKUP(1,
 (FOREX!$E$2:$E$13=EOMONTH(B113,0))*
 (FOREX!$F$2:$F$13=TRIM(E113)),FOREX!$G$2:$G$13,
 100)</f>
        <v>25.541749200000002</v>
      </c>
      <c r="H113" t="s">
        <v>1482</v>
      </c>
      <c r="I113" t="s">
        <v>364</v>
      </c>
      <c r="J113" s="35" t="str">
        <f>_xlfn.XLOOKUP(I113,costcategory[Account Code],costcategory[Cost Category],"ERROR")</f>
        <v>Headcount Costs</v>
      </c>
      <c r="K113" s="89" t="str">
        <f t="shared" si="2"/>
        <v>Finance</v>
      </c>
      <c r="L113" s="89" t="str">
        <f>_xlfn.XLOOKUP(K113,Table2[Department],Table2[Group],"ERROR")</f>
        <v>General &amp; Administrative</v>
      </c>
    </row>
    <row r="114" spans="1:12" x14ac:dyDescent="0.2">
      <c r="A114" t="s">
        <v>2</v>
      </c>
      <c r="B114" s="38">
        <v>46053</v>
      </c>
      <c r="C114" s="38">
        <v>46065</v>
      </c>
      <c r="D114" t="s">
        <v>1125</v>
      </c>
      <c r="E114" t="s">
        <v>82</v>
      </c>
      <c r="F114" s="37">
        <v>11.9</v>
      </c>
      <c r="G114" s="39" cm="1">
        <f t="array" ref="G114">F114*_xlfn.XLOOKUP(1,
 (FOREX!$E$2:$E$13=EOMONTH(B114,0))*
 (FOREX!$F$2:$F$13=TRIM(E114)),FOREX!$G$2:$G$13,
 100)</f>
        <v>3.0198391999999998</v>
      </c>
      <c r="H114" t="s">
        <v>1483</v>
      </c>
      <c r="I114" t="s">
        <v>364</v>
      </c>
      <c r="J114" s="35" t="str">
        <f>_xlfn.XLOOKUP(I114,costcategory[Account Code],costcategory[Cost Category],"ERROR")</f>
        <v>Headcount Costs</v>
      </c>
      <c r="K114" s="89" t="str">
        <f t="shared" si="2"/>
        <v>Sales &amp; Pre-Sales</v>
      </c>
      <c r="L114" s="89" t="str">
        <f>_xlfn.XLOOKUP(K114,Table2[Department],Table2[Group],"ERROR")</f>
        <v>Sales &amp; Marketing</v>
      </c>
    </row>
    <row r="115" spans="1:12" x14ac:dyDescent="0.2">
      <c r="A115" t="s">
        <v>2</v>
      </c>
      <c r="B115" s="38">
        <v>46053</v>
      </c>
      <c r="C115" s="38">
        <v>46065</v>
      </c>
      <c r="D115" t="s">
        <v>1127</v>
      </c>
      <c r="E115" t="s">
        <v>82</v>
      </c>
      <c r="F115" s="37">
        <v>9.1</v>
      </c>
      <c r="G115" s="39" cm="1">
        <f t="array" ref="G115">F115*_xlfn.XLOOKUP(1,
 (FOREX!$E$2:$E$13=EOMONTH(B115,0))*
 (FOREX!$F$2:$F$13=TRIM(E115)),FOREX!$G$2:$G$13,
 100)</f>
        <v>2.3092888</v>
      </c>
      <c r="H115" t="s">
        <v>1483</v>
      </c>
      <c r="I115" t="s">
        <v>364</v>
      </c>
      <c r="J115" s="35" t="str">
        <f>_xlfn.XLOOKUP(I115,costcategory[Account Code],costcategory[Cost Category],"ERROR")</f>
        <v>Headcount Costs</v>
      </c>
      <c r="K115" s="89" t="str">
        <f t="shared" si="2"/>
        <v>DSC</v>
      </c>
      <c r="L115" s="89" t="str">
        <f>_xlfn.XLOOKUP(K115,Table2[Department],Table2[Group],"ERROR")</f>
        <v>DSC</v>
      </c>
    </row>
    <row r="116" spans="1:12" x14ac:dyDescent="0.2">
      <c r="A116" t="s">
        <v>2</v>
      </c>
      <c r="B116" s="38">
        <v>46053</v>
      </c>
      <c r="C116" s="38">
        <v>46065</v>
      </c>
      <c r="D116" t="s">
        <v>1128</v>
      </c>
      <c r="E116" t="s">
        <v>82</v>
      </c>
      <c r="F116" s="37">
        <v>11.9</v>
      </c>
      <c r="G116" s="39" cm="1">
        <f t="array" ref="G116">F116*_xlfn.XLOOKUP(1,
 (FOREX!$E$2:$E$13=EOMONTH(B116,0))*
 (FOREX!$F$2:$F$13=TRIM(E116)),FOREX!$G$2:$G$13,
 100)</f>
        <v>3.0198391999999998</v>
      </c>
      <c r="H116" t="s">
        <v>1483</v>
      </c>
      <c r="I116" t="s">
        <v>364</v>
      </c>
      <c r="J116" s="35" t="str">
        <f>_xlfn.XLOOKUP(I116,costcategory[Account Code],costcategory[Cost Category],"ERROR")</f>
        <v>Headcount Costs</v>
      </c>
      <c r="K116" s="89" t="str">
        <f t="shared" si="2"/>
        <v>Sales &amp; Pre-Sales</v>
      </c>
      <c r="L116" s="89" t="str">
        <f>_xlfn.XLOOKUP(K116,Table2[Department],Table2[Group],"ERROR")</f>
        <v>Sales &amp; Marketing</v>
      </c>
    </row>
    <row r="117" spans="1:12" x14ac:dyDescent="0.2">
      <c r="A117" t="s">
        <v>2</v>
      </c>
      <c r="B117" s="38">
        <v>46053</v>
      </c>
      <c r="C117" s="38">
        <v>46065</v>
      </c>
      <c r="D117" t="s">
        <v>1129</v>
      </c>
      <c r="E117" t="s">
        <v>82</v>
      </c>
      <c r="F117" s="37">
        <v>9.6999999999999993</v>
      </c>
      <c r="G117" s="39" cm="1">
        <f t="array" ref="G117">F117*_xlfn.XLOOKUP(1,
 (FOREX!$E$2:$E$13=EOMONTH(B117,0))*
 (FOREX!$F$2:$F$13=TRIM(E117)),FOREX!$G$2:$G$13,
 100)</f>
        <v>2.4615495999999997</v>
      </c>
      <c r="H117" t="s">
        <v>1483</v>
      </c>
      <c r="I117" t="s">
        <v>364</v>
      </c>
      <c r="J117" s="35" t="str">
        <f>_xlfn.XLOOKUP(I117,costcategory[Account Code],costcategory[Cost Category],"ERROR")</f>
        <v>Headcount Costs</v>
      </c>
      <c r="K117" s="89" t="str">
        <f t="shared" si="2"/>
        <v>Sales &amp; Pre-Sales</v>
      </c>
      <c r="L117" s="89" t="str">
        <f>_xlfn.XLOOKUP(K117,Table2[Department],Table2[Group],"ERROR")</f>
        <v>Sales &amp; Marketing</v>
      </c>
    </row>
    <row r="118" spans="1:12" x14ac:dyDescent="0.2">
      <c r="A118" t="s">
        <v>2</v>
      </c>
      <c r="B118" s="38">
        <v>46053</v>
      </c>
      <c r="C118" s="38">
        <v>46065</v>
      </c>
      <c r="D118" t="s">
        <v>1131</v>
      </c>
      <c r="E118" t="s">
        <v>82</v>
      </c>
      <c r="F118" s="37">
        <v>11.9</v>
      </c>
      <c r="G118" s="39" cm="1">
        <f t="array" ref="G118">F118*_xlfn.XLOOKUP(1,
 (FOREX!$E$2:$E$13=EOMONTH(B118,0))*
 (FOREX!$F$2:$F$13=TRIM(E118)),FOREX!$G$2:$G$13,
 100)</f>
        <v>3.0198391999999998</v>
      </c>
      <c r="H118" t="s">
        <v>1483</v>
      </c>
      <c r="I118" t="s">
        <v>364</v>
      </c>
      <c r="J118" s="35" t="str">
        <f>_xlfn.XLOOKUP(I118,costcategory[Account Code],costcategory[Cost Category],"ERROR")</f>
        <v>Headcount Costs</v>
      </c>
      <c r="K118" s="89" t="str">
        <f t="shared" si="2"/>
        <v>HR</v>
      </c>
      <c r="L118" s="89" t="str">
        <f>_xlfn.XLOOKUP(K118,Table2[Department],Table2[Group],"ERROR")</f>
        <v>General &amp; Administrative</v>
      </c>
    </row>
    <row r="119" spans="1:12" x14ac:dyDescent="0.2">
      <c r="A119" t="s">
        <v>2</v>
      </c>
      <c r="B119" s="38">
        <v>46053</v>
      </c>
      <c r="C119" s="38">
        <v>46065</v>
      </c>
      <c r="D119" t="s">
        <v>1133</v>
      </c>
      <c r="E119" t="s">
        <v>82</v>
      </c>
      <c r="F119" s="37">
        <v>11.9</v>
      </c>
      <c r="G119" s="39" cm="1">
        <f t="array" ref="G119">F119*_xlfn.XLOOKUP(1,
 (FOREX!$E$2:$E$13=EOMONTH(B119,0))*
 (FOREX!$F$2:$F$13=TRIM(E119)),FOREX!$G$2:$G$13,
 100)</f>
        <v>3.0198391999999998</v>
      </c>
      <c r="H119" t="s">
        <v>1483</v>
      </c>
      <c r="I119" t="s">
        <v>364</v>
      </c>
      <c r="J119" s="35" t="str">
        <f>_xlfn.XLOOKUP(I119,costcategory[Account Code],costcategory[Cost Category],"ERROR")</f>
        <v>Headcount Costs</v>
      </c>
      <c r="K119" s="89" t="str">
        <f t="shared" si="2"/>
        <v>Finance</v>
      </c>
      <c r="L119" s="89" t="str">
        <f>_xlfn.XLOOKUP(K119,Table2[Department],Table2[Group],"ERROR")</f>
        <v>General &amp; Administrative</v>
      </c>
    </row>
    <row r="120" spans="1:12" x14ac:dyDescent="0.2">
      <c r="A120" t="s">
        <v>2</v>
      </c>
      <c r="B120" s="38">
        <v>46053</v>
      </c>
      <c r="C120" s="38">
        <v>46065</v>
      </c>
      <c r="D120" t="s">
        <v>1134</v>
      </c>
      <c r="E120" t="s">
        <v>82</v>
      </c>
      <c r="F120" s="37">
        <v>11.9</v>
      </c>
      <c r="G120" s="39" cm="1">
        <f t="array" ref="G120">F120*_xlfn.XLOOKUP(1,
 (FOREX!$E$2:$E$13=EOMONTH(B120,0))*
 (FOREX!$F$2:$F$13=TRIM(E120)),FOREX!$G$2:$G$13,
 100)</f>
        <v>3.0198391999999998</v>
      </c>
      <c r="H120" t="s">
        <v>1483</v>
      </c>
      <c r="I120" t="s">
        <v>364</v>
      </c>
      <c r="J120" s="35" t="str">
        <f>_xlfn.XLOOKUP(I120,costcategory[Account Code],costcategory[Cost Category],"ERROR")</f>
        <v>Headcount Costs</v>
      </c>
      <c r="K120" s="89" t="str">
        <f t="shared" si="2"/>
        <v>DSC</v>
      </c>
      <c r="L120" s="89" t="str">
        <f>_xlfn.XLOOKUP(K120,Table2[Department],Table2[Group],"ERROR")</f>
        <v>DSC</v>
      </c>
    </row>
    <row r="121" spans="1:12" x14ac:dyDescent="0.2">
      <c r="A121" t="s">
        <v>2</v>
      </c>
      <c r="B121" s="38">
        <v>46053</v>
      </c>
      <c r="C121" s="38">
        <v>46065</v>
      </c>
      <c r="D121" t="s">
        <v>1136</v>
      </c>
      <c r="E121" t="s">
        <v>82</v>
      </c>
      <c r="F121" s="37">
        <v>11.9</v>
      </c>
      <c r="G121" s="39" cm="1">
        <f t="array" ref="G121">F121*_xlfn.XLOOKUP(1,
 (FOREX!$E$2:$E$13=EOMONTH(B121,0))*
 (FOREX!$F$2:$F$13=TRIM(E121)),FOREX!$G$2:$G$13,
 100)</f>
        <v>3.0198391999999998</v>
      </c>
      <c r="H121" t="s">
        <v>1483</v>
      </c>
      <c r="I121" t="s">
        <v>364</v>
      </c>
      <c r="J121" s="35" t="str">
        <f>_xlfn.XLOOKUP(I121,costcategory[Account Code],costcategory[Cost Category],"ERROR")</f>
        <v>Headcount Costs</v>
      </c>
      <c r="K121" s="89" t="str">
        <f t="shared" si="2"/>
        <v>DSC</v>
      </c>
      <c r="L121" s="89" t="str">
        <f>_xlfn.XLOOKUP(K121,Table2[Department],Table2[Group],"ERROR")</f>
        <v>DSC</v>
      </c>
    </row>
    <row r="122" spans="1:12" x14ac:dyDescent="0.2">
      <c r="A122" t="s">
        <v>2</v>
      </c>
      <c r="B122" s="38">
        <v>46053</v>
      </c>
      <c r="C122" s="38">
        <v>46065</v>
      </c>
      <c r="D122" t="s">
        <v>1137</v>
      </c>
      <c r="E122" t="s">
        <v>82</v>
      </c>
      <c r="F122" s="37">
        <v>11.1</v>
      </c>
      <c r="G122" s="39" cm="1">
        <f t="array" ref="G122">F122*_xlfn.XLOOKUP(1,
 (FOREX!$E$2:$E$13=EOMONTH(B122,0))*
 (FOREX!$F$2:$F$13=TRIM(E122)),FOREX!$G$2:$G$13,
 100)</f>
        <v>2.8168248</v>
      </c>
      <c r="H122" t="s">
        <v>1483</v>
      </c>
      <c r="I122" t="s">
        <v>364</v>
      </c>
      <c r="J122" s="35" t="str">
        <f>_xlfn.XLOOKUP(I122,costcategory[Account Code],costcategory[Cost Category],"ERROR")</f>
        <v>Headcount Costs</v>
      </c>
      <c r="K122" s="89" t="str">
        <f t="shared" si="2"/>
        <v>DSC</v>
      </c>
      <c r="L122" s="89" t="str">
        <f>_xlfn.XLOOKUP(K122,Table2[Department],Table2[Group],"ERROR")</f>
        <v>DSC</v>
      </c>
    </row>
    <row r="123" spans="1:12" x14ac:dyDescent="0.2">
      <c r="A123" t="s">
        <v>2</v>
      </c>
      <c r="B123" s="38">
        <v>46053</v>
      </c>
      <c r="C123" s="38">
        <v>46065</v>
      </c>
      <c r="D123" t="s">
        <v>1139</v>
      </c>
      <c r="E123" t="s">
        <v>82</v>
      </c>
      <c r="F123" s="37">
        <v>0</v>
      </c>
      <c r="G123" s="39" cm="1">
        <f t="array" ref="G123">F123*_xlfn.XLOOKUP(1,
 (FOREX!$E$2:$E$13=EOMONTH(B123,0))*
 (FOREX!$F$2:$F$13=TRIM(E123)),FOREX!$G$2:$G$13,
 100)</f>
        <v>0</v>
      </c>
      <c r="H123" t="s">
        <v>1483</v>
      </c>
      <c r="I123" t="s">
        <v>364</v>
      </c>
      <c r="J123" s="35" t="str">
        <f>_xlfn.XLOOKUP(I123,costcategory[Account Code],costcategory[Cost Category],"ERROR")</f>
        <v>Headcount Costs</v>
      </c>
      <c r="K123" s="89" t="str">
        <f t="shared" si="2"/>
        <v>Business Operation</v>
      </c>
      <c r="L123" s="89" t="str">
        <f>_xlfn.XLOOKUP(K123,Table2[Department],Table2[Group],"ERROR")</f>
        <v>Sales &amp; Marketing</v>
      </c>
    </row>
    <row r="124" spans="1:12" x14ac:dyDescent="0.2">
      <c r="A124" t="s">
        <v>2</v>
      </c>
      <c r="B124" s="38">
        <v>46053</v>
      </c>
      <c r="C124" s="38">
        <v>46065</v>
      </c>
      <c r="D124" t="s">
        <v>1141</v>
      </c>
      <c r="E124" t="s">
        <v>82</v>
      </c>
      <c r="F124" s="37">
        <v>11.9</v>
      </c>
      <c r="G124" s="39" cm="1">
        <f t="array" ref="G124">F124*_xlfn.XLOOKUP(1,
 (FOREX!$E$2:$E$13=EOMONTH(B124,0))*
 (FOREX!$F$2:$F$13=TRIM(E124)),FOREX!$G$2:$G$13,
 100)</f>
        <v>3.0198391999999998</v>
      </c>
      <c r="H124" t="s">
        <v>1483</v>
      </c>
      <c r="I124" t="s">
        <v>364</v>
      </c>
      <c r="J124" s="35" t="str">
        <f>_xlfn.XLOOKUP(I124,costcategory[Account Code],costcategory[Cost Category],"ERROR")</f>
        <v>Headcount Costs</v>
      </c>
      <c r="K124" s="89" t="str">
        <f t="shared" si="2"/>
        <v>DSC</v>
      </c>
      <c r="L124" s="89" t="str">
        <f>_xlfn.XLOOKUP(K124,Table2[Department],Table2[Group],"ERROR")</f>
        <v>DSC</v>
      </c>
    </row>
    <row r="125" spans="1:12" x14ac:dyDescent="0.2">
      <c r="A125" t="s">
        <v>2</v>
      </c>
      <c r="B125" s="38">
        <v>46053</v>
      </c>
      <c r="C125" s="38">
        <v>46065</v>
      </c>
      <c r="D125" t="s">
        <v>1143</v>
      </c>
      <c r="E125" t="s">
        <v>82</v>
      </c>
      <c r="F125" s="37">
        <v>11.9</v>
      </c>
      <c r="G125" s="39" cm="1">
        <f t="array" ref="G125">F125*_xlfn.XLOOKUP(1,
 (FOREX!$E$2:$E$13=EOMONTH(B125,0))*
 (FOREX!$F$2:$F$13=TRIM(E125)),FOREX!$G$2:$G$13,
 100)</f>
        <v>3.0198391999999998</v>
      </c>
      <c r="H125" t="s">
        <v>1483</v>
      </c>
      <c r="I125" t="s">
        <v>364</v>
      </c>
      <c r="J125" s="35" t="str">
        <f>_xlfn.XLOOKUP(I125,costcategory[Account Code],costcategory[Cost Category],"ERROR")</f>
        <v>Headcount Costs</v>
      </c>
      <c r="K125" s="89" t="str">
        <f t="shared" si="2"/>
        <v>DSC</v>
      </c>
      <c r="L125" s="89" t="str">
        <f>_xlfn.XLOOKUP(K125,Table2[Department],Table2[Group],"ERROR")</f>
        <v>DSC</v>
      </c>
    </row>
    <row r="126" spans="1:12" x14ac:dyDescent="0.2">
      <c r="A126" t="s">
        <v>2</v>
      </c>
      <c r="B126" s="38">
        <v>46053</v>
      </c>
      <c r="C126" s="38">
        <v>46065</v>
      </c>
      <c r="D126" t="s">
        <v>1145</v>
      </c>
      <c r="E126" t="s">
        <v>82</v>
      </c>
      <c r="F126" s="37">
        <v>11.9</v>
      </c>
      <c r="G126" s="39" cm="1">
        <f t="array" ref="G126">F126*_xlfn.XLOOKUP(1,
 (FOREX!$E$2:$E$13=EOMONTH(B126,0))*
 (FOREX!$F$2:$F$13=TRIM(E126)),FOREX!$G$2:$G$13,
 100)</f>
        <v>3.0198391999999998</v>
      </c>
      <c r="H126" t="s">
        <v>1483</v>
      </c>
      <c r="I126" t="s">
        <v>364</v>
      </c>
      <c r="J126" s="35" t="str">
        <f>_xlfn.XLOOKUP(I126,costcategory[Account Code],costcategory[Cost Category],"ERROR")</f>
        <v>Headcount Costs</v>
      </c>
      <c r="K126" s="89" t="str">
        <f t="shared" si="2"/>
        <v>DSC</v>
      </c>
      <c r="L126" s="89" t="str">
        <f>_xlfn.XLOOKUP(K126,Table2[Department],Table2[Group],"ERROR")</f>
        <v>DSC</v>
      </c>
    </row>
    <row r="127" spans="1:12" x14ac:dyDescent="0.2">
      <c r="A127" t="s">
        <v>2</v>
      </c>
      <c r="B127" s="38">
        <v>46053</v>
      </c>
      <c r="C127" s="38">
        <v>46065</v>
      </c>
      <c r="D127" t="s">
        <v>1147</v>
      </c>
      <c r="E127" t="s">
        <v>82</v>
      </c>
      <c r="F127" s="37">
        <v>11.5</v>
      </c>
      <c r="G127" s="39" cm="1">
        <f t="array" ref="G127">F127*_xlfn.XLOOKUP(1,
 (FOREX!$E$2:$E$13=EOMONTH(B127,0))*
 (FOREX!$F$2:$F$13=TRIM(E127)),FOREX!$G$2:$G$13,
 100)</f>
        <v>2.9183319999999999</v>
      </c>
      <c r="H127" t="s">
        <v>1483</v>
      </c>
      <c r="I127" t="s">
        <v>364</v>
      </c>
      <c r="J127" s="35" t="str">
        <f>_xlfn.XLOOKUP(I127,costcategory[Account Code],costcategory[Cost Category],"ERROR")</f>
        <v>Headcount Costs</v>
      </c>
      <c r="K127" s="89" t="str">
        <f t="shared" si="2"/>
        <v>Finance</v>
      </c>
      <c r="L127" s="89" t="str">
        <f>_xlfn.XLOOKUP(K127,Table2[Department],Table2[Group],"ERROR")</f>
        <v>General &amp; Administrative</v>
      </c>
    </row>
    <row r="128" spans="1:12" x14ac:dyDescent="0.2">
      <c r="A128" t="s">
        <v>2</v>
      </c>
      <c r="B128" s="38">
        <v>46081</v>
      </c>
      <c r="C128" s="38">
        <v>46080</v>
      </c>
      <c r="D128" t="s">
        <v>1125</v>
      </c>
      <c r="E128" t="s">
        <v>82</v>
      </c>
      <c r="F128" s="37">
        <v>18018.849999999999</v>
      </c>
      <c r="G128" s="39" cm="1">
        <f t="array" ref="G128">F128*_xlfn.XLOOKUP(1,
 (FOREX!$E$2:$E$13=EOMONTH(B128,0))*
 (FOREX!$F$2:$F$13=TRIM(E128)),FOREX!$G$2:$G$13,
 100)</f>
        <v>4629.258791199999</v>
      </c>
      <c r="H128" t="s">
        <v>400</v>
      </c>
      <c r="I128" t="s">
        <v>387</v>
      </c>
      <c r="J128" s="35" t="str">
        <f>_xlfn.XLOOKUP(I128,costcategory[Account Code],costcategory[Cost Category],"ERROR")</f>
        <v>Headcount Costs</v>
      </c>
      <c r="K128" s="89" t="str">
        <f t="shared" si="2"/>
        <v>Sales &amp; Pre-Sales</v>
      </c>
      <c r="L128" s="89" t="str">
        <f>_xlfn.XLOOKUP(K128,Table2[Department],Table2[Group],"ERROR")</f>
        <v>Sales &amp; Marketing</v>
      </c>
    </row>
    <row r="129" spans="1:12" x14ac:dyDescent="0.2">
      <c r="A129" t="s">
        <v>2</v>
      </c>
      <c r="B129" s="38">
        <v>46081</v>
      </c>
      <c r="C129" s="38">
        <v>46080</v>
      </c>
      <c r="D129" t="s">
        <v>1127</v>
      </c>
      <c r="E129" t="s">
        <v>82</v>
      </c>
      <c r="F129" s="37">
        <v>3976.15</v>
      </c>
      <c r="G129" s="39" cm="1">
        <f t="array" ref="G129">F129*_xlfn.XLOOKUP(1,
 (FOREX!$E$2:$E$13=EOMONTH(B129,0))*
 (FOREX!$F$2:$F$13=TRIM(E129)),FOREX!$G$2:$G$13,
 100)</f>
        <v>1021.5206487999999</v>
      </c>
      <c r="H129" t="s">
        <v>400</v>
      </c>
      <c r="I129" t="s">
        <v>387</v>
      </c>
      <c r="J129" s="35" t="str">
        <f>_xlfn.XLOOKUP(I129,costcategory[Account Code],costcategory[Cost Category],"ERROR")</f>
        <v>Headcount Costs</v>
      </c>
      <c r="K129" s="89" t="str">
        <f t="shared" si="2"/>
        <v>DSC</v>
      </c>
      <c r="L129" s="89" t="str">
        <f>_xlfn.XLOOKUP(K129,Table2[Department],Table2[Group],"ERROR")</f>
        <v>DSC</v>
      </c>
    </row>
    <row r="130" spans="1:12" x14ac:dyDescent="0.2">
      <c r="A130" t="s">
        <v>2</v>
      </c>
      <c r="B130" s="38">
        <v>46081</v>
      </c>
      <c r="C130" s="38">
        <v>46080</v>
      </c>
      <c r="D130" t="s">
        <v>1128</v>
      </c>
      <c r="E130" t="s">
        <v>82</v>
      </c>
      <c r="F130" s="37">
        <v>8249.15</v>
      </c>
      <c r="G130" s="39" cm="1">
        <f t="array" ref="G130">F130*_xlfn.XLOOKUP(1,
 (FOREX!$E$2:$E$13=EOMONTH(B130,0))*
 (FOREX!$F$2:$F$13=TRIM(E130)),FOREX!$G$2:$G$13,
 100)</f>
        <v>2119.3056247999998</v>
      </c>
      <c r="H130" t="s">
        <v>400</v>
      </c>
      <c r="I130" t="s">
        <v>387</v>
      </c>
      <c r="J130" s="35" t="str">
        <f>_xlfn.XLOOKUP(I130,costcategory[Account Code],costcategory[Cost Category],"ERROR")</f>
        <v>Headcount Costs</v>
      </c>
      <c r="K130" s="89" t="str">
        <f t="shared" si="2"/>
        <v>Sales &amp; Pre-Sales</v>
      </c>
      <c r="L130" s="89" t="str">
        <f>_xlfn.XLOOKUP(K130,Table2[Department],Table2[Group],"ERROR")</f>
        <v>Sales &amp; Marketing</v>
      </c>
    </row>
    <row r="131" spans="1:12" x14ac:dyDescent="0.2">
      <c r="A131" t="s">
        <v>2</v>
      </c>
      <c r="B131" s="38">
        <v>46081</v>
      </c>
      <c r="C131" s="38">
        <v>46080</v>
      </c>
      <c r="D131" t="s">
        <v>1129</v>
      </c>
      <c r="E131" t="s">
        <v>82</v>
      </c>
      <c r="F131" s="37">
        <v>4223.05</v>
      </c>
      <c r="G131" s="39" cm="1">
        <f t="array" ref="G131">F131*_xlfn.XLOOKUP(1,
 (FOREX!$E$2:$E$13=EOMONTH(B131,0))*
 (FOREX!$F$2:$F$13=TRIM(E131)),FOREX!$G$2:$G$13,
 100)</f>
        <v>1084.9522216</v>
      </c>
      <c r="H131" t="s">
        <v>400</v>
      </c>
      <c r="I131" t="s">
        <v>387</v>
      </c>
      <c r="J131" s="35" t="str">
        <f>_xlfn.XLOOKUP(I131,costcategory[Account Code],costcategory[Cost Category],"ERROR")</f>
        <v>Headcount Costs</v>
      </c>
      <c r="K131" s="89" t="str">
        <f t="shared" si="2"/>
        <v>Sales &amp; Pre-Sales</v>
      </c>
      <c r="L131" s="89" t="str">
        <f>_xlfn.XLOOKUP(K131,Table2[Department],Table2[Group],"ERROR")</f>
        <v>Sales &amp; Marketing</v>
      </c>
    </row>
    <row r="132" spans="1:12" x14ac:dyDescent="0.2">
      <c r="A132" t="s">
        <v>2</v>
      </c>
      <c r="B132" s="38">
        <v>46081</v>
      </c>
      <c r="C132" s="38">
        <v>46080</v>
      </c>
      <c r="D132" t="s">
        <v>1131</v>
      </c>
      <c r="E132" t="s">
        <v>82</v>
      </c>
      <c r="F132" s="37">
        <v>9273.15</v>
      </c>
      <c r="G132" s="39" cm="1">
        <f t="array" ref="G132">F132*_xlfn.XLOOKUP(1,
 (FOREX!$E$2:$E$13=EOMONTH(B132,0))*
 (FOREX!$F$2:$F$13=TRIM(E132)),FOREX!$G$2:$G$13,
 100)</f>
        <v>2382.3835127999996</v>
      </c>
      <c r="H132" t="s">
        <v>400</v>
      </c>
      <c r="I132" t="s">
        <v>387</v>
      </c>
      <c r="J132" s="35" t="str">
        <f>_xlfn.XLOOKUP(I132,costcategory[Account Code],costcategory[Cost Category],"ERROR")</f>
        <v>Headcount Costs</v>
      </c>
      <c r="K132" s="89" t="str">
        <f t="shared" si="2"/>
        <v>HR</v>
      </c>
      <c r="L132" s="89" t="str">
        <f>_xlfn.XLOOKUP(K132,Table2[Department],Table2[Group],"ERROR")</f>
        <v>General &amp; Administrative</v>
      </c>
    </row>
    <row r="133" spans="1:12" x14ac:dyDescent="0.2">
      <c r="A133" t="s">
        <v>2</v>
      </c>
      <c r="B133" s="38">
        <v>46081</v>
      </c>
      <c r="C133" s="38">
        <v>46080</v>
      </c>
      <c r="D133" t="s">
        <v>1133</v>
      </c>
      <c r="E133" t="s">
        <v>82</v>
      </c>
      <c r="F133" s="37">
        <v>9469.15</v>
      </c>
      <c r="G133" s="39" cm="1">
        <f t="array" ref="G133">F133*_xlfn.XLOOKUP(1,
 (FOREX!$E$2:$E$13=EOMONTH(B133,0))*
 (FOREX!$F$2:$F$13=TRIM(E133)),FOREX!$G$2:$G$13,
 100)</f>
        <v>2432.7382647999998</v>
      </c>
      <c r="H133" t="s">
        <v>400</v>
      </c>
      <c r="I133" t="s">
        <v>387</v>
      </c>
      <c r="J133" s="35" t="str">
        <f>_xlfn.XLOOKUP(I133,costcategory[Account Code],costcategory[Cost Category],"ERROR")</f>
        <v>Headcount Costs</v>
      </c>
      <c r="K133" s="89" t="str">
        <f t="shared" si="2"/>
        <v>Finance</v>
      </c>
      <c r="L133" s="89" t="str">
        <f>_xlfn.XLOOKUP(K133,Table2[Department],Table2[Group],"ERROR")</f>
        <v>General &amp; Administrative</v>
      </c>
    </row>
    <row r="134" spans="1:12" x14ac:dyDescent="0.2">
      <c r="A134" t="s">
        <v>2</v>
      </c>
      <c r="B134" s="38">
        <v>46081</v>
      </c>
      <c r="C134" s="38">
        <v>46080</v>
      </c>
      <c r="D134" t="s">
        <v>1134</v>
      </c>
      <c r="E134" t="s">
        <v>82</v>
      </c>
      <c r="F134" s="37">
        <v>17378.849999999999</v>
      </c>
      <c r="G134" s="39" cm="1">
        <f t="array" ref="G134">F134*_xlfn.XLOOKUP(1,
 (FOREX!$E$2:$E$13=EOMONTH(B134,0))*
 (FOREX!$F$2:$F$13=TRIM(E134)),FOREX!$G$2:$G$13,
 100)</f>
        <v>4464.8351111999991</v>
      </c>
      <c r="H134" t="s">
        <v>400</v>
      </c>
      <c r="I134" t="s">
        <v>387</v>
      </c>
      <c r="J134" s="35" t="str">
        <f>_xlfn.XLOOKUP(I134,costcategory[Account Code],costcategory[Cost Category],"ERROR")</f>
        <v>Headcount Costs</v>
      </c>
      <c r="K134" s="89" t="str">
        <f t="shared" si="2"/>
        <v>DSC</v>
      </c>
      <c r="L134" s="89" t="str">
        <f>_xlfn.XLOOKUP(K134,Table2[Department],Table2[Group],"ERROR")</f>
        <v>DSC</v>
      </c>
    </row>
    <row r="135" spans="1:12" x14ac:dyDescent="0.2">
      <c r="A135" t="s">
        <v>2</v>
      </c>
      <c r="B135" s="38">
        <v>46081</v>
      </c>
      <c r="C135" s="38">
        <v>46080</v>
      </c>
      <c r="D135" t="s">
        <v>1136</v>
      </c>
      <c r="E135" t="s">
        <v>82</v>
      </c>
      <c r="F135" s="37">
        <v>11426.85</v>
      </c>
      <c r="G135" s="39" cm="1">
        <f t="array" ref="G135">F135*_xlfn.XLOOKUP(1,
 (FOREX!$E$2:$E$13=EOMONTH(B135,0))*
 (FOREX!$F$2:$F$13=TRIM(E135)),FOREX!$G$2:$G$13,
 100)</f>
        <v>2935.6948871999998</v>
      </c>
      <c r="H135" t="s">
        <v>400</v>
      </c>
      <c r="I135" t="s">
        <v>387</v>
      </c>
      <c r="J135" s="35" t="str">
        <f>_xlfn.XLOOKUP(I135,costcategory[Account Code],costcategory[Cost Category],"ERROR")</f>
        <v>Headcount Costs</v>
      </c>
      <c r="K135" s="89" t="str">
        <f t="shared" si="2"/>
        <v>DSC</v>
      </c>
      <c r="L135" s="89" t="str">
        <f>_xlfn.XLOOKUP(K135,Table2[Department],Table2[Group],"ERROR")</f>
        <v>DSC</v>
      </c>
    </row>
    <row r="136" spans="1:12" x14ac:dyDescent="0.2">
      <c r="A136" t="s">
        <v>2</v>
      </c>
      <c r="B136" s="38">
        <v>46081</v>
      </c>
      <c r="C136" s="38">
        <v>46080</v>
      </c>
      <c r="D136" t="s">
        <v>1137</v>
      </c>
      <c r="E136" t="s">
        <v>82</v>
      </c>
      <c r="F136" s="37">
        <v>4781.6499999999996</v>
      </c>
      <c r="G136" s="39" cm="1">
        <f t="array" ref="G136">F136*_xlfn.XLOOKUP(1,
 (FOREX!$E$2:$E$13=EOMONTH(B136,0))*
 (FOREX!$F$2:$F$13=TRIM(E136)),FOREX!$G$2:$G$13,
 100)</f>
        <v>1228.4632647999997</v>
      </c>
      <c r="H136" t="s">
        <v>400</v>
      </c>
      <c r="I136" t="s">
        <v>387</v>
      </c>
      <c r="J136" s="35" t="str">
        <f>_xlfn.XLOOKUP(I136,costcategory[Account Code],costcategory[Cost Category],"ERROR")</f>
        <v>Headcount Costs</v>
      </c>
      <c r="K136" s="89" t="str">
        <f t="shared" si="2"/>
        <v>DSC</v>
      </c>
      <c r="L136" s="89" t="str">
        <f>_xlfn.XLOOKUP(K136,Table2[Department],Table2[Group],"ERROR")</f>
        <v>DSC</v>
      </c>
    </row>
    <row r="137" spans="1:12" x14ac:dyDescent="0.2">
      <c r="A137" t="s">
        <v>2</v>
      </c>
      <c r="B137" s="38">
        <v>46081</v>
      </c>
      <c r="C137" s="38">
        <v>46080</v>
      </c>
      <c r="D137" t="s">
        <v>1139</v>
      </c>
      <c r="E137" t="s">
        <v>82</v>
      </c>
      <c r="F137" s="37">
        <v>15776.05</v>
      </c>
      <c r="G137" s="39" cm="1">
        <f t="array" ref="G137">F137*_xlfn.XLOOKUP(1,
 (FOREX!$E$2:$E$13=EOMONTH(B137,0))*
 (FOREX!$F$2:$F$13=TRIM(E137)),FOREX!$G$2:$G$13,
 100)</f>
        <v>4053.0565575999995</v>
      </c>
      <c r="H137" t="s">
        <v>400</v>
      </c>
      <c r="I137" t="s">
        <v>387</v>
      </c>
      <c r="J137" s="35" t="str">
        <f>_xlfn.XLOOKUP(I137,costcategory[Account Code],costcategory[Cost Category],"ERROR")</f>
        <v>Headcount Costs</v>
      </c>
      <c r="K137" s="89" t="str">
        <f t="shared" si="2"/>
        <v>Business Operation</v>
      </c>
      <c r="L137" s="89" t="str">
        <f>_xlfn.XLOOKUP(K137,Table2[Department],Table2[Group],"ERROR")</f>
        <v>Sales &amp; Marketing</v>
      </c>
    </row>
    <row r="138" spans="1:12" x14ac:dyDescent="0.2">
      <c r="A138" t="s">
        <v>2</v>
      </c>
      <c r="B138" s="38">
        <v>46081</v>
      </c>
      <c r="C138" s="38">
        <v>46080</v>
      </c>
      <c r="D138" t="s">
        <v>1141</v>
      </c>
      <c r="E138" t="s">
        <v>82</v>
      </c>
      <c r="F138" s="37">
        <v>21791.85</v>
      </c>
      <c r="G138" s="39" cm="1">
        <f t="array" ref="G138">F138*_xlfn.XLOOKUP(1,
 (FOREX!$E$2:$E$13=EOMONTH(B138,0))*
 (FOREX!$F$2:$F$13=TRIM(E138)),FOREX!$G$2:$G$13,
 100)</f>
        <v>5598.5877671999988</v>
      </c>
      <c r="H138" t="s">
        <v>400</v>
      </c>
      <c r="I138" t="s">
        <v>387</v>
      </c>
      <c r="J138" s="35" t="str">
        <f>_xlfn.XLOOKUP(I138,costcategory[Account Code],costcategory[Cost Category],"ERROR")</f>
        <v>Headcount Costs</v>
      </c>
      <c r="K138" s="89" t="str">
        <f t="shared" si="2"/>
        <v>DSC</v>
      </c>
      <c r="L138" s="89" t="str">
        <f>_xlfn.XLOOKUP(K138,Table2[Department],Table2[Group],"ERROR")</f>
        <v>DSC</v>
      </c>
    </row>
    <row r="139" spans="1:12" x14ac:dyDescent="0.2">
      <c r="A139" t="s">
        <v>2</v>
      </c>
      <c r="B139" s="38">
        <v>46081</v>
      </c>
      <c r="C139" s="38">
        <v>46080</v>
      </c>
      <c r="D139" t="s">
        <v>1143</v>
      </c>
      <c r="E139" t="s">
        <v>82</v>
      </c>
      <c r="F139" s="37">
        <v>5934.15</v>
      </c>
      <c r="G139" s="39" cm="1">
        <f t="array" ref="G139">F139*_xlfn.XLOOKUP(1,
 (FOREX!$E$2:$E$13=EOMONTH(B139,0))*
 (FOREX!$F$2:$F$13=TRIM(E139)),FOREX!$G$2:$G$13,
 100)</f>
        <v>1524.5543447999999</v>
      </c>
      <c r="H139" t="s">
        <v>400</v>
      </c>
      <c r="I139" t="s">
        <v>387</v>
      </c>
      <c r="J139" s="35" t="str">
        <f>_xlfn.XLOOKUP(I139,costcategory[Account Code],costcategory[Cost Category],"ERROR")</f>
        <v>Headcount Costs</v>
      </c>
      <c r="K139" s="89" t="str">
        <f t="shared" si="2"/>
        <v>DSC</v>
      </c>
      <c r="L139" s="89" t="str">
        <f>_xlfn.XLOOKUP(K139,Table2[Department],Table2[Group],"ERROR")</f>
        <v>DSC</v>
      </c>
    </row>
    <row r="140" spans="1:12" x14ac:dyDescent="0.2">
      <c r="A140" t="s">
        <v>2</v>
      </c>
      <c r="B140" s="38">
        <v>46081</v>
      </c>
      <c r="C140" s="38">
        <v>46080</v>
      </c>
      <c r="D140" t="s">
        <v>1145</v>
      </c>
      <c r="E140" t="s">
        <v>82</v>
      </c>
      <c r="F140" s="37">
        <v>5168.8500000000004</v>
      </c>
      <c r="G140" s="39" cm="1">
        <f t="array" ref="G140">F140*_xlfn.XLOOKUP(1,
 (FOREX!$E$2:$E$13=EOMONTH(B140,0))*
 (FOREX!$F$2:$F$13=TRIM(E140)),FOREX!$G$2:$G$13,
 100)</f>
        <v>1327.9395912</v>
      </c>
      <c r="H140" t="s">
        <v>400</v>
      </c>
      <c r="I140" t="s">
        <v>387</v>
      </c>
      <c r="J140" s="35" t="str">
        <f>_xlfn.XLOOKUP(I140,costcategory[Account Code],costcategory[Cost Category],"ERROR")</f>
        <v>Headcount Costs</v>
      </c>
      <c r="K140" s="89" t="str">
        <f t="shared" si="2"/>
        <v>DSC</v>
      </c>
      <c r="L140" s="89" t="str">
        <f>_xlfn.XLOOKUP(K140,Table2[Department],Table2[Group],"ERROR")</f>
        <v>DSC</v>
      </c>
    </row>
    <row r="141" spans="1:12" x14ac:dyDescent="0.2">
      <c r="A141" t="s">
        <v>2</v>
      </c>
      <c r="B141" s="38">
        <v>46081</v>
      </c>
      <c r="C141" s="38">
        <v>46080</v>
      </c>
      <c r="D141" t="s">
        <v>1147</v>
      </c>
      <c r="E141" t="s">
        <v>82</v>
      </c>
      <c r="F141" s="37">
        <v>5168.8500000000004</v>
      </c>
      <c r="G141" s="39" cm="1">
        <f t="array" ref="G141">F141*_xlfn.XLOOKUP(1,
 (FOREX!$E$2:$E$13=EOMONTH(B141,0))*
 (FOREX!$F$2:$F$13=TRIM(E141)),FOREX!$G$2:$G$13,
 100)</f>
        <v>1327.9395912</v>
      </c>
      <c r="H141" t="s">
        <v>400</v>
      </c>
      <c r="I141" t="s">
        <v>387</v>
      </c>
      <c r="J141" s="35" t="str">
        <f>_xlfn.XLOOKUP(I141,costcategory[Account Code],costcategory[Cost Category],"ERROR")</f>
        <v>Headcount Costs</v>
      </c>
      <c r="K141" s="89" t="str">
        <f t="shared" si="2"/>
        <v>Finance</v>
      </c>
      <c r="L141" s="89" t="str">
        <f>_xlfn.XLOOKUP(K141,Table2[Department],Table2[Group],"ERROR")</f>
        <v>General &amp; Administrative</v>
      </c>
    </row>
    <row r="142" spans="1:12" x14ac:dyDescent="0.2">
      <c r="A142" t="s">
        <v>2</v>
      </c>
      <c r="B142" s="38">
        <v>46081</v>
      </c>
      <c r="C142" s="38">
        <v>46094</v>
      </c>
      <c r="D142" t="s">
        <v>1125</v>
      </c>
      <c r="E142" t="s">
        <v>82</v>
      </c>
      <c r="F142" s="37">
        <v>2827</v>
      </c>
      <c r="G142" s="39" cm="1">
        <f t="array" ref="G142">F142*_xlfn.XLOOKUP(1,
 (FOREX!$E$2:$E$13=EOMONTH(B142,0))*
 (FOREX!$F$2:$F$13=TRIM(E142)),FOREX!$G$2:$G$13,
 100)</f>
        <v>726.29022399999997</v>
      </c>
      <c r="H142" t="s">
        <v>1484</v>
      </c>
      <c r="I142" t="s">
        <v>364</v>
      </c>
      <c r="J142" s="35" t="str">
        <f>_xlfn.XLOOKUP(I142,costcategory[Account Code],costcategory[Cost Category],"ERROR")</f>
        <v>Headcount Costs</v>
      </c>
      <c r="K142" s="89" t="str">
        <f t="shared" si="2"/>
        <v>Sales &amp; Pre-Sales</v>
      </c>
      <c r="L142" s="89" t="str">
        <f>_xlfn.XLOOKUP(K142,Table2[Department],Table2[Group],"ERROR")</f>
        <v>Sales &amp; Marketing</v>
      </c>
    </row>
    <row r="143" spans="1:12" x14ac:dyDescent="0.2">
      <c r="A143" t="s">
        <v>2</v>
      </c>
      <c r="B143" s="38">
        <v>46081</v>
      </c>
      <c r="C143" s="38">
        <v>46094</v>
      </c>
      <c r="D143" t="s">
        <v>1127</v>
      </c>
      <c r="E143" t="s">
        <v>82</v>
      </c>
      <c r="F143" s="37">
        <v>506</v>
      </c>
      <c r="G143" s="39" cm="1">
        <f t="array" ref="G143">F143*_xlfn.XLOOKUP(1,
 (FOREX!$E$2:$E$13=EOMONTH(B143,0))*
 (FOREX!$F$2:$F$13=TRIM(E143)),FOREX!$G$2:$G$13,
 100)</f>
        <v>129.99747199999999</v>
      </c>
      <c r="H143" t="s">
        <v>1484</v>
      </c>
      <c r="I143" t="s">
        <v>364</v>
      </c>
      <c r="J143" s="35" t="str">
        <f>_xlfn.XLOOKUP(I143,costcategory[Account Code],costcategory[Cost Category],"ERROR")</f>
        <v>Headcount Costs</v>
      </c>
      <c r="K143" s="89" t="str">
        <f t="shared" si="2"/>
        <v>DSC</v>
      </c>
      <c r="L143" s="89" t="str">
        <f>_xlfn.XLOOKUP(K143,Table2[Department],Table2[Group],"ERROR")</f>
        <v>DSC</v>
      </c>
    </row>
    <row r="144" spans="1:12" x14ac:dyDescent="0.2">
      <c r="A144" t="s">
        <v>2</v>
      </c>
      <c r="B144" s="38">
        <v>46081</v>
      </c>
      <c r="C144" s="38">
        <v>46094</v>
      </c>
      <c r="D144" t="s">
        <v>1128</v>
      </c>
      <c r="E144" t="s">
        <v>82</v>
      </c>
      <c r="F144" s="37">
        <v>1155</v>
      </c>
      <c r="G144" s="39" cm="1">
        <f t="array" ref="G144">F144*_xlfn.XLOOKUP(1,
 (FOREX!$E$2:$E$13=EOMONTH(B144,0))*
 (FOREX!$F$2:$F$13=TRIM(E144)),FOREX!$G$2:$G$13,
 100)</f>
        <v>296.73335999999995</v>
      </c>
      <c r="H144" t="s">
        <v>1484</v>
      </c>
      <c r="I144" t="s">
        <v>364</v>
      </c>
      <c r="J144" s="35" t="str">
        <f>_xlfn.XLOOKUP(I144,costcategory[Account Code],costcategory[Cost Category],"ERROR")</f>
        <v>Headcount Costs</v>
      </c>
      <c r="K144" s="89" t="str">
        <f t="shared" si="2"/>
        <v>Sales &amp; Pre-Sales</v>
      </c>
      <c r="L144" s="89" t="str">
        <f>_xlfn.XLOOKUP(K144,Table2[Department],Table2[Group],"ERROR")</f>
        <v>Sales &amp; Marketing</v>
      </c>
    </row>
    <row r="145" spans="1:12" x14ac:dyDescent="0.2">
      <c r="A145" t="s">
        <v>2</v>
      </c>
      <c r="B145" s="38">
        <v>46081</v>
      </c>
      <c r="C145" s="38">
        <v>46094</v>
      </c>
      <c r="D145" t="s">
        <v>1129</v>
      </c>
      <c r="E145" t="s">
        <v>82</v>
      </c>
      <c r="F145" s="37">
        <v>539</v>
      </c>
      <c r="G145" s="39" cm="1">
        <f t="array" ref="G145">F145*_xlfn.XLOOKUP(1,
 (FOREX!$E$2:$E$13=EOMONTH(B145,0))*
 (FOREX!$F$2:$F$13=TRIM(E145)),FOREX!$G$2:$G$13,
 100)</f>
        <v>138.47556799999998</v>
      </c>
      <c r="H145" t="s">
        <v>1484</v>
      </c>
      <c r="I145" t="s">
        <v>364</v>
      </c>
      <c r="J145" s="35" t="str">
        <f>_xlfn.XLOOKUP(I145,costcategory[Account Code],costcategory[Cost Category],"ERROR")</f>
        <v>Headcount Costs</v>
      </c>
      <c r="K145" s="89" t="str">
        <f t="shared" si="2"/>
        <v>Sales &amp; Pre-Sales</v>
      </c>
      <c r="L145" s="89" t="str">
        <f>_xlfn.XLOOKUP(K145,Table2[Department],Table2[Group],"ERROR")</f>
        <v>Sales &amp; Marketing</v>
      </c>
    </row>
    <row r="146" spans="1:12" x14ac:dyDescent="0.2">
      <c r="A146" t="s">
        <v>2</v>
      </c>
      <c r="B146" s="38">
        <v>46081</v>
      </c>
      <c r="C146" s="38">
        <v>46094</v>
      </c>
      <c r="D146" t="s">
        <v>1131</v>
      </c>
      <c r="E146" t="s">
        <v>82</v>
      </c>
      <c r="F146" s="37">
        <v>1331</v>
      </c>
      <c r="G146" s="39" cm="1">
        <f t="array" ref="G146">F146*_xlfn.XLOOKUP(1,
 (FOREX!$E$2:$E$13=EOMONTH(B146,0))*
 (FOREX!$F$2:$F$13=TRIM(E146)),FOREX!$G$2:$G$13,
 100)</f>
        <v>341.94987199999997</v>
      </c>
      <c r="H146" t="s">
        <v>1484</v>
      </c>
      <c r="I146" t="s">
        <v>364</v>
      </c>
      <c r="J146" s="35" t="str">
        <f>_xlfn.XLOOKUP(I146,costcategory[Account Code],costcategory[Cost Category],"ERROR")</f>
        <v>Headcount Costs</v>
      </c>
      <c r="K146" s="89" t="str">
        <f t="shared" si="2"/>
        <v>HR</v>
      </c>
      <c r="L146" s="89" t="str">
        <f>_xlfn.XLOOKUP(K146,Table2[Department],Table2[Group],"ERROR")</f>
        <v>General &amp; Administrative</v>
      </c>
    </row>
    <row r="147" spans="1:12" x14ac:dyDescent="0.2">
      <c r="A147" t="s">
        <v>2</v>
      </c>
      <c r="B147" s="38">
        <v>46081</v>
      </c>
      <c r="C147" s="38">
        <v>46094</v>
      </c>
      <c r="D147" t="s">
        <v>1133</v>
      </c>
      <c r="E147" t="s">
        <v>82</v>
      </c>
      <c r="F147" s="37">
        <v>1375</v>
      </c>
      <c r="G147" s="39" cm="1">
        <f t="array" ref="G147">F147*_xlfn.XLOOKUP(1,
 (FOREX!$E$2:$E$13=EOMONTH(B147,0))*
 (FOREX!$F$2:$F$13=TRIM(E147)),FOREX!$G$2:$G$13,
 100)</f>
        <v>353.25399999999996</v>
      </c>
      <c r="H147" t="s">
        <v>1484</v>
      </c>
      <c r="I147" t="s">
        <v>364</v>
      </c>
      <c r="J147" s="35" t="str">
        <f>_xlfn.XLOOKUP(I147,costcategory[Account Code],costcategory[Cost Category],"ERROR")</f>
        <v>Headcount Costs</v>
      </c>
      <c r="K147" s="89" t="str">
        <f t="shared" si="2"/>
        <v>Finance</v>
      </c>
      <c r="L147" s="89" t="str">
        <f>_xlfn.XLOOKUP(K147,Table2[Department],Table2[Group],"ERROR")</f>
        <v>General &amp; Administrative</v>
      </c>
    </row>
    <row r="148" spans="1:12" x14ac:dyDescent="0.2">
      <c r="A148" t="s">
        <v>2</v>
      </c>
      <c r="B148" s="38">
        <v>46081</v>
      </c>
      <c r="C148" s="38">
        <v>46094</v>
      </c>
      <c r="D148" t="s">
        <v>1134</v>
      </c>
      <c r="E148" t="s">
        <v>82</v>
      </c>
      <c r="F148" s="37">
        <v>2717</v>
      </c>
      <c r="G148" s="39" cm="1">
        <f t="array" ref="G148">F148*_xlfn.XLOOKUP(1,
 (FOREX!$E$2:$E$13=EOMONTH(B148,0))*
 (FOREX!$F$2:$F$13=TRIM(E148)),FOREX!$G$2:$G$13,
 100)</f>
        <v>698.02990399999987</v>
      </c>
      <c r="H148" t="s">
        <v>1484</v>
      </c>
      <c r="I148" t="s">
        <v>364</v>
      </c>
      <c r="J148" s="35" t="str">
        <f>_xlfn.XLOOKUP(I148,costcategory[Account Code],costcategory[Cost Category],"ERROR")</f>
        <v>Headcount Costs</v>
      </c>
      <c r="K148" s="89" t="str">
        <f t="shared" si="2"/>
        <v>DSC</v>
      </c>
      <c r="L148" s="89" t="str">
        <f>_xlfn.XLOOKUP(K148,Table2[Department],Table2[Group],"ERROR")</f>
        <v>DSC</v>
      </c>
    </row>
    <row r="149" spans="1:12" x14ac:dyDescent="0.2">
      <c r="A149" t="s">
        <v>2</v>
      </c>
      <c r="B149" s="38">
        <v>46081</v>
      </c>
      <c r="C149" s="38">
        <v>46094</v>
      </c>
      <c r="D149" t="s">
        <v>1136</v>
      </c>
      <c r="E149" t="s">
        <v>82</v>
      </c>
      <c r="F149" s="37">
        <v>1694</v>
      </c>
      <c r="G149" s="39" cm="1">
        <f t="array" ref="G149">F149*_xlfn.XLOOKUP(1,
 (FOREX!$E$2:$E$13=EOMONTH(B149,0))*
 (FOREX!$F$2:$F$13=TRIM(E149)),FOREX!$G$2:$G$13,
 100)</f>
        <v>435.20892799999996</v>
      </c>
      <c r="H149" t="s">
        <v>1484</v>
      </c>
      <c r="I149" t="s">
        <v>364</v>
      </c>
      <c r="J149" s="35" t="str">
        <f>_xlfn.XLOOKUP(I149,costcategory[Account Code],costcategory[Cost Category],"ERROR")</f>
        <v>Headcount Costs</v>
      </c>
      <c r="K149" s="89" t="str">
        <f t="shared" si="2"/>
        <v>DSC</v>
      </c>
      <c r="L149" s="89" t="str">
        <f>_xlfn.XLOOKUP(K149,Table2[Department],Table2[Group],"ERROR")</f>
        <v>DSC</v>
      </c>
    </row>
    <row r="150" spans="1:12" x14ac:dyDescent="0.2">
      <c r="A150" t="s">
        <v>2</v>
      </c>
      <c r="B150" s="38">
        <v>46081</v>
      </c>
      <c r="C150" s="38">
        <v>46094</v>
      </c>
      <c r="D150" t="s">
        <v>1137</v>
      </c>
      <c r="E150" t="s">
        <v>82</v>
      </c>
      <c r="F150" s="37">
        <v>616</v>
      </c>
      <c r="G150" s="39" cm="1">
        <f t="array" ref="G150">F150*_xlfn.XLOOKUP(1,
 (FOREX!$E$2:$E$13=EOMONTH(B150,0))*
 (FOREX!$F$2:$F$13=TRIM(E150)),FOREX!$G$2:$G$13,
 100)</f>
        <v>158.25779199999999</v>
      </c>
      <c r="H150" t="s">
        <v>1484</v>
      </c>
      <c r="I150" t="s">
        <v>364</v>
      </c>
      <c r="J150" s="35" t="str">
        <f>_xlfn.XLOOKUP(I150,costcategory[Account Code],costcategory[Cost Category],"ERROR")</f>
        <v>Headcount Costs</v>
      </c>
      <c r="K150" s="89" t="str">
        <f t="shared" si="2"/>
        <v>DSC</v>
      </c>
      <c r="L150" s="89" t="str">
        <f>_xlfn.XLOOKUP(K150,Table2[Department],Table2[Group],"ERROR")</f>
        <v>DSC</v>
      </c>
    </row>
    <row r="151" spans="1:12" x14ac:dyDescent="0.2">
      <c r="A151" t="s">
        <v>2</v>
      </c>
      <c r="B151" s="38">
        <v>46081</v>
      </c>
      <c r="C151" s="38">
        <v>46094</v>
      </c>
      <c r="D151" t="s">
        <v>1139</v>
      </c>
      <c r="E151" t="s">
        <v>82</v>
      </c>
      <c r="F151" s="37">
        <v>390</v>
      </c>
      <c r="G151" s="39" cm="1">
        <f t="array" ref="G151">F151*_xlfn.XLOOKUP(1,
 (FOREX!$E$2:$E$13=EOMONTH(B151,0))*
 (FOREX!$F$2:$F$13=TRIM(E151)),FOREX!$G$2:$G$13,
 100)</f>
        <v>100.19568</v>
      </c>
      <c r="H151" t="s">
        <v>1484</v>
      </c>
      <c r="I151" t="s">
        <v>364</v>
      </c>
      <c r="J151" s="35" t="str">
        <f>_xlfn.XLOOKUP(I151,costcategory[Account Code],costcategory[Cost Category],"ERROR")</f>
        <v>Headcount Costs</v>
      </c>
      <c r="K151" s="89" t="str">
        <f t="shared" si="2"/>
        <v>Business Operation</v>
      </c>
      <c r="L151" s="89" t="str">
        <f>_xlfn.XLOOKUP(K151,Table2[Department],Table2[Group],"ERROR")</f>
        <v>Sales &amp; Marketing</v>
      </c>
    </row>
    <row r="152" spans="1:12" x14ac:dyDescent="0.2">
      <c r="A152" t="s">
        <v>2</v>
      </c>
      <c r="B152" s="38">
        <v>46081</v>
      </c>
      <c r="C152" s="38">
        <v>46094</v>
      </c>
      <c r="D152" t="s">
        <v>1141</v>
      </c>
      <c r="E152" t="s">
        <v>82</v>
      </c>
      <c r="F152" s="37">
        <v>3454</v>
      </c>
      <c r="G152" s="39" cm="1">
        <f t="array" ref="G152">F152*_xlfn.XLOOKUP(1,
 (FOREX!$E$2:$E$13=EOMONTH(B152,0))*
 (FOREX!$F$2:$F$13=TRIM(E152)),FOREX!$G$2:$G$13,
 100)</f>
        <v>887.3740479999999</v>
      </c>
      <c r="H152" t="s">
        <v>1484</v>
      </c>
      <c r="I152" t="s">
        <v>364</v>
      </c>
      <c r="J152" s="35" t="str">
        <f>_xlfn.XLOOKUP(I152,costcategory[Account Code],costcategory[Cost Category],"ERROR")</f>
        <v>Headcount Costs</v>
      </c>
      <c r="K152" s="89" t="str">
        <f t="shared" ref="K152:K215" si="3">_xlfn.XLOOKUP(D152,$AL$2:$AL$25,$AM$2:$AM$25,"ERROR")</f>
        <v>DSC</v>
      </c>
      <c r="L152" s="89" t="str">
        <f>_xlfn.XLOOKUP(K152,Table2[Department],Table2[Group],"ERROR")</f>
        <v>DSC</v>
      </c>
    </row>
    <row r="153" spans="1:12" x14ac:dyDescent="0.2">
      <c r="A153" t="s">
        <v>2</v>
      </c>
      <c r="B153" s="38">
        <v>46081</v>
      </c>
      <c r="C153" s="38">
        <v>46094</v>
      </c>
      <c r="D153" t="s">
        <v>1143</v>
      </c>
      <c r="E153" t="s">
        <v>82</v>
      </c>
      <c r="F153" s="37">
        <v>781</v>
      </c>
      <c r="G153" s="39" cm="1">
        <f t="array" ref="G153">F153*_xlfn.XLOOKUP(1,
 (FOREX!$E$2:$E$13=EOMONTH(B153,0))*
 (FOREX!$F$2:$F$13=TRIM(E153)),FOREX!$G$2:$G$13,
 100)</f>
        <v>200.64827199999999</v>
      </c>
      <c r="H153" t="s">
        <v>1484</v>
      </c>
      <c r="I153" t="s">
        <v>364</v>
      </c>
      <c r="J153" s="35" t="str">
        <f>_xlfn.XLOOKUP(I153,costcategory[Account Code],costcategory[Cost Category],"ERROR")</f>
        <v>Headcount Costs</v>
      </c>
      <c r="K153" s="89" t="str">
        <f t="shared" si="3"/>
        <v>DSC</v>
      </c>
      <c r="L153" s="89" t="str">
        <f>_xlfn.XLOOKUP(K153,Table2[Department],Table2[Group],"ERROR")</f>
        <v>DSC</v>
      </c>
    </row>
    <row r="154" spans="1:12" x14ac:dyDescent="0.2">
      <c r="A154" t="s">
        <v>2</v>
      </c>
      <c r="B154" s="38">
        <v>46081</v>
      </c>
      <c r="C154" s="38">
        <v>46094</v>
      </c>
      <c r="D154" t="s">
        <v>1145</v>
      </c>
      <c r="E154" t="s">
        <v>82</v>
      </c>
      <c r="F154" s="37">
        <v>671</v>
      </c>
      <c r="G154" s="39" cm="1">
        <f t="array" ref="G154">F154*_xlfn.XLOOKUP(1,
 (FOREX!$E$2:$E$13=EOMONTH(B154,0))*
 (FOREX!$F$2:$F$13=TRIM(E154)),FOREX!$G$2:$G$13,
 100)</f>
        <v>172.38795199999998</v>
      </c>
      <c r="H154" t="s">
        <v>1484</v>
      </c>
      <c r="I154" t="s">
        <v>364</v>
      </c>
      <c r="J154" s="35" t="str">
        <f>_xlfn.XLOOKUP(I154,costcategory[Account Code],costcategory[Cost Category],"ERROR")</f>
        <v>Headcount Costs</v>
      </c>
      <c r="K154" s="89" t="str">
        <f t="shared" si="3"/>
        <v>DSC</v>
      </c>
      <c r="L154" s="89" t="str">
        <f>_xlfn.XLOOKUP(K154,Table2[Department],Table2[Group],"ERROR")</f>
        <v>DSC</v>
      </c>
    </row>
    <row r="155" spans="1:12" x14ac:dyDescent="0.2">
      <c r="A155" t="s">
        <v>2</v>
      </c>
      <c r="B155" s="38">
        <v>46081</v>
      </c>
      <c r="C155" s="38">
        <v>46094</v>
      </c>
      <c r="D155" t="s">
        <v>1147</v>
      </c>
      <c r="E155" t="s">
        <v>82</v>
      </c>
      <c r="F155" s="37">
        <v>671</v>
      </c>
      <c r="G155" s="39" cm="1">
        <f t="array" ref="G155">F155*_xlfn.XLOOKUP(1,
 (FOREX!$E$2:$E$13=EOMONTH(B155,0))*
 (FOREX!$F$2:$F$13=TRIM(E155)),FOREX!$G$2:$G$13,
 100)</f>
        <v>172.38795199999998</v>
      </c>
      <c r="H155" t="s">
        <v>1484</v>
      </c>
      <c r="I155" t="s">
        <v>364</v>
      </c>
      <c r="J155" s="35" t="str">
        <f>_xlfn.XLOOKUP(I155,costcategory[Account Code],costcategory[Cost Category],"ERROR")</f>
        <v>Headcount Costs</v>
      </c>
      <c r="K155" s="89" t="str">
        <f t="shared" si="3"/>
        <v>Finance</v>
      </c>
      <c r="L155" s="89" t="str">
        <f>_xlfn.XLOOKUP(K155,Table2[Department],Table2[Group],"ERROR")</f>
        <v>General &amp; Administrative</v>
      </c>
    </row>
    <row r="156" spans="1:12" x14ac:dyDescent="0.2">
      <c r="A156" t="s">
        <v>2</v>
      </c>
      <c r="B156" s="38">
        <v>46081</v>
      </c>
      <c r="C156" s="38">
        <v>46094</v>
      </c>
      <c r="D156" t="s">
        <v>1125</v>
      </c>
      <c r="E156" t="s">
        <v>82</v>
      </c>
      <c r="F156" s="37">
        <v>29.75</v>
      </c>
      <c r="G156" s="39" cm="1">
        <f t="array" ref="G156">F156*_xlfn.XLOOKUP(1,
 (FOREX!$E$2:$E$13=EOMONTH(B156,0))*
 (FOREX!$F$2:$F$13=TRIM(E156)),FOREX!$G$2:$G$13,
 100)</f>
        <v>7.6431319999999996</v>
      </c>
      <c r="H156" t="s">
        <v>1485</v>
      </c>
      <c r="I156" t="s">
        <v>364</v>
      </c>
      <c r="J156" s="35" t="str">
        <f>_xlfn.XLOOKUP(I156,costcategory[Account Code],costcategory[Cost Category],"ERROR")</f>
        <v>Headcount Costs</v>
      </c>
      <c r="K156" s="89" t="str">
        <f t="shared" si="3"/>
        <v>Sales &amp; Pre-Sales</v>
      </c>
      <c r="L156" s="89" t="str">
        <f>_xlfn.XLOOKUP(K156,Table2[Department],Table2[Group],"ERROR")</f>
        <v>Sales &amp; Marketing</v>
      </c>
    </row>
    <row r="157" spans="1:12" x14ac:dyDescent="0.2">
      <c r="A157" t="s">
        <v>2</v>
      </c>
      <c r="B157" s="38">
        <v>46081</v>
      </c>
      <c r="C157" s="38">
        <v>46094</v>
      </c>
      <c r="D157" t="s">
        <v>1127</v>
      </c>
      <c r="E157" t="s">
        <v>82</v>
      </c>
      <c r="F157" s="37">
        <v>22.75</v>
      </c>
      <c r="G157" s="39" cm="1">
        <f t="array" ref="G157">F157*_xlfn.XLOOKUP(1,
 (FOREX!$E$2:$E$13=EOMONTH(B157,0))*
 (FOREX!$F$2:$F$13=TRIM(E157)),FOREX!$G$2:$G$13,
 100)</f>
        <v>5.8447479999999992</v>
      </c>
      <c r="H157" t="s">
        <v>1485</v>
      </c>
      <c r="I157" t="s">
        <v>364</v>
      </c>
      <c r="J157" s="35" t="str">
        <f>_xlfn.XLOOKUP(I157,costcategory[Account Code],costcategory[Cost Category],"ERROR")</f>
        <v>Headcount Costs</v>
      </c>
      <c r="K157" s="89" t="str">
        <f t="shared" si="3"/>
        <v>DSC</v>
      </c>
      <c r="L157" s="89" t="str">
        <f>_xlfn.XLOOKUP(K157,Table2[Department],Table2[Group],"ERROR")</f>
        <v>DSC</v>
      </c>
    </row>
    <row r="158" spans="1:12" x14ac:dyDescent="0.2">
      <c r="A158" t="s">
        <v>2</v>
      </c>
      <c r="B158" s="38">
        <v>46081</v>
      </c>
      <c r="C158" s="38">
        <v>46094</v>
      </c>
      <c r="D158" t="s">
        <v>1128</v>
      </c>
      <c r="E158" t="s">
        <v>82</v>
      </c>
      <c r="F158" s="37">
        <v>29.75</v>
      </c>
      <c r="G158" s="39" cm="1">
        <f t="array" ref="G158">F158*_xlfn.XLOOKUP(1,
 (FOREX!$E$2:$E$13=EOMONTH(B158,0))*
 (FOREX!$F$2:$F$13=TRIM(E158)),FOREX!$G$2:$G$13,
 100)</f>
        <v>7.6431319999999996</v>
      </c>
      <c r="H158" t="s">
        <v>1485</v>
      </c>
      <c r="I158" t="s">
        <v>364</v>
      </c>
      <c r="J158" s="35" t="str">
        <f>_xlfn.XLOOKUP(I158,costcategory[Account Code],costcategory[Cost Category],"ERROR")</f>
        <v>Headcount Costs</v>
      </c>
      <c r="K158" s="89" t="str">
        <f t="shared" si="3"/>
        <v>Sales &amp; Pre-Sales</v>
      </c>
      <c r="L158" s="89" t="str">
        <f>_xlfn.XLOOKUP(K158,Table2[Department],Table2[Group],"ERROR")</f>
        <v>Sales &amp; Marketing</v>
      </c>
    </row>
    <row r="159" spans="1:12" x14ac:dyDescent="0.2">
      <c r="A159" t="s">
        <v>2</v>
      </c>
      <c r="B159" s="38">
        <v>46081</v>
      </c>
      <c r="C159" s="38">
        <v>46094</v>
      </c>
      <c r="D159" t="s">
        <v>1129</v>
      </c>
      <c r="E159" t="s">
        <v>82</v>
      </c>
      <c r="F159" s="37">
        <v>24.25</v>
      </c>
      <c r="G159" s="39" cm="1">
        <f t="array" ref="G159">F159*_xlfn.XLOOKUP(1,
 (FOREX!$E$2:$E$13=EOMONTH(B159,0))*
 (FOREX!$F$2:$F$13=TRIM(E159)),FOREX!$G$2:$G$13,
 100)</f>
        <v>6.2301159999999998</v>
      </c>
      <c r="H159" t="s">
        <v>1485</v>
      </c>
      <c r="I159" t="s">
        <v>364</v>
      </c>
      <c r="J159" s="35" t="str">
        <f>_xlfn.XLOOKUP(I159,costcategory[Account Code],costcategory[Cost Category],"ERROR")</f>
        <v>Headcount Costs</v>
      </c>
      <c r="K159" s="89" t="str">
        <f t="shared" si="3"/>
        <v>Sales &amp; Pre-Sales</v>
      </c>
      <c r="L159" s="89" t="str">
        <f>_xlfn.XLOOKUP(K159,Table2[Department],Table2[Group],"ERROR")</f>
        <v>Sales &amp; Marketing</v>
      </c>
    </row>
    <row r="160" spans="1:12" x14ac:dyDescent="0.2">
      <c r="A160" t="s">
        <v>2</v>
      </c>
      <c r="B160" s="38">
        <v>46081</v>
      </c>
      <c r="C160" s="38">
        <v>46094</v>
      </c>
      <c r="D160" t="s">
        <v>1131</v>
      </c>
      <c r="E160" t="s">
        <v>82</v>
      </c>
      <c r="F160" s="37">
        <v>29.75</v>
      </c>
      <c r="G160" s="39" cm="1">
        <f t="array" ref="G160">F160*_xlfn.XLOOKUP(1,
 (FOREX!$E$2:$E$13=EOMONTH(B160,0))*
 (FOREX!$F$2:$F$13=TRIM(E160)),FOREX!$G$2:$G$13,
 100)</f>
        <v>7.6431319999999996</v>
      </c>
      <c r="H160" t="s">
        <v>1485</v>
      </c>
      <c r="I160" t="s">
        <v>364</v>
      </c>
      <c r="J160" s="35" t="str">
        <f>_xlfn.XLOOKUP(I160,costcategory[Account Code],costcategory[Cost Category],"ERROR")</f>
        <v>Headcount Costs</v>
      </c>
      <c r="K160" s="89" t="str">
        <f t="shared" si="3"/>
        <v>HR</v>
      </c>
      <c r="L160" s="89" t="str">
        <f>_xlfn.XLOOKUP(K160,Table2[Department],Table2[Group],"ERROR")</f>
        <v>General &amp; Administrative</v>
      </c>
    </row>
    <row r="161" spans="1:12" x14ac:dyDescent="0.2">
      <c r="A161" t="s">
        <v>2</v>
      </c>
      <c r="B161" s="38">
        <v>46081</v>
      </c>
      <c r="C161" s="38">
        <v>46094</v>
      </c>
      <c r="D161" t="s">
        <v>1133</v>
      </c>
      <c r="E161" t="s">
        <v>82</v>
      </c>
      <c r="F161" s="37">
        <v>29.75</v>
      </c>
      <c r="G161" s="39" cm="1">
        <f t="array" ref="G161">F161*_xlfn.XLOOKUP(1,
 (FOREX!$E$2:$E$13=EOMONTH(B161,0))*
 (FOREX!$F$2:$F$13=TRIM(E161)),FOREX!$G$2:$G$13,
 100)</f>
        <v>7.6431319999999996</v>
      </c>
      <c r="H161" t="s">
        <v>1485</v>
      </c>
      <c r="I161" t="s">
        <v>364</v>
      </c>
      <c r="J161" s="35" t="str">
        <f>_xlfn.XLOOKUP(I161,costcategory[Account Code],costcategory[Cost Category],"ERROR")</f>
        <v>Headcount Costs</v>
      </c>
      <c r="K161" s="89" t="str">
        <f t="shared" si="3"/>
        <v>Finance</v>
      </c>
      <c r="L161" s="89" t="str">
        <f>_xlfn.XLOOKUP(K161,Table2[Department],Table2[Group],"ERROR")</f>
        <v>General &amp; Administrative</v>
      </c>
    </row>
    <row r="162" spans="1:12" x14ac:dyDescent="0.2">
      <c r="A162" t="s">
        <v>2</v>
      </c>
      <c r="B162" s="38">
        <v>46081</v>
      </c>
      <c r="C162" s="38">
        <v>46094</v>
      </c>
      <c r="D162" t="s">
        <v>1134</v>
      </c>
      <c r="E162" t="s">
        <v>82</v>
      </c>
      <c r="F162" s="37">
        <v>29.75</v>
      </c>
      <c r="G162" s="39" cm="1">
        <f t="array" ref="G162">F162*_xlfn.XLOOKUP(1,
 (FOREX!$E$2:$E$13=EOMONTH(B162,0))*
 (FOREX!$F$2:$F$13=TRIM(E162)),FOREX!$G$2:$G$13,
 100)</f>
        <v>7.6431319999999996</v>
      </c>
      <c r="H162" t="s">
        <v>1485</v>
      </c>
      <c r="I162" t="s">
        <v>364</v>
      </c>
      <c r="J162" s="35" t="str">
        <f>_xlfn.XLOOKUP(I162,costcategory[Account Code],costcategory[Cost Category],"ERROR")</f>
        <v>Headcount Costs</v>
      </c>
      <c r="K162" s="89" t="str">
        <f t="shared" si="3"/>
        <v>DSC</v>
      </c>
      <c r="L162" s="89" t="str">
        <f>_xlfn.XLOOKUP(K162,Table2[Department],Table2[Group],"ERROR")</f>
        <v>DSC</v>
      </c>
    </row>
    <row r="163" spans="1:12" x14ac:dyDescent="0.2">
      <c r="A163" t="s">
        <v>2</v>
      </c>
      <c r="B163" s="38">
        <v>46081</v>
      </c>
      <c r="C163" s="38">
        <v>46094</v>
      </c>
      <c r="D163" t="s">
        <v>1136</v>
      </c>
      <c r="E163" t="s">
        <v>82</v>
      </c>
      <c r="F163" s="37">
        <v>29.75</v>
      </c>
      <c r="G163" s="39" cm="1">
        <f t="array" ref="G163">F163*_xlfn.XLOOKUP(1,
 (FOREX!$E$2:$E$13=EOMONTH(B163,0))*
 (FOREX!$F$2:$F$13=TRIM(E163)),FOREX!$G$2:$G$13,
 100)</f>
        <v>7.6431319999999996</v>
      </c>
      <c r="H163" t="s">
        <v>1485</v>
      </c>
      <c r="I163" t="s">
        <v>364</v>
      </c>
      <c r="J163" s="35" t="str">
        <f>_xlfn.XLOOKUP(I163,costcategory[Account Code],costcategory[Cost Category],"ERROR")</f>
        <v>Headcount Costs</v>
      </c>
      <c r="K163" s="89" t="str">
        <f t="shared" si="3"/>
        <v>DSC</v>
      </c>
      <c r="L163" s="89" t="str">
        <f>_xlfn.XLOOKUP(K163,Table2[Department],Table2[Group],"ERROR")</f>
        <v>DSC</v>
      </c>
    </row>
    <row r="164" spans="1:12" x14ac:dyDescent="0.2">
      <c r="A164" t="s">
        <v>2</v>
      </c>
      <c r="B164" s="38">
        <v>46081</v>
      </c>
      <c r="C164" s="38">
        <v>46094</v>
      </c>
      <c r="D164" t="s">
        <v>1137</v>
      </c>
      <c r="E164" t="s">
        <v>82</v>
      </c>
      <c r="F164" s="37">
        <v>27.75</v>
      </c>
      <c r="G164" s="39" cm="1">
        <f t="array" ref="G164">F164*_xlfn.XLOOKUP(1,
 (FOREX!$E$2:$E$13=EOMONTH(B164,0))*
 (FOREX!$F$2:$F$13=TRIM(E164)),FOREX!$G$2:$G$13,
 100)</f>
        <v>7.1293079999999991</v>
      </c>
      <c r="H164" t="s">
        <v>1485</v>
      </c>
      <c r="I164" t="s">
        <v>364</v>
      </c>
      <c r="J164" s="35" t="str">
        <f>_xlfn.XLOOKUP(I164,costcategory[Account Code],costcategory[Cost Category],"ERROR")</f>
        <v>Headcount Costs</v>
      </c>
      <c r="K164" s="89" t="str">
        <f t="shared" si="3"/>
        <v>DSC</v>
      </c>
      <c r="L164" s="89" t="str">
        <f>_xlfn.XLOOKUP(K164,Table2[Department],Table2[Group],"ERROR")</f>
        <v>DSC</v>
      </c>
    </row>
    <row r="165" spans="1:12" x14ac:dyDescent="0.2">
      <c r="A165" t="s">
        <v>2</v>
      </c>
      <c r="B165" s="38">
        <v>46081</v>
      </c>
      <c r="C165" s="38">
        <v>46094</v>
      </c>
      <c r="D165" t="s">
        <v>1139</v>
      </c>
      <c r="E165" t="s">
        <v>82</v>
      </c>
      <c r="F165" s="37">
        <v>29.75</v>
      </c>
      <c r="G165" s="39" cm="1">
        <f t="array" ref="G165">F165*_xlfn.XLOOKUP(1,
 (FOREX!$E$2:$E$13=EOMONTH(B165,0))*
 (FOREX!$F$2:$F$13=TRIM(E165)),FOREX!$G$2:$G$13,
 100)</f>
        <v>7.6431319999999996</v>
      </c>
      <c r="H165" t="s">
        <v>1485</v>
      </c>
      <c r="I165" t="s">
        <v>364</v>
      </c>
      <c r="J165" s="35" t="str">
        <f>_xlfn.XLOOKUP(I165,costcategory[Account Code],costcategory[Cost Category],"ERROR")</f>
        <v>Headcount Costs</v>
      </c>
      <c r="K165" s="89" t="str">
        <f t="shared" si="3"/>
        <v>Business Operation</v>
      </c>
      <c r="L165" s="89" t="str">
        <f>_xlfn.XLOOKUP(K165,Table2[Department],Table2[Group],"ERROR")</f>
        <v>Sales &amp; Marketing</v>
      </c>
    </row>
    <row r="166" spans="1:12" x14ac:dyDescent="0.2">
      <c r="A166" t="s">
        <v>2</v>
      </c>
      <c r="B166" s="38">
        <v>46081</v>
      </c>
      <c r="C166" s="38">
        <v>46094</v>
      </c>
      <c r="D166" t="s">
        <v>1141</v>
      </c>
      <c r="E166" t="s">
        <v>82</v>
      </c>
      <c r="F166" s="37">
        <v>29.75</v>
      </c>
      <c r="G166" s="39" cm="1">
        <f t="array" ref="G166">F166*_xlfn.XLOOKUP(1,
 (FOREX!$E$2:$E$13=EOMONTH(B166,0))*
 (FOREX!$F$2:$F$13=TRIM(E166)),FOREX!$G$2:$G$13,
 100)</f>
        <v>7.6431319999999996</v>
      </c>
      <c r="H166" t="s">
        <v>1485</v>
      </c>
      <c r="I166" t="s">
        <v>364</v>
      </c>
      <c r="J166" s="35" t="str">
        <f>_xlfn.XLOOKUP(I166,costcategory[Account Code],costcategory[Cost Category],"ERROR")</f>
        <v>Headcount Costs</v>
      </c>
      <c r="K166" s="89" t="str">
        <f t="shared" si="3"/>
        <v>DSC</v>
      </c>
      <c r="L166" s="89" t="str">
        <f>_xlfn.XLOOKUP(K166,Table2[Department],Table2[Group],"ERROR")</f>
        <v>DSC</v>
      </c>
    </row>
    <row r="167" spans="1:12" x14ac:dyDescent="0.2">
      <c r="A167" t="s">
        <v>2</v>
      </c>
      <c r="B167" s="38">
        <v>46081</v>
      </c>
      <c r="C167" s="38">
        <v>46094</v>
      </c>
      <c r="D167" t="s">
        <v>1143</v>
      </c>
      <c r="E167" t="s">
        <v>82</v>
      </c>
      <c r="F167" s="37">
        <v>29.75</v>
      </c>
      <c r="G167" s="39" cm="1">
        <f t="array" ref="G167">F167*_xlfn.XLOOKUP(1,
 (FOREX!$E$2:$E$13=EOMONTH(B167,0))*
 (FOREX!$F$2:$F$13=TRIM(E167)),FOREX!$G$2:$G$13,
 100)</f>
        <v>7.6431319999999996</v>
      </c>
      <c r="H167" t="s">
        <v>1485</v>
      </c>
      <c r="I167" t="s">
        <v>364</v>
      </c>
      <c r="J167" s="35" t="str">
        <f>_xlfn.XLOOKUP(I167,costcategory[Account Code],costcategory[Cost Category],"ERROR")</f>
        <v>Headcount Costs</v>
      </c>
      <c r="K167" s="89" t="str">
        <f t="shared" si="3"/>
        <v>DSC</v>
      </c>
      <c r="L167" s="89" t="str">
        <f>_xlfn.XLOOKUP(K167,Table2[Department],Table2[Group],"ERROR")</f>
        <v>DSC</v>
      </c>
    </row>
    <row r="168" spans="1:12" x14ac:dyDescent="0.2">
      <c r="A168" t="s">
        <v>2</v>
      </c>
      <c r="B168" s="38">
        <v>46081</v>
      </c>
      <c r="C168" s="38">
        <v>46094</v>
      </c>
      <c r="D168" t="s">
        <v>1145</v>
      </c>
      <c r="E168" t="s">
        <v>82</v>
      </c>
      <c r="F168" s="37">
        <v>29.75</v>
      </c>
      <c r="G168" s="39" cm="1">
        <f t="array" ref="G168">F168*_xlfn.XLOOKUP(1,
 (FOREX!$E$2:$E$13=EOMONTH(B168,0))*
 (FOREX!$F$2:$F$13=TRIM(E168)),FOREX!$G$2:$G$13,
 100)</f>
        <v>7.6431319999999996</v>
      </c>
      <c r="H168" t="s">
        <v>1485</v>
      </c>
      <c r="I168" t="s">
        <v>364</v>
      </c>
      <c r="J168" s="35" t="str">
        <f>_xlfn.XLOOKUP(I168,costcategory[Account Code],costcategory[Cost Category],"ERROR")</f>
        <v>Headcount Costs</v>
      </c>
      <c r="K168" s="89" t="str">
        <f t="shared" si="3"/>
        <v>DSC</v>
      </c>
      <c r="L168" s="89" t="str">
        <f>_xlfn.XLOOKUP(K168,Table2[Department],Table2[Group],"ERROR")</f>
        <v>DSC</v>
      </c>
    </row>
    <row r="169" spans="1:12" x14ac:dyDescent="0.2">
      <c r="A169" t="s">
        <v>2</v>
      </c>
      <c r="B169" s="38">
        <v>46081</v>
      </c>
      <c r="C169" s="38">
        <v>46094</v>
      </c>
      <c r="D169" t="s">
        <v>1147</v>
      </c>
      <c r="E169" t="s">
        <v>82</v>
      </c>
      <c r="F169" s="37">
        <v>29.75</v>
      </c>
      <c r="G169" s="39" cm="1">
        <f t="array" ref="G169">F169*_xlfn.XLOOKUP(1,
 (FOREX!$E$2:$E$13=EOMONTH(B169,0))*
 (FOREX!$F$2:$F$13=TRIM(E169)),FOREX!$G$2:$G$13,
 100)</f>
        <v>7.6431319999999996</v>
      </c>
      <c r="H169" t="s">
        <v>1485</v>
      </c>
      <c r="I169" t="s">
        <v>364</v>
      </c>
      <c r="J169" s="35" t="str">
        <f>_xlfn.XLOOKUP(I169,costcategory[Account Code],costcategory[Cost Category],"ERROR")</f>
        <v>Headcount Costs</v>
      </c>
      <c r="K169" s="89" t="str">
        <f t="shared" si="3"/>
        <v>Finance</v>
      </c>
      <c r="L169" s="89" t="str">
        <f>_xlfn.XLOOKUP(K169,Table2[Department],Table2[Group],"ERROR")</f>
        <v>General &amp; Administrative</v>
      </c>
    </row>
    <row r="170" spans="1:12" x14ac:dyDescent="0.2">
      <c r="A170" t="s">
        <v>2</v>
      </c>
      <c r="B170" s="38">
        <v>46081</v>
      </c>
      <c r="C170" s="38">
        <v>46094</v>
      </c>
      <c r="D170" t="s">
        <v>1125</v>
      </c>
      <c r="E170" t="s">
        <v>82</v>
      </c>
      <c r="F170" s="37">
        <v>11.9</v>
      </c>
      <c r="G170" s="39" cm="1">
        <f t="array" ref="G170">F170*_xlfn.XLOOKUP(1,
 (FOREX!$E$2:$E$13=EOMONTH(B170,0))*
 (FOREX!$F$2:$F$13=TRIM(E170)),FOREX!$G$2:$G$13,
 100)</f>
        <v>3.0572527999999997</v>
      </c>
      <c r="H170" t="s">
        <v>1486</v>
      </c>
      <c r="I170" t="s">
        <v>364</v>
      </c>
      <c r="J170" s="35" t="str">
        <f>_xlfn.XLOOKUP(I170,costcategory[Account Code],costcategory[Cost Category],"ERROR")</f>
        <v>Headcount Costs</v>
      </c>
      <c r="K170" s="89" t="str">
        <f t="shared" si="3"/>
        <v>Sales &amp; Pre-Sales</v>
      </c>
      <c r="L170" s="89" t="str">
        <f>_xlfn.XLOOKUP(K170,Table2[Department],Table2[Group],"ERROR")</f>
        <v>Sales &amp; Marketing</v>
      </c>
    </row>
    <row r="171" spans="1:12" x14ac:dyDescent="0.2">
      <c r="A171" t="s">
        <v>2</v>
      </c>
      <c r="B171" s="38">
        <v>46081</v>
      </c>
      <c r="C171" s="38">
        <v>46094</v>
      </c>
      <c r="D171" t="s">
        <v>1127</v>
      </c>
      <c r="E171" t="s">
        <v>82</v>
      </c>
      <c r="F171" s="37">
        <v>9.1</v>
      </c>
      <c r="G171" s="39" cm="1">
        <f t="array" ref="G171">F171*_xlfn.XLOOKUP(1,
 (FOREX!$E$2:$E$13=EOMONTH(B171,0))*
 (FOREX!$F$2:$F$13=TRIM(E171)),FOREX!$G$2:$G$13,
 100)</f>
        <v>2.3378991999999998</v>
      </c>
      <c r="H171" t="s">
        <v>1486</v>
      </c>
      <c r="I171" t="s">
        <v>364</v>
      </c>
      <c r="J171" s="35" t="str">
        <f>_xlfn.XLOOKUP(I171,costcategory[Account Code],costcategory[Cost Category],"ERROR")</f>
        <v>Headcount Costs</v>
      </c>
      <c r="K171" s="89" t="str">
        <f t="shared" si="3"/>
        <v>DSC</v>
      </c>
      <c r="L171" s="89" t="str">
        <f>_xlfn.XLOOKUP(K171,Table2[Department],Table2[Group],"ERROR")</f>
        <v>DSC</v>
      </c>
    </row>
    <row r="172" spans="1:12" x14ac:dyDescent="0.2">
      <c r="A172" t="s">
        <v>2</v>
      </c>
      <c r="B172" s="38">
        <v>46081</v>
      </c>
      <c r="C172" s="38">
        <v>46094</v>
      </c>
      <c r="D172" t="s">
        <v>1128</v>
      </c>
      <c r="E172" t="s">
        <v>82</v>
      </c>
      <c r="F172" s="37">
        <v>11.9</v>
      </c>
      <c r="G172" s="39" cm="1">
        <f t="array" ref="G172">F172*_xlfn.XLOOKUP(1,
 (FOREX!$E$2:$E$13=EOMONTH(B172,0))*
 (FOREX!$F$2:$F$13=TRIM(E172)),FOREX!$G$2:$G$13,
 100)</f>
        <v>3.0572527999999997</v>
      </c>
      <c r="H172" t="s">
        <v>1486</v>
      </c>
      <c r="I172" t="s">
        <v>364</v>
      </c>
      <c r="J172" s="35" t="str">
        <f>_xlfn.XLOOKUP(I172,costcategory[Account Code],costcategory[Cost Category],"ERROR")</f>
        <v>Headcount Costs</v>
      </c>
      <c r="K172" s="89" t="str">
        <f t="shared" si="3"/>
        <v>Sales &amp; Pre-Sales</v>
      </c>
      <c r="L172" s="89" t="str">
        <f>_xlfn.XLOOKUP(K172,Table2[Department],Table2[Group],"ERROR")</f>
        <v>Sales &amp; Marketing</v>
      </c>
    </row>
    <row r="173" spans="1:12" x14ac:dyDescent="0.2">
      <c r="A173" t="s">
        <v>2</v>
      </c>
      <c r="B173" s="38">
        <v>46081</v>
      </c>
      <c r="C173" s="38">
        <v>46094</v>
      </c>
      <c r="D173" t="s">
        <v>1129</v>
      </c>
      <c r="E173" t="s">
        <v>82</v>
      </c>
      <c r="F173" s="37">
        <v>9.6999999999999993</v>
      </c>
      <c r="G173" s="39" cm="1">
        <f t="array" ref="G173">F173*_xlfn.XLOOKUP(1,
 (FOREX!$E$2:$E$13=EOMONTH(B173,0))*
 (FOREX!$F$2:$F$13=TRIM(E173)),FOREX!$G$2:$G$13,
 100)</f>
        <v>2.4920463999999996</v>
      </c>
      <c r="H173" t="s">
        <v>1486</v>
      </c>
      <c r="I173" t="s">
        <v>364</v>
      </c>
      <c r="J173" s="35" t="str">
        <f>_xlfn.XLOOKUP(I173,costcategory[Account Code],costcategory[Cost Category],"ERROR")</f>
        <v>Headcount Costs</v>
      </c>
      <c r="K173" s="89" t="str">
        <f t="shared" si="3"/>
        <v>Sales &amp; Pre-Sales</v>
      </c>
      <c r="L173" s="89" t="str">
        <f>_xlfn.XLOOKUP(K173,Table2[Department],Table2[Group],"ERROR")</f>
        <v>Sales &amp; Marketing</v>
      </c>
    </row>
    <row r="174" spans="1:12" x14ac:dyDescent="0.2">
      <c r="A174" t="s">
        <v>2</v>
      </c>
      <c r="B174" s="38">
        <v>46081</v>
      </c>
      <c r="C174" s="38">
        <v>46094</v>
      </c>
      <c r="D174" t="s">
        <v>1131</v>
      </c>
      <c r="E174" t="s">
        <v>82</v>
      </c>
      <c r="F174" s="37">
        <v>11.9</v>
      </c>
      <c r="G174" s="39" cm="1">
        <f t="array" ref="G174">F174*_xlfn.XLOOKUP(1,
 (FOREX!$E$2:$E$13=EOMONTH(B174,0))*
 (FOREX!$F$2:$F$13=TRIM(E174)),FOREX!$G$2:$G$13,
 100)</f>
        <v>3.0572527999999997</v>
      </c>
      <c r="H174" t="s">
        <v>1486</v>
      </c>
      <c r="I174" t="s">
        <v>364</v>
      </c>
      <c r="J174" s="35" t="str">
        <f>_xlfn.XLOOKUP(I174,costcategory[Account Code],costcategory[Cost Category],"ERROR")</f>
        <v>Headcount Costs</v>
      </c>
      <c r="K174" s="89" t="str">
        <f t="shared" si="3"/>
        <v>HR</v>
      </c>
      <c r="L174" s="89" t="str">
        <f>_xlfn.XLOOKUP(K174,Table2[Department],Table2[Group],"ERROR")</f>
        <v>General &amp; Administrative</v>
      </c>
    </row>
    <row r="175" spans="1:12" x14ac:dyDescent="0.2">
      <c r="A175" t="s">
        <v>2</v>
      </c>
      <c r="B175" s="38">
        <v>46081</v>
      </c>
      <c r="C175" s="38">
        <v>46094</v>
      </c>
      <c r="D175" t="s">
        <v>1133</v>
      </c>
      <c r="E175" t="s">
        <v>82</v>
      </c>
      <c r="F175" s="37">
        <v>11.9</v>
      </c>
      <c r="G175" s="39" cm="1">
        <f t="array" ref="G175">F175*_xlfn.XLOOKUP(1,
 (FOREX!$E$2:$E$13=EOMONTH(B175,0))*
 (FOREX!$F$2:$F$13=TRIM(E175)),FOREX!$G$2:$G$13,
 100)</f>
        <v>3.0572527999999997</v>
      </c>
      <c r="H175" t="s">
        <v>1486</v>
      </c>
      <c r="I175" t="s">
        <v>364</v>
      </c>
      <c r="J175" s="35" t="str">
        <f>_xlfn.XLOOKUP(I175,costcategory[Account Code],costcategory[Cost Category],"ERROR")</f>
        <v>Headcount Costs</v>
      </c>
      <c r="K175" s="89" t="str">
        <f t="shared" si="3"/>
        <v>Finance</v>
      </c>
      <c r="L175" s="89" t="str">
        <f>_xlfn.XLOOKUP(K175,Table2[Department],Table2[Group],"ERROR")</f>
        <v>General &amp; Administrative</v>
      </c>
    </row>
    <row r="176" spans="1:12" x14ac:dyDescent="0.2">
      <c r="A176" t="s">
        <v>2</v>
      </c>
      <c r="B176" s="38">
        <v>46081</v>
      </c>
      <c r="C176" s="38">
        <v>46094</v>
      </c>
      <c r="D176" t="s">
        <v>1134</v>
      </c>
      <c r="E176" t="s">
        <v>82</v>
      </c>
      <c r="F176" s="37">
        <v>11.9</v>
      </c>
      <c r="G176" s="39" cm="1">
        <f t="array" ref="G176">F176*_xlfn.XLOOKUP(1,
 (FOREX!$E$2:$E$13=EOMONTH(B176,0))*
 (FOREX!$F$2:$F$13=TRIM(E176)),FOREX!$G$2:$G$13,
 100)</f>
        <v>3.0572527999999997</v>
      </c>
      <c r="H176" t="s">
        <v>1486</v>
      </c>
      <c r="I176" t="s">
        <v>364</v>
      </c>
      <c r="J176" s="35" t="str">
        <f>_xlfn.XLOOKUP(I176,costcategory[Account Code],costcategory[Cost Category],"ERROR")</f>
        <v>Headcount Costs</v>
      </c>
      <c r="K176" s="89" t="str">
        <f t="shared" si="3"/>
        <v>DSC</v>
      </c>
      <c r="L176" s="89" t="str">
        <f>_xlfn.XLOOKUP(K176,Table2[Department],Table2[Group],"ERROR")</f>
        <v>DSC</v>
      </c>
    </row>
    <row r="177" spans="1:12" x14ac:dyDescent="0.2">
      <c r="A177" t="s">
        <v>2</v>
      </c>
      <c r="B177" s="38">
        <v>46081</v>
      </c>
      <c r="C177" s="38">
        <v>46094</v>
      </c>
      <c r="D177" t="s">
        <v>1136</v>
      </c>
      <c r="E177" t="s">
        <v>82</v>
      </c>
      <c r="F177" s="37">
        <v>11.9</v>
      </c>
      <c r="G177" s="39" cm="1">
        <f t="array" ref="G177">F177*_xlfn.XLOOKUP(1,
 (FOREX!$E$2:$E$13=EOMONTH(B177,0))*
 (FOREX!$F$2:$F$13=TRIM(E177)),FOREX!$G$2:$G$13,
 100)</f>
        <v>3.0572527999999997</v>
      </c>
      <c r="H177" t="s">
        <v>1486</v>
      </c>
      <c r="I177" t="s">
        <v>364</v>
      </c>
      <c r="J177" s="35" t="str">
        <f>_xlfn.XLOOKUP(I177,costcategory[Account Code],costcategory[Cost Category],"ERROR")</f>
        <v>Headcount Costs</v>
      </c>
      <c r="K177" s="89" t="str">
        <f t="shared" si="3"/>
        <v>DSC</v>
      </c>
      <c r="L177" s="89" t="str">
        <f>_xlfn.XLOOKUP(K177,Table2[Department],Table2[Group],"ERROR")</f>
        <v>DSC</v>
      </c>
    </row>
    <row r="178" spans="1:12" x14ac:dyDescent="0.2">
      <c r="A178" t="s">
        <v>2</v>
      </c>
      <c r="B178" s="38">
        <v>46081</v>
      </c>
      <c r="C178" s="38">
        <v>46094</v>
      </c>
      <c r="D178" t="s">
        <v>1137</v>
      </c>
      <c r="E178" t="s">
        <v>82</v>
      </c>
      <c r="F178" s="37">
        <v>11.1</v>
      </c>
      <c r="G178" s="39" cm="1">
        <f t="array" ref="G178">F178*_xlfn.XLOOKUP(1,
 (FOREX!$E$2:$E$13=EOMONTH(B178,0))*
 (FOREX!$F$2:$F$13=TRIM(E178)),FOREX!$G$2:$G$13,
 100)</f>
        <v>2.8517231999999995</v>
      </c>
      <c r="H178" t="s">
        <v>1486</v>
      </c>
      <c r="I178" t="s">
        <v>364</v>
      </c>
      <c r="J178" s="35" t="str">
        <f>_xlfn.XLOOKUP(I178,costcategory[Account Code],costcategory[Cost Category],"ERROR")</f>
        <v>Headcount Costs</v>
      </c>
      <c r="K178" s="89" t="str">
        <f t="shared" si="3"/>
        <v>DSC</v>
      </c>
      <c r="L178" s="89" t="str">
        <f>_xlfn.XLOOKUP(K178,Table2[Department],Table2[Group],"ERROR")</f>
        <v>DSC</v>
      </c>
    </row>
    <row r="179" spans="1:12" x14ac:dyDescent="0.2">
      <c r="A179" t="s">
        <v>2</v>
      </c>
      <c r="B179" s="38">
        <v>46081</v>
      </c>
      <c r="C179" s="38">
        <v>46094</v>
      </c>
      <c r="D179" t="s">
        <v>1139</v>
      </c>
      <c r="E179" t="s">
        <v>82</v>
      </c>
      <c r="F179" s="37">
        <v>0</v>
      </c>
      <c r="G179" s="39" cm="1">
        <f t="array" ref="G179">F179*_xlfn.XLOOKUP(1,
 (FOREX!$E$2:$E$13=EOMONTH(B179,0))*
 (FOREX!$F$2:$F$13=TRIM(E179)),FOREX!$G$2:$G$13,
 100)</f>
        <v>0</v>
      </c>
      <c r="H179" t="s">
        <v>1486</v>
      </c>
      <c r="I179" t="s">
        <v>364</v>
      </c>
      <c r="J179" s="35" t="str">
        <f>_xlfn.XLOOKUP(I179,costcategory[Account Code],costcategory[Cost Category],"ERROR")</f>
        <v>Headcount Costs</v>
      </c>
      <c r="K179" s="89" t="str">
        <f t="shared" si="3"/>
        <v>Business Operation</v>
      </c>
      <c r="L179" s="89" t="str">
        <f>_xlfn.XLOOKUP(K179,Table2[Department],Table2[Group],"ERROR")</f>
        <v>Sales &amp; Marketing</v>
      </c>
    </row>
    <row r="180" spans="1:12" x14ac:dyDescent="0.2">
      <c r="A180" t="s">
        <v>2</v>
      </c>
      <c r="B180" s="38">
        <v>46081</v>
      </c>
      <c r="C180" s="38">
        <v>46094</v>
      </c>
      <c r="D180" t="s">
        <v>1141</v>
      </c>
      <c r="E180" t="s">
        <v>82</v>
      </c>
      <c r="F180" s="37">
        <v>11.9</v>
      </c>
      <c r="G180" s="39" cm="1">
        <f t="array" ref="G180">F180*_xlfn.XLOOKUP(1,
 (FOREX!$E$2:$E$13=EOMONTH(B180,0))*
 (FOREX!$F$2:$F$13=TRIM(E180)),FOREX!$G$2:$G$13,
 100)</f>
        <v>3.0572527999999997</v>
      </c>
      <c r="H180" t="s">
        <v>1486</v>
      </c>
      <c r="I180" t="s">
        <v>364</v>
      </c>
      <c r="J180" s="35" t="str">
        <f>_xlfn.XLOOKUP(I180,costcategory[Account Code],costcategory[Cost Category],"ERROR")</f>
        <v>Headcount Costs</v>
      </c>
      <c r="K180" s="89" t="str">
        <f t="shared" si="3"/>
        <v>DSC</v>
      </c>
      <c r="L180" s="89" t="str">
        <f>_xlfn.XLOOKUP(K180,Table2[Department],Table2[Group],"ERROR")</f>
        <v>DSC</v>
      </c>
    </row>
    <row r="181" spans="1:12" x14ac:dyDescent="0.2">
      <c r="A181" t="s">
        <v>2</v>
      </c>
      <c r="B181" s="38">
        <v>46081</v>
      </c>
      <c r="C181" s="38">
        <v>46094</v>
      </c>
      <c r="D181" t="s">
        <v>1143</v>
      </c>
      <c r="E181" t="s">
        <v>82</v>
      </c>
      <c r="F181" s="37">
        <v>11.9</v>
      </c>
      <c r="G181" s="39" cm="1">
        <f t="array" ref="G181">F181*_xlfn.XLOOKUP(1,
 (FOREX!$E$2:$E$13=EOMONTH(B181,0))*
 (FOREX!$F$2:$F$13=TRIM(E181)),FOREX!$G$2:$G$13,
 100)</f>
        <v>3.0572527999999997</v>
      </c>
      <c r="H181" t="s">
        <v>1486</v>
      </c>
      <c r="I181" t="s">
        <v>364</v>
      </c>
      <c r="J181" s="35" t="str">
        <f>_xlfn.XLOOKUP(I181,costcategory[Account Code],costcategory[Cost Category],"ERROR")</f>
        <v>Headcount Costs</v>
      </c>
      <c r="K181" s="89" t="str">
        <f t="shared" si="3"/>
        <v>DSC</v>
      </c>
      <c r="L181" s="89" t="str">
        <f>_xlfn.XLOOKUP(K181,Table2[Department],Table2[Group],"ERROR")</f>
        <v>DSC</v>
      </c>
    </row>
    <row r="182" spans="1:12" x14ac:dyDescent="0.2">
      <c r="A182" t="s">
        <v>2</v>
      </c>
      <c r="B182" s="38">
        <v>46081</v>
      </c>
      <c r="C182" s="38">
        <v>46094</v>
      </c>
      <c r="D182" t="s">
        <v>1145</v>
      </c>
      <c r="E182" t="s">
        <v>82</v>
      </c>
      <c r="F182" s="37">
        <v>11.9</v>
      </c>
      <c r="G182" s="39" cm="1">
        <f t="array" ref="G182">F182*_xlfn.XLOOKUP(1,
 (FOREX!$E$2:$E$13=EOMONTH(B182,0))*
 (FOREX!$F$2:$F$13=TRIM(E182)),FOREX!$G$2:$G$13,
 100)</f>
        <v>3.0572527999999997</v>
      </c>
      <c r="H182" t="s">
        <v>1486</v>
      </c>
      <c r="I182" t="s">
        <v>364</v>
      </c>
      <c r="J182" s="35" t="str">
        <f>_xlfn.XLOOKUP(I182,costcategory[Account Code],costcategory[Cost Category],"ERROR")</f>
        <v>Headcount Costs</v>
      </c>
      <c r="K182" s="89" t="str">
        <f t="shared" si="3"/>
        <v>DSC</v>
      </c>
      <c r="L182" s="89" t="str">
        <f>_xlfn.XLOOKUP(K182,Table2[Department],Table2[Group],"ERROR")</f>
        <v>DSC</v>
      </c>
    </row>
    <row r="183" spans="1:12" x14ac:dyDescent="0.2">
      <c r="A183" t="s">
        <v>2</v>
      </c>
      <c r="B183" s="38">
        <v>46081</v>
      </c>
      <c r="C183" s="38">
        <v>46094</v>
      </c>
      <c r="D183" t="s">
        <v>1147</v>
      </c>
      <c r="E183" t="s">
        <v>82</v>
      </c>
      <c r="F183" s="37">
        <v>11.9</v>
      </c>
      <c r="G183" s="39" cm="1">
        <f t="array" ref="G183">F183*_xlfn.XLOOKUP(1,
 (FOREX!$E$2:$E$13=EOMONTH(B183,0))*
 (FOREX!$F$2:$F$13=TRIM(E183)),FOREX!$G$2:$G$13,
 100)</f>
        <v>3.0572527999999997</v>
      </c>
      <c r="H183" t="s">
        <v>1486</v>
      </c>
      <c r="I183" t="s">
        <v>364</v>
      </c>
      <c r="J183" s="35" t="str">
        <f>_xlfn.XLOOKUP(I183,costcategory[Account Code],costcategory[Cost Category],"ERROR")</f>
        <v>Headcount Costs</v>
      </c>
      <c r="K183" s="89" t="str">
        <f t="shared" si="3"/>
        <v>Finance</v>
      </c>
      <c r="L183" s="89" t="str">
        <f>_xlfn.XLOOKUP(K183,Table2[Department],Table2[Group],"ERROR")</f>
        <v>General &amp; Administrative</v>
      </c>
    </row>
    <row r="184" spans="1:12" x14ac:dyDescent="0.2">
      <c r="A184" t="s">
        <v>2</v>
      </c>
      <c r="B184" s="38">
        <v>46081</v>
      </c>
      <c r="C184" s="38">
        <v>46094</v>
      </c>
      <c r="D184" t="s">
        <v>1125</v>
      </c>
      <c r="E184" t="s">
        <v>82</v>
      </c>
      <c r="F184" s="37">
        <v>4812.5</v>
      </c>
      <c r="G184" s="39" cm="1">
        <f t="array" ref="G184">F184*_xlfn.XLOOKUP(1,
 (FOREX!$E$2:$E$13=EOMONTH(B184,0))*
 (FOREX!$F$2:$F$13=TRIM(E184)),FOREX!$G$2:$G$13,
 100)</f>
        <v>1236.3889999999999</v>
      </c>
      <c r="H184" t="s">
        <v>1487</v>
      </c>
      <c r="I184" t="s">
        <v>364</v>
      </c>
      <c r="J184" s="35" t="str">
        <f>_xlfn.XLOOKUP(I184,costcategory[Account Code],costcategory[Cost Category],"ERROR")</f>
        <v>Headcount Costs</v>
      </c>
      <c r="K184" s="89" t="str">
        <f t="shared" si="3"/>
        <v>Sales &amp; Pre-Sales</v>
      </c>
      <c r="L184" s="89" t="str">
        <f>_xlfn.XLOOKUP(K184,Table2[Department],Table2[Group],"ERROR")</f>
        <v>Sales &amp; Marketing</v>
      </c>
    </row>
    <row r="185" spans="1:12" x14ac:dyDescent="0.2">
      <c r="A185" t="s">
        <v>2</v>
      </c>
      <c r="B185" s="38">
        <v>46081</v>
      </c>
      <c r="C185" s="38">
        <v>46094</v>
      </c>
      <c r="D185" t="s">
        <v>1127</v>
      </c>
      <c r="E185" t="s">
        <v>82</v>
      </c>
      <c r="F185" s="37">
        <v>86</v>
      </c>
      <c r="G185" s="39" cm="1">
        <f t="array" ref="G185">F185*_xlfn.XLOOKUP(1,
 (FOREX!$E$2:$E$13=EOMONTH(B185,0))*
 (FOREX!$F$2:$F$13=TRIM(E185)),FOREX!$G$2:$G$13,
 100)</f>
        <v>22.094431999999998</v>
      </c>
      <c r="H185" t="s">
        <v>1487</v>
      </c>
      <c r="I185" t="s">
        <v>364</v>
      </c>
      <c r="J185" s="35" t="str">
        <f>_xlfn.XLOOKUP(I185,costcategory[Account Code],costcategory[Cost Category],"ERROR")</f>
        <v>Headcount Costs</v>
      </c>
      <c r="K185" s="89" t="str">
        <f t="shared" si="3"/>
        <v>DSC</v>
      </c>
      <c r="L185" s="89" t="str">
        <f>_xlfn.XLOOKUP(K185,Table2[Department],Table2[Group],"ERROR")</f>
        <v>DSC</v>
      </c>
    </row>
    <row r="186" spans="1:12" x14ac:dyDescent="0.2">
      <c r="A186" t="s">
        <v>2</v>
      </c>
      <c r="B186" s="38">
        <v>46081</v>
      </c>
      <c r="C186" s="38">
        <v>46094</v>
      </c>
      <c r="D186" t="s">
        <v>1128</v>
      </c>
      <c r="E186" t="s">
        <v>82</v>
      </c>
      <c r="F186" s="37">
        <v>1054.2</v>
      </c>
      <c r="G186" s="39" cm="1">
        <f t="array" ref="G186">F186*_xlfn.XLOOKUP(1,
 (FOREX!$E$2:$E$13=EOMONTH(B186,0))*
 (FOREX!$F$2:$F$13=TRIM(E186)),FOREX!$G$2:$G$13,
 100)</f>
        <v>270.83663039999999</v>
      </c>
      <c r="H186" t="s">
        <v>1487</v>
      </c>
      <c r="I186" t="s">
        <v>364</v>
      </c>
      <c r="J186" s="35" t="str">
        <f>_xlfn.XLOOKUP(I186,costcategory[Account Code],costcategory[Cost Category],"ERROR")</f>
        <v>Headcount Costs</v>
      </c>
      <c r="K186" s="89" t="str">
        <f t="shared" si="3"/>
        <v>Sales &amp; Pre-Sales</v>
      </c>
      <c r="L186" s="89" t="str">
        <f>_xlfn.XLOOKUP(K186,Table2[Department],Table2[Group],"ERROR")</f>
        <v>Sales &amp; Marketing</v>
      </c>
    </row>
    <row r="187" spans="1:12" x14ac:dyDescent="0.2">
      <c r="A187" t="s">
        <v>2</v>
      </c>
      <c r="B187" s="38">
        <v>46081</v>
      </c>
      <c r="C187" s="38">
        <v>46094</v>
      </c>
      <c r="D187" t="s">
        <v>1129</v>
      </c>
      <c r="E187" t="s">
        <v>82</v>
      </c>
      <c r="F187" s="37">
        <v>104</v>
      </c>
      <c r="G187" s="39" cm="1">
        <f t="array" ref="G187">F187*_xlfn.XLOOKUP(1,
 (FOREX!$E$2:$E$13=EOMONTH(B187,0))*
 (FOREX!$F$2:$F$13=TRIM(E187)),FOREX!$G$2:$G$13,
 100)</f>
        <v>26.718847999999998</v>
      </c>
      <c r="H187" t="s">
        <v>1487</v>
      </c>
      <c r="I187" t="s">
        <v>364</v>
      </c>
      <c r="J187" s="35" t="str">
        <f>_xlfn.XLOOKUP(I187,costcategory[Account Code],costcategory[Cost Category],"ERROR")</f>
        <v>Headcount Costs</v>
      </c>
      <c r="K187" s="89" t="str">
        <f t="shared" si="3"/>
        <v>Sales &amp; Pre-Sales</v>
      </c>
      <c r="L187" s="89" t="str">
        <f>_xlfn.XLOOKUP(K187,Table2[Department],Table2[Group],"ERROR")</f>
        <v>Sales &amp; Marketing</v>
      </c>
    </row>
    <row r="188" spans="1:12" x14ac:dyDescent="0.2">
      <c r="A188" t="s">
        <v>2</v>
      </c>
      <c r="B188" s="38">
        <v>46081</v>
      </c>
      <c r="C188" s="38">
        <v>46094</v>
      </c>
      <c r="D188" t="s">
        <v>1131</v>
      </c>
      <c r="E188" t="s">
        <v>82</v>
      </c>
      <c r="F188" s="37">
        <v>1454.2</v>
      </c>
      <c r="G188" s="39" cm="1">
        <f t="array" ref="G188">F188*_xlfn.XLOOKUP(1,
 (FOREX!$E$2:$E$13=EOMONTH(B188,0))*
 (FOREX!$F$2:$F$13=TRIM(E188)),FOREX!$G$2:$G$13,
 100)</f>
        <v>373.60143039999997</v>
      </c>
      <c r="H188" t="s">
        <v>1487</v>
      </c>
      <c r="I188" t="s">
        <v>364</v>
      </c>
      <c r="J188" s="35" t="str">
        <f>_xlfn.XLOOKUP(I188,costcategory[Account Code],costcategory[Cost Category],"ERROR")</f>
        <v>Headcount Costs</v>
      </c>
      <c r="K188" s="89" t="str">
        <f t="shared" si="3"/>
        <v>HR</v>
      </c>
      <c r="L188" s="89" t="str">
        <f>_xlfn.XLOOKUP(K188,Table2[Department],Table2[Group],"ERROR")</f>
        <v>General &amp; Administrative</v>
      </c>
    </row>
    <row r="189" spans="1:12" x14ac:dyDescent="0.2">
      <c r="A189" t="s">
        <v>2</v>
      </c>
      <c r="B189" s="38">
        <v>46081</v>
      </c>
      <c r="C189" s="38">
        <v>46094</v>
      </c>
      <c r="D189" t="s">
        <v>1133</v>
      </c>
      <c r="E189" t="s">
        <v>82</v>
      </c>
      <c r="F189" s="37">
        <v>1534.2</v>
      </c>
      <c r="G189" s="39" cm="1">
        <f t="array" ref="G189">F189*_xlfn.XLOOKUP(1,
 (FOREX!$E$2:$E$13=EOMONTH(B189,0))*
 (FOREX!$F$2:$F$13=TRIM(E189)),FOREX!$G$2:$G$13,
 100)</f>
        <v>394.15439039999995</v>
      </c>
      <c r="H189" t="s">
        <v>1487</v>
      </c>
      <c r="I189" t="s">
        <v>364</v>
      </c>
      <c r="J189" s="35" t="str">
        <f>_xlfn.XLOOKUP(I189,costcategory[Account Code],costcategory[Cost Category],"ERROR")</f>
        <v>Headcount Costs</v>
      </c>
      <c r="K189" s="89" t="str">
        <f t="shared" si="3"/>
        <v>Finance</v>
      </c>
      <c r="L189" s="89" t="str">
        <f>_xlfn.XLOOKUP(K189,Table2[Department],Table2[Group],"ERROR")</f>
        <v>General &amp; Administrative</v>
      </c>
    </row>
    <row r="190" spans="1:12" x14ac:dyDescent="0.2">
      <c r="A190" t="s">
        <v>2</v>
      </c>
      <c r="B190" s="38">
        <v>46081</v>
      </c>
      <c r="C190" s="38">
        <v>46094</v>
      </c>
      <c r="D190" t="s">
        <v>1134</v>
      </c>
      <c r="E190" t="s">
        <v>82</v>
      </c>
      <c r="F190" s="37">
        <v>4562.5</v>
      </c>
      <c r="G190" s="39" cm="1">
        <f t="array" ref="G190">F190*_xlfn.XLOOKUP(1,
 (FOREX!$E$2:$E$13=EOMONTH(B190,0))*
 (FOREX!$F$2:$F$13=TRIM(E190)),FOREX!$G$2:$G$13,
 100)</f>
        <v>1172.1609999999998</v>
      </c>
      <c r="H190" t="s">
        <v>1487</v>
      </c>
      <c r="I190" t="s">
        <v>364</v>
      </c>
      <c r="J190" s="35" t="str">
        <f>_xlfn.XLOOKUP(I190,costcategory[Account Code],costcategory[Cost Category],"ERROR")</f>
        <v>Headcount Costs</v>
      </c>
      <c r="K190" s="89" t="str">
        <f t="shared" si="3"/>
        <v>DSC</v>
      </c>
      <c r="L190" s="89" t="str">
        <f>_xlfn.XLOOKUP(K190,Table2[Department],Table2[Group],"ERROR")</f>
        <v>DSC</v>
      </c>
    </row>
    <row r="191" spans="1:12" x14ac:dyDescent="0.2">
      <c r="A191" t="s">
        <v>2</v>
      </c>
      <c r="B191" s="38">
        <v>46081</v>
      </c>
      <c r="C191" s="38">
        <v>46094</v>
      </c>
      <c r="D191" t="s">
        <v>1136</v>
      </c>
      <c r="E191" t="s">
        <v>82</v>
      </c>
      <c r="F191" s="37">
        <v>2237.5</v>
      </c>
      <c r="G191" s="39" cm="1">
        <f t="array" ref="G191">F191*_xlfn.XLOOKUP(1,
 (FOREX!$E$2:$E$13=EOMONTH(B191,0))*
 (FOREX!$F$2:$F$13=TRIM(E191)),FOREX!$G$2:$G$13,
 100)</f>
        <v>574.84059999999999</v>
      </c>
      <c r="H191" t="s">
        <v>1487</v>
      </c>
      <c r="I191" t="s">
        <v>364</v>
      </c>
      <c r="J191" s="35" t="str">
        <f>_xlfn.XLOOKUP(I191,costcategory[Account Code],costcategory[Cost Category],"ERROR")</f>
        <v>Headcount Costs</v>
      </c>
      <c r="K191" s="89" t="str">
        <f t="shared" si="3"/>
        <v>DSC</v>
      </c>
      <c r="L191" s="89" t="str">
        <f>_xlfn.XLOOKUP(K191,Table2[Department],Table2[Group],"ERROR")</f>
        <v>DSC</v>
      </c>
    </row>
    <row r="192" spans="1:12" x14ac:dyDescent="0.2">
      <c r="A192" t="s">
        <v>2</v>
      </c>
      <c r="B192" s="38">
        <v>46081</v>
      </c>
      <c r="C192" s="38">
        <v>46094</v>
      </c>
      <c r="D192" t="s">
        <v>1137</v>
      </c>
      <c r="E192" t="s">
        <v>82</v>
      </c>
      <c r="F192" s="37">
        <v>163.5</v>
      </c>
      <c r="G192" s="39" cm="1">
        <f t="array" ref="G192">F192*_xlfn.XLOOKUP(1,
 (FOREX!$E$2:$E$13=EOMONTH(B192,0))*
 (FOREX!$F$2:$F$13=TRIM(E192)),FOREX!$G$2:$G$13,
 100)</f>
        <v>42.005111999999997</v>
      </c>
      <c r="H192" t="s">
        <v>1487</v>
      </c>
      <c r="I192" t="s">
        <v>364</v>
      </c>
      <c r="J192" s="35" t="str">
        <f>_xlfn.XLOOKUP(I192,costcategory[Account Code],costcategory[Cost Category],"ERROR")</f>
        <v>Headcount Costs</v>
      </c>
      <c r="K192" s="89" t="str">
        <f t="shared" si="3"/>
        <v>DSC</v>
      </c>
      <c r="L192" s="89" t="str">
        <f>_xlfn.XLOOKUP(K192,Table2[Department],Table2[Group],"ERROR")</f>
        <v>DSC</v>
      </c>
    </row>
    <row r="193" spans="1:12" x14ac:dyDescent="0.2">
      <c r="A193" t="s">
        <v>2</v>
      </c>
      <c r="B193" s="38">
        <v>46081</v>
      </c>
      <c r="C193" s="38">
        <v>46094</v>
      </c>
      <c r="D193" t="s">
        <v>1139</v>
      </c>
      <c r="E193" t="s">
        <v>82</v>
      </c>
      <c r="F193" s="37">
        <v>3304.2</v>
      </c>
      <c r="G193" s="39" cm="1">
        <f t="array" ref="G193">F193*_xlfn.XLOOKUP(1,
 (FOREX!$E$2:$E$13=EOMONTH(B193,0))*
 (FOREX!$F$2:$F$13=TRIM(E193)),FOREX!$G$2:$G$13,
 100)</f>
        <v>848.8886303999999</v>
      </c>
      <c r="H193" t="s">
        <v>1487</v>
      </c>
      <c r="I193" t="s">
        <v>364</v>
      </c>
      <c r="J193" s="35" t="str">
        <f>_xlfn.XLOOKUP(I193,costcategory[Account Code],costcategory[Cost Category],"ERROR")</f>
        <v>Headcount Costs</v>
      </c>
      <c r="K193" s="89" t="str">
        <f t="shared" si="3"/>
        <v>Business Operation</v>
      </c>
      <c r="L193" s="89" t="str">
        <f>_xlfn.XLOOKUP(K193,Table2[Department],Table2[Group],"ERROR")</f>
        <v>Sales &amp; Marketing</v>
      </c>
    </row>
    <row r="194" spans="1:12" x14ac:dyDescent="0.2">
      <c r="A194" t="s">
        <v>2</v>
      </c>
      <c r="B194" s="38">
        <v>46081</v>
      </c>
      <c r="C194" s="38">
        <v>46094</v>
      </c>
      <c r="D194" t="s">
        <v>1141</v>
      </c>
      <c r="E194" t="s">
        <v>82</v>
      </c>
      <c r="F194" s="37">
        <v>6112.5</v>
      </c>
      <c r="G194" s="39" cm="1">
        <f t="array" ref="G194">F194*_xlfn.XLOOKUP(1,
 (FOREX!$E$2:$E$13=EOMONTH(B194,0))*
 (FOREX!$F$2:$F$13=TRIM(E194)),FOREX!$G$2:$G$13,
 100)</f>
        <v>1570.3745999999999</v>
      </c>
      <c r="H194" t="s">
        <v>1487</v>
      </c>
      <c r="I194" t="s">
        <v>364</v>
      </c>
      <c r="J194" s="35" t="str">
        <f>_xlfn.XLOOKUP(I194,costcategory[Account Code],costcategory[Cost Category],"ERROR")</f>
        <v>Headcount Costs</v>
      </c>
      <c r="K194" s="89" t="str">
        <f t="shared" si="3"/>
        <v>DSC</v>
      </c>
      <c r="L194" s="89" t="str">
        <f>_xlfn.XLOOKUP(K194,Table2[Department],Table2[Group],"ERROR")</f>
        <v>DSC</v>
      </c>
    </row>
    <row r="195" spans="1:12" x14ac:dyDescent="0.2">
      <c r="A195" t="s">
        <v>2</v>
      </c>
      <c r="B195" s="38">
        <v>46081</v>
      </c>
      <c r="C195" s="38">
        <v>46094</v>
      </c>
      <c r="D195" t="s">
        <v>1143</v>
      </c>
      <c r="E195" t="s">
        <v>82</v>
      </c>
      <c r="F195" s="37">
        <v>343.2</v>
      </c>
      <c r="G195" s="39" cm="1">
        <f t="array" ref="G195">F195*_xlfn.XLOOKUP(1,
 (FOREX!$E$2:$E$13=EOMONTH(B195,0))*
 (FOREX!$F$2:$F$13=TRIM(E195)),FOREX!$G$2:$G$13,
 100)</f>
        <v>88.172198399999985</v>
      </c>
      <c r="H195" t="s">
        <v>1487</v>
      </c>
      <c r="I195" t="s">
        <v>364</v>
      </c>
      <c r="J195" s="35" t="str">
        <f>_xlfn.XLOOKUP(I195,costcategory[Account Code],costcategory[Cost Category],"ERROR")</f>
        <v>Headcount Costs</v>
      </c>
      <c r="K195" s="89" t="str">
        <f t="shared" si="3"/>
        <v>DSC</v>
      </c>
      <c r="L195" s="89" t="str">
        <f>_xlfn.XLOOKUP(K195,Table2[Department],Table2[Group],"ERROR")</f>
        <v>DSC</v>
      </c>
    </row>
    <row r="196" spans="1:12" x14ac:dyDescent="0.2">
      <c r="A196" t="s">
        <v>2</v>
      </c>
      <c r="B196" s="38">
        <v>46081</v>
      </c>
      <c r="C196" s="38">
        <v>46094</v>
      </c>
      <c r="D196" t="s">
        <v>1145</v>
      </c>
      <c r="E196" t="s">
        <v>82</v>
      </c>
      <c r="F196" s="37">
        <v>218.5</v>
      </c>
      <c r="G196" s="39" cm="1">
        <f t="array" ref="G196">F196*_xlfn.XLOOKUP(1,
 (FOREX!$E$2:$E$13=EOMONTH(B196,0))*
 (FOREX!$F$2:$F$13=TRIM(E196)),FOREX!$G$2:$G$13,
 100)</f>
        <v>56.135271999999993</v>
      </c>
      <c r="H196" t="s">
        <v>1487</v>
      </c>
      <c r="I196" t="s">
        <v>364</v>
      </c>
      <c r="J196" s="35" t="str">
        <f>_xlfn.XLOOKUP(I196,costcategory[Account Code],costcategory[Cost Category],"ERROR")</f>
        <v>Headcount Costs</v>
      </c>
      <c r="K196" s="89" t="str">
        <f t="shared" si="3"/>
        <v>DSC</v>
      </c>
      <c r="L196" s="89" t="str">
        <f>_xlfn.XLOOKUP(K196,Table2[Department],Table2[Group],"ERROR")</f>
        <v>DSC</v>
      </c>
    </row>
    <row r="197" spans="1:12" x14ac:dyDescent="0.2">
      <c r="A197" t="s">
        <v>2</v>
      </c>
      <c r="B197" s="38">
        <v>46081</v>
      </c>
      <c r="C197" s="38">
        <v>46094</v>
      </c>
      <c r="D197" t="s">
        <v>1147</v>
      </c>
      <c r="E197" t="s">
        <v>82</v>
      </c>
      <c r="F197" s="37">
        <v>218.5</v>
      </c>
      <c r="G197" s="39" cm="1">
        <f t="array" ref="G197">F197*_xlfn.XLOOKUP(1,
 (FOREX!$E$2:$E$13=EOMONTH(B197,0))*
 (FOREX!$F$2:$F$13=TRIM(E197)),FOREX!$G$2:$G$13,
 100)</f>
        <v>56.135271999999993</v>
      </c>
      <c r="H197" t="s">
        <v>1487</v>
      </c>
      <c r="I197" t="s">
        <v>364</v>
      </c>
      <c r="J197" s="35" t="str">
        <f>_xlfn.XLOOKUP(I197,costcategory[Account Code],costcategory[Cost Category],"ERROR")</f>
        <v>Headcount Costs</v>
      </c>
      <c r="K197" s="89" t="str">
        <f t="shared" si="3"/>
        <v>Finance</v>
      </c>
      <c r="L197" s="89" t="str">
        <f>_xlfn.XLOOKUP(K197,Table2[Department],Table2[Group],"ERROR")</f>
        <v>General &amp; Administrative</v>
      </c>
    </row>
    <row r="198" spans="1:12" x14ac:dyDescent="0.2">
      <c r="A198" t="s">
        <v>2</v>
      </c>
      <c r="B198" s="38">
        <v>46081</v>
      </c>
      <c r="C198" s="38">
        <v>46094</v>
      </c>
      <c r="D198" t="s">
        <v>1125</v>
      </c>
      <c r="E198" t="s">
        <v>82</v>
      </c>
      <c r="F198" s="37">
        <v>3341</v>
      </c>
      <c r="G198" s="39" cm="1">
        <f t="array" ref="G198">F198*_xlfn.XLOOKUP(1,
 (FOREX!$E$2:$E$13=EOMONTH(B198,0))*
 (FOREX!$F$2:$F$13=TRIM(E198)),FOREX!$G$2:$G$13,
 100)</f>
        <v>858.34299199999987</v>
      </c>
      <c r="H198" t="s">
        <v>1488</v>
      </c>
      <c r="I198" t="s">
        <v>364</v>
      </c>
      <c r="J198" s="35" t="str">
        <f>_xlfn.XLOOKUP(I198,costcategory[Account Code],costcategory[Cost Category],"ERROR")</f>
        <v>Headcount Costs</v>
      </c>
      <c r="K198" s="89" t="str">
        <f t="shared" si="3"/>
        <v>Sales &amp; Pre-Sales</v>
      </c>
      <c r="L198" s="89" t="str">
        <f>_xlfn.XLOOKUP(K198,Table2[Department],Table2[Group],"ERROR")</f>
        <v>Sales &amp; Marketing</v>
      </c>
    </row>
    <row r="199" spans="1:12" x14ac:dyDescent="0.2">
      <c r="A199" t="s">
        <v>2</v>
      </c>
      <c r="B199" s="38">
        <v>46081</v>
      </c>
      <c r="C199" s="38">
        <v>46094</v>
      </c>
      <c r="D199" t="s">
        <v>1127</v>
      </c>
      <c r="E199" t="s">
        <v>82</v>
      </c>
      <c r="F199" s="37">
        <v>598</v>
      </c>
      <c r="G199" s="39" cm="1">
        <f t="array" ref="G199">F199*_xlfn.XLOOKUP(1,
 (FOREX!$E$2:$E$13=EOMONTH(B199,0))*
 (FOREX!$F$2:$F$13=TRIM(E199)),FOREX!$G$2:$G$13,
 100)</f>
        <v>153.633376</v>
      </c>
      <c r="H199" t="s">
        <v>1488</v>
      </c>
      <c r="I199" t="s">
        <v>364</v>
      </c>
      <c r="J199" s="35" t="str">
        <f>_xlfn.XLOOKUP(I199,costcategory[Account Code],costcategory[Cost Category],"ERROR")</f>
        <v>Headcount Costs</v>
      </c>
      <c r="K199" s="89" t="str">
        <f t="shared" si="3"/>
        <v>DSC</v>
      </c>
      <c r="L199" s="89" t="str">
        <f>_xlfn.XLOOKUP(K199,Table2[Department],Table2[Group],"ERROR")</f>
        <v>DSC</v>
      </c>
    </row>
    <row r="200" spans="1:12" x14ac:dyDescent="0.2">
      <c r="A200" t="s">
        <v>2</v>
      </c>
      <c r="B200" s="38">
        <v>46081</v>
      </c>
      <c r="C200" s="38">
        <v>46094</v>
      </c>
      <c r="D200" t="s">
        <v>1128</v>
      </c>
      <c r="E200" t="s">
        <v>82</v>
      </c>
      <c r="F200" s="37">
        <v>1365</v>
      </c>
      <c r="G200" s="39" cm="1">
        <f t="array" ref="G200">F200*_xlfn.XLOOKUP(1,
 (FOREX!$E$2:$E$13=EOMONTH(B200,0))*
 (FOREX!$F$2:$F$13=TRIM(E200)),FOREX!$G$2:$G$13,
 100)</f>
        <v>350.68487999999996</v>
      </c>
      <c r="H200" t="s">
        <v>1488</v>
      </c>
      <c r="I200" t="s">
        <v>364</v>
      </c>
      <c r="J200" s="35" t="str">
        <f>_xlfn.XLOOKUP(I200,costcategory[Account Code],costcategory[Cost Category],"ERROR")</f>
        <v>Headcount Costs</v>
      </c>
      <c r="K200" s="89" t="str">
        <f t="shared" si="3"/>
        <v>Sales &amp; Pre-Sales</v>
      </c>
      <c r="L200" s="89" t="str">
        <f>_xlfn.XLOOKUP(K200,Table2[Department],Table2[Group],"ERROR")</f>
        <v>Sales &amp; Marketing</v>
      </c>
    </row>
    <row r="201" spans="1:12" x14ac:dyDescent="0.2">
      <c r="A201" t="s">
        <v>2</v>
      </c>
      <c r="B201" s="38">
        <v>46081</v>
      </c>
      <c r="C201" s="38">
        <v>46094</v>
      </c>
      <c r="D201" t="s">
        <v>1129</v>
      </c>
      <c r="E201" t="s">
        <v>82</v>
      </c>
      <c r="F201" s="37">
        <v>637</v>
      </c>
      <c r="G201" s="39" cm="1">
        <f t="array" ref="G201">F201*_xlfn.XLOOKUP(1,
 (FOREX!$E$2:$E$13=EOMONTH(B201,0))*
 (FOREX!$F$2:$F$13=TRIM(E201)),FOREX!$G$2:$G$13,
 100)</f>
        <v>163.65294399999999</v>
      </c>
      <c r="H201" t="s">
        <v>1488</v>
      </c>
      <c r="I201" t="s">
        <v>364</v>
      </c>
      <c r="J201" s="35" t="str">
        <f>_xlfn.XLOOKUP(I201,costcategory[Account Code],costcategory[Cost Category],"ERROR")</f>
        <v>Headcount Costs</v>
      </c>
      <c r="K201" s="89" t="str">
        <f t="shared" si="3"/>
        <v>Sales &amp; Pre-Sales</v>
      </c>
      <c r="L201" s="89" t="str">
        <f>_xlfn.XLOOKUP(K201,Table2[Department],Table2[Group],"ERROR")</f>
        <v>Sales &amp; Marketing</v>
      </c>
    </row>
    <row r="202" spans="1:12" x14ac:dyDescent="0.2">
      <c r="A202" t="s">
        <v>2</v>
      </c>
      <c r="B202" s="38">
        <v>46081</v>
      </c>
      <c r="C202" s="38">
        <v>46094</v>
      </c>
      <c r="D202" t="s">
        <v>1131</v>
      </c>
      <c r="E202" t="s">
        <v>82</v>
      </c>
      <c r="F202" s="37">
        <v>1573</v>
      </c>
      <c r="G202" s="39" cm="1">
        <f t="array" ref="G202">F202*_xlfn.XLOOKUP(1,
 (FOREX!$E$2:$E$13=EOMONTH(B202,0))*
 (FOREX!$F$2:$F$13=TRIM(E202)),FOREX!$G$2:$G$13,
 100)</f>
        <v>404.12257599999998</v>
      </c>
      <c r="H202" t="s">
        <v>1488</v>
      </c>
      <c r="I202" t="s">
        <v>364</v>
      </c>
      <c r="J202" s="35" t="str">
        <f>_xlfn.XLOOKUP(I202,costcategory[Account Code],costcategory[Cost Category],"ERROR")</f>
        <v>Headcount Costs</v>
      </c>
      <c r="K202" s="89" t="str">
        <f t="shared" si="3"/>
        <v>HR</v>
      </c>
      <c r="L202" s="89" t="str">
        <f>_xlfn.XLOOKUP(K202,Table2[Department],Table2[Group],"ERROR")</f>
        <v>General &amp; Administrative</v>
      </c>
    </row>
    <row r="203" spans="1:12" x14ac:dyDescent="0.2">
      <c r="A203" t="s">
        <v>2</v>
      </c>
      <c r="B203" s="38">
        <v>46081</v>
      </c>
      <c r="C203" s="38">
        <v>46094</v>
      </c>
      <c r="D203" t="s">
        <v>1133</v>
      </c>
      <c r="E203" t="s">
        <v>82</v>
      </c>
      <c r="F203" s="37">
        <v>1615</v>
      </c>
      <c r="G203" s="39" cm="1">
        <f t="array" ref="G203">F203*_xlfn.XLOOKUP(1,
 (FOREX!$E$2:$E$13=EOMONTH(B203,0))*
 (FOREX!$F$2:$F$13=TRIM(E203)),FOREX!$G$2:$G$13,
 100)</f>
        <v>414.91287999999997</v>
      </c>
      <c r="H203" t="s">
        <v>1488</v>
      </c>
      <c r="I203" t="s">
        <v>364</v>
      </c>
      <c r="J203" s="35" t="str">
        <f>_xlfn.XLOOKUP(I203,costcategory[Account Code],costcategory[Cost Category],"ERROR")</f>
        <v>Headcount Costs</v>
      </c>
      <c r="K203" s="89" t="str">
        <f t="shared" si="3"/>
        <v>Finance</v>
      </c>
      <c r="L203" s="89" t="str">
        <f>_xlfn.XLOOKUP(K203,Table2[Department],Table2[Group],"ERROR")</f>
        <v>General &amp; Administrative</v>
      </c>
    </row>
    <row r="204" spans="1:12" x14ac:dyDescent="0.2">
      <c r="A204" t="s">
        <v>2</v>
      </c>
      <c r="B204" s="38">
        <v>46081</v>
      </c>
      <c r="C204" s="38">
        <v>46094</v>
      </c>
      <c r="D204" t="s">
        <v>1134</v>
      </c>
      <c r="E204" t="s">
        <v>82</v>
      </c>
      <c r="F204" s="37">
        <v>3211</v>
      </c>
      <c r="G204" s="39" cm="1">
        <f t="array" ref="G204">F204*_xlfn.XLOOKUP(1,
 (FOREX!$E$2:$E$13=EOMONTH(B204,0))*
 (FOREX!$F$2:$F$13=TRIM(E204)),FOREX!$G$2:$G$13,
 100)</f>
        <v>824.94443199999989</v>
      </c>
      <c r="H204" t="s">
        <v>1488</v>
      </c>
      <c r="I204" t="s">
        <v>364</v>
      </c>
      <c r="J204" s="35" t="str">
        <f>_xlfn.XLOOKUP(I204,costcategory[Account Code],costcategory[Cost Category],"ERROR")</f>
        <v>Headcount Costs</v>
      </c>
      <c r="K204" s="89" t="str">
        <f t="shared" si="3"/>
        <v>DSC</v>
      </c>
      <c r="L204" s="89" t="str">
        <f>_xlfn.XLOOKUP(K204,Table2[Department],Table2[Group],"ERROR")</f>
        <v>DSC</v>
      </c>
    </row>
    <row r="205" spans="1:12" x14ac:dyDescent="0.2">
      <c r="A205" t="s">
        <v>2</v>
      </c>
      <c r="B205" s="38">
        <v>46081</v>
      </c>
      <c r="C205" s="38">
        <v>46094</v>
      </c>
      <c r="D205" t="s">
        <v>1136</v>
      </c>
      <c r="E205" t="s">
        <v>82</v>
      </c>
      <c r="F205" s="37">
        <v>2002</v>
      </c>
      <c r="G205" s="39" cm="1">
        <f t="array" ref="G205">F205*_xlfn.XLOOKUP(1,
 (FOREX!$E$2:$E$13=EOMONTH(B205,0))*
 (FOREX!$F$2:$F$13=TRIM(E205)),FOREX!$G$2:$G$13,
 100)</f>
        <v>514.33782399999996</v>
      </c>
      <c r="H205" t="s">
        <v>1488</v>
      </c>
      <c r="I205" t="s">
        <v>364</v>
      </c>
      <c r="J205" s="35" t="str">
        <f>_xlfn.XLOOKUP(I205,costcategory[Account Code],costcategory[Cost Category],"ERROR")</f>
        <v>Headcount Costs</v>
      </c>
      <c r="K205" s="89" t="str">
        <f t="shared" si="3"/>
        <v>DSC</v>
      </c>
      <c r="L205" s="89" t="str">
        <f>_xlfn.XLOOKUP(K205,Table2[Department],Table2[Group],"ERROR")</f>
        <v>DSC</v>
      </c>
    </row>
    <row r="206" spans="1:12" x14ac:dyDescent="0.2">
      <c r="A206" t="s">
        <v>2</v>
      </c>
      <c r="B206" s="38">
        <v>46081</v>
      </c>
      <c r="C206" s="38">
        <v>46094</v>
      </c>
      <c r="D206" t="s">
        <v>1137</v>
      </c>
      <c r="E206" t="s">
        <v>82</v>
      </c>
      <c r="F206" s="37">
        <v>728</v>
      </c>
      <c r="G206" s="39" cm="1">
        <f t="array" ref="G206">F206*_xlfn.XLOOKUP(1,
 (FOREX!$E$2:$E$13=EOMONTH(B206,0))*
 (FOREX!$F$2:$F$13=TRIM(E206)),FOREX!$G$2:$G$13,
 100)</f>
        <v>187.03193599999997</v>
      </c>
      <c r="H206" t="s">
        <v>1488</v>
      </c>
      <c r="I206" t="s">
        <v>364</v>
      </c>
      <c r="J206" s="35" t="str">
        <f>_xlfn.XLOOKUP(I206,costcategory[Account Code],costcategory[Cost Category],"ERROR")</f>
        <v>Headcount Costs</v>
      </c>
      <c r="K206" s="89" t="str">
        <f t="shared" si="3"/>
        <v>DSC</v>
      </c>
      <c r="L206" s="89" t="str">
        <f>_xlfn.XLOOKUP(K206,Table2[Department],Table2[Group],"ERROR")</f>
        <v>DSC</v>
      </c>
    </row>
    <row r="207" spans="1:12" x14ac:dyDescent="0.2">
      <c r="A207" t="s">
        <v>2</v>
      </c>
      <c r="B207" s="38">
        <v>46081</v>
      </c>
      <c r="C207" s="38">
        <v>46094</v>
      </c>
      <c r="D207" t="s">
        <v>1139</v>
      </c>
      <c r="E207" t="s">
        <v>82</v>
      </c>
      <c r="F207" s="37">
        <v>390</v>
      </c>
      <c r="G207" s="39" cm="1">
        <f t="array" ref="G207">F207*_xlfn.XLOOKUP(1,
 (FOREX!$E$2:$E$13=EOMONTH(B207,0))*
 (FOREX!$F$2:$F$13=TRIM(E207)),FOREX!$G$2:$G$13,
 100)</f>
        <v>100.19568</v>
      </c>
      <c r="H207" t="s">
        <v>1488</v>
      </c>
      <c r="I207" t="s">
        <v>364</v>
      </c>
      <c r="J207" s="35" t="str">
        <f>_xlfn.XLOOKUP(I207,costcategory[Account Code],costcategory[Cost Category],"ERROR")</f>
        <v>Headcount Costs</v>
      </c>
      <c r="K207" s="89" t="str">
        <f t="shared" si="3"/>
        <v>Business Operation</v>
      </c>
      <c r="L207" s="89" t="str">
        <f>_xlfn.XLOOKUP(K207,Table2[Department],Table2[Group],"ERROR")</f>
        <v>Sales &amp; Marketing</v>
      </c>
    </row>
    <row r="208" spans="1:12" x14ac:dyDescent="0.2">
      <c r="A208" t="s">
        <v>2</v>
      </c>
      <c r="B208" s="38">
        <v>46081</v>
      </c>
      <c r="C208" s="38">
        <v>46094</v>
      </c>
      <c r="D208" t="s">
        <v>1141</v>
      </c>
      <c r="E208" t="s">
        <v>82</v>
      </c>
      <c r="F208" s="37">
        <v>4082</v>
      </c>
      <c r="G208" s="39" cm="1">
        <f t="array" ref="G208">F208*_xlfn.XLOOKUP(1,
 (FOREX!$E$2:$E$13=EOMONTH(B208,0))*
 (FOREX!$F$2:$F$13=TRIM(E208)),FOREX!$G$2:$G$13,
 100)</f>
        <v>1048.7147839999998</v>
      </c>
      <c r="H208" t="s">
        <v>1488</v>
      </c>
      <c r="I208" t="s">
        <v>364</v>
      </c>
      <c r="J208" s="35" t="str">
        <f>_xlfn.XLOOKUP(I208,costcategory[Account Code],costcategory[Cost Category],"ERROR")</f>
        <v>Headcount Costs</v>
      </c>
      <c r="K208" s="89" t="str">
        <f t="shared" si="3"/>
        <v>DSC</v>
      </c>
      <c r="L208" s="89" t="str">
        <f>_xlfn.XLOOKUP(K208,Table2[Department],Table2[Group],"ERROR")</f>
        <v>DSC</v>
      </c>
    </row>
    <row r="209" spans="1:12" x14ac:dyDescent="0.2">
      <c r="A209" t="s">
        <v>2</v>
      </c>
      <c r="B209" s="38">
        <v>46081</v>
      </c>
      <c r="C209" s="38">
        <v>46094</v>
      </c>
      <c r="D209" t="s">
        <v>1143</v>
      </c>
      <c r="E209" t="s">
        <v>82</v>
      </c>
      <c r="F209" s="37">
        <v>923</v>
      </c>
      <c r="G209" s="39" cm="1">
        <f t="array" ref="G209">F209*_xlfn.XLOOKUP(1,
 (FOREX!$E$2:$E$13=EOMONTH(B209,0))*
 (FOREX!$F$2:$F$13=TRIM(E209)),FOREX!$G$2:$G$13,
 100)</f>
        <v>237.12977599999996</v>
      </c>
      <c r="H209" t="s">
        <v>1488</v>
      </c>
      <c r="I209" t="s">
        <v>364</v>
      </c>
      <c r="J209" s="35" t="str">
        <f>_xlfn.XLOOKUP(I209,costcategory[Account Code],costcategory[Cost Category],"ERROR")</f>
        <v>Headcount Costs</v>
      </c>
      <c r="K209" s="89" t="str">
        <f t="shared" si="3"/>
        <v>DSC</v>
      </c>
      <c r="L209" s="89" t="str">
        <f>_xlfn.XLOOKUP(K209,Table2[Department],Table2[Group],"ERROR")</f>
        <v>DSC</v>
      </c>
    </row>
    <row r="210" spans="1:12" x14ac:dyDescent="0.2">
      <c r="A210" t="s">
        <v>2</v>
      </c>
      <c r="B210" s="38">
        <v>46081</v>
      </c>
      <c r="C210" s="38">
        <v>46094</v>
      </c>
      <c r="D210" t="s">
        <v>1145</v>
      </c>
      <c r="E210" t="s">
        <v>82</v>
      </c>
      <c r="F210" s="37">
        <v>793</v>
      </c>
      <c r="G210" s="39" cm="1">
        <f t="array" ref="G210">F210*_xlfn.XLOOKUP(1,
 (FOREX!$E$2:$E$13=EOMONTH(B210,0))*
 (FOREX!$F$2:$F$13=TRIM(E210)),FOREX!$G$2:$G$13,
 100)</f>
        <v>203.73121599999999</v>
      </c>
      <c r="H210" t="s">
        <v>1488</v>
      </c>
      <c r="I210" t="s">
        <v>364</v>
      </c>
      <c r="J210" s="35" t="str">
        <f>_xlfn.XLOOKUP(I210,costcategory[Account Code],costcategory[Cost Category],"ERROR")</f>
        <v>Headcount Costs</v>
      </c>
      <c r="K210" s="89" t="str">
        <f t="shared" si="3"/>
        <v>DSC</v>
      </c>
      <c r="L210" s="89" t="str">
        <f>_xlfn.XLOOKUP(K210,Table2[Department],Table2[Group],"ERROR")</f>
        <v>DSC</v>
      </c>
    </row>
    <row r="211" spans="1:12" x14ac:dyDescent="0.2">
      <c r="A211" t="s">
        <v>2</v>
      </c>
      <c r="B211" s="38">
        <v>46081</v>
      </c>
      <c r="C211" s="38">
        <v>46094</v>
      </c>
      <c r="D211" t="s">
        <v>1147</v>
      </c>
      <c r="E211" t="s">
        <v>82</v>
      </c>
      <c r="F211" s="37">
        <v>793</v>
      </c>
      <c r="G211" s="39" cm="1">
        <f t="array" ref="G211">F211*_xlfn.XLOOKUP(1,
 (FOREX!$E$2:$E$13=EOMONTH(B211,0))*
 (FOREX!$F$2:$F$13=TRIM(E211)),FOREX!$G$2:$G$13,
 100)</f>
        <v>203.73121599999999</v>
      </c>
      <c r="H211" t="s">
        <v>1488</v>
      </c>
      <c r="I211" t="s">
        <v>364</v>
      </c>
      <c r="J211" s="35" t="str">
        <f>_xlfn.XLOOKUP(I211,costcategory[Account Code],costcategory[Cost Category],"ERROR")</f>
        <v>Headcount Costs</v>
      </c>
      <c r="K211" s="89" t="str">
        <f t="shared" si="3"/>
        <v>Finance</v>
      </c>
      <c r="L211" s="89" t="str">
        <f>_xlfn.XLOOKUP(K211,Table2[Department],Table2[Group],"ERROR")</f>
        <v>General &amp; Administrative</v>
      </c>
    </row>
    <row r="212" spans="1:12" x14ac:dyDescent="0.2">
      <c r="A212" t="s">
        <v>2</v>
      </c>
      <c r="B212" s="38">
        <v>46081</v>
      </c>
      <c r="C212" s="38">
        <v>46094</v>
      </c>
      <c r="D212" t="s">
        <v>1125</v>
      </c>
      <c r="E212" t="s">
        <v>82</v>
      </c>
      <c r="F212" s="37">
        <v>104.15</v>
      </c>
      <c r="G212" s="39" cm="1">
        <f t="array" ref="G212">F212*_xlfn.XLOOKUP(1,
 (FOREX!$E$2:$E$13=EOMONTH(B212,0))*
 (FOREX!$F$2:$F$13=TRIM(E212)),FOREX!$G$2:$G$13,
 100)</f>
        <v>26.757384799999997</v>
      </c>
      <c r="H212" t="s">
        <v>1489</v>
      </c>
      <c r="I212" t="s">
        <v>364</v>
      </c>
      <c r="J212" s="35" t="str">
        <f>_xlfn.XLOOKUP(I212,costcategory[Account Code],costcategory[Cost Category],"ERROR")</f>
        <v>Headcount Costs</v>
      </c>
      <c r="K212" s="89" t="str">
        <f t="shared" si="3"/>
        <v>Sales &amp; Pre-Sales</v>
      </c>
      <c r="L212" s="89" t="str">
        <f>_xlfn.XLOOKUP(K212,Table2[Department],Table2[Group],"ERROR")</f>
        <v>Sales &amp; Marketing</v>
      </c>
    </row>
    <row r="213" spans="1:12" x14ac:dyDescent="0.2">
      <c r="A213" t="s">
        <v>2</v>
      </c>
      <c r="B213" s="38">
        <v>46081</v>
      </c>
      <c r="C213" s="38">
        <v>46094</v>
      </c>
      <c r="D213" t="s">
        <v>1127</v>
      </c>
      <c r="E213" t="s">
        <v>82</v>
      </c>
      <c r="F213" s="37">
        <v>79.650000000000006</v>
      </c>
      <c r="G213" s="39" cm="1">
        <f t="array" ref="G213">F213*_xlfn.XLOOKUP(1,
 (FOREX!$E$2:$E$13=EOMONTH(B213,0))*
 (FOREX!$F$2:$F$13=TRIM(E213)),FOREX!$G$2:$G$13,
 100)</f>
        <v>20.463040799999998</v>
      </c>
      <c r="H213" t="s">
        <v>1489</v>
      </c>
      <c r="I213" t="s">
        <v>364</v>
      </c>
      <c r="J213" s="35" t="str">
        <f>_xlfn.XLOOKUP(I213,costcategory[Account Code],costcategory[Cost Category],"ERROR")</f>
        <v>Headcount Costs</v>
      </c>
      <c r="K213" s="89" t="str">
        <f t="shared" si="3"/>
        <v>DSC</v>
      </c>
      <c r="L213" s="89" t="str">
        <f>_xlfn.XLOOKUP(K213,Table2[Department],Table2[Group],"ERROR")</f>
        <v>DSC</v>
      </c>
    </row>
    <row r="214" spans="1:12" x14ac:dyDescent="0.2">
      <c r="A214" t="s">
        <v>2</v>
      </c>
      <c r="B214" s="38">
        <v>46081</v>
      </c>
      <c r="C214" s="38">
        <v>46094</v>
      </c>
      <c r="D214" t="s">
        <v>1128</v>
      </c>
      <c r="E214" t="s">
        <v>82</v>
      </c>
      <c r="F214" s="37">
        <v>104.15</v>
      </c>
      <c r="G214" s="39" cm="1">
        <f t="array" ref="G214">F214*_xlfn.XLOOKUP(1,
 (FOREX!$E$2:$E$13=EOMONTH(B214,0))*
 (FOREX!$F$2:$F$13=TRIM(E214)),FOREX!$G$2:$G$13,
 100)</f>
        <v>26.757384799999997</v>
      </c>
      <c r="H214" t="s">
        <v>1489</v>
      </c>
      <c r="I214" t="s">
        <v>364</v>
      </c>
      <c r="J214" s="35" t="str">
        <f>_xlfn.XLOOKUP(I214,costcategory[Account Code],costcategory[Cost Category],"ERROR")</f>
        <v>Headcount Costs</v>
      </c>
      <c r="K214" s="89" t="str">
        <f t="shared" si="3"/>
        <v>Sales &amp; Pre-Sales</v>
      </c>
      <c r="L214" s="89" t="str">
        <f>_xlfn.XLOOKUP(K214,Table2[Department],Table2[Group],"ERROR")</f>
        <v>Sales &amp; Marketing</v>
      </c>
    </row>
    <row r="215" spans="1:12" x14ac:dyDescent="0.2">
      <c r="A215" t="s">
        <v>2</v>
      </c>
      <c r="B215" s="38">
        <v>46081</v>
      </c>
      <c r="C215" s="38">
        <v>46094</v>
      </c>
      <c r="D215" t="s">
        <v>1129</v>
      </c>
      <c r="E215" t="s">
        <v>82</v>
      </c>
      <c r="F215" s="37">
        <v>84.85</v>
      </c>
      <c r="G215" s="39" cm="1">
        <f t="array" ref="G215">F215*_xlfn.XLOOKUP(1,
 (FOREX!$E$2:$E$13=EOMONTH(B215,0))*
 (FOREX!$F$2:$F$13=TRIM(E215)),FOREX!$G$2:$G$13,
 100)</f>
        <v>21.798983199999995</v>
      </c>
      <c r="H215" t="s">
        <v>1489</v>
      </c>
      <c r="I215" t="s">
        <v>364</v>
      </c>
      <c r="J215" s="35" t="str">
        <f>_xlfn.XLOOKUP(I215,costcategory[Account Code],costcategory[Cost Category],"ERROR")</f>
        <v>Headcount Costs</v>
      </c>
      <c r="K215" s="89" t="str">
        <f t="shared" si="3"/>
        <v>Sales &amp; Pre-Sales</v>
      </c>
      <c r="L215" s="89" t="str">
        <f>_xlfn.XLOOKUP(K215,Table2[Department],Table2[Group],"ERROR")</f>
        <v>Sales &amp; Marketing</v>
      </c>
    </row>
    <row r="216" spans="1:12" x14ac:dyDescent="0.2">
      <c r="A216" t="s">
        <v>2</v>
      </c>
      <c r="B216" s="38">
        <v>46081</v>
      </c>
      <c r="C216" s="38">
        <v>46094</v>
      </c>
      <c r="D216" t="s">
        <v>1131</v>
      </c>
      <c r="E216" t="s">
        <v>82</v>
      </c>
      <c r="F216" s="37">
        <v>104.15</v>
      </c>
      <c r="G216" s="39" cm="1">
        <f t="array" ref="G216">F216*_xlfn.XLOOKUP(1,
 (FOREX!$E$2:$E$13=EOMONTH(B216,0))*
 (FOREX!$F$2:$F$13=TRIM(E216)),FOREX!$G$2:$G$13,
 100)</f>
        <v>26.757384799999997</v>
      </c>
      <c r="H216" t="s">
        <v>1489</v>
      </c>
      <c r="I216" t="s">
        <v>364</v>
      </c>
      <c r="J216" s="35" t="str">
        <f>_xlfn.XLOOKUP(I216,costcategory[Account Code],costcategory[Cost Category],"ERROR")</f>
        <v>Headcount Costs</v>
      </c>
      <c r="K216" s="89" t="str">
        <f t="shared" ref="K216:K279" si="4">_xlfn.XLOOKUP(D216,$AL$2:$AL$25,$AM$2:$AM$25,"ERROR")</f>
        <v>HR</v>
      </c>
      <c r="L216" s="89" t="str">
        <f>_xlfn.XLOOKUP(K216,Table2[Department],Table2[Group],"ERROR")</f>
        <v>General &amp; Administrative</v>
      </c>
    </row>
    <row r="217" spans="1:12" x14ac:dyDescent="0.2">
      <c r="A217" t="s">
        <v>2</v>
      </c>
      <c r="B217" s="38">
        <v>46081</v>
      </c>
      <c r="C217" s="38">
        <v>46094</v>
      </c>
      <c r="D217" t="s">
        <v>1133</v>
      </c>
      <c r="E217" t="s">
        <v>82</v>
      </c>
      <c r="F217" s="37">
        <v>104.15</v>
      </c>
      <c r="G217" s="39" cm="1">
        <f t="array" ref="G217">F217*_xlfn.XLOOKUP(1,
 (FOREX!$E$2:$E$13=EOMONTH(B217,0))*
 (FOREX!$F$2:$F$13=TRIM(E217)),FOREX!$G$2:$G$13,
 100)</f>
        <v>26.757384799999997</v>
      </c>
      <c r="H217" t="s">
        <v>1489</v>
      </c>
      <c r="I217" t="s">
        <v>364</v>
      </c>
      <c r="J217" s="35" t="str">
        <f>_xlfn.XLOOKUP(I217,costcategory[Account Code],costcategory[Cost Category],"ERROR")</f>
        <v>Headcount Costs</v>
      </c>
      <c r="K217" s="89" t="str">
        <f t="shared" si="4"/>
        <v>Finance</v>
      </c>
      <c r="L217" s="89" t="str">
        <f>_xlfn.XLOOKUP(K217,Table2[Department],Table2[Group],"ERROR")</f>
        <v>General &amp; Administrative</v>
      </c>
    </row>
    <row r="218" spans="1:12" x14ac:dyDescent="0.2">
      <c r="A218" t="s">
        <v>2</v>
      </c>
      <c r="B218" s="38">
        <v>46081</v>
      </c>
      <c r="C218" s="38">
        <v>46094</v>
      </c>
      <c r="D218" t="s">
        <v>1134</v>
      </c>
      <c r="E218" t="s">
        <v>82</v>
      </c>
      <c r="F218" s="37">
        <v>104.15</v>
      </c>
      <c r="G218" s="39" cm="1">
        <f t="array" ref="G218">F218*_xlfn.XLOOKUP(1,
 (FOREX!$E$2:$E$13=EOMONTH(B218,0))*
 (FOREX!$F$2:$F$13=TRIM(E218)),FOREX!$G$2:$G$13,
 100)</f>
        <v>26.757384799999997</v>
      </c>
      <c r="H218" t="s">
        <v>1489</v>
      </c>
      <c r="I218" t="s">
        <v>364</v>
      </c>
      <c r="J218" s="35" t="str">
        <f>_xlfn.XLOOKUP(I218,costcategory[Account Code],costcategory[Cost Category],"ERROR")</f>
        <v>Headcount Costs</v>
      </c>
      <c r="K218" s="89" t="str">
        <f t="shared" si="4"/>
        <v>DSC</v>
      </c>
      <c r="L218" s="89" t="str">
        <f>_xlfn.XLOOKUP(K218,Table2[Department],Table2[Group],"ERROR")</f>
        <v>DSC</v>
      </c>
    </row>
    <row r="219" spans="1:12" x14ac:dyDescent="0.2">
      <c r="A219" t="s">
        <v>2</v>
      </c>
      <c r="B219" s="38">
        <v>46081</v>
      </c>
      <c r="C219" s="38">
        <v>46094</v>
      </c>
      <c r="D219" t="s">
        <v>1136</v>
      </c>
      <c r="E219" t="s">
        <v>82</v>
      </c>
      <c r="F219" s="37">
        <v>104.15</v>
      </c>
      <c r="G219" s="39" cm="1">
        <f t="array" ref="G219">F219*_xlfn.XLOOKUP(1,
 (FOREX!$E$2:$E$13=EOMONTH(B219,0))*
 (FOREX!$F$2:$F$13=TRIM(E219)),FOREX!$G$2:$G$13,
 100)</f>
        <v>26.757384799999997</v>
      </c>
      <c r="H219" t="s">
        <v>1489</v>
      </c>
      <c r="I219" t="s">
        <v>364</v>
      </c>
      <c r="J219" s="35" t="str">
        <f>_xlfn.XLOOKUP(I219,costcategory[Account Code],costcategory[Cost Category],"ERROR")</f>
        <v>Headcount Costs</v>
      </c>
      <c r="K219" s="89" t="str">
        <f t="shared" si="4"/>
        <v>DSC</v>
      </c>
      <c r="L219" s="89" t="str">
        <f>_xlfn.XLOOKUP(K219,Table2[Department],Table2[Group],"ERROR")</f>
        <v>DSC</v>
      </c>
    </row>
    <row r="220" spans="1:12" x14ac:dyDescent="0.2">
      <c r="A220" t="s">
        <v>2</v>
      </c>
      <c r="B220" s="38">
        <v>46081</v>
      </c>
      <c r="C220" s="38">
        <v>46094</v>
      </c>
      <c r="D220" t="s">
        <v>1137</v>
      </c>
      <c r="E220" t="s">
        <v>82</v>
      </c>
      <c r="F220" s="37">
        <v>97.15</v>
      </c>
      <c r="G220" s="39" cm="1">
        <f t="array" ref="G220">F220*_xlfn.XLOOKUP(1,
 (FOREX!$E$2:$E$13=EOMONTH(B220,0))*
 (FOREX!$F$2:$F$13=TRIM(E220)),FOREX!$G$2:$G$13,
 100)</f>
        <v>24.959000799999998</v>
      </c>
      <c r="H220" t="s">
        <v>1489</v>
      </c>
      <c r="I220" t="s">
        <v>364</v>
      </c>
      <c r="J220" s="35" t="str">
        <f>_xlfn.XLOOKUP(I220,costcategory[Account Code],costcategory[Cost Category],"ERROR")</f>
        <v>Headcount Costs</v>
      </c>
      <c r="K220" s="89" t="str">
        <f t="shared" si="4"/>
        <v>DSC</v>
      </c>
      <c r="L220" s="89" t="str">
        <f>_xlfn.XLOOKUP(K220,Table2[Department],Table2[Group],"ERROR")</f>
        <v>DSC</v>
      </c>
    </row>
    <row r="221" spans="1:12" x14ac:dyDescent="0.2">
      <c r="A221" t="s">
        <v>2</v>
      </c>
      <c r="B221" s="38">
        <v>46081</v>
      </c>
      <c r="C221" s="38">
        <v>46094</v>
      </c>
      <c r="D221" t="s">
        <v>1139</v>
      </c>
      <c r="E221" t="s">
        <v>82</v>
      </c>
      <c r="F221" s="37">
        <v>104.15</v>
      </c>
      <c r="G221" s="39" cm="1">
        <f t="array" ref="G221">F221*_xlfn.XLOOKUP(1,
 (FOREX!$E$2:$E$13=EOMONTH(B221,0))*
 (FOREX!$F$2:$F$13=TRIM(E221)),FOREX!$G$2:$G$13,
 100)</f>
        <v>26.757384799999997</v>
      </c>
      <c r="H221" t="s">
        <v>1489</v>
      </c>
      <c r="I221" t="s">
        <v>364</v>
      </c>
      <c r="J221" s="35" t="str">
        <f>_xlfn.XLOOKUP(I221,costcategory[Account Code],costcategory[Cost Category],"ERROR")</f>
        <v>Headcount Costs</v>
      </c>
      <c r="K221" s="89" t="str">
        <f t="shared" si="4"/>
        <v>Business Operation</v>
      </c>
      <c r="L221" s="89" t="str">
        <f>_xlfn.XLOOKUP(K221,Table2[Department],Table2[Group],"ERROR")</f>
        <v>Sales &amp; Marketing</v>
      </c>
    </row>
    <row r="222" spans="1:12" x14ac:dyDescent="0.2">
      <c r="A222" t="s">
        <v>2</v>
      </c>
      <c r="B222" s="38">
        <v>46081</v>
      </c>
      <c r="C222" s="38">
        <v>46094</v>
      </c>
      <c r="D222" t="s">
        <v>1141</v>
      </c>
      <c r="E222" t="s">
        <v>82</v>
      </c>
      <c r="F222" s="37">
        <v>104.15</v>
      </c>
      <c r="G222" s="39" cm="1">
        <f t="array" ref="G222">F222*_xlfn.XLOOKUP(1,
 (FOREX!$E$2:$E$13=EOMONTH(B222,0))*
 (FOREX!$F$2:$F$13=TRIM(E222)),FOREX!$G$2:$G$13,
 100)</f>
        <v>26.757384799999997</v>
      </c>
      <c r="H222" t="s">
        <v>1489</v>
      </c>
      <c r="I222" t="s">
        <v>364</v>
      </c>
      <c r="J222" s="35" t="str">
        <f>_xlfn.XLOOKUP(I222,costcategory[Account Code],costcategory[Cost Category],"ERROR")</f>
        <v>Headcount Costs</v>
      </c>
      <c r="K222" s="89" t="str">
        <f t="shared" si="4"/>
        <v>DSC</v>
      </c>
      <c r="L222" s="89" t="str">
        <f>_xlfn.XLOOKUP(K222,Table2[Department],Table2[Group],"ERROR")</f>
        <v>DSC</v>
      </c>
    </row>
    <row r="223" spans="1:12" x14ac:dyDescent="0.2">
      <c r="A223" t="s">
        <v>2</v>
      </c>
      <c r="B223" s="38">
        <v>46081</v>
      </c>
      <c r="C223" s="38">
        <v>46094</v>
      </c>
      <c r="D223" t="s">
        <v>1143</v>
      </c>
      <c r="E223" t="s">
        <v>82</v>
      </c>
      <c r="F223" s="37">
        <v>104.15</v>
      </c>
      <c r="G223" s="39" cm="1">
        <f t="array" ref="G223">F223*_xlfn.XLOOKUP(1,
 (FOREX!$E$2:$E$13=EOMONTH(B223,0))*
 (FOREX!$F$2:$F$13=TRIM(E223)),FOREX!$G$2:$G$13,
 100)</f>
        <v>26.757384799999997</v>
      </c>
      <c r="H223" t="s">
        <v>1489</v>
      </c>
      <c r="I223" t="s">
        <v>364</v>
      </c>
      <c r="J223" s="35" t="str">
        <f>_xlfn.XLOOKUP(I223,costcategory[Account Code],costcategory[Cost Category],"ERROR")</f>
        <v>Headcount Costs</v>
      </c>
      <c r="K223" s="89" t="str">
        <f t="shared" si="4"/>
        <v>DSC</v>
      </c>
      <c r="L223" s="89" t="str">
        <f>_xlfn.XLOOKUP(K223,Table2[Department],Table2[Group],"ERROR")</f>
        <v>DSC</v>
      </c>
    </row>
    <row r="224" spans="1:12" x14ac:dyDescent="0.2">
      <c r="A224" t="s">
        <v>2</v>
      </c>
      <c r="B224" s="38">
        <v>46081</v>
      </c>
      <c r="C224" s="38">
        <v>46094</v>
      </c>
      <c r="D224" t="s">
        <v>1145</v>
      </c>
      <c r="E224" t="s">
        <v>82</v>
      </c>
      <c r="F224" s="37">
        <v>104.15</v>
      </c>
      <c r="G224" s="39" cm="1">
        <f t="array" ref="G224">F224*_xlfn.XLOOKUP(1,
 (FOREX!$E$2:$E$13=EOMONTH(B224,0))*
 (FOREX!$F$2:$F$13=TRIM(E224)),FOREX!$G$2:$G$13,
 100)</f>
        <v>26.757384799999997</v>
      </c>
      <c r="H224" t="s">
        <v>1489</v>
      </c>
      <c r="I224" t="s">
        <v>364</v>
      </c>
      <c r="J224" s="35" t="str">
        <f>_xlfn.XLOOKUP(I224,costcategory[Account Code],costcategory[Cost Category],"ERROR")</f>
        <v>Headcount Costs</v>
      </c>
      <c r="K224" s="89" t="str">
        <f t="shared" si="4"/>
        <v>DSC</v>
      </c>
      <c r="L224" s="89" t="str">
        <f>_xlfn.XLOOKUP(K224,Table2[Department],Table2[Group],"ERROR")</f>
        <v>DSC</v>
      </c>
    </row>
    <row r="225" spans="1:12" x14ac:dyDescent="0.2">
      <c r="A225" t="s">
        <v>2</v>
      </c>
      <c r="B225" s="38">
        <v>46081</v>
      </c>
      <c r="C225" s="38">
        <v>46094</v>
      </c>
      <c r="D225" t="s">
        <v>1147</v>
      </c>
      <c r="E225" t="s">
        <v>82</v>
      </c>
      <c r="F225" s="37">
        <v>104.15</v>
      </c>
      <c r="G225" s="39" cm="1">
        <f t="array" ref="G225">F225*_xlfn.XLOOKUP(1,
 (FOREX!$E$2:$E$13=EOMONTH(B225,0))*
 (FOREX!$F$2:$F$13=TRIM(E225)),FOREX!$G$2:$G$13,
 100)</f>
        <v>26.757384799999997</v>
      </c>
      <c r="H225" t="s">
        <v>1489</v>
      </c>
      <c r="I225" t="s">
        <v>364</v>
      </c>
      <c r="J225" s="35" t="str">
        <f>_xlfn.XLOOKUP(I225,costcategory[Account Code],costcategory[Cost Category],"ERROR")</f>
        <v>Headcount Costs</v>
      </c>
      <c r="K225" s="89" t="str">
        <f t="shared" si="4"/>
        <v>Finance</v>
      </c>
      <c r="L225" s="89" t="str">
        <f>_xlfn.XLOOKUP(K225,Table2[Department],Table2[Group],"ERROR")</f>
        <v>General &amp; Administrative</v>
      </c>
    </row>
    <row r="226" spans="1:12" x14ac:dyDescent="0.2">
      <c r="A226" t="s">
        <v>2</v>
      </c>
      <c r="B226" s="38">
        <v>46081</v>
      </c>
      <c r="C226" s="38">
        <v>46094</v>
      </c>
      <c r="D226" t="s">
        <v>1125</v>
      </c>
      <c r="E226" t="s">
        <v>82</v>
      </c>
      <c r="F226" s="37">
        <v>11.9</v>
      </c>
      <c r="G226" s="39" cm="1">
        <f t="array" ref="G226">F226*_xlfn.XLOOKUP(1,
 (FOREX!$E$2:$E$13=EOMONTH(B226,0))*
 (FOREX!$F$2:$F$13=TRIM(E226)),FOREX!$G$2:$G$13,
 100)</f>
        <v>3.0572527999999997</v>
      </c>
      <c r="H226" t="s">
        <v>1490</v>
      </c>
      <c r="I226" t="s">
        <v>364</v>
      </c>
      <c r="J226" s="35" t="str">
        <f>_xlfn.XLOOKUP(I226,costcategory[Account Code],costcategory[Cost Category],"ERROR")</f>
        <v>Headcount Costs</v>
      </c>
      <c r="K226" s="89" t="str">
        <f t="shared" si="4"/>
        <v>Sales &amp; Pre-Sales</v>
      </c>
      <c r="L226" s="89" t="str">
        <f>_xlfn.XLOOKUP(K226,Table2[Department],Table2[Group],"ERROR")</f>
        <v>Sales &amp; Marketing</v>
      </c>
    </row>
    <row r="227" spans="1:12" x14ac:dyDescent="0.2">
      <c r="A227" t="s">
        <v>2</v>
      </c>
      <c r="B227" s="38">
        <v>46081</v>
      </c>
      <c r="C227" s="38">
        <v>46094</v>
      </c>
      <c r="D227" t="s">
        <v>1127</v>
      </c>
      <c r="E227" t="s">
        <v>82</v>
      </c>
      <c r="F227" s="37">
        <v>9.1</v>
      </c>
      <c r="G227" s="39" cm="1">
        <f t="array" ref="G227">F227*_xlfn.XLOOKUP(1,
 (FOREX!$E$2:$E$13=EOMONTH(B227,0))*
 (FOREX!$F$2:$F$13=TRIM(E227)),FOREX!$G$2:$G$13,
 100)</f>
        <v>2.3378991999999998</v>
      </c>
      <c r="H227" t="s">
        <v>1490</v>
      </c>
      <c r="I227" t="s">
        <v>364</v>
      </c>
      <c r="J227" s="35" t="str">
        <f>_xlfn.XLOOKUP(I227,costcategory[Account Code],costcategory[Cost Category],"ERROR")</f>
        <v>Headcount Costs</v>
      </c>
      <c r="K227" s="89" t="str">
        <f t="shared" si="4"/>
        <v>DSC</v>
      </c>
      <c r="L227" s="89" t="str">
        <f>_xlfn.XLOOKUP(K227,Table2[Department],Table2[Group],"ERROR")</f>
        <v>DSC</v>
      </c>
    </row>
    <row r="228" spans="1:12" x14ac:dyDescent="0.2">
      <c r="A228" t="s">
        <v>2</v>
      </c>
      <c r="B228" s="38">
        <v>46081</v>
      </c>
      <c r="C228" s="38">
        <v>46094</v>
      </c>
      <c r="D228" t="s">
        <v>1128</v>
      </c>
      <c r="E228" t="s">
        <v>82</v>
      </c>
      <c r="F228" s="37">
        <v>11.9</v>
      </c>
      <c r="G228" s="39" cm="1">
        <f t="array" ref="G228">F228*_xlfn.XLOOKUP(1,
 (FOREX!$E$2:$E$13=EOMONTH(B228,0))*
 (FOREX!$F$2:$F$13=TRIM(E228)),FOREX!$G$2:$G$13,
 100)</f>
        <v>3.0572527999999997</v>
      </c>
      <c r="H228" t="s">
        <v>1490</v>
      </c>
      <c r="I228" t="s">
        <v>364</v>
      </c>
      <c r="J228" s="35" t="str">
        <f>_xlfn.XLOOKUP(I228,costcategory[Account Code],costcategory[Cost Category],"ERROR")</f>
        <v>Headcount Costs</v>
      </c>
      <c r="K228" s="89" t="str">
        <f t="shared" si="4"/>
        <v>Sales &amp; Pre-Sales</v>
      </c>
      <c r="L228" s="89" t="str">
        <f>_xlfn.XLOOKUP(K228,Table2[Department],Table2[Group],"ERROR")</f>
        <v>Sales &amp; Marketing</v>
      </c>
    </row>
    <row r="229" spans="1:12" x14ac:dyDescent="0.2">
      <c r="A229" t="s">
        <v>2</v>
      </c>
      <c r="B229" s="38">
        <v>46081</v>
      </c>
      <c r="C229" s="38">
        <v>46094</v>
      </c>
      <c r="D229" t="s">
        <v>1129</v>
      </c>
      <c r="E229" t="s">
        <v>82</v>
      </c>
      <c r="F229" s="37">
        <v>9.6999999999999993</v>
      </c>
      <c r="G229" s="39" cm="1">
        <f t="array" ref="G229">F229*_xlfn.XLOOKUP(1,
 (FOREX!$E$2:$E$13=EOMONTH(B229,0))*
 (FOREX!$F$2:$F$13=TRIM(E229)),FOREX!$G$2:$G$13,
 100)</f>
        <v>2.4920463999999996</v>
      </c>
      <c r="H229" t="s">
        <v>1490</v>
      </c>
      <c r="I229" t="s">
        <v>364</v>
      </c>
      <c r="J229" s="35" t="str">
        <f>_xlfn.XLOOKUP(I229,costcategory[Account Code],costcategory[Cost Category],"ERROR")</f>
        <v>Headcount Costs</v>
      </c>
      <c r="K229" s="89" t="str">
        <f t="shared" si="4"/>
        <v>Sales &amp; Pre-Sales</v>
      </c>
      <c r="L229" s="89" t="str">
        <f>_xlfn.XLOOKUP(K229,Table2[Department],Table2[Group],"ERROR")</f>
        <v>Sales &amp; Marketing</v>
      </c>
    </row>
    <row r="230" spans="1:12" x14ac:dyDescent="0.2">
      <c r="A230" t="s">
        <v>2</v>
      </c>
      <c r="B230" s="38">
        <v>46081</v>
      </c>
      <c r="C230" s="38">
        <v>46094</v>
      </c>
      <c r="D230" t="s">
        <v>1131</v>
      </c>
      <c r="E230" t="s">
        <v>82</v>
      </c>
      <c r="F230" s="37">
        <v>11.9</v>
      </c>
      <c r="G230" s="39" cm="1">
        <f t="array" ref="G230">F230*_xlfn.XLOOKUP(1,
 (FOREX!$E$2:$E$13=EOMONTH(B230,0))*
 (FOREX!$F$2:$F$13=TRIM(E230)),FOREX!$G$2:$G$13,
 100)</f>
        <v>3.0572527999999997</v>
      </c>
      <c r="H230" t="s">
        <v>1490</v>
      </c>
      <c r="I230" t="s">
        <v>364</v>
      </c>
      <c r="J230" s="35" t="str">
        <f>_xlfn.XLOOKUP(I230,costcategory[Account Code],costcategory[Cost Category],"ERROR")</f>
        <v>Headcount Costs</v>
      </c>
      <c r="K230" s="89" t="str">
        <f t="shared" si="4"/>
        <v>HR</v>
      </c>
      <c r="L230" s="89" t="str">
        <f>_xlfn.XLOOKUP(K230,Table2[Department],Table2[Group],"ERROR")</f>
        <v>General &amp; Administrative</v>
      </c>
    </row>
    <row r="231" spans="1:12" x14ac:dyDescent="0.2">
      <c r="A231" t="s">
        <v>2</v>
      </c>
      <c r="B231" s="38">
        <v>46081</v>
      </c>
      <c r="C231" s="38">
        <v>46094</v>
      </c>
      <c r="D231" t="s">
        <v>1133</v>
      </c>
      <c r="E231" t="s">
        <v>82</v>
      </c>
      <c r="F231" s="37">
        <v>11.9</v>
      </c>
      <c r="G231" s="39" cm="1">
        <f t="array" ref="G231">F231*_xlfn.XLOOKUP(1,
 (FOREX!$E$2:$E$13=EOMONTH(B231,0))*
 (FOREX!$F$2:$F$13=TRIM(E231)),FOREX!$G$2:$G$13,
 100)</f>
        <v>3.0572527999999997</v>
      </c>
      <c r="H231" t="s">
        <v>1490</v>
      </c>
      <c r="I231" t="s">
        <v>364</v>
      </c>
      <c r="J231" s="35" t="str">
        <f>_xlfn.XLOOKUP(I231,costcategory[Account Code],costcategory[Cost Category],"ERROR")</f>
        <v>Headcount Costs</v>
      </c>
      <c r="K231" s="89" t="str">
        <f t="shared" si="4"/>
        <v>Finance</v>
      </c>
      <c r="L231" s="89" t="str">
        <f>_xlfn.XLOOKUP(K231,Table2[Department],Table2[Group],"ERROR")</f>
        <v>General &amp; Administrative</v>
      </c>
    </row>
    <row r="232" spans="1:12" x14ac:dyDescent="0.2">
      <c r="A232" t="s">
        <v>2</v>
      </c>
      <c r="B232" s="38">
        <v>46081</v>
      </c>
      <c r="C232" s="38">
        <v>46094</v>
      </c>
      <c r="D232" t="s">
        <v>1134</v>
      </c>
      <c r="E232" t="s">
        <v>82</v>
      </c>
      <c r="F232" s="37">
        <v>11.9</v>
      </c>
      <c r="G232" s="39" cm="1">
        <f t="array" ref="G232">F232*_xlfn.XLOOKUP(1,
 (FOREX!$E$2:$E$13=EOMONTH(B232,0))*
 (FOREX!$F$2:$F$13=TRIM(E232)),FOREX!$G$2:$G$13,
 100)</f>
        <v>3.0572527999999997</v>
      </c>
      <c r="H232" t="s">
        <v>1490</v>
      </c>
      <c r="I232" t="s">
        <v>364</v>
      </c>
      <c r="J232" s="35" t="str">
        <f>_xlfn.XLOOKUP(I232,costcategory[Account Code],costcategory[Cost Category],"ERROR")</f>
        <v>Headcount Costs</v>
      </c>
      <c r="K232" s="89" t="str">
        <f t="shared" si="4"/>
        <v>DSC</v>
      </c>
      <c r="L232" s="89" t="str">
        <f>_xlfn.XLOOKUP(K232,Table2[Department],Table2[Group],"ERROR")</f>
        <v>DSC</v>
      </c>
    </row>
    <row r="233" spans="1:12" x14ac:dyDescent="0.2">
      <c r="A233" t="s">
        <v>2</v>
      </c>
      <c r="B233" s="38">
        <v>46081</v>
      </c>
      <c r="C233" s="38">
        <v>46094</v>
      </c>
      <c r="D233" t="s">
        <v>1136</v>
      </c>
      <c r="E233" t="s">
        <v>82</v>
      </c>
      <c r="F233" s="37">
        <v>11.9</v>
      </c>
      <c r="G233" s="39" cm="1">
        <f t="array" ref="G233">F233*_xlfn.XLOOKUP(1,
 (FOREX!$E$2:$E$13=EOMONTH(B233,0))*
 (FOREX!$F$2:$F$13=TRIM(E233)),FOREX!$G$2:$G$13,
 100)</f>
        <v>3.0572527999999997</v>
      </c>
      <c r="H233" t="s">
        <v>1490</v>
      </c>
      <c r="I233" t="s">
        <v>364</v>
      </c>
      <c r="J233" s="35" t="str">
        <f>_xlfn.XLOOKUP(I233,costcategory[Account Code],costcategory[Cost Category],"ERROR")</f>
        <v>Headcount Costs</v>
      </c>
      <c r="K233" s="89" t="str">
        <f t="shared" si="4"/>
        <v>DSC</v>
      </c>
      <c r="L233" s="89" t="str">
        <f>_xlfn.XLOOKUP(K233,Table2[Department],Table2[Group],"ERROR")</f>
        <v>DSC</v>
      </c>
    </row>
    <row r="234" spans="1:12" x14ac:dyDescent="0.2">
      <c r="A234" t="s">
        <v>2</v>
      </c>
      <c r="B234" s="38">
        <v>46081</v>
      </c>
      <c r="C234" s="38">
        <v>46094</v>
      </c>
      <c r="D234" t="s">
        <v>1137</v>
      </c>
      <c r="E234" t="s">
        <v>82</v>
      </c>
      <c r="F234" s="37">
        <v>11.1</v>
      </c>
      <c r="G234" s="39" cm="1">
        <f t="array" ref="G234">F234*_xlfn.XLOOKUP(1,
 (FOREX!$E$2:$E$13=EOMONTH(B234,0))*
 (FOREX!$F$2:$F$13=TRIM(E234)),FOREX!$G$2:$G$13,
 100)</f>
        <v>2.8517231999999995</v>
      </c>
      <c r="H234" t="s">
        <v>1490</v>
      </c>
      <c r="I234" t="s">
        <v>364</v>
      </c>
      <c r="J234" s="35" t="str">
        <f>_xlfn.XLOOKUP(I234,costcategory[Account Code],costcategory[Cost Category],"ERROR")</f>
        <v>Headcount Costs</v>
      </c>
      <c r="K234" s="89" t="str">
        <f t="shared" si="4"/>
        <v>DSC</v>
      </c>
      <c r="L234" s="89" t="str">
        <f>_xlfn.XLOOKUP(K234,Table2[Department],Table2[Group],"ERROR")</f>
        <v>DSC</v>
      </c>
    </row>
    <row r="235" spans="1:12" x14ac:dyDescent="0.2">
      <c r="A235" t="s">
        <v>2</v>
      </c>
      <c r="B235" s="38">
        <v>46081</v>
      </c>
      <c r="C235" s="38">
        <v>46094</v>
      </c>
      <c r="D235" t="s">
        <v>1139</v>
      </c>
      <c r="E235" t="s">
        <v>82</v>
      </c>
      <c r="F235" s="37">
        <v>0</v>
      </c>
      <c r="G235" s="39" cm="1">
        <f t="array" ref="G235">F235*_xlfn.XLOOKUP(1,
 (FOREX!$E$2:$E$13=EOMONTH(B235,0))*
 (FOREX!$F$2:$F$13=TRIM(E235)),FOREX!$G$2:$G$13,
 100)</f>
        <v>0</v>
      </c>
      <c r="H235" t="s">
        <v>1490</v>
      </c>
      <c r="I235" t="s">
        <v>364</v>
      </c>
      <c r="J235" s="35" t="str">
        <f>_xlfn.XLOOKUP(I235,costcategory[Account Code],costcategory[Cost Category],"ERROR")</f>
        <v>Headcount Costs</v>
      </c>
      <c r="K235" s="89" t="str">
        <f t="shared" si="4"/>
        <v>Business Operation</v>
      </c>
      <c r="L235" s="89" t="str">
        <f>_xlfn.XLOOKUP(K235,Table2[Department],Table2[Group],"ERROR")</f>
        <v>Sales &amp; Marketing</v>
      </c>
    </row>
    <row r="236" spans="1:12" x14ac:dyDescent="0.2">
      <c r="A236" t="s">
        <v>2</v>
      </c>
      <c r="B236" s="38">
        <v>46081</v>
      </c>
      <c r="C236" s="38">
        <v>46094</v>
      </c>
      <c r="D236" t="s">
        <v>1141</v>
      </c>
      <c r="E236" t="s">
        <v>82</v>
      </c>
      <c r="F236" s="37">
        <v>11.9</v>
      </c>
      <c r="G236" s="39" cm="1">
        <f t="array" ref="G236">F236*_xlfn.XLOOKUP(1,
 (FOREX!$E$2:$E$13=EOMONTH(B236,0))*
 (FOREX!$F$2:$F$13=TRIM(E236)),FOREX!$G$2:$G$13,
 100)</f>
        <v>3.0572527999999997</v>
      </c>
      <c r="H236" t="s">
        <v>1490</v>
      </c>
      <c r="I236" t="s">
        <v>364</v>
      </c>
      <c r="J236" s="35" t="str">
        <f>_xlfn.XLOOKUP(I236,costcategory[Account Code],costcategory[Cost Category],"ERROR")</f>
        <v>Headcount Costs</v>
      </c>
      <c r="K236" s="89" t="str">
        <f t="shared" si="4"/>
        <v>DSC</v>
      </c>
      <c r="L236" s="89" t="str">
        <f>_xlfn.XLOOKUP(K236,Table2[Department],Table2[Group],"ERROR")</f>
        <v>DSC</v>
      </c>
    </row>
    <row r="237" spans="1:12" x14ac:dyDescent="0.2">
      <c r="A237" t="s">
        <v>2</v>
      </c>
      <c r="B237" s="38">
        <v>46081</v>
      </c>
      <c r="C237" s="38">
        <v>46094</v>
      </c>
      <c r="D237" t="s">
        <v>1143</v>
      </c>
      <c r="E237" t="s">
        <v>82</v>
      </c>
      <c r="F237" s="37">
        <v>11.9</v>
      </c>
      <c r="G237" s="39" cm="1">
        <f t="array" ref="G237">F237*_xlfn.XLOOKUP(1,
 (FOREX!$E$2:$E$13=EOMONTH(B237,0))*
 (FOREX!$F$2:$F$13=TRIM(E237)),FOREX!$G$2:$G$13,
 100)</f>
        <v>3.0572527999999997</v>
      </c>
      <c r="H237" t="s">
        <v>1490</v>
      </c>
      <c r="I237" t="s">
        <v>364</v>
      </c>
      <c r="J237" s="35" t="str">
        <f>_xlfn.XLOOKUP(I237,costcategory[Account Code],costcategory[Cost Category],"ERROR")</f>
        <v>Headcount Costs</v>
      </c>
      <c r="K237" s="89" t="str">
        <f t="shared" si="4"/>
        <v>DSC</v>
      </c>
      <c r="L237" s="89" t="str">
        <f>_xlfn.XLOOKUP(K237,Table2[Department],Table2[Group],"ERROR")</f>
        <v>DSC</v>
      </c>
    </row>
    <row r="238" spans="1:12" x14ac:dyDescent="0.2">
      <c r="A238" t="s">
        <v>2</v>
      </c>
      <c r="B238" s="38">
        <v>46081</v>
      </c>
      <c r="C238" s="38">
        <v>46094</v>
      </c>
      <c r="D238" t="s">
        <v>1145</v>
      </c>
      <c r="E238" t="s">
        <v>82</v>
      </c>
      <c r="F238" s="37">
        <v>11.9</v>
      </c>
      <c r="G238" s="39" cm="1">
        <f t="array" ref="G238">F238*_xlfn.XLOOKUP(1,
 (FOREX!$E$2:$E$13=EOMONTH(B238,0))*
 (FOREX!$F$2:$F$13=TRIM(E238)),FOREX!$G$2:$G$13,
 100)</f>
        <v>3.0572527999999997</v>
      </c>
      <c r="H238" t="s">
        <v>1490</v>
      </c>
      <c r="I238" t="s">
        <v>364</v>
      </c>
      <c r="J238" s="35" t="str">
        <f>_xlfn.XLOOKUP(I238,costcategory[Account Code],costcategory[Cost Category],"ERROR")</f>
        <v>Headcount Costs</v>
      </c>
      <c r="K238" s="89" t="str">
        <f t="shared" si="4"/>
        <v>DSC</v>
      </c>
      <c r="L238" s="89" t="str">
        <f>_xlfn.XLOOKUP(K238,Table2[Department],Table2[Group],"ERROR")</f>
        <v>DSC</v>
      </c>
    </row>
    <row r="239" spans="1:12" x14ac:dyDescent="0.2">
      <c r="A239" t="s">
        <v>2</v>
      </c>
      <c r="B239" s="38">
        <v>46081</v>
      </c>
      <c r="C239" s="38">
        <v>46094</v>
      </c>
      <c r="D239" t="s">
        <v>1147</v>
      </c>
      <c r="E239" t="s">
        <v>82</v>
      </c>
      <c r="F239" s="37">
        <v>11.9</v>
      </c>
      <c r="G239" s="39" cm="1">
        <f t="array" ref="G239">F239*_xlfn.XLOOKUP(1,
 (FOREX!$E$2:$E$13=EOMONTH(B239,0))*
 (FOREX!$F$2:$F$13=TRIM(E239)),FOREX!$G$2:$G$13,
 100)</f>
        <v>3.0572527999999997</v>
      </c>
      <c r="H239" t="s">
        <v>1490</v>
      </c>
      <c r="I239" t="s">
        <v>364</v>
      </c>
      <c r="J239" s="35" t="str">
        <f>_xlfn.XLOOKUP(I239,costcategory[Account Code],costcategory[Cost Category],"ERROR")</f>
        <v>Headcount Costs</v>
      </c>
      <c r="K239" s="89" t="str">
        <f t="shared" si="4"/>
        <v>Finance</v>
      </c>
      <c r="L239" s="89" t="str">
        <f>_xlfn.XLOOKUP(K239,Table2[Department],Table2[Group],"ERROR")</f>
        <v>General &amp; Administrative</v>
      </c>
    </row>
    <row r="240" spans="1:12" x14ac:dyDescent="0.2">
      <c r="A240" t="s">
        <v>2</v>
      </c>
      <c r="B240" s="38">
        <v>46112</v>
      </c>
      <c r="C240" s="38">
        <v>46112</v>
      </c>
      <c r="D240" t="s">
        <v>1125</v>
      </c>
      <c r="E240" t="s">
        <v>82</v>
      </c>
      <c r="F240" s="37">
        <v>18018.849999999999</v>
      </c>
      <c r="G240" s="39" cm="1">
        <f t="array" ref="G240">F240*_xlfn.XLOOKUP(1,
 (FOREX!$E$2:$E$13=EOMONTH(B240,0))*
 (FOREX!$F$2:$F$13=TRIM(E240)),FOREX!$G$2:$G$13,
 100)</f>
        <v>4450.7460442499996</v>
      </c>
      <c r="H240" t="s">
        <v>412</v>
      </c>
      <c r="I240" t="s">
        <v>387</v>
      </c>
      <c r="J240" s="35" t="str">
        <f>_xlfn.XLOOKUP(I240,costcategory[Account Code],costcategory[Cost Category],"ERROR")</f>
        <v>Headcount Costs</v>
      </c>
      <c r="K240" s="89" t="str">
        <f t="shared" si="4"/>
        <v>Sales &amp; Pre-Sales</v>
      </c>
      <c r="L240" s="89" t="str">
        <f>_xlfn.XLOOKUP(K240,Table2[Department],Table2[Group],"ERROR")</f>
        <v>Sales &amp; Marketing</v>
      </c>
    </row>
    <row r="241" spans="1:12" x14ac:dyDescent="0.2">
      <c r="A241" t="s">
        <v>2</v>
      </c>
      <c r="B241" s="38">
        <v>46112</v>
      </c>
      <c r="C241" s="38">
        <v>46112</v>
      </c>
      <c r="D241" t="s">
        <v>1127</v>
      </c>
      <c r="E241" t="s">
        <v>82</v>
      </c>
      <c r="F241" s="37">
        <f>5838.15-F242</f>
        <v>3588.1499999999996</v>
      </c>
      <c r="G241" s="39" cm="1">
        <f t="array" ref="G241">F241*_xlfn.XLOOKUP(1,
 (FOREX!$E$2:$E$13=EOMONTH(B241,0))*
 (FOREX!$F$2:$F$13=TRIM(E241)),FOREX!$G$2:$G$13,
 100)</f>
        <v>886.29099074999988</v>
      </c>
      <c r="H241" t="s">
        <v>412</v>
      </c>
      <c r="I241" t="s">
        <v>387</v>
      </c>
      <c r="J241" s="35" t="str">
        <f>_xlfn.XLOOKUP(I241,costcategory[Account Code],costcategory[Cost Category],"ERROR")</f>
        <v>Headcount Costs</v>
      </c>
      <c r="K241" s="89" t="str">
        <f t="shared" si="4"/>
        <v>DSC</v>
      </c>
      <c r="L241" s="89" t="str">
        <f>_xlfn.XLOOKUP(K241,Table2[Department],Table2[Group],"ERROR")</f>
        <v>DSC</v>
      </c>
    </row>
    <row r="242" spans="1:12" x14ac:dyDescent="0.2">
      <c r="A242" t="s">
        <v>2</v>
      </c>
      <c r="B242" s="38">
        <v>46112</v>
      </c>
      <c r="C242" s="38">
        <v>46112</v>
      </c>
      <c r="D242" t="s">
        <v>1127</v>
      </c>
      <c r="E242" t="s">
        <v>82</v>
      </c>
      <c r="F242" s="37">
        <v>2250</v>
      </c>
      <c r="G242" s="39" cm="1">
        <f t="array" ref="G242">F242*_xlfn.XLOOKUP(1,
 (FOREX!$E$2:$E$13=EOMONTH(B242,0))*
 (FOREX!$F$2:$F$13=TRIM(E242)),FOREX!$G$2:$G$13,
 100)</f>
        <v>555.76125000000002</v>
      </c>
      <c r="H242" t="s">
        <v>1491</v>
      </c>
      <c r="I242" t="s">
        <v>1160</v>
      </c>
      <c r="J242" s="35" t="str">
        <f>_xlfn.XLOOKUP(I242,costcategory[Account Code],costcategory[Cost Category],"ERROR")</f>
        <v>Headcount Costs</v>
      </c>
      <c r="K242" s="89" t="str">
        <f t="shared" si="4"/>
        <v>DSC</v>
      </c>
      <c r="L242" s="89" t="str">
        <f>_xlfn.XLOOKUP(K242,Table2[Department],Table2[Group],"ERROR")</f>
        <v>DSC</v>
      </c>
    </row>
    <row r="243" spans="1:12" x14ac:dyDescent="0.2">
      <c r="A243" t="s">
        <v>2</v>
      </c>
      <c r="B243" s="38">
        <v>46112</v>
      </c>
      <c r="C243" s="38">
        <v>46112</v>
      </c>
      <c r="D243" t="s">
        <v>1129</v>
      </c>
      <c r="E243" t="s">
        <v>82</v>
      </c>
      <c r="F243" s="37">
        <v>5687.9</v>
      </c>
      <c r="G243" s="39" cm="1">
        <f t="array" ref="G243">F243*_xlfn.XLOOKUP(1,
 (FOREX!$E$2:$E$13=EOMONTH(B243,0))*
 (FOREX!$F$2:$F$13=TRIM(E243)),FOREX!$G$2:$G$13,
 100)</f>
        <v>1404.9397394999999</v>
      </c>
      <c r="H243" t="s">
        <v>412</v>
      </c>
      <c r="I243" t="s">
        <v>387</v>
      </c>
      <c r="J243" s="35" t="str">
        <f>_xlfn.XLOOKUP(I243,costcategory[Account Code],costcategory[Cost Category],"ERROR")</f>
        <v>Headcount Costs</v>
      </c>
      <c r="K243" s="89" t="str">
        <f t="shared" si="4"/>
        <v>Sales &amp; Pre-Sales</v>
      </c>
      <c r="L243" s="89" t="str">
        <f>_xlfn.XLOOKUP(K243,Table2[Department],Table2[Group],"ERROR")</f>
        <v>Sales &amp; Marketing</v>
      </c>
    </row>
    <row r="244" spans="1:12" x14ac:dyDescent="0.2">
      <c r="A244" t="s">
        <v>2</v>
      </c>
      <c r="B244" s="38">
        <v>46112</v>
      </c>
      <c r="C244" s="38">
        <v>46112</v>
      </c>
      <c r="D244" t="s">
        <v>1129</v>
      </c>
      <c r="E244" t="s">
        <v>82</v>
      </c>
      <c r="F244" s="37">
        <v>1769</v>
      </c>
      <c r="G244" s="39" cm="1">
        <f t="array" ref="G244">F244*_xlfn.XLOOKUP(1,
 (FOREX!$E$2:$E$13=EOMONTH(B244,0))*
 (FOREX!$F$2:$F$13=TRIM(E244)),FOREX!$G$2:$G$13,
 100)</f>
        <v>436.95184499999999</v>
      </c>
      <c r="H244" t="s">
        <v>1491</v>
      </c>
      <c r="I244" t="s">
        <v>1160</v>
      </c>
      <c r="J244" s="35" t="str">
        <f>_xlfn.XLOOKUP(I244,costcategory[Account Code],costcategory[Cost Category],"ERROR")</f>
        <v>Headcount Costs</v>
      </c>
      <c r="K244" s="89" t="str">
        <f t="shared" si="4"/>
        <v>Sales &amp; Pre-Sales</v>
      </c>
      <c r="L244" s="89" t="str">
        <f>_xlfn.XLOOKUP(K244,Table2[Department],Table2[Group],"ERROR")</f>
        <v>Sales &amp; Marketing</v>
      </c>
    </row>
    <row r="245" spans="1:12" x14ac:dyDescent="0.2">
      <c r="A245" t="s">
        <v>2</v>
      </c>
      <c r="B245" s="38">
        <v>46112</v>
      </c>
      <c r="C245" s="38">
        <v>46112</v>
      </c>
      <c r="D245" t="s">
        <v>1131</v>
      </c>
      <c r="E245" t="s">
        <v>82</v>
      </c>
      <c r="F245" s="37">
        <v>9273.15</v>
      </c>
      <c r="G245" s="39" cm="1">
        <f t="array" ref="G245">F245*_xlfn.XLOOKUP(1,
 (FOREX!$E$2:$E$13=EOMONTH(B245,0))*
 (FOREX!$F$2:$F$13=TRIM(E245)),FOREX!$G$2:$G$13,
 100)</f>
        <v>2290.5144157499999</v>
      </c>
      <c r="H245" t="s">
        <v>412</v>
      </c>
      <c r="I245" t="s">
        <v>387</v>
      </c>
      <c r="J245" s="35" t="str">
        <f>_xlfn.XLOOKUP(I245,costcategory[Account Code],costcategory[Cost Category],"ERROR")</f>
        <v>Headcount Costs</v>
      </c>
      <c r="K245" s="89" t="str">
        <f t="shared" si="4"/>
        <v>HR</v>
      </c>
      <c r="L245" s="89" t="str">
        <f>_xlfn.XLOOKUP(K245,Table2[Department],Table2[Group],"ERROR")</f>
        <v>General &amp; Administrative</v>
      </c>
    </row>
    <row r="246" spans="1:12" x14ac:dyDescent="0.2">
      <c r="A246" t="s">
        <v>2</v>
      </c>
      <c r="B246" s="38">
        <v>46112</v>
      </c>
      <c r="C246" s="38">
        <v>46112</v>
      </c>
      <c r="D246" t="s">
        <v>1133</v>
      </c>
      <c r="E246" t="s">
        <v>82</v>
      </c>
      <c r="F246" s="37">
        <f>15301.9-F247-F248</f>
        <v>6200.9</v>
      </c>
      <c r="G246" s="39" cm="1">
        <f t="array" ref="G246">F246*_xlfn.XLOOKUP(1,
 (FOREX!$E$2:$E$13=EOMONTH(B246,0))*
 (FOREX!$F$2:$F$13=TRIM(E246)),FOREX!$G$2:$G$13,
 100)</f>
        <v>1531.6533044999999</v>
      </c>
      <c r="H246" t="s">
        <v>412</v>
      </c>
      <c r="I246" t="s">
        <v>387</v>
      </c>
      <c r="J246" s="35" t="str">
        <f>_xlfn.XLOOKUP(I246,costcategory[Account Code],costcategory[Cost Category],"ERROR")</f>
        <v>Headcount Costs</v>
      </c>
      <c r="K246" s="89" t="str">
        <f t="shared" si="4"/>
        <v>Finance</v>
      </c>
      <c r="L246" s="89" t="str">
        <f>_xlfn.XLOOKUP(K246,Table2[Department],Table2[Group],"ERROR")</f>
        <v>General &amp; Administrative</v>
      </c>
    </row>
    <row r="247" spans="1:12" x14ac:dyDescent="0.2">
      <c r="A247" t="s">
        <v>2</v>
      </c>
      <c r="B247" s="38">
        <v>46112</v>
      </c>
      <c r="C247" s="38">
        <v>46112</v>
      </c>
      <c r="D247" t="s">
        <v>1133</v>
      </c>
      <c r="E247" t="s">
        <v>82</v>
      </c>
      <c r="F247" s="37">
        <v>6101</v>
      </c>
      <c r="G247" s="39" cm="1">
        <f t="array" ref="G247">F247*_xlfn.XLOOKUP(1,
 (FOREX!$E$2:$E$13=EOMONTH(B247,0))*
 (FOREX!$F$2:$F$13=TRIM(E247)),FOREX!$G$2:$G$13,
 100)</f>
        <v>1506.9775050000001</v>
      </c>
      <c r="H247" t="s">
        <v>1491</v>
      </c>
      <c r="I247" t="s">
        <v>1160</v>
      </c>
      <c r="J247" s="35" t="str">
        <f>_xlfn.XLOOKUP(I247,costcategory[Account Code],costcategory[Cost Category],"ERROR")</f>
        <v>Headcount Costs</v>
      </c>
      <c r="K247" s="89" t="str">
        <f t="shared" si="4"/>
        <v>Finance</v>
      </c>
      <c r="L247" s="89" t="str">
        <f>_xlfn.XLOOKUP(K247,Table2[Department],Table2[Group],"ERROR")</f>
        <v>General &amp; Administrative</v>
      </c>
    </row>
    <row r="248" spans="1:12" x14ac:dyDescent="0.2">
      <c r="A248" t="s">
        <v>2</v>
      </c>
      <c r="B248" s="38">
        <v>46112</v>
      </c>
      <c r="C248" s="38">
        <v>46112</v>
      </c>
      <c r="D248" t="s">
        <v>1133</v>
      </c>
      <c r="E248" t="s">
        <v>82</v>
      </c>
      <c r="F248" s="37">
        <v>3000</v>
      </c>
      <c r="G248" s="39" cm="1">
        <f t="array" ref="G248">F248*_xlfn.XLOOKUP(1,
 (FOREX!$E$2:$E$13=EOMONTH(B248,0))*
 (FOREX!$F$2:$F$13=TRIM(E248)),FOREX!$G$2:$G$13,
 100)</f>
        <v>741.01499999999999</v>
      </c>
      <c r="H248" t="s">
        <v>1492</v>
      </c>
      <c r="I248" t="s">
        <v>1160</v>
      </c>
      <c r="J248" s="35" t="str">
        <f>_xlfn.XLOOKUP(I248,costcategory[Account Code],costcategory[Cost Category],"ERROR")</f>
        <v>Headcount Costs</v>
      </c>
      <c r="K248" s="89" t="str">
        <f t="shared" si="4"/>
        <v>Finance</v>
      </c>
      <c r="L248" s="89" t="str">
        <f>_xlfn.XLOOKUP(K248,Table2[Department],Table2[Group],"ERROR")</f>
        <v>General &amp; Administrative</v>
      </c>
    </row>
    <row r="249" spans="1:12" x14ac:dyDescent="0.2">
      <c r="A249" t="s">
        <v>2</v>
      </c>
      <c r="B249" s="38">
        <v>46112</v>
      </c>
      <c r="C249" s="38">
        <v>46112</v>
      </c>
      <c r="D249" t="s">
        <v>1134</v>
      </c>
      <c r="E249" t="s">
        <v>82</v>
      </c>
      <c r="F249" s="37">
        <f>30036.35-F250-F251</f>
        <v>10258.349999999999</v>
      </c>
      <c r="G249" s="39" cm="1">
        <f t="array" ref="G249">F249*_xlfn.XLOOKUP(1,
 (FOREX!$E$2:$E$13=EOMONTH(B249,0))*
 (FOREX!$F$2:$F$13=TRIM(E249)),FOREX!$G$2:$G$13,
 100)</f>
        <v>2533.8637417499995</v>
      </c>
      <c r="H249" t="s">
        <v>412</v>
      </c>
      <c r="I249" t="s">
        <v>387</v>
      </c>
      <c r="J249" s="35" t="str">
        <f>_xlfn.XLOOKUP(I249,costcategory[Account Code],costcategory[Cost Category],"ERROR")</f>
        <v>Headcount Costs</v>
      </c>
      <c r="K249" s="89" t="str">
        <f t="shared" si="4"/>
        <v>DSC</v>
      </c>
      <c r="L249" s="89" t="str">
        <f>_xlfn.XLOOKUP(K249,Table2[Department],Table2[Group],"ERROR")</f>
        <v>DSC</v>
      </c>
    </row>
    <row r="250" spans="1:12" x14ac:dyDescent="0.2">
      <c r="A250" t="s">
        <v>2</v>
      </c>
      <c r="B250" s="38">
        <v>46112</v>
      </c>
      <c r="C250" s="38">
        <v>46112</v>
      </c>
      <c r="D250" t="s">
        <v>1134</v>
      </c>
      <c r="E250" t="s">
        <v>82</v>
      </c>
      <c r="F250" s="37">
        <v>13778</v>
      </c>
      <c r="G250" s="39" cm="1">
        <f t="array" ref="G250">F250*_xlfn.XLOOKUP(1,
 (FOREX!$E$2:$E$13=EOMONTH(B250,0))*
 (FOREX!$F$2:$F$13=TRIM(E250)),FOREX!$G$2:$G$13,
 100)</f>
        <v>3403.2348900000002</v>
      </c>
      <c r="H250" t="s">
        <v>1491</v>
      </c>
      <c r="I250" t="s">
        <v>1160</v>
      </c>
      <c r="J250" s="35" t="str">
        <f>_xlfn.XLOOKUP(I250,costcategory[Account Code],costcategory[Cost Category],"ERROR")</f>
        <v>Headcount Costs</v>
      </c>
      <c r="K250" s="89" t="str">
        <f t="shared" si="4"/>
        <v>DSC</v>
      </c>
      <c r="L250" s="89" t="str">
        <f>_xlfn.XLOOKUP(K250,Table2[Department],Table2[Group],"ERROR")</f>
        <v>DSC</v>
      </c>
    </row>
    <row r="251" spans="1:12" x14ac:dyDescent="0.2">
      <c r="A251" t="s">
        <v>2</v>
      </c>
      <c r="B251" s="38">
        <v>46112</v>
      </c>
      <c r="C251" s="38">
        <v>46112</v>
      </c>
      <c r="D251" t="s">
        <v>1134</v>
      </c>
      <c r="E251" t="s">
        <v>82</v>
      </c>
      <c r="F251" s="37">
        <v>6000</v>
      </c>
      <c r="G251" s="39" cm="1">
        <f t="array" ref="G251">F251*_xlfn.XLOOKUP(1,
 (FOREX!$E$2:$E$13=EOMONTH(B251,0))*
 (FOREX!$F$2:$F$13=TRIM(E251)),FOREX!$G$2:$G$13,
 100)</f>
        <v>1482.03</v>
      </c>
      <c r="H251" t="s">
        <v>1492</v>
      </c>
      <c r="I251" t="s">
        <v>1160</v>
      </c>
      <c r="J251" s="35" t="str">
        <f>_xlfn.XLOOKUP(I251,costcategory[Account Code],costcategory[Cost Category],"ERROR")</f>
        <v>Headcount Costs</v>
      </c>
      <c r="K251" s="89" t="str">
        <f t="shared" si="4"/>
        <v>DSC</v>
      </c>
      <c r="L251" s="89" t="str">
        <f>_xlfn.XLOOKUP(K251,Table2[Department],Table2[Group],"ERROR")</f>
        <v>DSC</v>
      </c>
    </row>
    <row r="252" spans="1:12" x14ac:dyDescent="0.2">
      <c r="A252" t="s">
        <v>2</v>
      </c>
      <c r="B252" s="38">
        <v>46112</v>
      </c>
      <c r="C252" s="38">
        <v>46112</v>
      </c>
      <c r="D252" t="s">
        <v>1136</v>
      </c>
      <c r="E252" t="s">
        <v>82</v>
      </c>
      <c r="F252" s="37">
        <f>14870.35-F253</f>
        <v>9488.35</v>
      </c>
      <c r="G252" s="39" cm="1">
        <f t="array" ref="G252">F252*_xlfn.XLOOKUP(1,
 (FOREX!$E$2:$E$13=EOMONTH(B252,0))*
 (FOREX!$F$2:$F$13=TRIM(E252)),FOREX!$G$2:$G$13,
 100)</f>
        <v>2343.6698917500003</v>
      </c>
      <c r="H252" t="s">
        <v>412</v>
      </c>
      <c r="I252" t="s">
        <v>387</v>
      </c>
      <c r="J252" s="35" t="str">
        <f>_xlfn.XLOOKUP(I252,costcategory[Account Code],costcategory[Cost Category],"ERROR")</f>
        <v>Headcount Costs</v>
      </c>
      <c r="K252" s="89" t="str">
        <f t="shared" si="4"/>
        <v>DSC</v>
      </c>
      <c r="L252" s="89" t="str">
        <f>_xlfn.XLOOKUP(K252,Table2[Department],Table2[Group],"ERROR")</f>
        <v>DSC</v>
      </c>
    </row>
    <row r="253" spans="1:12" x14ac:dyDescent="0.2">
      <c r="A253" t="s">
        <v>2</v>
      </c>
      <c r="B253" s="38">
        <v>46112</v>
      </c>
      <c r="C253" s="38">
        <v>46112</v>
      </c>
      <c r="D253" t="s">
        <v>1136</v>
      </c>
      <c r="E253" t="s">
        <v>82</v>
      </c>
      <c r="F253" s="37">
        <v>5382</v>
      </c>
      <c r="G253" s="39" cm="1">
        <f t="array" ref="G253">F253*_xlfn.XLOOKUP(1,
 (FOREX!$E$2:$E$13=EOMONTH(B253,0))*
 (FOREX!$F$2:$F$13=TRIM(E253)),FOREX!$G$2:$G$13,
 100)</f>
        <v>1329.3809100000001</v>
      </c>
      <c r="H253" t="s">
        <v>1491</v>
      </c>
      <c r="I253" t="s">
        <v>1160</v>
      </c>
      <c r="J253" s="35" t="str">
        <f>_xlfn.XLOOKUP(I253,costcategory[Account Code],costcategory[Cost Category],"ERROR")</f>
        <v>Headcount Costs</v>
      </c>
      <c r="K253" s="89" t="str">
        <f t="shared" si="4"/>
        <v>DSC</v>
      </c>
      <c r="L253" s="89" t="str">
        <f>_xlfn.XLOOKUP(K253,Table2[Department],Table2[Group],"ERROR")</f>
        <v>DSC</v>
      </c>
    </row>
    <row r="254" spans="1:12" x14ac:dyDescent="0.2">
      <c r="A254" t="s">
        <v>2</v>
      </c>
      <c r="B254" s="38">
        <v>46112</v>
      </c>
      <c r="C254" s="38">
        <v>46112</v>
      </c>
      <c r="D254" t="s">
        <v>1137</v>
      </c>
      <c r="E254" t="s">
        <v>82</v>
      </c>
      <c r="F254" s="37">
        <f>6283.8-F255</f>
        <v>4348.8</v>
      </c>
      <c r="G254" s="39" cm="1">
        <f t="array" ref="G254">F254*_xlfn.XLOOKUP(1,
 (FOREX!$E$2:$E$13=EOMONTH(B254,0))*
 (FOREX!$F$2:$F$13=TRIM(E254)),FOREX!$G$2:$G$13,
 100)</f>
        <v>1074.175344</v>
      </c>
      <c r="H254" t="s">
        <v>412</v>
      </c>
      <c r="I254" t="s">
        <v>387</v>
      </c>
      <c r="J254" s="35" t="str">
        <f>_xlfn.XLOOKUP(I254,costcategory[Account Code],costcategory[Cost Category],"ERROR")</f>
        <v>Headcount Costs</v>
      </c>
      <c r="K254" s="89" t="str">
        <f t="shared" si="4"/>
        <v>DSC</v>
      </c>
      <c r="L254" s="89" t="str">
        <f>_xlfn.XLOOKUP(K254,Table2[Department],Table2[Group],"ERROR")</f>
        <v>DSC</v>
      </c>
    </row>
    <row r="255" spans="1:12" x14ac:dyDescent="0.2">
      <c r="A255" t="s">
        <v>2</v>
      </c>
      <c r="B255" s="38">
        <v>46112</v>
      </c>
      <c r="C255" s="38">
        <v>46112</v>
      </c>
      <c r="D255" t="s">
        <v>1137</v>
      </c>
      <c r="E255" t="s">
        <v>82</v>
      </c>
      <c r="F255" s="37">
        <v>1935</v>
      </c>
      <c r="G255" s="39" cm="1">
        <f t="array" ref="G255">F255*_xlfn.XLOOKUP(1,
 (FOREX!$E$2:$E$13=EOMONTH(B255,0))*
 (FOREX!$F$2:$F$13=TRIM(E255)),FOREX!$G$2:$G$13,
 100)</f>
        <v>477.95467500000001</v>
      </c>
      <c r="H255" t="s">
        <v>1491</v>
      </c>
      <c r="I255" t="s">
        <v>1160</v>
      </c>
      <c r="J255" s="35" t="str">
        <f>_xlfn.XLOOKUP(I255,costcategory[Account Code],costcategory[Cost Category],"ERROR")</f>
        <v>Headcount Costs</v>
      </c>
      <c r="K255" s="89" t="str">
        <f t="shared" si="4"/>
        <v>DSC</v>
      </c>
      <c r="L255" s="89" t="str">
        <f>_xlfn.XLOOKUP(K255,Table2[Department],Table2[Group],"ERROR")</f>
        <v>DSC</v>
      </c>
    </row>
    <row r="256" spans="1:12" x14ac:dyDescent="0.2">
      <c r="A256" t="s">
        <v>2</v>
      </c>
      <c r="B256" s="38">
        <v>46112</v>
      </c>
      <c r="C256" s="38">
        <v>46112</v>
      </c>
      <c r="D256" t="s">
        <v>1139</v>
      </c>
      <c r="E256" t="s">
        <v>82</v>
      </c>
      <c r="F256" s="37">
        <f>22130.55-F257</f>
        <v>13424.55</v>
      </c>
      <c r="G256" s="39" cm="1">
        <f t="array" ref="G256">F256*_xlfn.XLOOKUP(1,
 (FOREX!$E$2:$E$13=EOMONTH(B256,0))*
 (FOREX!$F$2:$F$13=TRIM(E256)),FOREX!$G$2:$G$13,
 100)</f>
        <v>3315.9309727499999</v>
      </c>
      <c r="H256" t="s">
        <v>412</v>
      </c>
      <c r="I256" t="s">
        <v>387</v>
      </c>
      <c r="J256" s="35" t="str">
        <f>_xlfn.XLOOKUP(I256,costcategory[Account Code],costcategory[Cost Category],"ERROR")</f>
        <v>Headcount Costs</v>
      </c>
      <c r="K256" s="89" t="str">
        <f t="shared" si="4"/>
        <v>Business Operation</v>
      </c>
      <c r="L256" s="89" t="str">
        <f>_xlfn.XLOOKUP(K256,Table2[Department],Table2[Group],"ERROR")</f>
        <v>Sales &amp; Marketing</v>
      </c>
    </row>
    <row r="257" spans="1:12" x14ac:dyDescent="0.2">
      <c r="A257" t="s">
        <v>2</v>
      </c>
      <c r="B257" s="38">
        <v>46112</v>
      </c>
      <c r="C257" s="38">
        <v>46112</v>
      </c>
      <c r="D257" t="s">
        <v>1139</v>
      </c>
      <c r="E257" t="s">
        <v>82</v>
      </c>
      <c r="F257" s="37">
        <v>8706</v>
      </c>
      <c r="G257" s="39" cm="1">
        <f t="array" ref="G257">F257*_xlfn.XLOOKUP(1,
 (FOREX!$E$2:$E$13=EOMONTH(B257,0))*
 (FOREX!$F$2:$F$13=TRIM(E257)),FOREX!$G$2:$G$13,
 100)</f>
        <v>2150.42553</v>
      </c>
      <c r="H257" t="s">
        <v>1491</v>
      </c>
      <c r="I257" t="s">
        <v>1160</v>
      </c>
      <c r="J257" s="35" t="str">
        <f>_xlfn.XLOOKUP(I257,costcategory[Account Code],costcategory[Cost Category],"ERROR")</f>
        <v>Headcount Costs</v>
      </c>
      <c r="K257" s="89" t="str">
        <f t="shared" si="4"/>
        <v>Business Operation</v>
      </c>
      <c r="L257" s="89" t="str">
        <f>_xlfn.XLOOKUP(K257,Table2[Department],Table2[Group],"ERROR")</f>
        <v>Sales &amp; Marketing</v>
      </c>
    </row>
    <row r="258" spans="1:12" x14ac:dyDescent="0.2">
      <c r="A258" t="s">
        <v>2</v>
      </c>
      <c r="B258" s="38">
        <v>46112</v>
      </c>
      <c r="C258" s="38">
        <v>46112</v>
      </c>
      <c r="D258" t="s">
        <v>1141</v>
      </c>
      <c r="E258" t="s">
        <v>82</v>
      </c>
      <c r="F258" s="37">
        <v>21791.85</v>
      </c>
      <c r="G258" s="39" cm="1">
        <f t="array" ref="G258">F258*_xlfn.XLOOKUP(1,
 (FOREX!$E$2:$E$13=EOMONTH(B258,0))*
 (FOREX!$F$2:$F$13=TRIM(E258)),FOREX!$G$2:$G$13,
 100)</f>
        <v>5382.6959092500001</v>
      </c>
      <c r="H258" t="s">
        <v>412</v>
      </c>
      <c r="I258" t="s">
        <v>387</v>
      </c>
      <c r="J258" s="35" t="str">
        <f>_xlfn.XLOOKUP(I258,costcategory[Account Code],costcategory[Cost Category],"ERROR")</f>
        <v>Headcount Costs</v>
      </c>
      <c r="K258" s="89" t="str">
        <f t="shared" si="4"/>
        <v>DSC</v>
      </c>
      <c r="L258" s="89" t="str">
        <f>_xlfn.XLOOKUP(K258,Table2[Department],Table2[Group],"ERROR")</f>
        <v>DSC</v>
      </c>
    </row>
    <row r="259" spans="1:12" x14ac:dyDescent="0.2">
      <c r="A259" t="s">
        <v>2</v>
      </c>
      <c r="B259" s="38">
        <v>46112</v>
      </c>
      <c r="C259" s="38">
        <v>46112</v>
      </c>
      <c r="D259" t="s">
        <v>1143</v>
      </c>
      <c r="E259" t="s">
        <v>82</v>
      </c>
      <c r="F259" s="37">
        <v>5934.15</v>
      </c>
      <c r="G259" s="39" cm="1">
        <f t="array" ref="G259">F259*_xlfn.XLOOKUP(1,
 (FOREX!$E$2:$E$13=EOMONTH(B259,0))*
 (FOREX!$F$2:$F$13=TRIM(E259)),FOREX!$G$2:$G$13,
 100)</f>
        <v>1465.7647207499999</v>
      </c>
      <c r="H259" t="s">
        <v>412</v>
      </c>
      <c r="I259" t="s">
        <v>387</v>
      </c>
      <c r="J259" s="35" t="str">
        <f>_xlfn.XLOOKUP(I259,costcategory[Account Code],costcategory[Cost Category],"ERROR")</f>
        <v>Headcount Costs</v>
      </c>
      <c r="K259" s="89" t="str">
        <f t="shared" si="4"/>
        <v>DSC</v>
      </c>
      <c r="L259" s="89" t="str">
        <f>_xlfn.XLOOKUP(K259,Table2[Department],Table2[Group],"ERROR")</f>
        <v>DSC</v>
      </c>
    </row>
    <row r="260" spans="1:12" x14ac:dyDescent="0.2">
      <c r="A260" t="s">
        <v>2</v>
      </c>
      <c r="B260" s="38">
        <v>46112</v>
      </c>
      <c r="C260" s="38">
        <v>46112</v>
      </c>
      <c r="D260" t="s">
        <v>1145</v>
      </c>
      <c r="E260" t="s">
        <v>82</v>
      </c>
      <c r="F260" s="37">
        <v>5168.8500000000004</v>
      </c>
      <c r="G260" s="39" cm="1">
        <f t="array" ref="G260">F260*_xlfn.XLOOKUP(1,
 (FOREX!$E$2:$E$13=EOMONTH(B260,0))*
 (FOREX!$F$2:$F$13=TRIM(E260)),FOREX!$G$2:$G$13,
 100)</f>
        <v>1276.7317942500001</v>
      </c>
      <c r="H260" t="s">
        <v>412</v>
      </c>
      <c r="I260" t="s">
        <v>387</v>
      </c>
      <c r="J260" s="35" t="str">
        <f>_xlfn.XLOOKUP(I260,costcategory[Account Code],costcategory[Cost Category],"ERROR")</f>
        <v>Headcount Costs</v>
      </c>
      <c r="K260" s="89" t="str">
        <f t="shared" si="4"/>
        <v>DSC</v>
      </c>
      <c r="L260" s="89" t="str">
        <f>_xlfn.XLOOKUP(K260,Table2[Department],Table2[Group],"ERROR")</f>
        <v>DSC</v>
      </c>
    </row>
    <row r="261" spans="1:12" x14ac:dyDescent="0.2">
      <c r="A261" t="s">
        <v>2</v>
      </c>
      <c r="B261" s="38">
        <v>46112</v>
      </c>
      <c r="C261" s="38">
        <v>46112</v>
      </c>
      <c r="D261" t="s">
        <v>1147</v>
      </c>
      <c r="E261" t="s">
        <v>82</v>
      </c>
      <c r="F261" s="37">
        <v>5168.8500000000004</v>
      </c>
      <c r="G261" s="39" cm="1">
        <f t="array" ref="G261">F261*_xlfn.XLOOKUP(1,
 (FOREX!$E$2:$E$13=EOMONTH(B261,0))*
 (FOREX!$F$2:$F$13=TRIM(E261)),FOREX!$G$2:$G$13,
 100)</f>
        <v>1276.7317942500001</v>
      </c>
      <c r="H261" t="s">
        <v>412</v>
      </c>
      <c r="I261" t="s">
        <v>387</v>
      </c>
      <c r="J261" s="35" t="str">
        <f>_xlfn.XLOOKUP(I261,costcategory[Account Code],costcategory[Cost Category],"ERROR")</f>
        <v>Headcount Costs</v>
      </c>
      <c r="K261" s="89" t="str">
        <f t="shared" si="4"/>
        <v>Finance</v>
      </c>
      <c r="L261" s="89" t="str">
        <f>_xlfn.XLOOKUP(K261,Table2[Department],Table2[Group],"ERROR")</f>
        <v>General &amp; Administrative</v>
      </c>
    </row>
    <row r="262" spans="1:12" x14ac:dyDescent="0.2">
      <c r="A262" t="s">
        <v>2</v>
      </c>
      <c r="B262" s="38">
        <v>46112</v>
      </c>
      <c r="C262" s="38">
        <v>46127</v>
      </c>
      <c r="D262" t="s">
        <v>1125</v>
      </c>
      <c r="E262" t="s">
        <v>82</v>
      </c>
      <c r="F262" s="37">
        <v>2827</v>
      </c>
      <c r="G262" s="39" cm="1">
        <f t="array" ref="G262">F262*_xlfn.XLOOKUP(1,
 (FOREX!$E$2:$E$13=EOMONTH(B262,0))*
 (FOREX!$F$2:$F$13=TRIM(E262)),FOREX!$G$2:$G$13,
 100)</f>
        <v>698.28313500000002</v>
      </c>
      <c r="H262" t="s">
        <v>1493</v>
      </c>
      <c r="I262" t="s">
        <v>387</v>
      </c>
      <c r="J262" s="35" t="str">
        <f>_xlfn.XLOOKUP(I262,costcategory[Account Code],costcategory[Cost Category],"ERROR")</f>
        <v>Headcount Costs</v>
      </c>
      <c r="K262" s="89" t="str">
        <f t="shared" si="4"/>
        <v>Sales &amp; Pre-Sales</v>
      </c>
      <c r="L262" s="89" t="str">
        <f>_xlfn.XLOOKUP(K262,Table2[Department],Table2[Group],"ERROR")</f>
        <v>Sales &amp; Marketing</v>
      </c>
    </row>
    <row r="263" spans="1:12" x14ac:dyDescent="0.2">
      <c r="A263" t="s">
        <v>2</v>
      </c>
      <c r="B263" s="38">
        <v>46112</v>
      </c>
      <c r="C263" s="38">
        <v>46127</v>
      </c>
      <c r="D263" t="s">
        <v>1127</v>
      </c>
      <c r="E263" t="s">
        <v>82</v>
      </c>
      <c r="F263" s="37">
        <v>759</v>
      </c>
      <c r="G263" s="39" cm="1">
        <f t="array" ref="G263">F263*_xlfn.XLOOKUP(1,
 (FOREX!$E$2:$E$13=EOMONTH(B263,0))*
 (FOREX!$F$2:$F$13=TRIM(E263)),FOREX!$G$2:$G$13,
 100)</f>
        <v>187.47679500000001</v>
      </c>
      <c r="H263" t="s">
        <v>1493</v>
      </c>
      <c r="I263" t="s">
        <v>387</v>
      </c>
      <c r="J263" s="35" t="str">
        <f>_xlfn.XLOOKUP(I263,costcategory[Account Code],costcategory[Cost Category],"ERROR")</f>
        <v>Headcount Costs</v>
      </c>
      <c r="K263" s="89" t="str">
        <f t="shared" si="4"/>
        <v>DSC</v>
      </c>
      <c r="L263" s="89" t="str">
        <f>_xlfn.XLOOKUP(K263,Table2[Department],Table2[Group],"ERROR")</f>
        <v>DSC</v>
      </c>
    </row>
    <row r="264" spans="1:12" x14ac:dyDescent="0.2">
      <c r="A264" t="s">
        <v>2</v>
      </c>
      <c r="B264" s="38">
        <v>46112</v>
      </c>
      <c r="C264" s="38">
        <v>46127</v>
      </c>
      <c r="D264" t="s">
        <v>1129</v>
      </c>
      <c r="E264" t="s">
        <v>82</v>
      </c>
      <c r="F264" s="37">
        <v>737</v>
      </c>
      <c r="G264" s="39" cm="1">
        <f t="array" ref="G264">F264*_xlfn.XLOOKUP(1,
 (FOREX!$E$2:$E$13=EOMONTH(B264,0))*
 (FOREX!$F$2:$F$13=TRIM(E264)),FOREX!$G$2:$G$13,
 100)</f>
        <v>182.04268500000001</v>
      </c>
      <c r="H264" t="s">
        <v>1493</v>
      </c>
      <c r="I264" t="s">
        <v>387</v>
      </c>
      <c r="J264" s="35" t="str">
        <f>_xlfn.XLOOKUP(I264,costcategory[Account Code],costcategory[Cost Category],"ERROR")</f>
        <v>Headcount Costs</v>
      </c>
      <c r="K264" s="89" t="str">
        <f t="shared" si="4"/>
        <v>Sales &amp; Pre-Sales</v>
      </c>
      <c r="L264" s="89" t="str">
        <f>_xlfn.XLOOKUP(K264,Table2[Department],Table2[Group],"ERROR")</f>
        <v>Sales &amp; Marketing</v>
      </c>
    </row>
    <row r="265" spans="1:12" x14ac:dyDescent="0.2">
      <c r="A265" t="s">
        <v>2</v>
      </c>
      <c r="B265" s="38">
        <v>46112</v>
      </c>
      <c r="C265" s="38">
        <v>46127</v>
      </c>
      <c r="D265" t="s">
        <v>1131</v>
      </c>
      <c r="E265" t="s">
        <v>82</v>
      </c>
      <c r="F265" s="37">
        <v>1331</v>
      </c>
      <c r="G265" s="39" cm="1">
        <f t="array" ref="G265">F265*_xlfn.XLOOKUP(1,
 (FOREX!$E$2:$E$13=EOMONTH(B265,0))*
 (FOREX!$F$2:$F$13=TRIM(E265)),FOREX!$G$2:$G$13,
 100)</f>
        <v>328.76365500000003</v>
      </c>
      <c r="H265" t="s">
        <v>1493</v>
      </c>
      <c r="I265" t="s">
        <v>387</v>
      </c>
      <c r="J265" s="35" t="str">
        <f>_xlfn.XLOOKUP(I265,costcategory[Account Code],costcategory[Cost Category],"ERROR")</f>
        <v>Headcount Costs</v>
      </c>
      <c r="K265" s="89" t="str">
        <f t="shared" si="4"/>
        <v>HR</v>
      </c>
      <c r="L265" s="89" t="str">
        <f>_xlfn.XLOOKUP(K265,Table2[Department],Table2[Group],"ERROR")</f>
        <v>General &amp; Administrative</v>
      </c>
    </row>
    <row r="266" spans="1:12" x14ac:dyDescent="0.2">
      <c r="A266" t="s">
        <v>2</v>
      </c>
      <c r="B266" s="38">
        <v>46112</v>
      </c>
      <c r="C266" s="38">
        <v>46127</v>
      </c>
      <c r="D266" t="s">
        <v>1133</v>
      </c>
      <c r="E266" t="s">
        <v>82</v>
      </c>
      <c r="F266" s="37">
        <v>2368</v>
      </c>
      <c r="G266" s="39" cm="1">
        <f t="array" ref="G266">F266*_xlfn.XLOOKUP(1,
 (FOREX!$E$2:$E$13=EOMONTH(B266,0))*
 (FOREX!$F$2:$F$13=TRIM(E266)),FOREX!$G$2:$G$13,
 100)</f>
        <v>584.90783999999996</v>
      </c>
      <c r="H266" t="s">
        <v>1493</v>
      </c>
      <c r="I266" t="s">
        <v>387</v>
      </c>
      <c r="J266" s="35" t="str">
        <f>_xlfn.XLOOKUP(I266,costcategory[Account Code],costcategory[Cost Category],"ERROR")</f>
        <v>Headcount Costs</v>
      </c>
      <c r="K266" s="89" t="str">
        <f t="shared" si="4"/>
        <v>Finance</v>
      </c>
      <c r="L266" s="89" t="str">
        <f>_xlfn.XLOOKUP(K266,Table2[Department],Table2[Group],"ERROR")</f>
        <v>General &amp; Administrative</v>
      </c>
    </row>
    <row r="267" spans="1:12" x14ac:dyDescent="0.2">
      <c r="A267" t="s">
        <v>2</v>
      </c>
      <c r="B267" s="38">
        <v>46112</v>
      </c>
      <c r="C267" s="38">
        <v>46127</v>
      </c>
      <c r="D267" t="s">
        <v>1134</v>
      </c>
      <c r="E267" t="s">
        <v>82</v>
      </c>
      <c r="F267" s="37">
        <v>4893</v>
      </c>
      <c r="G267" s="39" cm="1">
        <f t="array" ref="G267">F267*_xlfn.XLOOKUP(1,
 (FOREX!$E$2:$E$13=EOMONTH(B267,0))*
 (FOREX!$F$2:$F$13=TRIM(E267)),FOREX!$G$2:$G$13,
 100)</f>
        <v>1208.5954650000001</v>
      </c>
      <c r="H267" t="s">
        <v>1493</v>
      </c>
      <c r="I267" t="s">
        <v>387</v>
      </c>
      <c r="J267" s="35" t="str">
        <f>_xlfn.XLOOKUP(I267,costcategory[Account Code],costcategory[Cost Category],"ERROR")</f>
        <v>Headcount Costs</v>
      </c>
      <c r="K267" s="89" t="str">
        <f t="shared" si="4"/>
        <v>DSC</v>
      </c>
      <c r="L267" s="89" t="str">
        <f>_xlfn.XLOOKUP(K267,Table2[Department],Table2[Group],"ERROR")</f>
        <v>DSC</v>
      </c>
    </row>
    <row r="268" spans="1:12" x14ac:dyDescent="0.2">
      <c r="A268" t="s">
        <v>2</v>
      </c>
      <c r="B268" s="38">
        <v>46112</v>
      </c>
      <c r="C268" s="38">
        <v>46127</v>
      </c>
      <c r="D268" t="s">
        <v>1136</v>
      </c>
      <c r="E268" t="s">
        <v>82</v>
      </c>
      <c r="F268" s="37">
        <v>2287</v>
      </c>
      <c r="G268" s="39" cm="1">
        <f t="array" ref="G268">F268*_xlfn.XLOOKUP(1,
 (FOREX!$E$2:$E$13=EOMONTH(B268,0))*
 (FOREX!$F$2:$F$13=TRIM(E268)),FOREX!$G$2:$G$13,
 100)</f>
        <v>564.90043500000002</v>
      </c>
      <c r="H268" t="s">
        <v>1493</v>
      </c>
      <c r="I268" t="s">
        <v>387</v>
      </c>
      <c r="J268" s="35" t="str">
        <f>_xlfn.XLOOKUP(I268,costcategory[Account Code],costcategory[Cost Category],"ERROR")</f>
        <v>Headcount Costs</v>
      </c>
      <c r="K268" s="89" t="str">
        <f t="shared" si="4"/>
        <v>DSC</v>
      </c>
      <c r="L268" s="89" t="str">
        <f>_xlfn.XLOOKUP(K268,Table2[Department],Table2[Group],"ERROR")</f>
        <v>DSC</v>
      </c>
    </row>
    <row r="269" spans="1:12" x14ac:dyDescent="0.2">
      <c r="A269" t="s">
        <v>2</v>
      </c>
      <c r="B269" s="38">
        <v>46112</v>
      </c>
      <c r="C269" s="38">
        <v>46127</v>
      </c>
      <c r="D269" t="s">
        <v>1137</v>
      </c>
      <c r="E269" t="s">
        <v>82</v>
      </c>
      <c r="F269" s="37">
        <v>836</v>
      </c>
      <c r="G269" s="39" cm="1">
        <f t="array" ref="G269">F269*_xlfn.XLOOKUP(1,
 (FOREX!$E$2:$E$13=EOMONTH(B269,0))*
 (FOREX!$F$2:$F$13=TRIM(E269)),FOREX!$G$2:$G$13,
 100)</f>
        <v>206.49618000000001</v>
      </c>
      <c r="H269" t="s">
        <v>1493</v>
      </c>
      <c r="I269" t="s">
        <v>387</v>
      </c>
      <c r="J269" s="35" t="str">
        <f>_xlfn.XLOOKUP(I269,costcategory[Account Code],costcategory[Cost Category],"ERROR")</f>
        <v>Headcount Costs</v>
      </c>
      <c r="K269" s="89" t="str">
        <f t="shared" si="4"/>
        <v>DSC</v>
      </c>
      <c r="L269" s="89" t="str">
        <f>_xlfn.XLOOKUP(K269,Table2[Department],Table2[Group],"ERROR")</f>
        <v>DSC</v>
      </c>
    </row>
    <row r="270" spans="1:12" x14ac:dyDescent="0.2">
      <c r="A270" t="s">
        <v>2</v>
      </c>
      <c r="B270" s="38">
        <v>46112</v>
      </c>
      <c r="C270" s="38">
        <v>46127</v>
      </c>
      <c r="D270" t="s">
        <v>1139</v>
      </c>
      <c r="E270" t="s">
        <v>82</v>
      </c>
      <c r="F270" s="37">
        <v>565</v>
      </c>
      <c r="G270" s="39" cm="1">
        <f t="array" ref="G270">F270*_xlfn.XLOOKUP(1,
 (FOREX!$E$2:$E$13=EOMONTH(B270,0))*
 (FOREX!$F$2:$F$13=TRIM(E270)),FOREX!$G$2:$G$13,
 100)</f>
        <v>139.55782500000001</v>
      </c>
      <c r="H270" t="s">
        <v>1493</v>
      </c>
      <c r="I270" t="s">
        <v>387</v>
      </c>
      <c r="J270" s="35" t="str">
        <f>_xlfn.XLOOKUP(I270,costcategory[Account Code],costcategory[Cost Category],"ERROR")</f>
        <v>Headcount Costs</v>
      </c>
      <c r="K270" s="89" t="str">
        <f t="shared" si="4"/>
        <v>Business Operation</v>
      </c>
      <c r="L270" s="89" t="str">
        <f>_xlfn.XLOOKUP(K270,Table2[Department],Table2[Group],"ERROR")</f>
        <v>Sales &amp; Marketing</v>
      </c>
    </row>
    <row r="271" spans="1:12" x14ac:dyDescent="0.2">
      <c r="A271" t="s">
        <v>2</v>
      </c>
      <c r="B271" s="38">
        <v>46112</v>
      </c>
      <c r="C271" s="38">
        <v>46127</v>
      </c>
      <c r="D271" t="s">
        <v>1141</v>
      </c>
      <c r="E271" t="s">
        <v>82</v>
      </c>
      <c r="F271" s="37">
        <v>3454</v>
      </c>
      <c r="G271" s="39" cm="1">
        <f t="array" ref="G271">F271*_xlfn.XLOOKUP(1,
 (FOREX!$E$2:$E$13=EOMONTH(B271,0))*
 (FOREX!$F$2:$F$13=TRIM(E271)),FOREX!$G$2:$G$13,
 100)</f>
        <v>853.15526999999997</v>
      </c>
      <c r="H271" t="s">
        <v>1493</v>
      </c>
      <c r="I271" t="s">
        <v>387</v>
      </c>
      <c r="J271" s="35" t="str">
        <f>_xlfn.XLOOKUP(I271,costcategory[Account Code],costcategory[Cost Category],"ERROR")</f>
        <v>Headcount Costs</v>
      </c>
      <c r="K271" s="89" t="str">
        <f t="shared" si="4"/>
        <v>DSC</v>
      </c>
      <c r="L271" s="89" t="str">
        <f>_xlfn.XLOOKUP(K271,Table2[Department],Table2[Group],"ERROR")</f>
        <v>DSC</v>
      </c>
    </row>
    <row r="272" spans="1:12" x14ac:dyDescent="0.2">
      <c r="A272" t="s">
        <v>2</v>
      </c>
      <c r="B272" s="38">
        <v>46112</v>
      </c>
      <c r="C272" s="38">
        <v>46127</v>
      </c>
      <c r="D272" t="s">
        <v>1143</v>
      </c>
      <c r="E272" t="s">
        <v>82</v>
      </c>
      <c r="F272" s="37">
        <v>781</v>
      </c>
      <c r="G272" s="39" cm="1">
        <f t="array" ref="G272">F272*_xlfn.XLOOKUP(1,
 (FOREX!$E$2:$E$13=EOMONTH(B272,0))*
 (FOREX!$F$2:$F$13=TRIM(E272)),FOREX!$G$2:$G$13,
 100)</f>
        <v>192.91090500000001</v>
      </c>
      <c r="H272" t="s">
        <v>1493</v>
      </c>
      <c r="I272" t="s">
        <v>387</v>
      </c>
      <c r="J272" s="35" t="str">
        <f>_xlfn.XLOOKUP(I272,costcategory[Account Code],costcategory[Cost Category],"ERROR")</f>
        <v>Headcount Costs</v>
      </c>
      <c r="K272" s="89" t="str">
        <f t="shared" si="4"/>
        <v>DSC</v>
      </c>
      <c r="L272" s="89" t="str">
        <f>_xlfn.XLOOKUP(K272,Table2[Department],Table2[Group],"ERROR")</f>
        <v>DSC</v>
      </c>
    </row>
    <row r="273" spans="1:12" x14ac:dyDescent="0.2">
      <c r="A273" t="s">
        <v>2</v>
      </c>
      <c r="B273" s="38">
        <v>46112</v>
      </c>
      <c r="C273" s="38">
        <v>46127</v>
      </c>
      <c r="D273" t="s">
        <v>1145</v>
      </c>
      <c r="E273" t="s">
        <v>82</v>
      </c>
      <c r="F273" s="37">
        <v>671</v>
      </c>
      <c r="G273" s="39" cm="1">
        <f t="array" ref="G273">F273*_xlfn.XLOOKUP(1,
 (FOREX!$E$2:$E$13=EOMONTH(B273,0))*
 (FOREX!$F$2:$F$13=TRIM(E273)),FOREX!$G$2:$G$13,
 100)</f>
        <v>165.74035499999999</v>
      </c>
      <c r="H273" t="s">
        <v>1493</v>
      </c>
      <c r="I273" t="s">
        <v>387</v>
      </c>
      <c r="J273" s="35" t="str">
        <f>_xlfn.XLOOKUP(I273,costcategory[Account Code],costcategory[Cost Category],"ERROR")</f>
        <v>Headcount Costs</v>
      </c>
      <c r="K273" s="89" t="str">
        <f t="shared" si="4"/>
        <v>DSC</v>
      </c>
      <c r="L273" s="89" t="str">
        <f>_xlfn.XLOOKUP(K273,Table2[Department],Table2[Group],"ERROR")</f>
        <v>DSC</v>
      </c>
    </row>
    <row r="274" spans="1:12" x14ac:dyDescent="0.2">
      <c r="A274" t="s">
        <v>2</v>
      </c>
      <c r="B274" s="38">
        <v>46112</v>
      </c>
      <c r="C274" s="38">
        <v>46127</v>
      </c>
      <c r="D274" t="s">
        <v>1147</v>
      </c>
      <c r="E274" t="s">
        <v>82</v>
      </c>
      <c r="F274" s="37">
        <v>671</v>
      </c>
      <c r="G274" s="39" cm="1">
        <f t="array" ref="G274">F274*_xlfn.XLOOKUP(1,
 (FOREX!$E$2:$E$13=EOMONTH(B274,0))*
 (FOREX!$F$2:$F$13=TRIM(E274)),FOREX!$G$2:$G$13,
 100)</f>
        <v>165.74035499999999</v>
      </c>
      <c r="H274" t="s">
        <v>1493</v>
      </c>
      <c r="I274" t="s">
        <v>387</v>
      </c>
      <c r="J274" s="35" t="str">
        <f>_xlfn.XLOOKUP(I274,costcategory[Account Code],costcategory[Cost Category],"ERROR")</f>
        <v>Headcount Costs</v>
      </c>
      <c r="K274" s="89" t="str">
        <f t="shared" si="4"/>
        <v>Finance</v>
      </c>
      <c r="L274" s="89" t="str">
        <f>_xlfn.XLOOKUP(K274,Table2[Department],Table2[Group],"ERROR")</f>
        <v>General &amp; Administrative</v>
      </c>
    </row>
    <row r="275" spans="1:12" x14ac:dyDescent="0.2">
      <c r="A275" t="s">
        <v>2</v>
      </c>
      <c r="B275" s="38">
        <v>46112</v>
      </c>
      <c r="C275" s="38">
        <v>46127</v>
      </c>
      <c r="D275" t="s">
        <v>1125</v>
      </c>
      <c r="E275" t="s">
        <v>82</v>
      </c>
      <c r="F275" s="37">
        <v>29.75</v>
      </c>
      <c r="G275" s="39" cm="1">
        <f t="array" ref="G275">F275*_xlfn.XLOOKUP(1,
 (FOREX!$E$2:$E$13=EOMONTH(B275,0))*
 (FOREX!$F$2:$F$13=TRIM(E275)),FOREX!$G$2:$G$13,
 100)</f>
        <v>7.3483987500000003</v>
      </c>
      <c r="H275" t="s">
        <v>1494</v>
      </c>
      <c r="I275" t="s">
        <v>387</v>
      </c>
      <c r="J275" s="35" t="str">
        <f>_xlfn.XLOOKUP(I275,costcategory[Account Code],costcategory[Cost Category],"ERROR")</f>
        <v>Headcount Costs</v>
      </c>
      <c r="K275" s="89" t="str">
        <f t="shared" si="4"/>
        <v>Sales &amp; Pre-Sales</v>
      </c>
      <c r="L275" s="89" t="str">
        <f>_xlfn.XLOOKUP(K275,Table2[Department],Table2[Group],"ERROR")</f>
        <v>Sales &amp; Marketing</v>
      </c>
    </row>
    <row r="276" spans="1:12" x14ac:dyDescent="0.2">
      <c r="A276" t="s">
        <v>2</v>
      </c>
      <c r="B276" s="38">
        <v>46112</v>
      </c>
      <c r="C276" s="38">
        <v>46127</v>
      </c>
      <c r="D276" t="s">
        <v>1127</v>
      </c>
      <c r="E276" t="s">
        <v>82</v>
      </c>
      <c r="F276" s="37">
        <v>22.75</v>
      </c>
      <c r="G276" s="39" cm="1">
        <f t="array" ref="G276">F276*_xlfn.XLOOKUP(1,
 (FOREX!$E$2:$E$13=EOMONTH(B276,0))*
 (FOREX!$F$2:$F$13=TRIM(E276)),FOREX!$G$2:$G$13,
 100)</f>
        <v>5.6193637499999998</v>
      </c>
      <c r="H276" t="s">
        <v>1494</v>
      </c>
      <c r="I276" t="s">
        <v>387</v>
      </c>
      <c r="J276" s="35" t="str">
        <f>_xlfn.XLOOKUP(I276,costcategory[Account Code],costcategory[Cost Category],"ERROR")</f>
        <v>Headcount Costs</v>
      </c>
      <c r="K276" s="89" t="str">
        <f t="shared" si="4"/>
        <v>DSC</v>
      </c>
      <c r="L276" s="89" t="str">
        <f>_xlfn.XLOOKUP(K276,Table2[Department],Table2[Group],"ERROR")</f>
        <v>DSC</v>
      </c>
    </row>
    <row r="277" spans="1:12" x14ac:dyDescent="0.2">
      <c r="A277" t="s">
        <v>2</v>
      </c>
      <c r="B277" s="38">
        <v>46112</v>
      </c>
      <c r="C277" s="38">
        <v>46127</v>
      </c>
      <c r="D277" t="s">
        <v>1129</v>
      </c>
      <c r="E277" t="s">
        <v>82</v>
      </c>
      <c r="F277" s="37">
        <v>24.25</v>
      </c>
      <c r="G277" s="39" cm="1">
        <f t="array" ref="G277">F277*_xlfn.XLOOKUP(1,
 (FOREX!$E$2:$E$13=EOMONTH(B277,0))*
 (FOREX!$F$2:$F$13=TRIM(E277)),FOREX!$G$2:$G$13,
 100)</f>
        <v>5.9898712500000002</v>
      </c>
      <c r="H277" t="s">
        <v>1494</v>
      </c>
      <c r="I277" t="s">
        <v>387</v>
      </c>
      <c r="J277" s="35" t="str">
        <f>_xlfn.XLOOKUP(I277,costcategory[Account Code],costcategory[Cost Category],"ERROR")</f>
        <v>Headcount Costs</v>
      </c>
      <c r="K277" s="89" t="str">
        <f t="shared" si="4"/>
        <v>Sales &amp; Pre-Sales</v>
      </c>
      <c r="L277" s="89" t="str">
        <f>_xlfn.XLOOKUP(K277,Table2[Department],Table2[Group],"ERROR")</f>
        <v>Sales &amp; Marketing</v>
      </c>
    </row>
    <row r="278" spans="1:12" x14ac:dyDescent="0.2">
      <c r="A278" t="s">
        <v>2</v>
      </c>
      <c r="B278" s="38">
        <v>46112</v>
      </c>
      <c r="C278" s="38">
        <v>46127</v>
      </c>
      <c r="D278" t="s">
        <v>1131</v>
      </c>
      <c r="E278" t="s">
        <v>82</v>
      </c>
      <c r="F278" s="37">
        <v>29.75</v>
      </c>
      <c r="G278" s="39" cm="1">
        <f t="array" ref="G278">F278*_xlfn.XLOOKUP(1,
 (FOREX!$E$2:$E$13=EOMONTH(B278,0))*
 (FOREX!$F$2:$F$13=TRIM(E278)),FOREX!$G$2:$G$13,
 100)</f>
        <v>7.3483987500000003</v>
      </c>
      <c r="H278" t="s">
        <v>1494</v>
      </c>
      <c r="I278" t="s">
        <v>387</v>
      </c>
      <c r="J278" s="35" t="str">
        <f>_xlfn.XLOOKUP(I278,costcategory[Account Code],costcategory[Cost Category],"ERROR")</f>
        <v>Headcount Costs</v>
      </c>
      <c r="K278" s="89" t="str">
        <f t="shared" si="4"/>
        <v>HR</v>
      </c>
      <c r="L278" s="89" t="str">
        <f>_xlfn.XLOOKUP(K278,Table2[Department],Table2[Group],"ERROR")</f>
        <v>General &amp; Administrative</v>
      </c>
    </row>
    <row r="279" spans="1:12" x14ac:dyDescent="0.2">
      <c r="A279" t="s">
        <v>2</v>
      </c>
      <c r="B279" s="38">
        <v>46112</v>
      </c>
      <c r="C279" s="38">
        <v>46127</v>
      </c>
      <c r="D279" t="s">
        <v>1133</v>
      </c>
      <c r="E279" t="s">
        <v>82</v>
      </c>
      <c r="F279" s="37">
        <v>29.75</v>
      </c>
      <c r="G279" s="39" cm="1">
        <f t="array" ref="G279">F279*_xlfn.XLOOKUP(1,
 (FOREX!$E$2:$E$13=EOMONTH(B279,0))*
 (FOREX!$F$2:$F$13=TRIM(E279)),FOREX!$G$2:$G$13,
 100)</f>
        <v>7.3483987500000003</v>
      </c>
      <c r="H279" t="s">
        <v>1494</v>
      </c>
      <c r="I279" t="s">
        <v>387</v>
      </c>
      <c r="J279" s="35" t="str">
        <f>_xlfn.XLOOKUP(I279,costcategory[Account Code],costcategory[Cost Category],"ERROR")</f>
        <v>Headcount Costs</v>
      </c>
      <c r="K279" s="89" t="str">
        <f t="shared" si="4"/>
        <v>Finance</v>
      </c>
      <c r="L279" s="89" t="str">
        <f>_xlfn.XLOOKUP(K279,Table2[Department],Table2[Group],"ERROR")</f>
        <v>General &amp; Administrative</v>
      </c>
    </row>
    <row r="280" spans="1:12" x14ac:dyDescent="0.2">
      <c r="A280" t="s">
        <v>2</v>
      </c>
      <c r="B280" s="38">
        <v>46112</v>
      </c>
      <c r="C280" s="38">
        <v>46127</v>
      </c>
      <c r="D280" t="s">
        <v>1134</v>
      </c>
      <c r="E280" t="s">
        <v>82</v>
      </c>
      <c r="F280" s="37">
        <v>29.75</v>
      </c>
      <c r="G280" s="39" cm="1">
        <f t="array" ref="G280">F280*_xlfn.XLOOKUP(1,
 (FOREX!$E$2:$E$13=EOMONTH(B280,0))*
 (FOREX!$F$2:$F$13=TRIM(E280)),FOREX!$G$2:$G$13,
 100)</f>
        <v>7.3483987500000003</v>
      </c>
      <c r="H280" t="s">
        <v>1494</v>
      </c>
      <c r="I280" t="s">
        <v>387</v>
      </c>
      <c r="J280" s="35" t="str">
        <f>_xlfn.XLOOKUP(I280,costcategory[Account Code],costcategory[Cost Category],"ERROR")</f>
        <v>Headcount Costs</v>
      </c>
      <c r="K280" s="89" t="str">
        <f t="shared" ref="K280:K343" si="5">_xlfn.XLOOKUP(D280,$AL$2:$AL$25,$AM$2:$AM$25,"ERROR")</f>
        <v>DSC</v>
      </c>
      <c r="L280" s="89" t="str">
        <f>_xlfn.XLOOKUP(K280,Table2[Department],Table2[Group],"ERROR")</f>
        <v>DSC</v>
      </c>
    </row>
    <row r="281" spans="1:12" x14ac:dyDescent="0.2">
      <c r="A281" t="s">
        <v>2</v>
      </c>
      <c r="B281" s="38">
        <v>46112</v>
      </c>
      <c r="C281" s="38">
        <v>46127</v>
      </c>
      <c r="D281" t="s">
        <v>1136</v>
      </c>
      <c r="E281" t="s">
        <v>82</v>
      </c>
      <c r="F281" s="37">
        <v>29.75</v>
      </c>
      <c r="G281" s="39" cm="1">
        <f t="array" ref="G281">F281*_xlfn.XLOOKUP(1,
 (FOREX!$E$2:$E$13=EOMONTH(B281,0))*
 (FOREX!$F$2:$F$13=TRIM(E281)),FOREX!$G$2:$G$13,
 100)</f>
        <v>7.3483987500000003</v>
      </c>
      <c r="H281" t="s">
        <v>1494</v>
      </c>
      <c r="I281" t="s">
        <v>387</v>
      </c>
      <c r="J281" s="35" t="str">
        <f>_xlfn.XLOOKUP(I281,costcategory[Account Code],costcategory[Cost Category],"ERROR")</f>
        <v>Headcount Costs</v>
      </c>
      <c r="K281" s="89" t="str">
        <f t="shared" si="5"/>
        <v>DSC</v>
      </c>
      <c r="L281" s="89" t="str">
        <f>_xlfn.XLOOKUP(K281,Table2[Department],Table2[Group],"ERROR")</f>
        <v>DSC</v>
      </c>
    </row>
    <row r="282" spans="1:12" x14ac:dyDescent="0.2">
      <c r="A282" t="s">
        <v>2</v>
      </c>
      <c r="B282" s="38">
        <v>46112</v>
      </c>
      <c r="C282" s="38">
        <v>46127</v>
      </c>
      <c r="D282" t="s">
        <v>1137</v>
      </c>
      <c r="E282" t="s">
        <v>82</v>
      </c>
      <c r="F282" s="37">
        <v>27.75</v>
      </c>
      <c r="G282" s="39" cm="1">
        <f t="array" ref="G282">F282*_xlfn.XLOOKUP(1,
 (FOREX!$E$2:$E$13=EOMONTH(B282,0))*
 (FOREX!$F$2:$F$13=TRIM(E282)),FOREX!$G$2:$G$13,
 100)</f>
        <v>6.85438875</v>
      </c>
      <c r="H282" t="s">
        <v>1494</v>
      </c>
      <c r="I282" t="s">
        <v>387</v>
      </c>
      <c r="J282" s="35" t="str">
        <f>_xlfn.XLOOKUP(I282,costcategory[Account Code],costcategory[Cost Category],"ERROR")</f>
        <v>Headcount Costs</v>
      </c>
      <c r="K282" s="89" t="str">
        <f t="shared" si="5"/>
        <v>DSC</v>
      </c>
      <c r="L282" s="89" t="str">
        <f>_xlfn.XLOOKUP(K282,Table2[Department],Table2[Group],"ERROR")</f>
        <v>DSC</v>
      </c>
    </row>
    <row r="283" spans="1:12" x14ac:dyDescent="0.2">
      <c r="A283" t="s">
        <v>2</v>
      </c>
      <c r="B283" s="38">
        <v>46112</v>
      </c>
      <c r="C283" s="38">
        <v>46127</v>
      </c>
      <c r="D283" t="s">
        <v>1139</v>
      </c>
      <c r="E283" t="s">
        <v>82</v>
      </c>
      <c r="F283" s="37">
        <v>29.75</v>
      </c>
      <c r="G283" s="39" cm="1">
        <f t="array" ref="G283">F283*_xlfn.XLOOKUP(1,
 (FOREX!$E$2:$E$13=EOMONTH(B283,0))*
 (FOREX!$F$2:$F$13=TRIM(E283)),FOREX!$G$2:$G$13,
 100)</f>
        <v>7.3483987500000003</v>
      </c>
      <c r="H283" t="s">
        <v>1494</v>
      </c>
      <c r="I283" t="s">
        <v>387</v>
      </c>
      <c r="J283" s="35" t="str">
        <f>_xlfn.XLOOKUP(I283,costcategory[Account Code],costcategory[Cost Category],"ERROR")</f>
        <v>Headcount Costs</v>
      </c>
      <c r="K283" s="89" t="str">
        <f t="shared" si="5"/>
        <v>Business Operation</v>
      </c>
      <c r="L283" s="89" t="str">
        <f>_xlfn.XLOOKUP(K283,Table2[Department],Table2[Group],"ERROR")</f>
        <v>Sales &amp; Marketing</v>
      </c>
    </row>
    <row r="284" spans="1:12" x14ac:dyDescent="0.2">
      <c r="A284" t="s">
        <v>2</v>
      </c>
      <c r="B284" s="38">
        <v>46112</v>
      </c>
      <c r="C284" s="38">
        <v>46127</v>
      </c>
      <c r="D284" t="s">
        <v>1141</v>
      </c>
      <c r="E284" t="s">
        <v>82</v>
      </c>
      <c r="F284" s="37">
        <v>29.75</v>
      </c>
      <c r="G284" s="39" cm="1">
        <f t="array" ref="G284">F284*_xlfn.XLOOKUP(1,
 (FOREX!$E$2:$E$13=EOMONTH(B284,0))*
 (FOREX!$F$2:$F$13=TRIM(E284)),FOREX!$G$2:$G$13,
 100)</f>
        <v>7.3483987500000003</v>
      </c>
      <c r="H284" t="s">
        <v>1494</v>
      </c>
      <c r="I284" t="s">
        <v>387</v>
      </c>
      <c r="J284" s="35" t="str">
        <f>_xlfn.XLOOKUP(I284,costcategory[Account Code],costcategory[Cost Category],"ERROR")</f>
        <v>Headcount Costs</v>
      </c>
      <c r="K284" s="89" t="str">
        <f t="shared" si="5"/>
        <v>DSC</v>
      </c>
      <c r="L284" s="89" t="str">
        <f>_xlfn.XLOOKUP(K284,Table2[Department],Table2[Group],"ERROR")</f>
        <v>DSC</v>
      </c>
    </row>
    <row r="285" spans="1:12" x14ac:dyDescent="0.2">
      <c r="A285" t="s">
        <v>2</v>
      </c>
      <c r="B285" s="38">
        <v>46112</v>
      </c>
      <c r="C285" s="38">
        <v>46127</v>
      </c>
      <c r="D285" t="s">
        <v>1143</v>
      </c>
      <c r="E285" t="s">
        <v>82</v>
      </c>
      <c r="F285" s="37">
        <v>29.75</v>
      </c>
      <c r="G285" s="39" cm="1">
        <f t="array" ref="G285">F285*_xlfn.XLOOKUP(1,
 (FOREX!$E$2:$E$13=EOMONTH(B285,0))*
 (FOREX!$F$2:$F$13=TRIM(E285)),FOREX!$G$2:$G$13,
 100)</f>
        <v>7.3483987500000003</v>
      </c>
      <c r="H285" t="s">
        <v>1494</v>
      </c>
      <c r="I285" t="s">
        <v>387</v>
      </c>
      <c r="J285" s="35" t="str">
        <f>_xlfn.XLOOKUP(I285,costcategory[Account Code],costcategory[Cost Category],"ERROR")</f>
        <v>Headcount Costs</v>
      </c>
      <c r="K285" s="89" t="str">
        <f t="shared" si="5"/>
        <v>DSC</v>
      </c>
      <c r="L285" s="89" t="str">
        <f>_xlfn.XLOOKUP(K285,Table2[Department],Table2[Group],"ERROR")</f>
        <v>DSC</v>
      </c>
    </row>
    <row r="286" spans="1:12" x14ac:dyDescent="0.2">
      <c r="A286" t="s">
        <v>2</v>
      </c>
      <c r="B286" s="38">
        <v>46112</v>
      </c>
      <c r="C286" s="38">
        <v>46127</v>
      </c>
      <c r="D286" t="s">
        <v>1145</v>
      </c>
      <c r="E286" t="s">
        <v>82</v>
      </c>
      <c r="F286" s="37">
        <v>29.75</v>
      </c>
      <c r="G286" s="39" cm="1">
        <f t="array" ref="G286">F286*_xlfn.XLOOKUP(1,
 (FOREX!$E$2:$E$13=EOMONTH(B286,0))*
 (FOREX!$F$2:$F$13=TRIM(E286)),FOREX!$G$2:$G$13,
 100)</f>
        <v>7.3483987500000003</v>
      </c>
      <c r="H286" t="s">
        <v>1494</v>
      </c>
      <c r="I286" t="s">
        <v>387</v>
      </c>
      <c r="J286" s="35" t="str">
        <f>_xlfn.XLOOKUP(I286,costcategory[Account Code],costcategory[Cost Category],"ERROR")</f>
        <v>Headcount Costs</v>
      </c>
      <c r="K286" s="89" t="str">
        <f t="shared" si="5"/>
        <v>DSC</v>
      </c>
      <c r="L286" s="89" t="str">
        <f>_xlfn.XLOOKUP(K286,Table2[Department],Table2[Group],"ERROR")</f>
        <v>DSC</v>
      </c>
    </row>
    <row r="287" spans="1:12" x14ac:dyDescent="0.2">
      <c r="A287" t="s">
        <v>2</v>
      </c>
      <c r="B287" s="38">
        <v>46112</v>
      </c>
      <c r="C287" s="38">
        <v>46127</v>
      </c>
      <c r="D287" t="s">
        <v>1147</v>
      </c>
      <c r="E287" t="s">
        <v>82</v>
      </c>
      <c r="F287" s="37">
        <v>29.75</v>
      </c>
      <c r="G287" s="39" cm="1">
        <f t="array" ref="G287">F287*_xlfn.XLOOKUP(1,
 (FOREX!$E$2:$E$13=EOMONTH(B287,0))*
 (FOREX!$F$2:$F$13=TRIM(E287)),FOREX!$G$2:$G$13,
 100)</f>
        <v>7.3483987500000003</v>
      </c>
      <c r="H287" t="s">
        <v>1494</v>
      </c>
      <c r="I287" t="s">
        <v>387</v>
      </c>
      <c r="J287" s="35" t="str">
        <f>_xlfn.XLOOKUP(I287,costcategory[Account Code],costcategory[Cost Category],"ERROR")</f>
        <v>Headcount Costs</v>
      </c>
      <c r="K287" s="89" t="str">
        <f t="shared" si="5"/>
        <v>Finance</v>
      </c>
      <c r="L287" s="89" t="str">
        <f>_xlfn.XLOOKUP(K287,Table2[Department],Table2[Group],"ERROR")</f>
        <v>General &amp; Administrative</v>
      </c>
    </row>
    <row r="288" spans="1:12" x14ac:dyDescent="0.2">
      <c r="A288" t="s">
        <v>2</v>
      </c>
      <c r="B288" s="38">
        <v>46112</v>
      </c>
      <c r="C288" s="38">
        <v>46127</v>
      </c>
      <c r="D288" t="s">
        <v>1125</v>
      </c>
      <c r="E288" t="s">
        <v>82</v>
      </c>
      <c r="F288" s="37">
        <v>11.9</v>
      </c>
      <c r="G288" s="39" cm="1">
        <f t="array" ref="G288">F288*_xlfn.XLOOKUP(1,
 (FOREX!$E$2:$E$13=EOMONTH(B288,0))*
 (FOREX!$F$2:$F$13=TRIM(E288)),FOREX!$G$2:$G$13,
 100)</f>
        <v>2.9393595000000001</v>
      </c>
      <c r="H288" t="s">
        <v>1495</v>
      </c>
      <c r="I288" t="s">
        <v>387</v>
      </c>
      <c r="J288" s="35" t="str">
        <f>_xlfn.XLOOKUP(I288,costcategory[Account Code],costcategory[Cost Category],"ERROR")</f>
        <v>Headcount Costs</v>
      </c>
      <c r="K288" s="89" t="str">
        <f t="shared" si="5"/>
        <v>Sales &amp; Pre-Sales</v>
      </c>
      <c r="L288" s="89" t="str">
        <f>_xlfn.XLOOKUP(K288,Table2[Department],Table2[Group],"ERROR")</f>
        <v>Sales &amp; Marketing</v>
      </c>
    </row>
    <row r="289" spans="1:12" x14ac:dyDescent="0.2">
      <c r="A289" t="s">
        <v>2</v>
      </c>
      <c r="B289" s="38">
        <v>46112</v>
      </c>
      <c r="C289" s="38">
        <v>46127</v>
      </c>
      <c r="D289" t="s">
        <v>1127</v>
      </c>
      <c r="E289" t="s">
        <v>82</v>
      </c>
      <c r="F289" s="37">
        <v>9.1</v>
      </c>
      <c r="G289" s="39" cm="1">
        <f t="array" ref="G289">F289*_xlfn.XLOOKUP(1,
 (FOREX!$E$2:$E$13=EOMONTH(B289,0))*
 (FOREX!$F$2:$F$13=TRIM(E289)),FOREX!$G$2:$G$13,
 100)</f>
        <v>2.2477454999999997</v>
      </c>
      <c r="H289" t="s">
        <v>1495</v>
      </c>
      <c r="I289" t="s">
        <v>387</v>
      </c>
      <c r="J289" s="35" t="str">
        <f>_xlfn.XLOOKUP(I289,costcategory[Account Code],costcategory[Cost Category],"ERROR")</f>
        <v>Headcount Costs</v>
      </c>
      <c r="K289" s="89" t="str">
        <f t="shared" si="5"/>
        <v>DSC</v>
      </c>
      <c r="L289" s="89" t="str">
        <f>_xlfn.XLOOKUP(K289,Table2[Department],Table2[Group],"ERROR")</f>
        <v>DSC</v>
      </c>
    </row>
    <row r="290" spans="1:12" x14ac:dyDescent="0.2">
      <c r="A290" t="s">
        <v>2</v>
      </c>
      <c r="B290" s="38">
        <v>46112</v>
      </c>
      <c r="C290" s="38">
        <v>46127</v>
      </c>
      <c r="D290" t="s">
        <v>1129</v>
      </c>
      <c r="E290" t="s">
        <v>82</v>
      </c>
      <c r="F290" s="37">
        <v>9.6999999999999993</v>
      </c>
      <c r="G290" s="39" cm="1">
        <f t="array" ref="G290">F290*_xlfn.XLOOKUP(1,
 (FOREX!$E$2:$E$13=EOMONTH(B290,0))*
 (FOREX!$F$2:$F$13=TRIM(E290)),FOREX!$G$2:$G$13,
 100)</f>
        <v>2.3959484999999998</v>
      </c>
      <c r="H290" t="s">
        <v>1495</v>
      </c>
      <c r="I290" t="s">
        <v>387</v>
      </c>
      <c r="J290" s="35" t="str">
        <f>_xlfn.XLOOKUP(I290,costcategory[Account Code],costcategory[Cost Category],"ERROR")</f>
        <v>Headcount Costs</v>
      </c>
      <c r="K290" s="89" t="str">
        <f t="shared" si="5"/>
        <v>Sales &amp; Pre-Sales</v>
      </c>
      <c r="L290" s="89" t="str">
        <f>_xlfn.XLOOKUP(K290,Table2[Department],Table2[Group],"ERROR")</f>
        <v>Sales &amp; Marketing</v>
      </c>
    </row>
    <row r="291" spans="1:12" x14ac:dyDescent="0.2">
      <c r="A291" t="s">
        <v>2</v>
      </c>
      <c r="B291" s="38">
        <v>46112</v>
      </c>
      <c r="C291" s="38">
        <v>46127</v>
      </c>
      <c r="D291" t="s">
        <v>1131</v>
      </c>
      <c r="E291" t="s">
        <v>82</v>
      </c>
      <c r="F291" s="37">
        <v>11.9</v>
      </c>
      <c r="G291" s="39" cm="1">
        <f t="array" ref="G291">F291*_xlfn.XLOOKUP(1,
 (FOREX!$E$2:$E$13=EOMONTH(B291,0))*
 (FOREX!$F$2:$F$13=TRIM(E291)),FOREX!$G$2:$G$13,
 100)</f>
        <v>2.9393595000000001</v>
      </c>
      <c r="H291" t="s">
        <v>1495</v>
      </c>
      <c r="I291" t="s">
        <v>387</v>
      </c>
      <c r="J291" s="35" t="str">
        <f>_xlfn.XLOOKUP(I291,costcategory[Account Code],costcategory[Cost Category],"ERROR")</f>
        <v>Headcount Costs</v>
      </c>
      <c r="K291" s="89" t="str">
        <f t="shared" si="5"/>
        <v>HR</v>
      </c>
      <c r="L291" s="89" t="str">
        <f>_xlfn.XLOOKUP(K291,Table2[Department],Table2[Group],"ERROR")</f>
        <v>General &amp; Administrative</v>
      </c>
    </row>
    <row r="292" spans="1:12" x14ac:dyDescent="0.2">
      <c r="A292" t="s">
        <v>2</v>
      </c>
      <c r="B292" s="38">
        <v>46112</v>
      </c>
      <c r="C292" s="38">
        <v>46127</v>
      </c>
      <c r="D292" t="s">
        <v>1133</v>
      </c>
      <c r="E292" t="s">
        <v>82</v>
      </c>
      <c r="F292" s="37">
        <v>11.9</v>
      </c>
      <c r="G292" s="39" cm="1">
        <f t="array" ref="G292">F292*_xlfn.XLOOKUP(1,
 (FOREX!$E$2:$E$13=EOMONTH(B292,0))*
 (FOREX!$F$2:$F$13=TRIM(E292)),FOREX!$G$2:$G$13,
 100)</f>
        <v>2.9393595000000001</v>
      </c>
      <c r="H292" t="s">
        <v>1495</v>
      </c>
      <c r="I292" t="s">
        <v>387</v>
      </c>
      <c r="J292" s="35" t="str">
        <f>_xlfn.XLOOKUP(I292,costcategory[Account Code],costcategory[Cost Category],"ERROR")</f>
        <v>Headcount Costs</v>
      </c>
      <c r="K292" s="89" t="str">
        <f t="shared" si="5"/>
        <v>Finance</v>
      </c>
      <c r="L292" s="89" t="str">
        <f>_xlfn.XLOOKUP(K292,Table2[Department],Table2[Group],"ERROR")</f>
        <v>General &amp; Administrative</v>
      </c>
    </row>
    <row r="293" spans="1:12" x14ac:dyDescent="0.2">
      <c r="A293" t="s">
        <v>2</v>
      </c>
      <c r="B293" s="38">
        <v>46112</v>
      </c>
      <c r="C293" s="38">
        <v>46127</v>
      </c>
      <c r="D293" t="s">
        <v>1134</v>
      </c>
      <c r="E293" t="s">
        <v>82</v>
      </c>
      <c r="F293" s="37">
        <v>11.9</v>
      </c>
      <c r="G293" s="39" cm="1">
        <f t="array" ref="G293">F293*_xlfn.XLOOKUP(1,
 (FOREX!$E$2:$E$13=EOMONTH(B293,0))*
 (FOREX!$F$2:$F$13=TRIM(E293)),FOREX!$G$2:$G$13,
 100)</f>
        <v>2.9393595000000001</v>
      </c>
      <c r="H293" t="s">
        <v>1495</v>
      </c>
      <c r="I293" t="s">
        <v>387</v>
      </c>
      <c r="J293" s="35" t="str">
        <f>_xlfn.XLOOKUP(I293,costcategory[Account Code],costcategory[Cost Category],"ERROR")</f>
        <v>Headcount Costs</v>
      </c>
      <c r="K293" s="89" t="str">
        <f t="shared" si="5"/>
        <v>DSC</v>
      </c>
      <c r="L293" s="89" t="str">
        <f>_xlfn.XLOOKUP(K293,Table2[Department],Table2[Group],"ERROR")</f>
        <v>DSC</v>
      </c>
    </row>
    <row r="294" spans="1:12" x14ac:dyDescent="0.2">
      <c r="A294" t="s">
        <v>2</v>
      </c>
      <c r="B294" s="38">
        <v>46112</v>
      </c>
      <c r="C294" s="38">
        <v>46127</v>
      </c>
      <c r="D294" t="s">
        <v>1136</v>
      </c>
      <c r="E294" t="s">
        <v>82</v>
      </c>
      <c r="F294" s="37">
        <v>11.9</v>
      </c>
      <c r="G294" s="39" cm="1">
        <f t="array" ref="G294">F294*_xlfn.XLOOKUP(1,
 (FOREX!$E$2:$E$13=EOMONTH(B294,0))*
 (FOREX!$F$2:$F$13=TRIM(E294)),FOREX!$G$2:$G$13,
 100)</f>
        <v>2.9393595000000001</v>
      </c>
      <c r="H294" t="s">
        <v>1495</v>
      </c>
      <c r="I294" t="s">
        <v>387</v>
      </c>
      <c r="J294" s="35" t="str">
        <f>_xlfn.XLOOKUP(I294,costcategory[Account Code],costcategory[Cost Category],"ERROR")</f>
        <v>Headcount Costs</v>
      </c>
      <c r="K294" s="89" t="str">
        <f t="shared" si="5"/>
        <v>DSC</v>
      </c>
      <c r="L294" s="89" t="str">
        <f>_xlfn.XLOOKUP(K294,Table2[Department],Table2[Group],"ERROR")</f>
        <v>DSC</v>
      </c>
    </row>
    <row r="295" spans="1:12" x14ac:dyDescent="0.2">
      <c r="A295" t="s">
        <v>2</v>
      </c>
      <c r="B295" s="38">
        <v>46112</v>
      </c>
      <c r="C295" s="38">
        <v>46127</v>
      </c>
      <c r="D295" t="s">
        <v>1137</v>
      </c>
      <c r="E295" t="s">
        <v>82</v>
      </c>
      <c r="F295" s="37">
        <v>11.1</v>
      </c>
      <c r="G295" s="39" cm="1">
        <f t="array" ref="G295">F295*_xlfn.XLOOKUP(1,
 (FOREX!$E$2:$E$13=EOMONTH(B295,0))*
 (FOREX!$F$2:$F$13=TRIM(E295)),FOREX!$G$2:$G$13,
 100)</f>
        <v>2.7417555</v>
      </c>
      <c r="H295" t="s">
        <v>1495</v>
      </c>
      <c r="I295" t="s">
        <v>387</v>
      </c>
      <c r="J295" s="35" t="str">
        <f>_xlfn.XLOOKUP(I295,costcategory[Account Code],costcategory[Cost Category],"ERROR")</f>
        <v>Headcount Costs</v>
      </c>
      <c r="K295" s="89" t="str">
        <f t="shared" si="5"/>
        <v>DSC</v>
      </c>
      <c r="L295" s="89" t="str">
        <f>_xlfn.XLOOKUP(K295,Table2[Department],Table2[Group],"ERROR")</f>
        <v>DSC</v>
      </c>
    </row>
    <row r="296" spans="1:12" x14ac:dyDescent="0.2">
      <c r="A296" t="s">
        <v>2</v>
      </c>
      <c r="B296" s="38">
        <v>46112</v>
      </c>
      <c r="C296" s="38">
        <v>46127</v>
      </c>
      <c r="D296" t="s">
        <v>1139</v>
      </c>
      <c r="E296" t="s">
        <v>82</v>
      </c>
      <c r="F296" s="37">
        <v>0</v>
      </c>
      <c r="G296" s="39" cm="1">
        <f t="array" ref="G296">F296*_xlfn.XLOOKUP(1,
 (FOREX!$E$2:$E$13=EOMONTH(B296,0))*
 (FOREX!$F$2:$F$13=TRIM(E296)),FOREX!$G$2:$G$13,
 100)</f>
        <v>0</v>
      </c>
      <c r="H296" t="s">
        <v>1495</v>
      </c>
      <c r="I296" t="s">
        <v>387</v>
      </c>
      <c r="J296" s="35" t="str">
        <f>_xlfn.XLOOKUP(I296,costcategory[Account Code],costcategory[Cost Category],"ERROR")</f>
        <v>Headcount Costs</v>
      </c>
      <c r="K296" s="89" t="str">
        <f t="shared" si="5"/>
        <v>Business Operation</v>
      </c>
      <c r="L296" s="89" t="str">
        <f>_xlfn.XLOOKUP(K296,Table2[Department],Table2[Group],"ERROR")</f>
        <v>Sales &amp; Marketing</v>
      </c>
    </row>
    <row r="297" spans="1:12" x14ac:dyDescent="0.2">
      <c r="A297" t="s">
        <v>2</v>
      </c>
      <c r="B297" s="38">
        <v>46112</v>
      </c>
      <c r="C297" s="38">
        <v>46127</v>
      </c>
      <c r="D297" t="s">
        <v>1141</v>
      </c>
      <c r="E297" t="s">
        <v>82</v>
      </c>
      <c r="F297" s="37">
        <v>11.9</v>
      </c>
      <c r="G297" s="39" cm="1">
        <f t="array" ref="G297">F297*_xlfn.XLOOKUP(1,
 (FOREX!$E$2:$E$13=EOMONTH(B297,0))*
 (FOREX!$F$2:$F$13=TRIM(E297)),FOREX!$G$2:$G$13,
 100)</f>
        <v>2.9393595000000001</v>
      </c>
      <c r="H297" t="s">
        <v>1495</v>
      </c>
      <c r="I297" t="s">
        <v>387</v>
      </c>
      <c r="J297" s="35" t="str">
        <f>_xlfn.XLOOKUP(I297,costcategory[Account Code],costcategory[Cost Category],"ERROR")</f>
        <v>Headcount Costs</v>
      </c>
      <c r="K297" s="89" t="str">
        <f t="shared" si="5"/>
        <v>DSC</v>
      </c>
      <c r="L297" s="89" t="str">
        <f>_xlfn.XLOOKUP(K297,Table2[Department],Table2[Group],"ERROR")</f>
        <v>DSC</v>
      </c>
    </row>
    <row r="298" spans="1:12" x14ac:dyDescent="0.2">
      <c r="A298" t="s">
        <v>2</v>
      </c>
      <c r="B298" s="38">
        <v>46112</v>
      </c>
      <c r="C298" s="38">
        <v>46127</v>
      </c>
      <c r="D298" t="s">
        <v>1143</v>
      </c>
      <c r="E298" t="s">
        <v>82</v>
      </c>
      <c r="F298" s="37">
        <v>11.9</v>
      </c>
      <c r="G298" s="39" cm="1">
        <f t="array" ref="G298">F298*_xlfn.XLOOKUP(1,
 (FOREX!$E$2:$E$13=EOMONTH(B298,0))*
 (FOREX!$F$2:$F$13=TRIM(E298)),FOREX!$G$2:$G$13,
 100)</f>
        <v>2.9393595000000001</v>
      </c>
      <c r="H298" t="s">
        <v>1495</v>
      </c>
      <c r="I298" t="s">
        <v>387</v>
      </c>
      <c r="J298" s="35" t="str">
        <f>_xlfn.XLOOKUP(I298,costcategory[Account Code],costcategory[Cost Category],"ERROR")</f>
        <v>Headcount Costs</v>
      </c>
      <c r="K298" s="89" t="str">
        <f t="shared" si="5"/>
        <v>DSC</v>
      </c>
      <c r="L298" s="89" t="str">
        <f>_xlfn.XLOOKUP(K298,Table2[Department],Table2[Group],"ERROR")</f>
        <v>DSC</v>
      </c>
    </row>
    <row r="299" spans="1:12" x14ac:dyDescent="0.2">
      <c r="A299" t="s">
        <v>2</v>
      </c>
      <c r="B299" s="38">
        <v>46112</v>
      </c>
      <c r="C299" s="38">
        <v>46127</v>
      </c>
      <c r="D299" t="s">
        <v>1145</v>
      </c>
      <c r="E299" t="s">
        <v>82</v>
      </c>
      <c r="F299" s="37">
        <v>11.9</v>
      </c>
      <c r="G299" s="39" cm="1">
        <f t="array" ref="G299">F299*_xlfn.XLOOKUP(1,
 (FOREX!$E$2:$E$13=EOMONTH(B299,0))*
 (FOREX!$F$2:$F$13=TRIM(E299)),FOREX!$G$2:$G$13,
 100)</f>
        <v>2.9393595000000001</v>
      </c>
      <c r="H299" t="s">
        <v>1495</v>
      </c>
      <c r="I299" t="s">
        <v>387</v>
      </c>
      <c r="J299" s="35" t="str">
        <f>_xlfn.XLOOKUP(I299,costcategory[Account Code],costcategory[Cost Category],"ERROR")</f>
        <v>Headcount Costs</v>
      </c>
      <c r="K299" s="89" t="str">
        <f t="shared" si="5"/>
        <v>DSC</v>
      </c>
      <c r="L299" s="89" t="str">
        <f>_xlfn.XLOOKUP(K299,Table2[Department],Table2[Group],"ERROR")</f>
        <v>DSC</v>
      </c>
    </row>
    <row r="300" spans="1:12" x14ac:dyDescent="0.2">
      <c r="A300" t="s">
        <v>2</v>
      </c>
      <c r="B300" s="38">
        <v>46112</v>
      </c>
      <c r="C300" s="38">
        <v>46127</v>
      </c>
      <c r="D300" t="s">
        <v>1147</v>
      </c>
      <c r="E300" t="s">
        <v>82</v>
      </c>
      <c r="F300" s="37">
        <v>11.9</v>
      </c>
      <c r="G300" s="39" cm="1">
        <f t="array" ref="G300">F300*_xlfn.XLOOKUP(1,
 (FOREX!$E$2:$E$13=EOMONTH(B300,0))*
 (FOREX!$F$2:$F$13=TRIM(E300)),FOREX!$G$2:$G$13,
 100)</f>
        <v>2.9393595000000001</v>
      </c>
      <c r="H300" t="s">
        <v>1495</v>
      </c>
      <c r="I300" t="s">
        <v>387</v>
      </c>
      <c r="J300" s="35" t="str">
        <f>_xlfn.XLOOKUP(I300,costcategory[Account Code],costcategory[Cost Category],"ERROR")</f>
        <v>Headcount Costs</v>
      </c>
      <c r="K300" s="89" t="str">
        <f t="shared" si="5"/>
        <v>Finance</v>
      </c>
      <c r="L300" s="89" t="str">
        <f>_xlfn.XLOOKUP(K300,Table2[Department],Table2[Group],"ERROR")</f>
        <v>General &amp; Administrative</v>
      </c>
    </row>
    <row r="301" spans="1:12" x14ac:dyDescent="0.2">
      <c r="A301" t="s">
        <v>2</v>
      </c>
      <c r="B301" s="38">
        <v>46112</v>
      </c>
      <c r="C301" s="38">
        <v>46127</v>
      </c>
      <c r="D301" t="s">
        <v>1125</v>
      </c>
      <c r="E301" t="s">
        <v>82</v>
      </c>
      <c r="F301" s="37">
        <v>4812.5</v>
      </c>
      <c r="G301" s="39" cm="1">
        <f t="array" ref="G301">F301*_xlfn.XLOOKUP(1,
 (FOREX!$E$2:$E$13=EOMONTH(B301,0))*
 (FOREX!$F$2:$F$13=TRIM(E301)),FOREX!$G$2:$G$13,
 100)</f>
        <v>1188.7115624999999</v>
      </c>
      <c r="H301" t="s">
        <v>1496</v>
      </c>
      <c r="I301" t="s">
        <v>387</v>
      </c>
      <c r="J301" s="35" t="str">
        <f>_xlfn.XLOOKUP(I301,costcategory[Account Code],costcategory[Cost Category],"ERROR")</f>
        <v>Headcount Costs</v>
      </c>
      <c r="K301" s="89" t="str">
        <f t="shared" si="5"/>
        <v>Sales &amp; Pre-Sales</v>
      </c>
      <c r="L301" s="89" t="str">
        <f>_xlfn.XLOOKUP(K301,Table2[Department],Table2[Group],"ERROR")</f>
        <v>Sales &amp; Marketing</v>
      </c>
    </row>
    <row r="302" spans="1:12" x14ac:dyDescent="0.2">
      <c r="A302" t="s">
        <v>2</v>
      </c>
      <c r="B302" s="38">
        <v>46112</v>
      </c>
      <c r="C302" s="38">
        <v>46127</v>
      </c>
      <c r="D302" t="s">
        <v>1127</v>
      </c>
      <c r="E302" t="s">
        <v>82</v>
      </c>
      <c r="F302" s="37">
        <v>221</v>
      </c>
      <c r="G302" s="39" cm="1">
        <f t="array" ref="G302">F302*_xlfn.XLOOKUP(1,
 (FOREX!$E$2:$E$13=EOMONTH(B302,0))*
 (FOREX!$F$2:$F$13=TRIM(E302)),FOREX!$G$2:$G$13,
 100)</f>
        <v>54.588104999999999</v>
      </c>
      <c r="H302" t="s">
        <v>1496</v>
      </c>
      <c r="I302" t="s">
        <v>387</v>
      </c>
      <c r="J302" s="35" t="str">
        <f>_xlfn.XLOOKUP(I302,costcategory[Account Code],costcategory[Cost Category],"ERROR")</f>
        <v>Headcount Costs</v>
      </c>
      <c r="K302" s="89" t="str">
        <f t="shared" si="5"/>
        <v>DSC</v>
      </c>
      <c r="L302" s="89" t="str">
        <f>_xlfn.XLOOKUP(K302,Table2[Department],Table2[Group],"ERROR")</f>
        <v>DSC</v>
      </c>
    </row>
    <row r="303" spans="1:12" x14ac:dyDescent="0.2">
      <c r="A303" t="s">
        <v>2</v>
      </c>
      <c r="B303" s="38">
        <v>46112</v>
      </c>
      <c r="C303" s="38">
        <v>46127</v>
      </c>
      <c r="D303" t="s">
        <v>1129</v>
      </c>
      <c r="E303" t="s">
        <v>82</v>
      </c>
      <c r="F303" s="37">
        <v>210.15</v>
      </c>
      <c r="G303" s="39" cm="1">
        <f t="array" ref="G303">F303*_xlfn.XLOOKUP(1,
 (FOREX!$E$2:$E$13=EOMONTH(B303,0))*
 (FOREX!$F$2:$F$13=TRIM(E303)),FOREX!$G$2:$G$13,
 100)</f>
        <v>51.908100750000003</v>
      </c>
      <c r="H303" t="s">
        <v>1496</v>
      </c>
      <c r="I303" t="s">
        <v>387</v>
      </c>
      <c r="J303" s="35" t="str">
        <f>_xlfn.XLOOKUP(I303,costcategory[Account Code],costcategory[Cost Category],"ERROR")</f>
        <v>Headcount Costs</v>
      </c>
      <c r="K303" s="89" t="str">
        <f t="shared" si="5"/>
        <v>Sales &amp; Pre-Sales</v>
      </c>
      <c r="L303" s="89" t="str">
        <f>_xlfn.XLOOKUP(K303,Table2[Department],Table2[Group],"ERROR")</f>
        <v>Sales &amp; Marketing</v>
      </c>
    </row>
    <row r="304" spans="1:12" x14ac:dyDescent="0.2">
      <c r="A304" t="s">
        <v>2</v>
      </c>
      <c r="B304" s="38">
        <v>46112</v>
      </c>
      <c r="C304" s="38">
        <v>46127</v>
      </c>
      <c r="D304" t="s">
        <v>1131</v>
      </c>
      <c r="E304" t="s">
        <v>82</v>
      </c>
      <c r="F304" s="37">
        <v>1454.2</v>
      </c>
      <c r="G304" s="39" cm="1">
        <f t="array" ref="G304">F304*_xlfn.XLOOKUP(1,
 (FOREX!$E$2:$E$13=EOMONTH(B304,0))*
 (FOREX!$F$2:$F$13=TRIM(E304)),FOREX!$G$2:$G$13,
 100)</f>
        <v>359.19467100000003</v>
      </c>
      <c r="H304" t="s">
        <v>1496</v>
      </c>
      <c r="I304" t="s">
        <v>387</v>
      </c>
      <c r="J304" s="35" t="str">
        <f>_xlfn.XLOOKUP(I304,costcategory[Account Code],costcategory[Cost Category],"ERROR")</f>
        <v>Headcount Costs</v>
      </c>
      <c r="K304" s="89" t="str">
        <f t="shared" si="5"/>
        <v>HR</v>
      </c>
      <c r="L304" s="89" t="str">
        <f>_xlfn.XLOOKUP(K304,Table2[Department],Table2[Group],"ERROR")</f>
        <v>General &amp; Administrative</v>
      </c>
    </row>
    <row r="305" spans="1:12" x14ac:dyDescent="0.2">
      <c r="A305" t="s">
        <v>2</v>
      </c>
      <c r="B305" s="38">
        <v>46112</v>
      </c>
      <c r="C305" s="38">
        <v>46127</v>
      </c>
      <c r="D305" t="s">
        <v>1133</v>
      </c>
      <c r="E305" t="s">
        <v>82</v>
      </c>
      <c r="F305" s="37">
        <v>3809.45</v>
      </c>
      <c r="G305" s="39" cm="1">
        <f t="array" ref="G305">F305*_xlfn.XLOOKUP(1,
 (FOREX!$E$2:$E$13=EOMONTH(B305,0))*
 (FOREX!$F$2:$F$13=TRIM(E305)),FOREX!$G$2:$G$13,
 100)</f>
        <v>940.95319725000002</v>
      </c>
      <c r="H305" t="s">
        <v>1496</v>
      </c>
      <c r="I305" t="s">
        <v>387</v>
      </c>
      <c r="J305" s="35" t="str">
        <f>_xlfn.XLOOKUP(I305,costcategory[Account Code],costcategory[Cost Category],"ERROR")</f>
        <v>Headcount Costs</v>
      </c>
      <c r="K305" s="89" t="str">
        <f t="shared" si="5"/>
        <v>Finance</v>
      </c>
      <c r="L305" s="89" t="str">
        <f>_xlfn.XLOOKUP(K305,Table2[Department],Table2[Group],"ERROR")</f>
        <v>General &amp; Administrative</v>
      </c>
    </row>
    <row r="306" spans="1:12" x14ac:dyDescent="0.2">
      <c r="A306" t="s">
        <v>2</v>
      </c>
      <c r="B306" s="38">
        <v>46112</v>
      </c>
      <c r="C306" s="38">
        <v>46127</v>
      </c>
      <c r="D306" t="s">
        <v>1134</v>
      </c>
      <c r="E306" t="s">
        <v>82</v>
      </c>
      <c r="F306" s="37">
        <v>9507</v>
      </c>
      <c r="G306" s="39" cm="1">
        <f t="array" ref="G306">F306*_xlfn.XLOOKUP(1,
 (FOREX!$E$2:$E$13=EOMONTH(B306,0))*
 (FOREX!$F$2:$F$13=TRIM(E306)),FOREX!$G$2:$G$13,
 100)</f>
        <v>2348.276535</v>
      </c>
      <c r="H306" t="s">
        <v>1496</v>
      </c>
      <c r="I306" t="s">
        <v>387</v>
      </c>
      <c r="J306" s="35" t="str">
        <f>_xlfn.XLOOKUP(I306,costcategory[Account Code],costcategory[Cost Category],"ERROR")</f>
        <v>Headcount Costs</v>
      </c>
      <c r="K306" s="89" t="str">
        <f t="shared" si="5"/>
        <v>DSC</v>
      </c>
      <c r="L306" s="89" t="str">
        <f>_xlfn.XLOOKUP(K306,Table2[Department],Table2[Group],"ERROR")</f>
        <v>DSC</v>
      </c>
    </row>
    <row r="307" spans="1:12" x14ac:dyDescent="0.2">
      <c r="A307" t="s">
        <v>2</v>
      </c>
      <c r="B307" s="38">
        <v>46112</v>
      </c>
      <c r="C307" s="38">
        <v>46127</v>
      </c>
      <c r="D307" t="s">
        <v>1136</v>
      </c>
      <c r="E307" t="s">
        <v>82</v>
      </c>
      <c r="F307" s="37">
        <v>3583</v>
      </c>
      <c r="G307" s="39" cm="1">
        <f t="array" ref="G307">F307*_xlfn.XLOOKUP(1,
 (FOREX!$E$2:$E$13=EOMONTH(B307,0))*
 (FOREX!$F$2:$F$13=TRIM(E307)),FOREX!$G$2:$G$13,
 100)</f>
        <v>885.01891499999999</v>
      </c>
      <c r="H307" t="s">
        <v>1496</v>
      </c>
      <c r="I307" t="s">
        <v>387</v>
      </c>
      <c r="J307" s="35" t="str">
        <f>_xlfn.XLOOKUP(I307,costcategory[Account Code],costcategory[Cost Category],"ERROR")</f>
        <v>Headcount Costs</v>
      </c>
      <c r="K307" s="89" t="str">
        <f t="shared" si="5"/>
        <v>DSC</v>
      </c>
      <c r="L307" s="89" t="str">
        <f>_xlfn.XLOOKUP(K307,Table2[Department],Table2[Group],"ERROR")</f>
        <v>DSC</v>
      </c>
    </row>
    <row r="308" spans="1:12" x14ac:dyDescent="0.2">
      <c r="A308" t="s">
        <v>2</v>
      </c>
      <c r="B308" s="38">
        <v>46112</v>
      </c>
      <c r="C308" s="38">
        <v>46127</v>
      </c>
      <c r="D308" t="s">
        <v>1137</v>
      </c>
      <c r="E308" t="s">
        <v>82</v>
      </c>
      <c r="F308" s="37">
        <v>376.35</v>
      </c>
      <c r="G308" s="39" cm="1">
        <f t="array" ref="G308">F308*_xlfn.XLOOKUP(1,
 (FOREX!$E$2:$E$13=EOMONTH(B308,0))*
 (FOREX!$F$2:$F$13=TRIM(E308)),FOREX!$G$2:$G$13,
 100)</f>
        <v>92.960331750000009</v>
      </c>
      <c r="H308" t="s">
        <v>1496</v>
      </c>
      <c r="I308" t="s">
        <v>387</v>
      </c>
      <c r="J308" s="35" t="str">
        <f>_xlfn.XLOOKUP(I308,costcategory[Account Code],costcategory[Cost Category],"ERROR")</f>
        <v>Headcount Costs</v>
      </c>
      <c r="K308" s="89" t="str">
        <f t="shared" si="5"/>
        <v>DSC</v>
      </c>
      <c r="L308" s="89" t="str">
        <f>_xlfn.XLOOKUP(K308,Table2[Department],Table2[Group],"ERROR")</f>
        <v>DSC</v>
      </c>
    </row>
    <row r="309" spans="1:12" x14ac:dyDescent="0.2">
      <c r="A309" t="s">
        <v>2</v>
      </c>
      <c r="B309" s="38">
        <v>46112</v>
      </c>
      <c r="C309" s="38">
        <v>46127</v>
      </c>
      <c r="D309" t="s">
        <v>1139</v>
      </c>
      <c r="E309" t="s">
        <v>82</v>
      </c>
      <c r="F309" s="37">
        <v>5480.7</v>
      </c>
      <c r="G309" s="39" cm="1">
        <f t="array" ref="G309">F309*_xlfn.XLOOKUP(1,
 (FOREX!$E$2:$E$13=EOMONTH(B309,0))*
 (FOREX!$F$2:$F$13=TRIM(E309)),FOREX!$G$2:$G$13,
 100)</f>
        <v>1353.7603035</v>
      </c>
      <c r="H309" t="s">
        <v>1496</v>
      </c>
      <c r="I309" t="s">
        <v>387</v>
      </c>
      <c r="J309" s="35" t="str">
        <f>_xlfn.XLOOKUP(I309,costcategory[Account Code],costcategory[Cost Category],"ERROR")</f>
        <v>Headcount Costs</v>
      </c>
      <c r="K309" s="89" t="str">
        <f t="shared" si="5"/>
        <v>Business Operation</v>
      </c>
      <c r="L309" s="89" t="str">
        <f>_xlfn.XLOOKUP(K309,Table2[Department],Table2[Group],"ERROR")</f>
        <v>Sales &amp; Marketing</v>
      </c>
    </row>
    <row r="310" spans="1:12" x14ac:dyDescent="0.2">
      <c r="A310" t="s">
        <v>2</v>
      </c>
      <c r="B310" s="38">
        <v>46112</v>
      </c>
      <c r="C310" s="38">
        <v>46127</v>
      </c>
      <c r="D310" t="s">
        <v>1141</v>
      </c>
      <c r="E310" t="s">
        <v>82</v>
      </c>
      <c r="F310" s="37">
        <v>6112.5</v>
      </c>
      <c r="G310" s="39" cm="1">
        <f t="array" ref="G310">F310*_xlfn.XLOOKUP(1,
 (FOREX!$E$2:$E$13=EOMONTH(B310,0))*
 (FOREX!$F$2:$F$13=TRIM(E310)),FOREX!$G$2:$G$13,
 100)</f>
        <v>1509.8180625</v>
      </c>
      <c r="H310" t="s">
        <v>1496</v>
      </c>
      <c r="I310" t="s">
        <v>387</v>
      </c>
      <c r="J310" s="35" t="str">
        <f>_xlfn.XLOOKUP(I310,costcategory[Account Code],costcategory[Cost Category],"ERROR")</f>
        <v>Headcount Costs</v>
      </c>
      <c r="K310" s="89" t="str">
        <f t="shared" si="5"/>
        <v>DSC</v>
      </c>
      <c r="L310" s="89" t="str">
        <f>_xlfn.XLOOKUP(K310,Table2[Department],Table2[Group],"ERROR")</f>
        <v>DSC</v>
      </c>
    </row>
    <row r="311" spans="1:12" x14ac:dyDescent="0.2">
      <c r="A311" t="s">
        <v>2</v>
      </c>
      <c r="B311" s="38">
        <v>46112</v>
      </c>
      <c r="C311" s="38">
        <v>46127</v>
      </c>
      <c r="D311" t="s">
        <v>1143</v>
      </c>
      <c r="E311" t="s">
        <v>82</v>
      </c>
      <c r="F311" s="37">
        <v>343.2</v>
      </c>
      <c r="G311" s="39" cm="1">
        <f t="array" ref="G311">F311*_xlfn.XLOOKUP(1,
 (FOREX!$E$2:$E$13=EOMONTH(B311,0))*
 (FOREX!$F$2:$F$13=TRIM(E311)),FOREX!$G$2:$G$13,
 100)</f>
        <v>84.772115999999997</v>
      </c>
      <c r="H311" t="s">
        <v>1496</v>
      </c>
      <c r="I311" t="s">
        <v>387</v>
      </c>
      <c r="J311" s="35" t="str">
        <f>_xlfn.XLOOKUP(I311,costcategory[Account Code],costcategory[Cost Category],"ERROR")</f>
        <v>Headcount Costs</v>
      </c>
      <c r="K311" s="89" t="str">
        <f t="shared" si="5"/>
        <v>DSC</v>
      </c>
      <c r="L311" s="89" t="str">
        <f>_xlfn.XLOOKUP(K311,Table2[Department],Table2[Group],"ERROR")</f>
        <v>DSC</v>
      </c>
    </row>
    <row r="312" spans="1:12" x14ac:dyDescent="0.2">
      <c r="A312" t="s">
        <v>2</v>
      </c>
      <c r="B312" s="38">
        <v>46112</v>
      </c>
      <c r="C312" s="38">
        <v>46127</v>
      </c>
      <c r="D312" t="s">
        <v>1145</v>
      </c>
      <c r="E312" t="s">
        <v>82</v>
      </c>
      <c r="F312" s="37">
        <v>218.5</v>
      </c>
      <c r="G312" s="39" cm="1">
        <f t="array" ref="G312">F312*_xlfn.XLOOKUP(1,
 (FOREX!$E$2:$E$13=EOMONTH(B312,0))*
 (FOREX!$F$2:$F$13=TRIM(E312)),FOREX!$G$2:$G$13,
 100)</f>
        <v>53.970592500000002</v>
      </c>
      <c r="H312" t="s">
        <v>1496</v>
      </c>
      <c r="I312" t="s">
        <v>387</v>
      </c>
      <c r="J312" s="35" t="str">
        <f>_xlfn.XLOOKUP(I312,costcategory[Account Code],costcategory[Cost Category],"ERROR")</f>
        <v>Headcount Costs</v>
      </c>
      <c r="K312" s="89" t="str">
        <f t="shared" si="5"/>
        <v>DSC</v>
      </c>
      <c r="L312" s="89" t="str">
        <f>_xlfn.XLOOKUP(K312,Table2[Department],Table2[Group],"ERROR")</f>
        <v>DSC</v>
      </c>
    </row>
    <row r="313" spans="1:12" x14ac:dyDescent="0.2">
      <c r="A313" t="s">
        <v>2</v>
      </c>
      <c r="B313" s="38">
        <v>46112</v>
      </c>
      <c r="C313" s="38">
        <v>46127</v>
      </c>
      <c r="D313" t="s">
        <v>1147</v>
      </c>
      <c r="E313" t="s">
        <v>82</v>
      </c>
      <c r="F313" s="37">
        <v>218.5</v>
      </c>
      <c r="G313" s="39" cm="1">
        <f t="array" ref="G313">F313*_xlfn.XLOOKUP(1,
 (FOREX!$E$2:$E$13=EOMONTH(B313,0))*
 (FOREX!$F$2:$F$13=TRIM(E313)),FOREX!$G$2:$G$13,
 100)</f>
        <v>53.970592500000002</v>
      </c>
      <c r="H313" t="s">
        <v>1496</v>
      </c>
      <c r="I313" t="s">
        <v>387</v>
      </c>
      <c r="J313" s="35" t="str">
        <f>_xlfn.XLOOKUP(I313,costcategory[Account Code],costcategory[Cost Category],"ERROR")</f>
        <v>Headcount Costs</v>
      </c>
      <c r="K313" s="89" t="str">
        <f t="shared" si="5"/>
        <v>Finance</v>
      </c>
      <c r="L313" s="89" t="str">
        <f>_xlfn.XLOOKUP(K313,Table2[Department],Table2[Group],"ERROR")</f>
        <v>General &amp; Administrative</v>
      </c>
    </row>
    <row r="314" spans="1:12" x14ac:dyDescent="0.2">
      <c r="A314" t="s">
        <v>2</v>
      </c>
      <c r="B314" s="38">
        <v>46112</v>
      </c>
      <c r="C314" s="38">
        <v>46127</v>
      </c>
      <c r="D314" t="s">
        <v>1125</v>
      </c>
      <c r="E314" t="s">
        <v>82</v>
      </c>
      <c r="F314" s="37">
        <v>3341</v>
      </c>
      <c r="G314" s="39" cm="1">
        <f t="array" ref="G314">F314*_xlfn.XLOOKUP(1,
 (FOREX!$E$2:$E$13=EOMONTH(B314,0))*
 (FOREX!$F$2:$F$13=TRIM(E314)),FOREX!$G$2:$G$13,
 100)</f>
        <v>825.24370499999998</v>
      </c>
      <c r="H314" t="s">
        <v>1497</v>
      </c>
      <c r="I314" t="s">
        <v>364</v>
      </c>
      <c r="J314" s="35" t="str">
        <f>_xlfn.XLOOKUP(I314,costcategory[Account Code],costcategory[Cost Category],"ERROR")</f>
        <v>Headcount Costs</v>
      </c>
      <c r="K314" s="89" t="str">
        <f t="shared" si="5"/>
        <v>Sales &amp; Pre-Sales</v>
      </c>
      <c r="L314" s="89" t="str">
        <f>_xlfn.XLOOKUP(K314,Table2[Department],Table2[Group],"ERROR")</f>
        <v>Sales &amp; Marketing</v>
      </c>
    </row>
    <row r="315" spans="1:12" x14ac:dyDescent="0.2">
      <c r="A315" t="s">
        <v>2</v>
      </c>
      <c r="B315" s="38">
        <v>46112</v>
      </c>
      <c r="C315" s="38">
        <v>46127</v>
      </c>
      <c r="D315" t="s">
        <v>1127</v>
      </c>
      <c r="E315" t="s">
        <v>82</v>
      </c>
      <c r="F315" s="37">
        <v>891</v>
      </c>
      <c r="G315" s="39" cm="1">
        <f t="array" ref="G315">F315*_xlfn.XLOOKUP(1,
 (FOREX!$E$2:$E$13=EOMONTH(B315,0))*
 (FOREX!$F$2:$F$13=TRIM(E315)),FOREX!$G$2:$G$13,
 100)</f>
        <v>220.08145500000001</v>
      </c>
      <c r="H315" t="s">
        <v>1497</v>
      </c>
      <c r="I315" t="s">
        <v>364</v>
      </c>
      <c r="J315" s="35" t="str">
        <f>_xlfn.XLOOKUP(I315,costcategory[Account Code],costcategory[Cost Category],"ERROR")</f>
        <v>Headcount Costs</v>
      </c>
      <c r="K315" s="89" t="str">
        <f t="shared" si="5"/>
        <v>DSC</v>
      </c>
      <c r="L315" s="89" t="str">
        <f>_xlfn.XLOOKUP(K315,Table2[Department],Table2[Group],"ERROR")</f>
        <v>DSC</v>
      </c>
    </row>
    <row r="316" spans="1:12" x14ac:dyDescent="0.2">
      <c r="A316" t="s">
        <v>2</v>
      </c>
      <c r="B316" s="38">
        <v>46112</v>
      </c>
      <c r="C316" s="38">
        <v>46127</v>
      </c>
      <c r="D316" t="s">
        <v>1129</v>
      </c>
      <c r="E316" t="s">
        <v>82</v>
      </c>
      <c r="F316" s="37">
        <v>867</v>
      </c>
      <c r="G316" s="39" cm="1">
        <f t="array" ref="G316">F316*_xlfn.XLOOKUP(1,
 (FOREX!$E$2:$E$13=EOMONTH(B316,0))*
 (FOREX!$F$2:$F$13=TRIM(E316)),FOREX!$G$2:$G$13,
 100)</f>
        <v>214.153335</v>
      </c>
      <c r="H316" t="s">
        <v>1497</v>
      </c>
      <c r="I316" t="s">
        <v>364</v>
      </c>
      <c r="J316" s="35" t="str">
        <f>_xlfn.XLOOKUP(I316,costcategory[Account Code],costcategory[Cost Category],"ERROR")</f>
        <v>Headcount Costs</v>
      </c>
      <c r="K316" s="89" t="str">
        <f t="shared" si="5"/>
        <v>Sales &amp; Pre-Sales</v>
      </c>
      <c r="L316" s="89" t="str">
        <f>_xlfn.XLOOKUP(K316,Table2[Department],Table2[Group],"ERROR")</f>
        <v>Sales &amp; Marketing</v>
      </c>
    </row>
    <row r="317" spans="1:12" x14ac:dyDescent="0.2">
      <c r="A317" t="s">
        <v>2</v>
      </c>
      <c r="B317" s="38">
        <v>46112</v>
      </c>
      <c r="C317" s="38">
        <v>46127</v>
      </c>
      <c r="D317" t="s">
        <v>1131</v>
      </c>
      <c r="E317" t="s">
        <v>82</v>
      </c>
      <c r="F317" s="37">
        <v>1573</v>
      </c>
      <c r="G317" s="39" cm="1">
        <f t="array" ref="G317">F317*_xlfn.XLOOKUP(1,
 (FOREX!$E$2:$E$13=EOMONTH(B317,0))*
 (FOREX!$F$2:$F$13=TRIM(E317)),FOREX!$G$2:$G$13,
 100)</f>
        <v>388.53886499999999</v>
      </c>
      <c r="H317" t="s">
        <v>1497</v>
      </c>
      <c r="I317" t="s">
        <v>364</v>
      </c>
      <c r="J317" s="35" t="str">
        <f>_xlfn.XLOOKUP(I317,costcategory[Account Code],costcategory[Cost Category],"ERROR")</f>
        <v>Headcount Costs</v>
      </c>
      <c r="K317" s="89" t="str">
        <f t="shared" si="5"/>
        <v>HR</v>
      </c>
      <c r="L317" s="89" t="str">
        <f>_xlfn.XLOOKUP(K317,Table2[Department],Table2[Group],"ERROR")</f>
        <v>General &amp; Administrative</v>
      </c>
    </row>
    <row r="318" spans="1:12" x14ac:dyDescent="0.2">
      <c r="A318" t="s">
        <v>2</v>
      </c>
      <c r="B318" s="38">
        <v>46112</v>
      </c>
      <c r="C318" s="38">
        <v>46127</v>
      </c>
      <c r="D318" t="s">
        <v>1133</v>
      </c>
      <c r="E318" t="s">
        <v>82</v>
      </c>
      <c r="F318" s="37">
        <v>2798</v>
      </c>
      <c r="G318" s="39" cm="1">
        <f t="array" ref="G318">F318*_xlfn.XLOOKUP(1,
 (FOREX!$E$2:$E$13=EOMONTH(B318,0))*
 (FOREX!$F$2:$F$13=TRIM(E318)),FOREX!$G$2:$G$13,
 100)</f>
        <v>691.11999000000003</v>
      </c>
      <c r="H318" t="s">
        <v>1497</v>
      </c>
      <c r="I318" t="s">
        <v>364</v>
      </c>
      <c r="J318" s="35" t="str">
        <f>_xlfn.XLOOKUP(I318,costcategory[Account Code],costcategory[Cost Category],"ERROR")</f>
        <v>Headcount Costs</v>
      </c>
      <c r="K318" s="89" t="str">
        <f t="shared" si="5"/>
        <v>Finance</v>
      </c>
      <c r="L318" s="89" t="str">
        <f>_xlfn.XLOOKUP(K318,Table2[Department],Table2[Group],"ERROR")</f>
        <v>General &amp; Administrative</v>
      </c>
    </row>
    <row r="319" spans="1:12" x14ac:dyDescent="0.2">
      <c r="A319" t="s">
        <v>2</v>
      </c>
      <c r="B319" s="38">
        <v>46112</v>
      </c>
      <c r="C319" s="38">
        <v>46127</v>
      </c>
      <c r="D319" t="s">
        <v>1134</v>
      </c>
      <c r="E319" t="s">
        <v>82</v>
      </c>
      <c r="F319" s="37">
        <v>5783</v>
      </c>
      <c r="G319" s="39" cm="1">
        <f t="array" ref="G319">F319*_xlfn.XLOOKUP(1,
 (FOREX!$E$2:$E$13=EOMONTH(B319,0))*
 (FOREX!$F$2:$F$13=TRIM(E319)),FOREX!$G$2:$G$13,
 100)</f>
        <v>1428.4299149999999</v>
      </c>
      <c r="H319" t="s">
        <v>1497</v>
      </c>
      <c r="I319" t="s">
        <v>364</v>
      </c>
      <c r="J319" s="35" t="str">
        <f>_xlfn.XLOOKUP(I319,costcategory[Account Code],costcategory[Cost Category],"ERROR")</f>
        <v>Headcount Costs</v>
      </c>
      <c r="K319" s="89" t="str">
        <f t="shared" si="5"/>
        <v>DSC</v>
      </c>
      <c r="L319" s="89" t="str">
        <f>_xlfn.XLOOKUP(K319,Table2[Department],Table2[Group],"ERROR")</f>
        <v>DSC</v>
      </c>
    </row>
    <row r="320" spans="1:12" x14ac:dyDescent="0.2">
      <c r="A320" t="s">
        <v>2</v>
      </c>
      <c r="B320" s="38">
        <v>46112</v>
      </c>
      <c r="C320" s="38">
        <v>46127</v>
      </c>
      <c r="D320" t="s">
        <v>1136</v>
      </c>
      <c r="E320" t="s">
        <v>82</v>
      </c>
      <c r="F320" s="37">
        <v>2702</v>
      </c>
      <c r="G320" s="39" cm="1">
        <f t="array" ref="G320">F320*_xlfn.XLOOKUP(1,
 (FOREX!$E$2:$E$13=EOMONTH(B320,0))*
 (FOREX!$F$2:$F$13=TRIM(E320)),FOREX!$G$2:$G$13,
 100)</f>
        <v>667.40751</v>
      </c>
      <c r="H320" t="s">
        <v>1497</v>
      </c>
      <c r="I320" t="s">
        <v>364</v>
      </c>
      <c r="J320" s="35" t="str">
        <f>_xlfn.XLOOKUP(I320,costcategory[Account Code],costcategory[Cost Category],"ERROR")</f>
        <v>Headcount Costs</v>
      </c>
      <c r="K320" s="89" t="str">
        <f t="shared" si="5"/>
        <v>DSC</v>
      </c>
      <c r="L320" s="89" t="str">
        <f>_xlfn.XLOOKUP(K320,Table2[Department],Table2[Group],"ERROR")</f>
        <v>DSC</v>
      </c>
    </row>
    <row r="321" spans="1:12" x14ac:dyDescent="0.2">
      <c r="A321" t="s">
        <v>2</v>
      </c>
      <c r="B321" s="38">
        <v>46112</v>
      </c>
      <c r="C321" s="38">
        <v>46127</v>
      </c>
      <c r="D321" t="s">
        <v>1137</v>
      </c>
      <c r="E321" t="s">
        <v>82</v>
      </c>
      <c r="F321" s="37">
        <v>980</v>
      </c>
      <c r="G321" s="39" cm="1">
        <f t="array" ref="G321">F321*_xlfn.XLOOKUP(1,
 (FOREX!$E$2:$E$13=EOMONTH(B321,0))*
 (FOREX!$F$2:$F$13=TRIM(E321)),FOREX!$G$2:$G$13,
 100)</f>
        <v>242.06489999999999</v>
      </c>
      <c r="H321" t="s">
        <v>1497</v>
      </c>
      <c r="I321" t="s">
        <v>364</v>
      </c>
      <c r="J321" s="35" t="str">
        <f>_xlfn.XLOOKUP(I321,costcategory[Account Code],costcategory[Cost Category],"ERROR")</f>
        <v>Headcount Costs</v>
      </c>
      <c r="K321" s="89" t="str">
        <f t="shared" si="5"/>
        <v>DSC</v>
      </c>
      <c r="L321" s="89" t="str">
        <f>_xlfn.XLOOKUP(K321,Table2[Department],Table2[Group],"ERROR")</f>
        <v>DSC</v>
      </c>
    </row>
    <row r="322" spans="1:12" x14ac:dyDescent="0.2">
      <c r="A322" t="s">
        <v>2</v>
      </c>
      <c r="B322" s="38">
        <v>46112</v>
      </c>
      <c r="C322" s="38">
        <v>46127</v>
      </c>
      <c r="D322" t="s">
        <v>1139</v>
      </c>
      <c r="E322" t="s">
        <v>82</v>
      </c>
      <c r="F322" s="37">
        <v>565</v>
      </c>
      <c r="G322" s="39" cm="1">
        <f t="array" ref="G322">F322*_xlfn.XLOOKUP(1,
 (FOREX!$E$2:$E$13=EOMONTH(B322,0))*
 (FOREX!$F$2:$F$13=TRIM(E322)),FOREX!$G$2:$G$13,
 100)</f>
        <v>139.55782500000001</v>
      </c>
      <c r="H322" t="s">
        <v>1497</v>
      </c>
      <c r="I322" t="s">
        <v>364</v>
      </c>
      <c r="J322" s="35" t="str">
        <f>_xlfn.XLOOKUP(I322,costcategory[Account Code],costcategory[Cost Category],"ERROR")</f>
        <v>Headcount Costs</v>
      </c>
      <c r="K322" s="89" t="str">
        <f t="shared" si="5"/>
        <v>Business Operation</v>
      </c>
      <c r="L322" s="89" t="str">
        <f>_xlfn.XLOOKUP(K322,Table2[Department],Table2[Group],"ERROR")</f>
        <v>Sales &amp; Marketing</v>
      </c>
    </row>
    <row r="323" spans="1:12" x14ac:dyDescent="0.2">
      <c r="A323" t="s">
        <v>2</v>
      </c>
      <c r="B323" s="38">
        <v>46112</v>
      </c>
      <c r="C323" s="38">
        <v>46127</v>
      </c>
      <c r="D323" t="s">
        <v>1141</v>
      </c>
      <c r="E323" t="s">
        <v>82</v>
      </c>
      <c r="F323" s="37">
        <v>4082</v>
      </c>
      <c r="G323" s="39" cm="1">
        <f t="array" ref="G323">F323*_xlfn.XLOOKUP(1,
 (FOREX!$E$2:$E$13=EOMONTH(B323,0))*
 (FOREX!$F$2:$F$13=TRIM(E323)),FOREX!$G$2:$G$13,
 100)</f>
        <v>1008.27441</v>
      </c>
      <c r="H323" t="s">
        <v>1497</v>
      </c>
      <c r="I323" t="s">
        <v>364</v>
      </c>
      <c r="J323" s="35" t="str">
        <f>_xlfn.XLOOKUP(I323,costcategory[Account Code],costcategory[Cost Category],"ERROR")</f>
        <v>Headcount Costs</v>
      </c>
      <c r="K323" s="89" t="str">
        <f t="shared" si="5"/>
        <v>DSC</v>
      </c>
      <c r="L323" s="89" t="str">
        <f>_xlfn.XLOOKUP(K323,Table2[Department],Table2[Group],"ERROR")</f>
        <v>DSC</v>
      </c>
    </row>
    <row r="324" spans="1:12" x14ac:dyDescent="0.2">
      <c r="A324" t="s">
        <v>2</v>
      </c>
      <c r="B324" s="38">
        <v>46112</v>
      </c>
      <c r="C324" s="38">
        <v>46127</v>
      </c>
      <c r="D324" t="s">
        <v>1143</v>
      </c>
      <c r="E324" t="s">
        <v>82</v>
      </c>
      <c r="F324" s="37">
        <v>923</v>
      </c>
      <c r="G324" s="39" cm="1">
        <f t="array" ref="G324">F324*_xlfn.XLOOKUP(1,
 (FOREX!$E$2:$E$13=EOMONTH(B324,0))*
 (FOREX!$F$2:$F$13=TRIM(E324)),FOREX!$G$2:$G$13,
 100)</f>
        <v>227.985615</v>
      </c>
      <c r="H324" t="s">
        <v>1497</v>
      </c>
      <c r="I324" t="s">
        <v>364</v>
      </c>
      <c r="J324" s="35" t="str">
        <f>_xlfn.XLOOKUP(I324,costcategory[Account Code],costcategory[Cost Category],"ERROR")</f>
        <v>Headcount Costs</v>
      </c>
      <c r="K324" s="89" t="str">
        <f t="shared" si="5"/>
        <v>DSC</v>
      </c>
      <c r="L324" s="89" t="str">
        <f>_xlfn.XLOOKUP(K324,Table2[Department],Table2[Group],"ERROR")</f>
        <v>DSC</v>
      </c>
    </row>
    <row r="325" spans="1:12" x14ac:dyDescent="0.2">
      <c r="A325" t="s">
        <v>2</v>
      </c>
      <c r="B325" s="38">
        <v>46112</v>
      </c>
      <c r="C325" s="38">
        <v>46127</v>
      </c>
      <c r="D325" t="s">
        <v>1145</v>
      </c>
      <c r="E325" t="s">
        <v>82</v>
      </c>
      <c r="F325" s="37">
        <v>793</v>
      </c>
      <c r="G325" s="39" cm="1">
        <f t="array" ref="G325">F325*_xlfn.XLOOKUP(1,
 (FOREX!$E$2:$E$13=EOMONTH(B325,0))*
 (FOREX!$F$2:$F$13=TRIM(E325)),FOREX!$G$2:$G$13,
 100)</f>
        <v>195.874965</v>
      </c>
      <c r="H325" t="s">
        <v>1497</v>
      </c>
      <c r="I325" t="s">
        <v>364</v>
      </c>
      <c r="J325" s="35" t="str">
        <f>_xlfn.XLOOKUP(I325,costcategory[Account Code],costcategory[Cost Category],"ERROR")</f>
        <v>Headcount Costs</v>
      </c>
      <c r="K325" s="89" t="str">
        <f t="shared" si="5"/>
        <v>DSC</v>
      </c>
      <c r="L325" s="89" t="str">
        <f>_xlfn.XLOOKUP(K325,Table2[Department],Table2[Group],"ERROR")</f>
        <v>DSC</v>
      </c>
    </row>
    <row r="326" spans="1:12" x14ac:dyDescent="0.2">
      <c r="A326" t="s">
        <v>2</v>
      </c>
      <c r="B326" s="38">
        <v>46112</v>
      </c>
      <c r="C326" s="38">
        <v>46127</v>
      </c>
      <c r="D326" t="s">
        <v>1147</v>
      </c>
      <c r="E326" t="s">
        <v>82</v>
      </c>
      <c r="F326" s="37">
        <v>793</v>
      </c>
      <c r="G326" s="39" cm="1">
        <f t="array" ref="G326">F326*_xlfn.XLOOKUP(1,
 (FOREX!$E$2:$E$13=EOMONTH(B326,0))*
 (FOREX!$F$2:$F$13=TRIM(E326)),FOREX!$G$2:$G$13,
 100)</f>
        <v>195.874965</v>
      </c>
      <c r="H326" t="s">
        <v>1497</v>
      </c>
      <c r="I326" t="s">
        <v>364</v>
      </c>
      <c r="J326" s="35" t="str">
        <f>_xlfn.XLOOKUP(I326,costcategory[Account Code],costcategory[Cost Category],"ERROR")</f>
        <v>Headcount Costs</v>
      </c>
      <c r="K326" s="89" t="str">
        <f t="shared" si="5"/>
        <v>Finance</v>
      </c>
      <c r="L326" s="89" t="str">
        <f>_xlfn.XLOOKUP(K326,Table2[Department],Table2[Group],"ERROR")</f>
        <v>General &amp; Administrative</v>
      </c>
    </row>
    <row r="327" spans="1:12" x14ac:dyDescent="0.2">
      <c r="A327" t="s">
        <v>2</v>
      </c>
      <c r="B327" s="38">
        <v>46112</v>
      </c>
      <c r="C327" s="38">
        <v>46127</v>
      </c>
      <c r="D327" t="s">
        <v>1125</v>
      </c>
      <c r="E327" t="s">
        <v>82</v>
      </c>
      <c r="F327" s="37">
        <v>104.15</v>
      </c>
      <c r="G327" s="39" cm="1">
        <f t="array" ref="G327">F327*_xlfn.XLOOKUP(1,
 (FOREX!$E$2:$E$13=EOMONTH(B327,0))*
 (FOREX!$F$2:$F$13=TRIM(E327)),FOREX!$G$2:$G$13,
 100)</f>
        <v>25.725570750000003</v>
      </c>
      <c r="H327" t="s">
        <v>1498</v>
      </c>
      <c r="I327" t="s">
        <v>364</v>
      </c>
      <c r="J327" s="35" t="str">
        <f>_xlfn.XLOOKUP(I327,costcategory[Account Code],costcategory[Cost Category],"ERROR")</f>
        <v>Headcount Costs</v>
      </c>
      <c r="K327" s="89" t="str">
        <f t="shared" si="5"/>
        <v>Sales &amp; Pre-Sales</v>
      </c>
      <c r="L327" s="89" t="str">
        <f>_xlfn.XLOOKUP(K327,Table2[Department],Table2[Group],"ERROR")</f>
        <v>Sales &amp; Marketing</v>
      </c>
    </row>
    <row r="328" spans="1:12" x14ac:dyDescent="0.2">
      <c r="A328" t="s">
        <v>2</v>
      </c>
      <c r="B328" s="38">
        <v>46112</v>
      </c>
      <c r="C328" s="38">
        <v>46127</v>
      </c>
      <c r="D328" t="s">
        <v>1127</v>
      </c>
      <c r="E328" t="s">
        <v>82</v>
      </c>
      <c r="F328" s="37">
        <v>79.650000000000006</v>
      </c>
      <c r="G328" s="39" cm="1">
        <f t="array" ref="G328">F328*_xlfn.XLOOKUP(1,
 (FOREX!$E$2:$E$13=EOMONTH(B328,0))*
 (FOREX!$F$2:$F$13=TRIM(E328)),FOREX!$G$2:$G$13,
 100)</f>
        <v>19.673948250000002</v>
      </c>
      <c r="H328" t="s">
        <v>1498</v>
      </c>
      <c r="I328" t="s">
        <v>364</v>
      </c>
      <c r="J328" s="35" t="str">
        <f>_xlfn.XLOOKUP(I328,costcategory[Account Code],costcategory[Cost Category],"ERROR")</f>
        <v>Headcount Costs</v>
      </c>
      <c r="K328" s="89" t="str">
        <f t="shared" si="5"/>
        <v>DSC</v>
      </c>
      <c r="L328" s="89" t="str">
        <f>_xlfn.XLOOKUP(K328,Table2[Department],Table2[Group],"ERROR")</f>
        <v>DSC</v>
      </c>
    </row>
    <row r="329" spans="1:12" x14ac:dyDescent="0.2">
      <c r="A329" t="s">
        <v>2</v>
      </c>
      <c r="B329" s="38">
        <v>46112</v>
      </c>
      <c r="C329" s="38">
        <v>46127</v>
      </c>
      <c r="D329" t="s">
        <v>1129</v>
      </c>
      <c r="E329" t="s">
        <v>82</v>
      </c>
      <c r="F329" s="37">
        <v>84.85</v>
      </c>
      <c r="G329" s="39" cm="1">
        <f t="array" ref="G329">F329*_xlfn.XLOOKUP(1,
 (FOREX!$E$2:$E$13=EOMONTH(B329,0))*
 (FOREX!$F$2:$F$13=TRIM(E329)),FOREX!$G$2:$G$13,
 100)</f>
        <v>20.958374249999999</v>
      </c>
      <c r="H329" t="s">
        <v>1498</v>
      </c>
      <c r="I329" t="s">
        <v>364</v>
      </c>
      <c r="J329" s="35" t="str">
        <f>_xlfn.XLOOKUP(I329,costcategory[Account Code],costcategory[Cost Category],"ERROR")</f>
        <v>Headcount Costs</v>
      </c>
      <c r="K329" s="89" t="str">
        <f t="shared" si="5"/>
        <v>Sales &amp; Pre-Sales</v>
      </c>
      <c r="L329" s="89" t="str">
        <f>_xlfn.XLOOKUP(K329,Table2[Department],Table2[Group],"ERROR")</f>
        <v>Sales &amp; Marketing</v>
      </c>
    </row>
    <row r="330" spans="1:12" x14ac:dyDescent="0.2">
      <c r="A330" t="s">
        <v>2</v>
      </c>
      <c r="B330" s="38">
        <v>46112</v>
      </c>
      <c r="C330" s="38">
        <v>46127</v>
      </c>
      <c r="D330" t="s">
        <v>1131</v>
      </c>
      <c r="E330" t="s">
        <v>82</v>
      </c>
      <c r="F330" s="37">
        <v>104.15</v>
      </c>
      <c r="G330" s="39" cm="1">
        <f t="array" ref="G330">F330*_xlfn.XLOOKUP(1,
 (FOREX!$E$2:$E$13=EOMONTH(B330,0))*
 (FOREX!$F$2:$F$13=TRIM(E330)),FOREX!$G$2:$G$13,
 100)</f>
        <v>25.725570750000003</v>
      </c>
      <c r="H330" t="s">
        <v>1498</v>
      </c>
      <c r="I330" t="s">
        <v>364</v>
      </c>
      <c r="J330" s="35" t="str">
        <f>_xlfn.XLOOKUP(I330,costcategory[Account Code],costcategory[Cost Category],"ERROR")</f>
        <v>Headcount Costs</v>
      </c>
      <c r="K330" s="89" t="str">
        <f t="shared" si="5"/>
        <v>HR</v>
      </c>
      <c r="L330" s="89" t="str">
        <f>_xlfn.XLOOKUP(K330,Table2[Department],Table2[Group],"ERROR")</f>
        <v>General &amp; Administrative</v>
      </c>
    </row>
    <row r="331" spans="1:12" x14ac:dyDescent="0.2">
      <c r="A331" t="s">
        <v>2</v>
      </c>
      <c r="B331" s="38">
        <v>46112</v>
      </c>
      <c r="C331" s="38">
        <v>46127</v>
      </c>
      <c r="D331" t="s">
        <v>1133</v>
      </c>
      <c r="E331" t="s">
        <v>82</v>
      </c>
      <c r="F331" s="37">
        <v>104.15</v>
      </c>
      <c r="G331" s="39" cm="1">
        <f t="array" ref="G331">F331*_xlfn.XLOOKUP(1,
 (FOREX!$E$2:$E$13=EOMONTH(B331,0))*
 (FOREX!$F$2:$F$13=TRIM(E331)),FOREX!$G$2:$G$13,
 100)</f>
        <v>25.725570750000003</v>
      </c>
      <c r="H331" t="s">
        <v>1498</v>
      </c>
      <c r="I331" t="s">
        <v>364</v>
      </c>
      <c r="J331" s="35" t="str">
        <f>_xlfn.XLOOKUP(I331,costcategory[Account Code],costcategory[Cost Category],"ERROR")</f>
        <v>Headcount Costs</v>
      </c>
      <c r="K331" s="89" t="str">
        <f t="shared" si="5"/>
        <v>Finance</v>
      </c>
      <c r="L331" s="89" t="str">
        <f>_xlfn.XLOOKUP(K331,Table2[Department],Table2[Group],"ERROR")</f>
        <v>General &amp; Administrative</v>
      </c>
    </row>
    <row r="332" spans="1:12" x14ac:dyDescent="0.2">
      <c r="A332" t="s">
        <v>2</v>
      </c>
      <c r="B332" s="38">
        <v>46112</v>
      </c>
      <c r="C332" s="38">
        <v>46127</v>
      </c>
      <c r="D332" t="s">
        <v>1134</v>
      </c>
      <c r="E332" t="s">
        <v>82</v>
      </c>
      <c r="F332" s="37">
        <v>104.15</v>
      </c>
      <c r="G332" s="39" cm="1">
        <f t="array" ref="G332">F332*_xlfn.XLOOKUP(1,
 (FOREX!$E$2:$E$13=EOMONTH(B332,0))*
 (FOREX!$F$2:$F$13=TRIM(E332)),FOREX!$G$2:$G$13,
 100)</f>
        <v>25.725570750000003</v>
      </c>
      <c r="H332" t="s">
        <v>1498</v>
      </c>
      <c r="I332" t="s">
        <v>364</v>
      </c>
      <c r="J332" s="35" t="str">
        <f>_xlfn.XLOOKUP(I332,costcategory[Account Code],costcategory[Cost Category],"ERROR")</f>
        <v>Headcount Costs</v>
      </c>
      <c r="K332" s="89" t="str">
        <f t="shared" si="5"/>
        <v>DSC</v>
      </c>
      <c r="L332" s="89" t="str">
        <f>_xlfn.XLOOKUP(K332,Table2[Department],Table2[Group],"ERROR")</f>
        <v>DSC</v>
      </c>
    </row>
    <row r="333" spans="1:12" x14ac:dyDescent="0.2">
      <c r="A333" t="s">
        <v>2</v>
      </c>
      <c r="B333" s="38">
        <v>46112</v>
      </c>
      <c r="C333" s="38">
        <v>46127</v>
      </c>
      <c r="D333" t="s">
        <v>1136</v>
      </c>
      <c r="E333" t="s">
        <v>82</v>
      </c>
      <c r="F333" s="37">
        <v>104.15</v>
      </c>
      <c r="G333" s="39" cm="1">
        <f t="array" ref="G333">F333*_xlfn.XLOOKUP(1,
 (FOREX!$E$2:$E$13=EOMONTH(B333,0))*
 (FOREX!$F$2:$F$13=TRIM(E333)),FOREX!$G$2:$G$13,
 100)</f>
        <v>25.725570750000003</v>
      </c>
      <c r="H333" t="s">
        <v>1498</v>
      </c>
      <c r="I333" t="s">
        <v>364</v>
      </c>
      <c r="J333" s="35" t="str">
        <f>_xlfn.XLOOKUP(I333,costcategory[Account Code],costcategory[Cost Category],"ERROR")</f>
        <v>Headcount Costs</v>
      </c>
      <c r="K333" s="89" t="str">
        <f t="shared" si="5"/>
        <v>DSC</v>
      </c>
      <c r="L333" s="89" t="str">
        <f>_xlfn.XLOOKUP(K333,Table2[Department],Table2[Group],"ERROR")</f>
        <v>DSC</v>
      </c>
    </row>
    <row r="334" spans="1:12" x14ac:dyDescent="0.2">
      <c r="A334" t="s">
        <v>2</v>
      </c>
      <c r="B334" s="38">
        <v>46112</v>
      </c>
      <c r="C334" s="38">
        <v>46127</v>
      </c>
      <c r="D334" t="s">
        <v>1137</v>
      </c>
      <c r="E334" t="s">
        <v>82</v>
      </c>
      <c r="F334" s="37">
        <v>97.15</v>
      </c>
      <c r="G334" s="39" cm="1">
        <f t="array" ref="G334">F334*_xlfn.XLOOKUP(1,
 (FOREX!$E$2:$E$13=EOMONTH(B334,0))*
 (FOREX!$F$2:$F$13=TRIM(E334)),FOREX!$G$2:$G$13,
 100)</f>
        <v>23.996535750000003</v>
      </c>
      <c r="H334" t="s">
        <v>1498</v>
      </c>
      <c r="I334" t="s">
        <v>364</v>
      </c>
      <c r="J334" s="35" t="str">
        <f>_xlfn.XLOOKUP(I334,costcategory[Account Code],costcategory[Cost Category],"ERROR")</f>
        <v>Headcount Costs</v>
      </c>
      <c r="K334" s="89" t="str">
        <f t="shared" si="5"/>
        <v>DSC</v>
      </c>
      <c r="L334" s="89" t="str">
        <f>_xlfn.XLOOKUP(K334,Table2[Department],Table2[Group],"ERROR")</f>
        <v>DSC</v>
      </c>
    </row>
    <row r="335" spans="1:12" x14ac:dyDescent="0.2">
      <c r="A335" t="s">
        <v>2</v>
      </c>
      <c r="B335" s="38">
        <v>46112</v>
      </c>
      <c r="C335" s="38">
        <v>46127</v>
      </c>
      <c r="D335" t="s">
        <v>1139</v>
      </c>
      <c r="E335" t="s">
        <v>82</v>
      </c>
      <c r="F335" s="37">
        <v>104.15</v>
      </c>
      <c r="G335" s="39" cm="1">
        <f t="array" ref="G335">F335*_xlfn.XLOOKUP(1,
 (FOREX!$E$2:$E$13=EOMONTH(B335,0))*
 (FOREX!$F$2:$F$13=TRIM(E335)),FOREX!$G$2:$G$13,
 100)</f>
        <v>25.725570750000003</v>
      </c>
      <c r="H335" t="s">
        <v>1498</v>
      </c>
      <c r="I335" t="s">
        <v>364</v>
      </c>
      <c r="J335" s="35" t="str">
        <f>_xlfn.XLOOKUP(I335,costcategory[Account Code],costcategory[Cost Category],"ERROR")</f>
        <v>Headcount Costs</v>
      </c>
      <c r="K335" s="89" t="str">
        <f t="shared" si="5"/>
        <v>Business Operation</v>
      </c>
      <c r="L335" s="89" t="str">
        <f>_xlfn.XLOOKUP(K335,Table2[Department],Table2[Group],"ERROR")</f>
        <v>Sales &amp; Marketing</v>
      </c>
    </row>
    <row r="336" spans="1:12" x14ac:dyDescent="0.2">
      <c r="A336" t="s">
        <v>2</v>
      </c>
      <c r="B336" s="38">
        <v>46112</v>
      </c>
      <c r="C336" s="38">
        <v>46127</v>
      </c>
      <c r="D336" t="s">
        <v>1141</v>
      </c>
      <c r="E336" t="s">
        <v>82</v>
      </c>
      <c r="F336" s="37">
        <v>104.15</v>
      </c>
      <c r="G336" s="39" cm="1">
        <f t="array" ref="G336">F336*_xlfn.XLOOKUP(1,
 (FOREX!$E$2:$E$13=EOMONTH(B336,0))*
 (FOREX!$F$2:$F$13=TRIM(E336)),FOREX!$G$2:$G$13,
 100)</f>
        <v>25.725570750000003</v>
      </c>
      <c r="H336" t="s">
        <v>1498</v>
      </c>
      <c r="I336" t="s">
        <v>364</v>
      </c>
      <c r="J336" s="35" t="str">
        <f>_xlfn.XLOOKUP(I336,costcategory[Account Code],costcategory[Cost Category],"ERROR")</f>
        <v>Headcount Costs</v>
      </c>
      <c r="K336" s="89" t="str">
        <f t="shared" si="5"/>
        <v>DSC</v>
      </c>
      <c r="L336" s="89" t="str">
        <f>_xlfn.XLOOKUP(K336,Table2[Department],Table2[Group],"ERROR")</f>
        <v>DSC</v>
      </c>
    </row>
    <row r="337" spans="1:12" x14ac:dyDescent="0.2">
      <c r="A337" t="s">
        <v>2</v>
      </c>
      <c r="B337" s="38">
        <v>46112</v>
      </c>
      <c r="C337" s="38">
        <v>46127</v>
      </c>
      <c r="D337" t="s">
        <v>1143</v>
      </c>
      <c r="E337" t="s">
        <v>82</v>
      </c>
      <c r="F337" s="37">
        <v>104.15</v>
      </c>
      <c r="G337" s="39" cm="1">
        <f t="array" ref="G337">F337*_xlfn.XLOOKUP(1,
 (FOREX!$E$2:$E$13=EOMONTH(B337,0))*
 (FOREX!$F$2:$F$13=TRIM(E337)),FOREX!$G$2:$G$13,
 100)</f>
        <v>25.725570750000003</v>
      </c>
      <c r="H337" t="s">
        <v>1498</v>
      </c>
      <c r="I337" t="s">
        <v>364</v>
      </c>
      <c r="J337" s="35" t="str">
        <f>_xlfn.XLOOKUP(I337,costcategory[Account Code],costcategory[Cost Category],"ERROR")</f>
        <v>Headcount Costs</v>
      </c>
      <c r="K337" s="89" t="str">
        <f t="shared" si="5"/>
        <v>DSC</v>
      </c>
      <c r="L337" s="89" t="str">
        <f>_xlfn.XLOOKUP(K337,Table2[Department],Table2[Group],"ERROR")</f>
        <v>DSC</v>
      </c>
    </row>
    <row r="338" spans="1:12" x14ac:dyDescent="0.2">
      <c r="A338" t="s">
        <v>2</v>
      </c>
      <c r="B338" s="38">
        <v>46112</v>
      </c>
      <c r="C338" s="38">
        <v>46127</v>
      </c>
      <c r="D338" t="s">
        <v>1145</v>
      </c>
      <c r="E338" t="s">
        <v>82</v>
      </c>
      <c r="F338" s="37">
        <v>104.15</v>
      </c>
      <c r="G338" s="39" cm="1">
        <f t="array" ref="G338">F338*_xlfn.XLOOKUP(1,
 (FOREX!$E$2:$E$13=EOMONTH(B338,0))*
 (FOREX!$F$2:$F$13=TRIM(E338)),FOREX!$G$2:$G$13,
 100)</f>
        <v>25.725570750000003</v>
      </c>
      <c r="H338" t="s">
        <v>1498</v>
      </c>
      <c r="I338" t="s">
        <v>364</v>
      </c>
      <c r="J338" s="35" t="str">
        <f>_xlfn.XLOOKUP(I338,costcategory[Account Code],costcategory[Cost Category],"ERROR")</f>
        <v>Headcount Costs</v>
      </c>
      <c r="K338" s="89" t="str">
        <f t="shared" si="5"/>
        <v>DSC</v>
      </c>
      <c r="L338" s="89" t="str">
        <f>_xlfn.XLOOKUP(K338,Table2[Department],Table2[Group],"ERROR")</f>
        <v>DSC</v>
      </c>
    </row>
    <row r="339" spans="1:12" x14ac:dyDescent="0.2">
      <c r="A339" t="s">
        <v>2</v>
      </c>
      <c r="B339" s="38">
        <v>46112</v>
      </c>
      <c r="C339" s="38">
        <v>46127</v>
      </c>
      <c r="D339" t="s">
        <v>1147</v>
      </c>
      <c r="E339" t="s">
        <v>82</v>
      </c>
      <c r="F339" s="37">
        <v>104.15</v>
      </c>
      <c r="G339" s="39" cm="1">
        <f t="array" ref="G339">F339*_xlfn.XLOOKUP(1,
 (FOREX!$E$2:$E$13=EOMONTH(B339,0))*
 (FOREX!$F$2:$F$13=TRIM(E339)),FOREX!$G$2:$G$13,
 100)</f>
        <v>25.725570750000003</v>
      </c>
      <c r="H339" t="s">
        <v>1498</v>
      </c>
      <c r="I339" t="s">
        <v>364</v>
      </c>
      <c r="J339" s="35" t="str">
        <f>_xlfn.XLOOKUP(I339,costcategory[Account Code],costcategory[Cost Category],"ERROR")</f>
        <v>Headcount Costs</v>
      </c>
      <c r="K339" s="89" t="str">
        <f t="shared" si="5"/>
        <v>Finance</v>
      </c>
      <c r="L339" s="89" t="str">
        <f>_xlfn.XLOOKUP(K339,Table2[Department],Table2[Group],"ERROR")</f>
        <v>General &amp; Administrative</v>
      </c>
    </row>
    <row r="340" spans="1:12" x14ac:dyDescent="0.2">
      <c r="A340" t="s">
        <v>2</v>
      </c>
      <c r="B340" s="38">
        <v>46112</v>
      </c>
      <c r="C340" s="38">
        <v>46127</v>
      </c>
      <c r="D340" t="s">
        <v>1125</v>
      </c>
      <c r="E340" t="s">
        <v>82</v>
      </c>
      <c r="F340" s="37">
        <v>11.9</v>
      </c>
      <c r="G340" s="39" cm="1">
        <f t="array" ref="G340">F340*_xlfn.XLOOKUP(1,
 (FOREX!$E$2:$E$13=EOMONTH(B340,0))*
 (FOREX!$F$2:$F$13=TRIM(E340)),FOREX!$G$2:$G$13,
 100)</f>
        <v>2.9393595000000001</v>
      </c>
      <c r="H340" t="s">
        <v>1499</v>
      </c>
      <c r="I340" t="s">
        <v>364</v>
      </c>
      <c r="J340" s="35" t="str">
        <f>_xlfn.XLOOKUP(I340,costcategory[Account Code],costcategory[Cost Category],"ERROR")</f>
        <v>Headcount Costs</v>
      </c>
      <c r="K340" s="89" t="str">
        <f t="shared" si="5"/>
        <v>Sales &amp; Pre-Sales</v>
      </c>
      <c r="L340" s="89" t="str">
        <f>_xlfn.XLOOKUP(K340,Table2[Department],Table2[Group],"ERROR")</f>
        <v>Sales &amp; Marketing</v>
      </c>
    </row>
    <row r="341" spans="1:12" x14ac:dyDescent="0.2">
      <c r="A341" t="s">
        <v>2</v>
      </c>
      <c r="B341" s="38">
        <v>46112</v>
      </c>
      <c r="C341" s="38">
        <v>46127</v>
      </c>
      <c r="D341" t="s">
        <v>1127</v>
      </c>
      <c r="E341" t="s">
        <v>82</v>
      </c>
      <c r="F341" s="37">
        <v>9.1</v>
      </c>
      <c r="G341" s="39" cm="1">
        <f t="array" ref="G341">F341*_xlfn.XLOOKUP(1,
 (FOREX!$E$2:$E$13=EOMONTH(B341,0))*
 (FOREX!$F$2:$F$13=TRIM(E341)),FOREX!$G$2:$G$13,
 100)</f>
        <v>2.2477454999999997</v>
      </c>
      <c r="H341" t="s">
        <v>1499</v>
      </c>
      <c r="I341" t="s">
        <v>364</v>
      </c>
      <c r="J341" s="35" t="str">
        <f>_xlfn.XLOOKUP(I341,costcategory[Account Code],costcategory[Cost Category],"ERROR")</f>
        <v>Headcount Costs</v>
      </c>
      <c r="K341" s="89" t="str">
        <f t="shared" si="5"/>
        <v>DSC</v>
      </c>
      <c r="L341" s="89" t="str">
        <f>_xlfn.XLOOKUP(K341,Table2[Department],Table2[Group],"ERROR")</f>
        <v>DSC</v>
      </c>
    </row>
    <row r="342" spans="1:12" x14ac:dyDescent="0.2">
      <c r="A342" t="s">
        <v>2</v>
      </c>
      <c r="B342" s="38">
        <v>46112</v>
      </c>
      <c r="C342" s="38">
        <v>46127</v>
      </c>
      <c r="D342" t="s">
        <v>1129</v>
      </c>
      <c r="E342" t="s">
        <v>82</v>
      </c>
      <c r="F342" s="37">
        <v>9.6999999999999993</v>
      </c>
      <c r="G342" s="39" cm="1">
        <f t="array" ref="G342">F342*_xlfn.XLOOKUP(1,
 (FOREX!$E$2:$E$13=EOMONTH(B342,0))*
 (FOREX!$F$2:$F$13=TRIM(E342)),FOREX!$G$2:$G$13,
 100)</f>
        <v>2.3959484999999998</v>
      </c>
      <c r="H342" t="s">
        <v>1499</v>
      </c>
      <c r="I342" t="s">
        <v>364</v>
      </c>
      <c r="J342" s="35" t="str">
        <f>_xlfn.XLOOKUP(I342,costcategory[Account Code],costcategory[Cost Category],"ERROR")</f>
        <v>Headcount Costs</v>
      </c>
      <c r="K342" s="89" t="str">
        <f t="shared" si="5"/>
        <v>Sales &amp; Pre-Sales</v>
      </c>
      <c r="L342" s="89" t="str">
        <f>_xlfn.XLOOKUP(K342,Table2[Department],Table2[Group],"ERROR")</f>
        <v>Sales &amp; Marketing</v>
      </c>
    </row>
    <row r="343" spans="1:12" x14ac:dyDescent="0.2">
      <c r="A343" t="s">
        <v>2</v>
      </c>
      <c r="B343" s="38">
        <v>46112</v>
      </c>
      <c r="C343" s="38">
        <v>46127</v>
      </c>
      <c r="D343" t="s">
        <v>1131</v>
      </c>
      <c r="E343" t="s">
        <v>82</v>
      </c>
      <c r="F343" s="37">
        <v>11.9</v>
      </c>
      <c r="G343" s="39" cm="1">
        <f t="array" ref="G343">F343*_xlfn.XLOOKUP(1,
 (FOREX!$E$2:$E$13=EOMONTH(B343,0))*
 (FOREX!$F$2:$F$13=TRIM(E343)),FOREX!$G$2:$G$13,
 100)</f>
        <v>2.9393595000000001</v>
      </c>
      <c r="H343" t="s">
        <v>1499</v>
      </c>
      <c r="I343" t="s">
        <v>364</v>
      </c>
      <c r="J343" s="35" t="str">
        <f>_xlfn.XLOOKUP(I343,costcategory[Account Code],costcategory[Cost Category],"ERROR")</f>
        <v>Headcount Costs</v>
      </c>
      <c r="K343" s="89" t="str">
        <f t="shared" si="5"/>
        <v>HR</v>
      </c>
      <c r="L343" s="89" t="str">
        <f>_xlfn.XLOOKUP(K343,Table2[Department],Table2[Group],"ERROR")</f>
        <v>General &amp; Administrative</v>
      </c>
    </row>
    <row r="344" spans="1:12" x14ac:dyDescent="0.2">
      <c r="A344" t="s">
        <v>2</v>
      </c>
      <c r="B344" s="38">
        <v>46112</v>
      </c>
      <c r="C344" s="38">
        <v>46127</v>
      </c>
      <c r="D344" t="s">
        <v>1133</v>
      </c>
      <c r="E344" t="s">
        <v>82</v>
      </c>
      <c r="F344" s="37">
        <v>11.9</v>
      </c>
      <c r="G344" s="39" cm="1">
        <f t="array" ref="G344">F344*_xlfn.XLOOKUP(1,
 (FOREX!$E$2:$E$13=EOMONTH(B344,0))*
 (FOREX!$F$2:$F$13=TRIM(E344)),FOREX!$G$2:$G$13,
 100)</f>
        <v>2.9393595000000001</v>
      </c>
      <c r="H344" t="s">
        <v>1499</v>
      </c>
      <c r="I344" t="s">
        <v>364</v>
      </c>
      <c r="J344" s="35" t="str">
        <f>_xlfn.XLOOKUP(I344,costcategory[Account Code],costcategory[Cost Category],"ERROR")</f>
        <v>Headcount Costs</v>
      </c>
      <c r="K344" s="89" t="str">
        <f t="shared" ref="K344:K407" si="6">_xlfn.XLOOKUP(D344,$AL$2:$AL$25,$AM$2:$AM$25,"ERROR")</f>
        <v>Finance</v>
      </c>
      <c r="L344" s="89" t="str">
        <f>_xlfn.XLOOKUP(K344,Table2[Department],Table2[Group],"ERROR")</f>
        <v>General &amp; Administrative</v>
      </c>
    </row>
    <row r="345" spans="1:12" x14ac:dyDescent="0.2">
      <c r="A345" t="s">
        <v>2</v>
      </c>
      <c r="B345" s="38">
        <v>46112</v>
      </c>
      <c r="C345" s="38">
        <v>46127</v>
      </c>
      <c r="D345" t="s">
        <v>1134</v>
      </c>
      <c r="E345" t="s">
        <v>82</v>
      </c>
      <c r="F345" s="37">
        <v>11.9</v>
      </c>
      <c r="G345" s="39" cm="1">
        <f t="array" ref="G345">F345*_xlfn.XLOOKUP(1,
 (FOREX!$E$2:$E$13=EOMONTH(B345,0))*
 (FOREX!$F$2:$F$13=TRIM(E345)),FOREX!$G$2:$G$13,
 100)</f>
        <v>2.9393595000000001</v>
      </c>
      <c r="H345" t="s">
        <v>1499</v>
      </c>
      <c r="I345" t="s">
        <v>364</v>
      </c>
      <c r="J345" s="35" t="str">
        <f>_xlfn.XLOOKUP(I345,costcategory[Account Code],costcategory[Cost Category],"ERROR")</f>
        <v>Headcount Costs</v>
      </c>
      <c r="K345" s="89" t="str">
        <f t="shared" si="6"/>
        <v>DSC</v>
      </c>
      <c r="L345" s="89" t="str">
        <f>_xlfn.XLOOKUP(K345,Table2[Department],Table2[Group],"ERROR")</f>
        <v>DSC</v>
      </c>
    </row>
    <row r="346" spans="1:12" x14ac:dyDescent="0.2">
      <c r="A346" t="s">
        <v>2</v>
      </c>
      <c r="B346" s="38">
        <v>46112</v>
      </c>
      <c r="C346" s="38">
        <v>46127</v>
      </c>
      <c r="D346" t="s">
        <v>1136</v>
      </c>
      <c r="E346" t="s">
        <v>82</v>
      </c>
      <c r="F346" s="37">
        <v>11.9</v>
      </c>
      <c r="G346" s="39" cm="1">
        <f t="array" ref="G346">F346*_xlfn.XLOOKUP(1,
 (FOREX!$E$2:$E$13=EOMONTH(B346,0))*
 (FOREX!$F$2:$F$13=TRIM(E346)),FOREX!$G$2:$G$13,
 100)</f>
        <v>2.9393595000000001</v>
      </c>
      <c r="H346" t="s">
        <v>1499</v>
      </c>
      <c r="I346" t="s">
        <v>364</v>
      </c>
      <c r="J346" s="35" t="str">
        <f>_xlfn.XLOOKUP(I346,costcategory[Account Code],costcategory[Cost Category],"ERROR")</f>
        <v>Headcount Costs</v>
      </c>
      <c r="K346" s="89" t="str">
        <f t="shared" si="6"/>
        <v>DSC</v>
      </c>
      <c r="L346" s="89" t="str">
        <f>_xlfn.XLOOKUP(K346,Table2[Department],Table2[Group],"ERROR")</f>
        <v>DSC</v>
      </c>
    </row>
    <row r="347" spans="1:12" x14ac:dyDescent="0.2">
      <c r="A347" t="s">
        <v>2</v>
      </c>
      <c r="B347" s="38">
        <v>46112</v>
      </c>
      <c r="C347" s="38">
        <v>46127</v>
      </c>
      <c r="D347" t="s">
        <v>1137</v>
      </c>
      <c r="E347" t="s">
        <v>82</v>
      </c>
      <c r="F347" s="37">
        <v>11.1</v>
      </c>
      <c r="G347" s="39" cm="1">
        <f t="array" ref="G347">F347*_xlfn.XLOOKUP(1,
 (FOREX!$E$2:$E$13=EOMONTH(B347,0))*
 (FOREX!$F$2:$F$13=TRIM(E347)),FOREX!$G$2:$G$13,
 100)</f>
        <v>2.7417555</v>
      </c>
      <c r="H347" t="s">
        <v>1499</v>
      </c>
      <c r="I347" t="s">
        <v>364</v>
      </c>
      <c r="J347" s="35" t="str">
        <f>_xlfn.XLOOKUP(I347,costcategory[Account Code],costcategory[Cost Category],"ERROR")</f>
        <v>Headcount Costs</v>
      </c>
      <c r="K347" s="89" t="str">
        <f t="shared" si="6"/>
        <v>DSC</v>
      </c>
      <c r="L347" s="89" t="str">
        <f>_xlfn.XLOOKUP(K347,Table2[Department],Table2[Group],"ERROR")</f>
        <v>DSC</v>
      </c>
    </row>
    <row r="348" spans="1:12" x14ac:dyDescent="0.2">
      <c r="A348" t="s">
        <v>2</v>
      </c>
      <c r="B348" s="38">
        <v>46112</v>
      </c>
      <c r="C348" s="38">
        <v>46127</v>
      </c>
      <c r="D348" t="s">
        <v>1139</v>
      </c>
      <c r="E348" t="s">
        <v>82</v>
      </c>
      <c r="F348" s="37">
        <v>0</v>
      </c>
      <c r="G348" s="39" cm="1">
        <f t="array" ref="G348">F348*_xlfn.XLOOKUP(1,
 (FOREX!$E$2:$E$13=EOMONTH(B348,0))*
 (FOREX!$F$2:$F$13=TRIM(E348)),FOREX!$G$2:$G$13,
 100)</f>
        <v>0</v>
      </c>
      <c r="H348" t="s">
        <v>1499</v>
      </c>
      <c r="I348" t="s">
        <v>364</v>
      </c>
      <c r="J348" s="35" t="str">
        <f>_xlfn.XLOOKUP(I348,costcategory[Account Code],costcategory[Cost Category],"ERROR")</f>
        <v>Headcount Costs</v>
      </c>
      <c r="K348" s="89" t="str">
        <f t="shared" si="6"/>
        <v>Business Operation</v>
      </c>
      <c r="L348" s="89" t="str">
        <f>_xlfn.XLOOKUP(K348,Table2[Department],Table2[Group],"ERROR")</f>
        <v>Sales &amp; Marketing</v>
      </c>
    </row>
    <row r="349" spans="1:12" x14ac:dyDescent="0.2">
      <c r="A349" t="s">
        <v>2</v>
      </c>
      <c r="B349" s="38">
        <v>46112</v>
      </c>
      <c r="C349" s="38">
        <v>46127</v>
      </c>
      <c r="D349" t="s">
        <v>1141</v>
      </c>
      <c r="E349" t="s">
        <v>82</v>
      </c>
      <c r="F349" s="37">
        <v>11.9</v>
      </c>
      <c r="G349" s="39" cm="1">
        <f t="array" ref="G349">F349*_xlfn.XLOOKUP(1,
 (FOREX!$E$2:$E$13=EOMONTH(B349,0))*
 (FOREX!$F$2:$F$13=TRIM(E349)),FOREX!$G$2:$G$13,
 100)</f>
        <v>2.9393595000000001</v>
      </c>
      <c r="H349" t="s">
        <v>1499</v>
      </c>
      <c r="I349" t="s">
        <v>364</v>
      </c>
      <c r="J349" s="35" t="str">
        <f>_xlfn.XLOOKUP(I349,costcategory[Account Code],costcategory[Cost Category],"ERROR")</f>
        <v>Headcount Costs</v>
      </c>
      <c r="K349" s="89" t="str">
        <f t="shared" si="6"/>
        <v>DSC</v>
      </c>
      <c r="L349" s="89" t="str">
        <f>_xlfn.XLOOKUP(K349,Table2[Department],Table2[Group],"ERROR")</f>
        <v>DSC</v>
      </c>
    </row>
    <row r="350" spans="1:12" x14ac:dyDescent="0.2">
      <c r="A350" t="s">
        <v>2</v>
      </c>
      <c r="B350" s="38">
        <v>46112</v>
      </c>
      <c r="C350" s="38">
        <v>46127</v>
      </c>
      <c r="D350" t="s">
        <v>1143</v>
      </c>
      <c r="E350" t="s">
        <v>82</v>
      </c>
      <c r="F350" s="37">
        <v>11.9</v>
      </c>
      <c r="G350" s="39" cm="1">
        <f t="array" ref="G350">F350*_xlfn.XLOOKUP(1,
 (FOREX!$E$2:$E$13=EOMONTH(B350,0))*
 (FOREX!$F$2:$F$13=TRIM(E350)),FOREX!$G$2:$G$13,
 100)</f>
        <v>2.9393595000000001</v>
      </c>
      <c r="H350" t="s">
        <v>1499</v>
      </c>
      <c r="I350" t="s">
        <v>364</v>
      </c>
      <c r="J350" s="35" t="str">
        <f>_xlfn.XLOOKUP(I350,costcategory[Account Code],costcategory[Cost Category],"ERROR")</f>
        <v>Headcount Costs</v>
      </c>
      <c r="K350" s="89" t="str">
        <f t="shared" si="6"/>
        <v>DSC</v>
      </c>
      <c r="L350" s="89" t="str">
        <f>_xlfn.XLOOKUP(K350,Table2[Department],Table2[Group],"ERROR")</f>
        <v>DSC</v>
      </c>
    </row>
    <row r="351" spans="1:12" x14ac:dyDescent="0.2">
      <c r="A351" t="s">
        <v>2</v>
      </c>
      <c r="B351" s="38">
        <v>46112</v>
      </c>
      <c r="C351" s="38">
        <v>46127</v>
      </c>
      <c r="D351" t="s">
        <v>1145</v>
      </c>
      <c r="E351" t="s">
        <v>82</v>
      </c>
      <c r="F351" s="37">
        <v>11.9</v>
      </c>
      <c r="G351" s="39" cm="1">
        <f t="array" ref="G351">F351*_xlfn.XLOOKUP(1,
 (FOREX!$E$2:$E$13=EOMONTH(B351,0))*
 (FOREX!$F$2:$F$13=TRIM(E351)),FOREX!$G$2:$G$13,
 100)</f>
        <v>2.9393595000000001</v>
      </c>
      <c r="H351" t="s">
        <v>1499</v>
      </c>
      <c r="I351" t="s">
        <v>364</v>
      </c>
      <c r="J351" s="35" t="str">
        <f>_xlfn.XLOOKUP(I351,costcategory[Account Code],costcategory[Cost Category],"ERROR")</f>
        <v>Headcount Costs</v>
      </c>
      <c r="K351" s="89" t="str">
        <f t="shared" si="6"/>
        <v>DSC</v>
      </c>
      <c r="L351" s="89" t="str">
        <f>_xlfn.XLOOKUP(K351,Table2[Department],Table2[Group],"ERROR")</f>
        <v>DSC</v>
      </c>
    </row>
    <row r="352" spans="1:12" x14ac:dyDescent="0.2">
      <c r="A352" t="s">
        <v>2</v>
      </c>
      <c r="B352" s="38">
        <v>46112</v>
      </c>
      <c r="C352" s="38">
        <v>46127</v>
      </c>
      <c r="D352" t="s">
        <v>1147</v>
      </c>
      <c r="E352" t="s">
        <v>82</v>
      </c>
      <c r="F352" s="37">
        <v>11.9</v>
      </c>
      <c r="G352" s="39" cm="1">
        <f t="array" ref="G352">F352*_xlfn.XLOOKUP(1,
 (FOREX!$E$2:$E$13=EOMONTH(B352,0))*
 (FOREX!$F$2:$F$13=TRIM(E352)),FOREX!$G$2:$G$13,
 100)</f>
        <v>2.9393595000000001</v>
      </c>
      <c r="H352" t="s">
        <v>1499</v>
      </c>
      <c r="I352" t="s">
        <v>364</v>
      </c>
      <c r="J352" s="35" t="str">
        <f>_xlfn.XLOOKUP(I352,costcategory[Account Code],costcategory[Cost Category],"ERROR")</f>
        <v>Headcount Costs</v>
      </c>
      <c r="K352" s="89" t="str">
        <f t="shared" si="6"/>
        <v>Finance</v>
      </c>
      <c r="L352" s="89" t="str">
        <f>_xlfn.XLOOKUP(K352,Table2[Department],Table2[Group],"ERROR")</f>
        <v>General &amp; Administrative</v>
      </c>
    </row>
    <row r="353" spans="1:12" x14ac:dyDescent="0.2">
      <c r="A353" t="s">
        <v>2</v>
      </c>
      <c r="B353" s="38">
        <v>46112</v>
      </c>
      <c r="C353" s="38">
        <v>46127</v>
      </c>
      <c r="D353" t="s">
        <v>1125</v>
      </c>
      <c r="E353" t="s">
        <v>82</v>
      </c>
      <c r="F353" s="37">
        <v>246</v>
      </c>
      <c r="G353" s="39" cm="1">
        <f t="array" ref="G353">F353*_xlfn.XLOOKUP(1,
 (FOREX!$E$2:$E$13=EOMONTH(B353,0))*
 (FOREX!$F$2:$F$13=TRIM(E353)),FOREX!$G$2:$G$13,
 100)</f>
        <v>60.76323</v>
      </c>
      <c r="H353" t="s">
        <v>1500</v>
      </c>
      <c r="I353" t="s">
        <v>364</v>
      </c>
      <c r="J353" s="35" t="str">
        <f>_xlfn.XLOOKUP(I353,costcategory[Account Code],costcategory[Cost Category],"ERROR")</f>
        <v>Headcount Costs</v>
      </c>
      <c r="K353" s="89" t="str">
        <f t="shared" si="6"/>
        <v>Sales &amp; Pre-Sales</v>
      </c>
      <c r="L353" s="89" t="str">
        <f>_xlfn.XLOOKUP(K353,Table2[Department],Table2[Group],"ERROR")</f>
        <v>Sales &amp; Marketing</v>
      </c>
    </row>
    <row r="354" spans="1:12" x14ac:dyDescent="0.2">
      <c r="A354" t="s">
        <v>2</v>
      </c>
      <c r="B354" s="38">
        <v>46112</v>
      </c>
      <c r="C354" s="38">
        <v>46127</v>
      </c>
      <c r="D354" t="s">
        <v>1127</v>
      </c>
      <c r="E354" t="s">
        <v>82</v>
      </c>
      <c r="F354" s="37">
        <v>46</v>
      </c>
      <c r="G354" s="39" cm="1">
        <f t="array" ref="G354">F354*_xlfn.XLOOKUP(1,
 (FOREX!$E$2:$E$13=EOMONTH(B354,0))*
 (FOREX!$F$2:$F$13=TRIM(E354)),FOREX!$G$2:$G$13,
 100)</f>
        <v>11.36223</v>
      </c>
      <c r="H354" t="s">
        <v>1500</v>
      </c>
      <c r="I354" t="s">
        <v>364</v>
      </c>
      <c r="J354" s="35" t="str">
        <f>_xlfn.XLOOKUP(I354,costcategory[Account Code],costcategory[Cost Category],"ERROR")</f>
        <v>Headcount Costs</v>
      </c>
      <c r="K354" s="89" t="str">
        <f t="shared" si="6"/>
        <v>DSC</v>
      </c>
      <c r="L354" s="89" t="str">
        <f>_xlfn.XLOOKUP(K354,Table2[Department],Table2[Group],"ERROR")</f>
        <v>DSC</v>
      </c>
    </row>
    <row r="355" spans="1:12" x14ac:dyDescent="0.2">
      <c r="A355" t="s">
        <v>2</v>
      </c>
      <c r="B355" s="38">
        <v>46112</v>
      </c>
      <c r="C355" s="38">
        <v>46127</v>
      </c>
      <c r="D355" t="s">
        <v>1129</v>
      </c>
      <c r="E355" t="s">
        <v>82</v>
      </c>
      <c r="F355" s="37">
        <v>49</v>
      </c>
      <c r="G355" s="39" cm="1">
        <f t="array" ref="G355">F355*_xlfn.XLOOKUP(1,
 (FOREX!$E$2:$E$13=EOMONTH(B355,0))*
 (FOREX!$F$2:$F$13=TRIM(E355)),FOREX!$G$2:$G$13,
 100)</f>
        <v>12.103244999999999</v>
      </c>
      <c r="H355" t="s">
        <v>1500</v>
      </c>
      <c r="I355" t="s">
        <v>364</v>
      </c>
      <c r="J355" s="35" t="str">
        <f>_xlfn.XLOOKUP(I355,costcategory[Account Code],costcategory[Cost Category],"ERROR")</f>
        <v>Headcount Costs</v>
      </c>
      <c r="K355" s="89" t="str">
        <f t="shared" si="6"/>
        <v>Sales &amp; Pre-Sales</v>
      </c>
      <c r="L355" s="89" t="str">
        <f>_xlfn.XLOOKUP(K355,Table2[Department],Table2[Group],"ERROR")</f>
        <v>Sales &amp; Marketing</v>
      </c>
    </row>
    <row r="356" spans="1:12" x14ac:dyDescent="0.2">
      <c r="A356" t="s">
        <v>2</v>
      </c>
      <c r="B356" s="38">
        <v>46112</v>
      </c>
      <c r="C356" s="38">
        <v>46127</v>
      </c>
      <c r="D356" t="s">
        <v>1131</v>
      </c>
      <c r="E356" t="s">
        <v>82</v>
      </c>
      <c r="F356" s="37">
        <v>121</v>
      </c>
      <c r="G356" s="39" cm="1">
        <f t="array" ref="G356">F356*_xlfn.XLOOKUP(1,
 (FOREX!$E$2:$E$13=EOMONTH(B356,0))*
 (FOREX!$F$2:$F$13=TRIM(E356)),FOREX!$G$2:$G$13,
 100)</f>
        <v>29.887605000000001</v>
      </c>
      <c r="H356" t="s">
        <v>1500</v>
      </c>
      <c r="I356" t="s">
        <v>364</v>
      </c>
      <c r="J356" s="35" t="str">
        <f>_xlfn.XLOOKUP(I356,costcategory[Account Code],costcategory[Cost Category],"ERROR")</f>
        <v>Headcount Costs</v>
      </c>
      <c r="K356" s="89" t="str">
        <f t="shared" si="6"/>
        <v>HR</v>
      </c>
      <c r="L356" s="89" t="str">
        <f>_xlfn.XLOOKUP(K356,Table2[Department],Table2[Group],"ERROR")</f>
        <v>General &amp; Administrative</v>
      </c>
    </row>
    <row r="357" spans="1:12" x14ac:dyDescent="0.2">
      <c r="A357" t="s">
        <v>2</v>
      </c>
      <c r="B357" s="38">
        <v>46112</v>
      </c>
      <c r="C357" s="38">
        <v>46127</v>
      </c>
      <c r="D357" t="s">
        <v>1133</v>
      </c>
      <c r="E357" t="s">
        <v>82</v>
      </c>
      <c r="F357" s="37">
        <v>124.2</v>
      </c>
      <c r="G357" s="39" cm="1">
        <f t="array" ref="G357">F357*_xlfn.XLOOKUP(1,
 (FOREX!$E$2:$E$13=EOMONTH(B357,0))*
 (FOREX!$F$2:$F$13=TRIM(E357)),FOREX!$G$2:$G$13,
 100)</f>
        <v>30.678021000000001</v>
      </c>
      <c r="H357" t="s">
        <v>1500</v>
      </c>
      <c r="I357" t="s">
        <v>364</v>
      </c>
      <c r="J357" s="35" t="str">
        <f>_xlfn.XLOOKUP(I357,costcategory[Account Code],costcategory[Cost Category],"ERROR")</f>
        <v>Headcount Costs</v>
      </c>
      <c r="K357" s="89" t="str">
        <f t="shared" si="6"/>
        <v>Finance</v>
      </c>
      <c r="L357" s="89" t="str">
        <f>_xlfn.XLOOKUP(K357,Table2[Department],Table2[Group],"ERROR")</f>
        <v>General &amp; Administrative</v>
      </c>
    </row>
    <row r="358" spans="1:12" x14ac:dyDescent="0.2">
      <c r="A358" t="s">
        <v>2</v>
      </c>
      <c r="B358" s="38">
        <v>46112</v>
      </c>
      <c r="C358" s="38">
        <v>46127</v>
      </c>
      <c r="D358" t="s">
        <v>1134</v>
      </c>
      <c r="E358" t="s">
        <v>82</v>
      </c>
      <c r="F358" s="37">
        <v>236</v>
      </c>
      <c r="G358" s="39" cm="1">
        <f t="array" ref="G358">F358*_xlfn.XLOOKUP(1,
 (FOREX!$E$2:$E$13=EOMONTH(B358,0))*
 (FOREX!$F$2:$F$13=TRIM(E358)),FOREX!$G$2:$G$13,
 100)</f>
        <v>58.29318</v>
      </c>
      <c r="H358" t="s">
        <v>1500</v>
      </c>
      <c r="I358" t="s">
        <v>364</v>
      </c>
      <c r="J358" s="35" t="str">
        <f>_xlfn.XLOOKUP(I358,costcategory[Account Code],costcategory[Cost Category],"ERROR")</f>
        <v>Headcount Costs</v>
      </c>
      <c r="K358" s="89" t="str">
        <f t="shared" si="6"/>
        <v>DSC</v>
      </c>
      <c r="L358" s="89" t="str">
        <f>_xlfn.XLOOKUP(K358,Table2[Department],Table2[Group],"ERROR")</f>
        <v>DSC</v>
      </c>
    </row>
    <row r="359" spans="1:12" x14ac:dyDescent="0.2">
      <c r="A359" t="s">
        <v>2</v>
      </c>
      <c r="B359" s="38">
        <v>46112</v>
      </c>
      <c r="C359" s="38">
        <v>46127</v>
      </c>
      <c r="D359" t="s">
        <v>1136</v>
      </c>
      <c r="E359" t="s">
        <v>82</v>
      </c>
      <c r="F359" s="37">
        <v>154</v>
      </c>
      <c r="G359" s="39" cm="1">
        <f t="array" ref="G359">F359*_xlfn.XLOOKUP(1,
 (FOREX!$E$2:$E$13=EOMONTH(B359,0))*
 (FOREX!$F$2:$F$13=TRIM(E359)),FOREX!$G$2:$G$13,
 100)</f>
        <v>38.03877</v>
      </c>
      <c r="H359" t="s">
        <v>1500</v>
      </c>
      <c r="I359" t="s">
        <v>364</v>
      </c>
      <c r="J359" s="35" t="str">
        <f>_xlfn.XLOOKUP(I359,costcategory[Account Code],costcategory[Cost Category],"ERROR")</f>
        <v>Headcount Costs</v>
      </c>
      <c r="K359" s="89" t="str">
        <f t="shared" si="6"/>
        <v>DSC</v>
      </c>
      <c r="L359" s="89" t="str">
        <f>_xlfn.XLOOKUP(K359,Table2[Department],Table2[Group],"ERROR")</f>
        <v>DSC</v>
      </c>
    </row>
    <row r="360" spans="1:12" x14ac:dyDescent="0.2">
      <c r="A360" t="s">
        <v>2</v>
      </c>
      <c r="B360" s="38">
        <v>46112</v>
      </c>
      <c r="C360" s="38">
        <v>46127</v>
      </c>
      <c r="D360" t="s">
        <v>1137</v>
      </c>
      <c r="E360" t="s">
        <v>82</v>
      </c>
      <c r="F360" s="37">
        <v>56</v>
      </c>
      <c r="G360" s="39" cm="1">
        <f t="array" ref="G360">F360*_xlfn.XLOOKUP(1,
 (FOREX!$E$2:$E$13=EOMONTH(B360,0))*
 (FOREX!$F$2:$F$13=TRIM(E360)),FOREX!$G$2:$G$13,
 100)</f>
        <v>13.832280000000001</v>
      </c>
      <c r="H360" t="s">
        <v>1500</v>
      </c>
      <c r="I360" t="s">
        <v>364</v>
      </c>
      <c r="J360" s="35" t="str">
        <f>_xlfn.XLOOKUP(I360,costcategory[Account Code],costcategory[Cost Category],"ERROR")</f>
        <v>Headcount Costs</v>
      </c>
      <c r="K360" s="89" t="str">
        <f t="shared" si="6"/>
        <v>DSC</v>
      </c>
      <c r="L360" s="89" t="str">
        <f>_xlfn.XLOOKUP(K360,Table2[Department],Table2[Group],"ERROR")</f>
        <v>DSC</v>
      </c>
    </row>
    <row r="361" spans="1:12" x14ac:dyDescent="0.2">
      <c r="A361" t="s">
        <v>2</v>
      </c>
      <c r="B361" s="38">
        <v>46112</v>
      </c>
      <c r="C361" s="38">
        <v>46127</v>
      </c>
      <c r="D361" t="s">
        <v>1139</v>
      </c>
      <c r="E361" t="s">
        <v>82</v>
      </c>
      <c r="F361" s="37">
        <v>0</v>
      </c>
      <c r="G361" s="39" cm="1">
        <f t="array" ref="G361">F361*_xlfn.XLOOKUP(1,
 (FOREX!$E$2:$E$13=EOMONTH(B361,0))*
 (FOREX!$F$2:$F$13=TRIM(E361)),FOREX!$G$2:$G$13,
 100)</f>
        <v>0</v>
      </c>
      <c r="H361" t="s">
        <v>1500</v>
      </c>
      <c r="I361" t="s">
        <v>364</v>
      </c>
      <c r="J361" s="35" t="str">
        <f>_xlfn.XLOOKUP(I361,costcategory[Account Code],costcategory[Cost Category],"ERROR")</f>
        <v>Headcount Costs</v>
      </c>
      <c r="K361" s="89" t="str">
        <f t="shared" si="6"/>
        <v>Business Operation</v>
      </c>
      <c r="L361" s="89" t="str">
        <f>_xlfn.XLOOKUP(K361,Table2[Department],Table2[Group],"ERROR")</f>
        <v>Sales &amp; Marketing</v>
      </c>
    </row>
    <row r="362" spans="1:12" x14ac:dyDescent="0.2">
      <c r="A362" t="s">
        <v>2</v>
      </c>
      <c r="B362" s="38">
        <v>46112</v>
      </c>
      <c r="C362" s="38">
        <v>46127</v>
      </c>
      <c r="D362" t="s">
        <v>1141</v>
      </c>
      <c r="E362" t="s">
        <v>82</v>
      </c>
      <c r="F362" s="37">
        <v>303</v>
      </c>
      <c r="G362" s="39" cm="1">
        <f t="array" ref="G362">F362*_xlfn.XLOOKUP(1,
 (FOREX!$E$2:$E$13=EOMONTH(B362,0))*
 (FOREX!$F$2:$F$13=TRIM(E362)),FOREX!$G$2:$G$13,
 100)</f>
        <v>74.842515000000006</v>
      </c>
      <c r="H362" t="s">
        <v>1500</v>
      </c>
      <c r="I362" t="s">
        <v>364</v>
      </c>
      <c r="J362" s="35" t="str">
        <f>_xlfn.XLOOKUP(I362,costcategory[Account Code],costcategory[Cost Category],"ERROR")</f>
        <v>Headcount Costs</v>
      </c>
      <c r="K362" s="89" t="str">
        <f t="shared" si="6"/>
        <v>DSC</v>
      </c>
      <c r="L362" s="89" t="str">
        <f>_xlfn.XLOOKUP(K362,Table2[Department],Table2[Group],"ERROR")</f>
        <v>DSC</v>
      </c>
    </row>
    <row r="363" spans="1:12" x14ac:dyDescent="0.2">
      <c r="A363" t="s">
        <v>2</v>
      </c>
      <c r="B363" s="38">
        <v>46112</v>
      </c>
      <c r="C363" s="38">
        <v>46127</v>
      </c>
      <c r="D363" t="s">
        <v>1143</v>
      </c>
      <c r="E363" t="s">
        <v>82</v>
      </c>
      <c r="F363" s="37">
        <v>71</v>
      </c>
      <c r="G363" s="39" cm="1">
        <f t="array" ref="G363">F363*_xlfn.XLOOKUP(1,
 (FOREX!$E$2:$E$13=EOMONTH(B363,0))*
 (FOREX!$F$2:$F$13=TRIM(E363)),FOREX!$G$2:$G$13,
 100)</f>
        <v>17.537355000000002</v>
      </c>
      <c r="H363" t="s">
        <v>1500</v>
      </c>
      <c r="I363" t="s">
        <v>364</v>
      </c>
      <c r="J363" s="35" t="str">
        <f>_xlfn.XLOOKUP(I363,costcategory[Account Code],costcategory[Cost Category],"ERROR")</f>
        <v>Headcount Costs</v>
      </c>
      <c r="K363" s="89" t="str">
        <f t="shared" si="6"/>
        <v>DSC</v>
      </c>
      <c r="L363" s="89" t="str">
        <f>_xlfn.XLOOKUP(K363,Table2[Department],Table2[Group],"ERROR")</f>
        <v>DSC</v>
      </c>
    </row>
    <row r="364" spans="1:12" x14ac:dyDescent="0.2">
      <c r="A364" t="s">
        <v>2</v>
      </c>
      <c r="B364" s="38">
        <v>46112</v>
      </c>
      <c r="C364" s="38">
        <v>46127</v>
      </c>
      <c r="D364" t="s">
        <v>1145</v>
      </c>
      <c r="E364" t="s">
        <v>82</v>
      </c>
      <c r="F364" s="37">
        <v>61</v>
      </c>
      <c r="G364" s="39" cm="1">
        <f t="array" ref="G364">F364*_xlfn.XLOOKUP(1,
 (FOREX!$E$2:$E$13=EOMONTH(B364,0))*
 (FOREX!$F$2:$F$13=TRIM(E364)),FOREX!$G$2:$G$13,
 100)</f>
        <v>15.067304999999999</v>
      </c>
      <c r="H364" t="s">
        <v>1500</v>
      </c>
      <c r="I364" t="s">
        <v>364</v>
      </c>
      <c r="J364" s="35" t="str">
        <f>_xlfn.XLOOKUP(I364,costcategory[Account Code],costcategory[Cost Category],"ERROR")</f>
        <v>Headcount Costs</v>
      </c>
      <c r="K364" s="89" t="str">
        <f t="shared" si="6"/>
        <v>DSC</v>
      </c>
      <c r="L364" s="89" t="str">
        <f>_xlfn.XLOOKUP(K364,Table2[Department],Table2[Group],"ERROR")</f>
        <v>DSC</v>
      </c>
    </row>
    <row r="365" spans="1:12" x14ac:dyDescent="0.2">
      <c r="A365" t="s">
        <v>2</v>
      </c>
      <c r="B365" s="38">
        <v>46112</v>
      </c>
      <c r="C365" s="38">
        <v>46127</v>
      </c>
      <c r="D365" t="s">
        <v>1147</v>
      </c>
      <c r="E365" t="s">
        <v>82</v>
      </c>
      <c r="F365" s="37">
        <v>61</v>
      </c>
      <c r="G365" s="39" cm="1">
        <f t="array" ref="G365">F365*_xlfn.XLOOKUP(1,
 (FOREX!$E$2:$E$13=EOMONTH(B365,0))*
 (FOREX!$F$2:$F$13=TRIM(E365)),FOREX!$G$2:$G$13,
 100)</f>
        <v>15.067304999999999</v>
      </c>
      <c r="H365" t="s">
        <v>1500</v>
      </c>
      <c r="I365" t="s">
        <v>364</v>
      </c>
      <c r="J365" s="35" t="str">
        <f>_xlfn.XLOOKUP(I365,costcategory[Account Code],costcategory[Cost Category],"ERROR")</f>
        <v>Headcount Costs</v>
      </c>
      <c r="K365" s="89" t="str">
        <f t="shared" si="6"/>
        <v>Finance</v>
      </c>
      <c r="L365" s="89" t="str">
        <f>_xlfn.XLOOKUP(K365,Table2[Department],Table2[Group],"ERROR")</f>
        <v>General &amp; Administrative</v>
      </c>
    </row>
    <row r="366" spans="1:12" x14ac:dyDescent="0.2">
      <c r="A366" t="s">
        <v>2</v>
      </c>
      <c r="B366" s="38">
        <v>46142</v>
      </c>
      <c r="C366" s="38">
        <v>46142</v>
      </c>
      <c r="D366" t="s">
        <v>1125</v>
      </c>
      <c r="E366" t="s">
        <v>82</v>
      </c>
      <c r="F366" s="37">
        <v>18018.849999999999</v>
      </c>
      <c r="G366" s="39" cm="1">
        <f t="array" ref="G366">F366*_xlfn.XLOOKUP(1,
 (FOREX!$E$2:$E$13=EOMONTH(B366,0))*
 (FOREX!$F$2:$F$13=TRIM(E366)),FOREX!$G$2:$G$13,
 100)</f>
        <v>4538.6414299955359</v>
      </c>
      <c r="H366" t="s">
        <v>420</v>
      </c>
      <c r="I366" t="s">
        <v>387</v>
      </c>
      <c r="J366" s="35" t="str">
        <f>_xlfn.XLOOKUP(I366,costcategory[Account Code],costcategory[Cost Category],"ERROR")</f>
        <v>Headcount Costs</v>
      </c>
      <c r="K366" s="89" t="str">
        <f t="shared" si="6"/>
        <v>Sales &amp; Pre-Sales</v>
      </c>
      <c r="L366" s="89" t="str">
        <f>_xlfn.XLOOKUP(K366,Table2[Department],Table2[Group],"ERROR")</f>
        <v>Sales &amp; Marketing</v>
      </c>
    </row>
    <row r="367" spans="1:12" x14ac:dyDescent="0.2">
      <c r="A367" t="s">
        <v>2</v>
      </c>
      <c r="B367" s="38">
        <v>46142</v>
      </c>
      <c r="C367" s="38">
        <v>46142</v>
      </c>
      <c r="D367" t="s">
        <v>1127</v>
      </c>
      <c r="E367" t="s">
        <v>82</v>
      </c>
      <c r="F367" s="37">
        <v>4049.05</v>
      </c>
      <c r="G367" s="39" cm="1">
        <f t="array" ref="G367">F367*_xlfn.XLOOKUP(1,
 (FOREX!$E$2:$E$13=EOMONTH(B367,0))*
 (FOREX!$F$2:$F$13=TRIM(E367)),FOREX!$G$2:$G$13,
 100)</f>
        <v>1019.8867342878945</v>
      </c>
      <c r="H367" t="s">
        <v>420</v>
      </c>
      <c r="I367" t="s">
        <v>387</v>
      </c>
      <c r="J367" s="35" t="str">
        <f>_xlfn.XLOOKUP(I367,costcategory[Account Code],costcategory[Cost Category],"ERROR")</f>
        <v>Headcount Costs</v>
      </c>
      <c r="K367" s="89" t="str">
        <f t="shared" si="6"/>
        <v>DSC</v>
      </c>
      <c r="L367" s="89" t="str">
        <f>_xlfn.XLOOKUP(K367,Table2[Department],Table2[Group],"ERROR")</f>
        <v>DSC</v>
      </c>
    </row>
    <row r="368" spans="1:12" x14ac:dyDescent="0.2">
      <c r="A368" t="s">
        <v>2</v>
      </c>
      <c r="B368" s="38">
        <v>46142</v>
      </c>
      <c r="C368" s="38">
        <v>46142</v>
      </c>
      <c r="D368" t="s">
        <v>1129</v>
      </c>
      <c r="E368" t="s">
        <v>82</v>
      </c>
      <c r="F368" s="37">
        <v>4301.6000000000004</v>
      </c>
      <c r="G368" s="39" cm="1">
        <f t="array" ref="G368">F368*_xlfn.XLOOKUP(1,
 (FOREX!$E$2:$E$13=EOMONTH(B368,0))*
 (FOREX!$F$2:$F$13=TRIM(E368)),FOREX!$G$2:$G$13,
 100)</f>
        <v>1083.4997780251681</v>
      </c>
      <c r="H368" t="s">
        <v>420</v>
      </c>
      <c r="I368" t="s">
        <v>387</v>
      </c>
      <c r="J368" s="35" t="str">
        <f>_xlfn.XLOOKUP(I368,costcategory[Account Code],costcategory[Cost Category],"ERROR")</f>
        <v>Headcount Costs</v>
      </c>
      <c r="K368" s="89" t="str">
        <f t="shared" si="6"/>
        <v>Sales &amp; Pre-Sales</v>
      </c>
      <c r="L368" s="89" t="str">
        <f>_xlfn.XLOOKUP(K368,Table2[Department],Table2[Group],"ERROR")</f>
        <v>Sales &amp; Marketing</v>
      </c>
    </row>
    <row r="369" spans="1:12" x14ac:dyDescent="0.2">
      <c r="A369" t="s">
        <v>2</v>
      </c>
      <c r="B369" s="38">
        <v>46142</v>
      </c>
      <c r="C369" s="38">
        <v>46142</v>
      </c>
      <c r="D369" t="s">
        <v>1131</v>
      </c>
      <c r="E369" t="s">
        <v>82</v>
      </c>
      <c r="F369" s="37">
        <v>9273.2000000000007</v>
      </c>
      <c r="G369" s="39" cm="1">
        <f t="array" ref="G369">F369*_xlfn.XLOOKUP(1,
 (FOREX!$E$2:$E$13=EOMONTH(B369,0))*
 (FOREX!$F$2:$F$13=TRIM(E369)),FOREX!$G$2:$G$13,
 100)</f>
        <v>2335.7611450583477</v>
      </c>
      <c r="H369" t="s">
        <v>420</v>
      </c>
      <c r="I369" t="s">
        <v>387</v>
      </c>
      <c r="J369" s="35" t="str">
        <f>_xlfn.XLOOKUP(I369,costcategory[Account Code],costcategory[Cost Category],"ERROR")</f>
        <v>Headcount Costs</v>
      </c>
      <c r="K369" s="89" t="str">
        <f t="shared" si="6"/>
        <v>HR</v>
      </c>
      <c r="L369" s="89" t="str">
        <f>_xlfn.XLOOKUP(K369,Table2[Department],Table2[Group],"ERROR")</f>
        <v>General &amp; Administrative</v>
      </c>
    </row>
    <row r="370" spans="1:12" x14ac:dyDescent="0.2">
      <c r="A370" t="s">
        <v>2</v>
      </c>
      <c r="B370" s="38">
        <v>46142</v>
      </c>
      <c r="C370" s="38">
        <v>46142</v>
      </c>
      <c r="D370" t="s">
        <v>1133</v>
      </c>
      <c r="E370" t="s">
        <v>82</v>
      </c>
      <c r="F370" s="37">
        <v>9865.2000000000007</v>
      </c>
      <c r="G370" s="39" cm="1">
        <f t="array" ref="G370">F370*_xlfn.XLOOKUP(1,
 (FOREX!$E$2:$E$13=EOMONTH(B370,0))*
 (FOREX!$F$2:$F$13=TRIM(E370)),FOREX!$G$2:$G$13,
 100)</f>
        <v>2484.8758625102028</v>
      </c>
      <c r="H370" t="s">
        <v>420</v>
      </c>
      <c r="I370" t="s">
        <v>387</v>
      </c>
      <c r="J370" s="35" t="str">
        <f>_xlfn.XLOOKUP(I370,costcategory[Account Code],costcategory[Cost Category],"ERROR")</f>
        <v>Headcount Costs</v>
      </c>
      <c r="K370" s="89" t="str">
        <f t="shared" si="6"/>
        <v>Finance</v>
      </c>
      <c r="L370" s="89" t="str">
        <f>_xlfn.XLOOKUP(K370,Table2[Department],Table2[Group],"ERROR")</f>
        <v>General &amp; Administrative</v>
      </c>
    </row>
    <row r="371" spans="1:12" x14ac:dyDescent="0.2">
      <c r="A371" t="s">
        <v>2</v>
      </c>
      <c r="B371" s="38">
        <v>46142</v>
      </c>
      <c r="C371" s="38">
        <v>46142</v>
      </c>
      <c r="D371" t="s">
        <v>1134</v>
      </c>
      <c r="E371" t="s">
        <v>82</v>
      </c>
      <c r="F371" s="37">
        <v>18581.849999999999</v>
      </c>
      <c r="G371" s="39" cm="1">
        <f t="array" ref="G371">F371*_xlfn.XLOOKUP(1,
 (FOREX!$E$2:$E$13=EOMONTH(B371,0))*
 (FOREX!$F$2:$F$13=TRIM(E371)),FOREX!$G$2:$G$13,
 100)</f>
        <v>4680.4515413559993</v>
      </c>
      <c r="H371" t="s">
        <v>420</v>
      </c>
      <c r="I371" t="s">
        <v>387</v>
      </c>
      <c r="J371" s="35" t="str">
        <f>_xlfn.XLOOKUP(I371,costcategory[Account Code],costcategory[Cost Category],"ERROR")</f>
        <v>Headcount Costs</v>
      </c>
      <c r="K371" s="89" t="str">
        <f t="shared" si="6"/>
        <v>DSC</v>
      </c>
      <c r="L371" s="89" t="str">
        <f>_xlfn.XLOOKUP(K371,Table2[Department],Table2[Group],"ERROR")</f>
        <v>DSC</v>
      </c>
    </row>
    <row r="372" spans="1:12" x14ac:dyDescent="0.2">
      <c r="A372" t="s">
        <v>2</v>
      </c>
      <c r="B372" s="38">
        <v>46142</v>
      </c>
      <c r="C372" s="38">
        <v>46142</v>
      </c>
      <c r="D372" t="s">
        <v>1136</v>
      </c>
      <c r="E372" t="s">
        <v>82</v>
      </c>
      <c r="F372" s="37">
        <v>12895.1</v>
      </c>
      <c r="G372" s="39" cm="1">
        <f t="array" ref="G372">F372*_xlfn.XLOOKUP(1,
 (FOREX!$E$2:$E$13=EOMONTH(B372,0))*
 (FOREX!$F$2:$F$13=TRIM(E372)),FOREX!$G$2:$G$13,
 100)</f>
        <v>3248.0560692794179</v>
      </c>
      <c r="H372" t="s">
        <v>420</v>
      </c>
      <c r="I372" t="s">
        <v>387</v>
      </c>
      <c r="J372" s="35" t="str">
        <f>_xlfn.XLOOKUP(I372,costcategory[Account Code],costcategory[Cost Category],"ERROR")</f>
        <v>Headcount Costs</v>
      </c>
      <c r="K372" s="89" t="str">
        <f t="shared" si="6"/>
        <v>DSC</v>
      </c>
      <c r="L372" s="89" t="str">
        <f>_xlfn.XLOOKUP(K372,Table2[Department],Table2[Group],"ERROR")</f>
        <v>DSC</v>
      </c>
    </row>
    <row r="373" spans="1:12" x14ac:dyDescent="0.2">
      <c r="A373" t="s">
        <v>2</v>
      </c>
      <c r="B373" s="38">
        <v>46142</v>
      </c>
      <c r="C373" s="38">
        <v>46142</v>
      </c>
      <c r="D373" t="s">
        <v>1137</v>
      </c>
      <c r="E373" t="s">
        <v>82</v>
      </c>
      <c r="F373" s="37">
        <v>4905.1000000000004</v>
      </c>
      <c r="G373" s="39" cm="1">
        <f t="array" ref="G373">F373*_xlfn.XLOOKUP(1,
 (FOREX!$E$2:$E$13=EOMONTH(B373,0))*
 (FOREX!$F$2:$F$13=TRIM(E373)),FOREX!$G$2:$G$13,
 100)</f>
        <v>1235.5111496167128</v>
      </c>
      <c r="H373" t="s">
        <v>420</v>
      </c>
      <c r="I373" t="s">
        <v>387</v>
      </c>
      <c r="J373" s="35" t="str">
        <f>_xlfn.XLOOKUP(I373,costcategory[Account Code],costcategory[Cost Category],"ERROR")</f>
        <v>Headcount Costs</v>
      </c>
      <c r="K373" s="89" t="str">
        <f t="shared" si="6"/>
        <v>DSC</v>
      </c>
      <c r="L373" s="89" t="str">
        <f>_xlfn.XLOOKUP(K373,Table2[Department],Table2[Group],"ERROR")</f>
        <v>DSC</v>
      </c>
    </row>
    <row r="374" spans="1:12" x14ac:dyDescent="0.2">
      <c r="A374" t="s">
        <v>2</v>
      </c>
      <c r="B374" s="38">
        <v>46142</v>
      </c>
      <c r="C374" s="38">
        <v>46142</v>
      </c>
      <c r="D374" t="s">
        <v>1139</v>
      </c>
      <c r="E374" t="s">
        <v>82</v>
      </c>
      <c r="F374" s="37">
        <v>15776.1</v>
      </c>
      <c r="G374" s="39" cm="1">
        <f t="array" ref="G374">F374*_xlfn.XLOOKUP(1,
 (FOREX!$E$2:$E$13=EOMONTH(B374,0))*
 (FOREX!$F$2:$F$13=TRIM(E374)),FOREX!$G$2:$G$13,
 100)</f>
        <v>3973.7309020138678</v>
      </c>
      <c r="H374" t="s">
        <v>420</v>
      </c>
      <c r="I374" t="s">
        <v>387</v>
      </c>
      <c r="J374" s="35" t="str">
        <f>_xlfn.XLOOKUP(I374,costcategory[Account Code],costcategory[Cost Category],"ERROR")</f>
        <v>Headcount Costs</v>
      </c>
      <c r="K374" s="89" t="str">
        <f t="shared" si="6"/>
        <v>Business Operation</v>
      </c>
      <c r="L374" s="89" t="str">
        <f>_xlfn.XLOOKUP(K374,Table2[Department],Table2[Group],"ERROR")</f>
        <v>Sales &amp; Marketing</v>
      </c>
    </row>
    <row r="375" spans="1:12" x14ac:dyDescent="0.2">
      <c r="A375" t="s">
        <v>2</v>
      </c>
      <c r="B375" s="38">
        <v>46142</v>
      </c>
      <c r="C375" s="38">
        <v>46142</v>
      </c>
      <c r="D375" t="s">
        <v>1141</v>
      </c>
      <c r="E375" t="s">
        <v>82</v>
      </c>
      <c r="F375" s="37">
        <v>22757.35</v>
      </c>
      <c r="G375" s="39" cm="1">
        <f t="array" ref="G375">F375*_xlfn.XLOOKUP(1,
 (FOREX!$E$2:$E$13=EOMONTH(B375,0))*
 (FOREX!$F$2:$F$13=TRIM(E375)),FOREX!$G$2:$G$13,
 100)</f>
        <v>5732.1888770320475</v>
      </c>
      <c r="H375" t="s">
        <v>420</v>
      </c>
      <c r="I375" t="s">
        <v>387</v>
      </c>
      <c r="J375" s="35" t="str">
        <f>_xlfn.XLOOKUP(I375,costcategory[Account Code],costcategory[Cost Category],"ERROR")</f>
        <v>Headcount Costs</v>
      </c>
      <c r="K375" s="89" t="str">
        <f t="shared" si="6"/>
        <v>DSC</v>
      </c>
      <c r="L375" s="89" t="str">
        <f>_xlfn.XLOOKUP(K375,Table2[Department],Table2[Group],"ERROR")</f>
        <v>DSC</v>
      </c>
    </row>
    <row r="376" spans="1:12" x14ac:dyDescent="0.2">
      <c r="A376" t="s">
        <v>2</v>
      </c>
      <c r="B376" s="38">
        <v>46142</v>
      </c>
      <c r="C376" s="38">
        <v>46142</v>
      </c>
      <c r="D376" t="s">
        <v>1143</v>
      </c>
      <c r="E376" t="s">
        <v>82</v>
      </c>
      <c r="F376" s="37">
        <v>5934.2</v>
      </c>
      <c r="G376" s="39" cm="1">
        <f t="array" ref="G376">F376*_xlfn.XLOOKUP(1,
 (FOREX!$E$2:$E$13=EOMONTH(B376,0))*
 (FOREX!$F$2:$F$13=TRIM(E376)),FOREX!$G$2:$G$13,
 100)</f>
        <v>1494.7239126736451</v>
      </c>
      <c r="H376" t="s">
        <v>420</v>
      </c>
      <c r="I376" t="s">
        <v>387</v>
      </c>
      <c r="J376" s="35" t="str">
        <f>_xlfn.XLOOKUP(I376,costcategory[Account Code],costcategory[Cost Category],"ERROR")</f>
        <v>Headcount Costs</v>
      </c>
      <c r="K376" s="89" t="str">
        <f t="shared" si="6"/>
        <v>DSC</v>
      </c>
      <c r="L376" s="89" t="str">
        <f>_xlfn.XLOOKUP(K376,Table2[Department],Table2[Group],"ERROR")</f>
        <v>DSC</v>
      </c>
    </row>
    <row r="377" spans="1:12" x14ac:dyDescent="0.2">
      <c r="A377" t="s">
        <v>2</v>
      </c>
      <c r="B377" s="38">
        <v>46142</v>
      </c>
      <c r="C377" s="38">
        <v>46142</v>
      </c>
      <c r="D377" t="s">
        <v>1145</v>
      </c>
      <c r="E377" t="s">
        <v>82</v>
      </c>
      <c r="F377" s="37">
        <v>5168.8500000000004</v>
      </c>
      <c r="G377" s="39" cm="1">
        <f t="array" ref="G377">F377*_xlfn.XLOOKUP(1,
 (FOREX!$E$2:$E$13=EOMONTH(B377,0))*
 (FOREX!$F$2:$F$13=TRIM(E377)),FOREX!$G$2:$G$13,
 100)</f>
        <v>1301.9452826030756</v>
      </c>
      <c r="H377" t="s">
        <v>420</v>
      </c>
      <c r="I377" t="s">
        <v>387</v>
      </c>
      <c r="J377" s="35" t="str">
        <f>_xlfn.XLOOKUP(I377,costcategory[Account Code],costcategory[Cost Category],"ERROR")</f>
        <v>Headcount Costs</v>
      </c>
      <c r="K377" s="89" t="str">
        <f t="shared" si="6"/>
        <v>DSC</v>
      </c>
      <c r="L377" s="89" t="str">
        <f>_xlfn.XLOOKUP(K377,Table2[Department],Table2[Group],"ERROR")</f>
        <v>DSC</v>
      </c>
    </row>
    <row r="378" spans="1:12" x14ac:dyDescent="0.2">
      <c r="A378" t="s">
        <v>2</v>
      </c>
      <c r="B378" s="38">
        <v>46142</v>
      </c>
      <c r="C378" s="38">
        <v>46157</v>
      </c>
      <c r="D378" t="s">
        <v>1125</v>
      </c>
      <c r="E378" t="s">
        <v>82</v>
      </c>
      <c r="F378" s="37">
        <v>2827</v>
      </c>
      <c r="G378" s="39" cm="1">
        <f t="array" ref="G378">F378*_xlfn.XLOOKUP(1,
 (FOREX!$E$2:$E$13=EOMONTH(B378,0))*
 (FOREX!$F$2:$F$13=TRIM(E378)),FOREX!$G$2:$G$13,
 100)</f>
        <v>712.07315242634138</v>
      </c>
      <c r="H378" t="s">
        <v>1501</v>
      </c>
      <c r="I378" t="s">
        <v>387</v>
      </c>
      <c r="J378" s="35" t="str">
        <f>_xlfn.XLOOKUP(I378,costcategory[Account Code],costcategory[Cost Category],"ERROR")</f>
        <v>Headcount Costs</v>
      </c>
      <c r="K378" s="89" t="str">
        <f t="shared" si="6"/>
        <v>Sales &amp; Pre-Sales</v>
      </c>
      <c r="L378" s="89" t="str">
        <f>_xlfn.XLOOKUP(K378,Table2[Department],Table2[Group],"ERROR")</f>
        <v>Sales &amp; Marketing</v>
      </c>
    </row>
    <row r="379" spans="1:12" x14ac:dyDescent="0.2">
      <c r="A379" t="s">
        <v>2</v>
      </c>
      <c r="B379" s="38">
        <v>46142</v>
      </c>
      <c r="C379" s="38">
        <v>46157</v>
      </c>
      <c r="D379" t="s">
        <v>1127</v>
      </c>
      <c r="E379" t="s">
        <v>82</v>
      </c>
      <c r="F379" s="37">
        <v>517</v>
      </c>
      <c r="G379" s="39" cm="1">
        <f t="array" ref="G379">F379*_xlfn.XLOOKUP(1,
 (FOREX!$E$2:$E$13=EOMONTH(B379,0))*
 (FOREX!$F$2:$F$13=TRIM(E379)),FOREX!$G$2:$G$13,
 100)</f>
        <v>130.22349480170445</v>
      </c>
      <c r="H379" t="s">
        <v>1501</v>
      </c>
      <c r="I379" t="s">
        <v>387</v>
      </c>
      <c r="J379" s="35" t="str">
        <f>_xlfn.XLOOKUP(I379,costcategory[Account Code],costcategory[Cost Category],"ERROR")</f>
        <v>Headcount Costs</v>
      </c>
      <c r="K379" s="89" t="str">
        <f t="shared" si="6"/>
        <v>DSC</v>
      </c>
      <c r="L379" s="89" t="str">
        <f>_xlfn.XLOOKUP(K379,Table2[Department],Table2[Group],"ERROR")</f>
        <v>DSC</v>
      </c>
    </row>
    <row r="380" spans="1:12" x14ac:dyDescent="0.2">
      <c r="A380" t="s">
        <v>2</v>
      </c>
      <c r="B380" s="38">
        <v>46142</v>
      </c>
      <c r="C380" s="38">
        <v>46157</v>
      </c>
      <c r="D380" t="s">
        <v>1129</v>
      </c>
      <c r="E380" t="s">
        <v>82</v>
      </c>
      <c r="F380" s="37">
        <v>550</v>
      </c>
      <c r="G380" s="39" cm="1">
        <f t="array" ref="G380">F380*_xlfn.XLOOKUP(1,
 (FOREX!$E$2:$E$13=EOMONTH(B380,0))*
 (FOREX!$F$2:$F$13=TRIM(E380)),FOREX!$G$2:$G$13,
 100)</f>
        <v>138.53563276777069</v>
      </c>
      <c r="H380" t="s">
        <v>1501</v>
      </c>
      <c r="I380" t="s">
        <v>387</v>
      </c>
      <c r="J380" s="35" t="str">
        <f>_xlfn.XLOOKUP(I380,costcategory[Account Code],costcategory[Cost Category],"ERROR")</f>
        <v>Headcount Costs</v>
      </c>
      <c r="K380" s="89" t="str">
        <f t="shared" si="6"/>
        <v>Sales &amp; Pre-Sales</v>
      </c>
      <c r="L380" s="89" t="str">
        <f>_xlfn.XLOOKUP(K380,Table2[Department],Table2[Group],"ERROR")</f>
        <v>Sales &amp; Marketing</v>
      </c>
    </row>
    <row r="381" spans="1:12" x14ac:dyDescent="0.2">
      <c r="A381" t="s">
        <v>2</v>
      </c>
      <c r="B381" s="38">
        <v>46142</v>
      </c>
      <c r="C381" s="38">
        <v>46157</v>
      </c>
      <c r="D381" t="s">
        <v>1131</v>
      </c>
      <c r="E381" t="s">
        <v>82</v>
      </c>
      <c r="F381" s="37">
        <v>1331</v>
      </c>
      <c r="G381" s="39" cm="1">
        <f t="array" ref="G381">F381*_xlfn.XLOOKUP(1,
 (FOREX!$E$2:$E$13=EOMONTH(B381,0))*
 (FOREX!$F$2:$F$13=TRIM(E381)),FOREX!$G$2:$G$13,
 100)</f>
        <v>335.2562312980051</v>
      </c>
      <c r="H381" t="s">
        <v>1501</v>
      </c>
      <c r="I381" t="s">
        <v>387</v>
      </c>
      <c r="J381" s="35" t="str">
        <f>_xlfn.XLOOKUP(I381,costcategory[Account Code],costcategory[Cost Category],"ERROR")</f>
        <v>Headcount Costs</v>
      </c>
      <c r="K381" s="89" t="str">
        <f t="shared" si="6"/>
        <v>HR</v>
      </c>
      <c r="L381" s="89" t="str">
        <f>_xlfn.XLOOKUP(K381,Table2[Department],Table2[Group],"ERROR")</f>
        <v>General &amp; Administrative</v>
      </c>
    </row>
    <row r="382" spans="1:12" x14ac:dyDescent="0.2">
      <c r="A382" t="s">
        <v>2</v>
      </c>
      <c r="B382" s="38">
        <v>46142</v>
      </c>
      <c r="C382" s="38">
        <v>46157</v>
      </c>
      <c r="D382" t="s">
        <v>1133</v>
      </c>
      <c r="E382" t="s">
        <v>82</v>
      </c>
      <c r="F382" s="37">
        <v>1441</v>
      </c>
      <c r="G382" s="39" cm="1">
        <f t="array" ref="G382">F382*_xlfn.XLOOKUP(1,
 (FOREX!$E$2:$E$13=EOMONTH(B382,0))*
 (FOREX!$F$2:$F$13=TRIM(E382)),FOREX!$G$2:$G$13,
 100)</f>
        <v>362.96335785155924</v>
      </c>
      <c r="H382" t="s">
        <v>1501</v>
      </c>
      <c r="I382" t="s">
        <v>387</v>
      </c>
      <c r="J382" s="35" t="str">
        <f>_xlfn.XLOOKUP(I382,costcategory[Account Code],costcategory[Cost Category],"ERROR")</f>
        <v>Headcount Costs</v>
      </c>
      <c r="K382" s="89" t="str">
        <f t="shared" si="6"/>
        <v>Finance</v>
      </c>
      <c r="L382" s="89" t="str">
        <f>_xlfn.XLOOKUP(K382,Table2[Department],Table2[Group],"ERROR")</f>
        <v>General &amp; Administrative</v>
      </c>
    </row>
    <row r="383" spans="1:12" x14ac:dyDescent="0.2">
      <c r="A383" t="s">
        <v>2</v>
      </c>
      <c r="B383" s="38">
        <v>46142</v>
      </c>
      <c r="C383" s="38">
        <v>46157</v>
      </c>
      <c r="D383" t="s">
        <v>1134</v>
      </c>
      <c r="E383" t="s">
        <v>82</v>
      </c>
      <c r="F383" s="37">
        <v>2924</v>
      </c>
      <c r="G383" s="39" cm="1">
        <f t="array" ref="G383">F383*_xlfn.XLOOKUP(1,
 (FOREX!$E$2:$E$13=EOMONTH(B383,0))*
 (FOREX!$F$2:$F$13=TRIM(E383)),FOREX!$G$2:$G$13,
 100)</f>
        <v>736.50580038720273</v>
      </c>
      <c r="H383" t="s">
        <v>1501</v>
      </c>
      <c r="I383" t="s">
        <v>387</v>
      </c>
      <c r="J383" s="35" t="str">
        <f>_xlfn.XLOOKUP(I383,costcategory[Account Code],costcategory[Cost Category],"ERROR")</f>
        <v>Headcount Costs</v>
      </c>
      <c r="K383" s="89" t="str">
        <f t="shared" si="6"/>
        <v>DSC</v>
      </c>
      <c r="L383" s="89" t="str">
        <f>_xlfn.XLOOKUP(K383,Table2[Department],Table2[Group],"ERROR")</f>
        <v>DSC</v>
      </c>
    </row>
    <row r="384" spans="1:12" x14ac:dyDescent="0.2">
      <c r="A384" t="s">
        <v>2</v>
      </c>
      <c r="B384" s="38">
        <v>46142</v>
      </c>
      <c r="C384" s="38">
        <v>46157</v>
      </c>
      <c r="D384" t="s">
        <v>1136</v>
      </c>
      <c r="E384" t="s">
        <v>82</v>
      </c>
      <c r="F384" s="37">
        <v>1947</v>
      </c>
      <c r="G384" s="39" cm="1">
        <f t="array" ref="G384">F384*_xlfn.XLOOKUP(1,
 (FOREX!$E$2:$E$13=EOMONTH(B384,0))*
 (FOREX!$F$2:$F$13=TRIM(E384)),FOREX!$G$2:$G$13,
 100)</f>
        <v>490.41613999790826</v>
      </c>
      <c r="H384" t="s">
        <v>1501</v>
      </c>
      <c r="I384" t="s">
        <v>387</v>
      </c>
      <c r="J384" s="35" t="str">
        <f>_xlfn.XLOOKUP(I384,costcategory[Account Code],costcategory[Cost Category],"ERROR")</f>
        <v>Headcount Costs</v>
      </c>
      <c r="K384" s="89" t="str">
        <f t="shared" si="6"/>
        <v>DSC</v>
      </c>
      <c r="L384" s="89" t="str">
        <f>_xlfn.XLOOKUP(K384,Table2[Department],Table2[Group],"ERROR")</f>
        <v>DSC</v>
      </c>
    </row>
    <row r="385" spans="1:12" x14ac:dyDescent="0.2">
      <c r="A385" t="s">
        <v>2</v>
      </c>
      <c r="B385" s="38">
        <v>46142</v>
      </c>
      <c r="C385" s="38">
        <v>46157</v>
      </c>
      <c r="D385" t="s">
        <v>1137</v>
      </c>
      <c r="E385" t="s">
        <v>82</v>
      </c>
      <c r="F385" s="37">
        <v>638</v>
      </c>
      <c r="G385" s="39" cm="1">
        <f t="array" ref="G385">F385*_xlfn.XLOOKUP(1,
 (FOREX!$E$2:$E$13=EOMONTH(B385,0))*
 (FOREX!$F$2:$F$13=TRIM(E385)),FOREX!$G$2:$G$13,
 100)</f>
        <v>160.701334010614</v>
      </c>
      <c r="H385" t="s">
        <v>1501</v>
      </c>
      <c r="I385" t="s">
        <v>387</v>
      </c>
      <c r="J385" s="35" t="str">
        <f>_xlfn.XLOOKUP(I385,costcategory[Account Code],costcategory[Cost Category],"ERROR")</f>
        <v>Headcount Costs</v>
      </c>
      <c r="K385" s="89" t="str">
        <f t="shared" si="6"/>
        <v>DSC</v>
      </c>
      <c r="L385" s="89" t="str">
        <f>_xlfn.XLOOKUP(K385,Table2[Department],Table2[Group],"ERROR")</f>
        <v>DSC</v>
      </c>
    </row>
    <row r="386" spans="1:12" x14ac:dyDescent="0.2">
      <c r="A386" t="s">
        <v>2</v>
      </c>
      <c r="B386" s="38">
        <v>46142</v>
      </c>
      <c r="C386" s="38">
        <v>46157</v>
      </c>
      <c r="D386" t="s">
        <v>1139</v>
      </c>
      <c r="E386" t="s">
        <v>82</v>
      </c>
      <c r="F386" s="37">
        <v>390</v>
      </c>
      <c r="G386" s="39" cm="1">
        <f t="array" ref="G386">F386*_xlfn.XLOOKUP(1,
 (FOREX!$E$2:$E$13=EOMONTH(B386,0))*
 (FOREX!$F$2:$F$13=TRIM(E386)),FOREX!$G$2:$G$13,
 100)</f>
        <v>98.234357780782858</v>
      </c>
      <c r="H386" t="s">
        <v>1501</v>
      </c>
      <c r="I386" t="s">
        <v>387</v>
      </c>
      <c r="J386" s="35" t="str">
        <f>_xlfn.XLOOKUP(I386,costcategory[Account Code],costcategory[Cost Category],"ERROR")</f>
        <v>Headcount Costs</v>
      </c>
      <c r="K386" s="89" t="str">
        <f t="shared" si="6"/>
        <v>Business Operation</v>
      </c>
      <c r="L386" s="89" t="str">
        <f>_xlfn.XLOOKUP(K386,Table2[Department],Table2[Group],"ERROR")</f>
        <v>Sales &amp; Marketing</v>
      </c>
    </row>
    <row r="387" spans="1:12" x14ac:dyDescent="0.2">
      <c r="A387" t="s">
        <v>2</v>
      </c>
      <c r="B387" s="38">
        <v>46142</v>
      </c>
      <c r="C387" s="38">
        <v>46157</v>
      </c>
      <c r="D387" t="s">
        <v>1141</v>
      </c>
      <c r="E387" t="s">
        <v>82</v>
      </c>
      <c r="F387" s="37">
        <v>3621</v>
      </c>
      <c r="G387" s="39" cm="1">
        <f t="array" ref="G387">F387*_xlfn.XLOOKUP(1,
 (FOREX!$E$2:$E$13=EOMONTH(B387,0))*
 (FOREX!$F$2:$F$13=TRIM(E387)),FOREX!$G$2:$G$13,
 100)</f>
        <v>912.06822954926849</v>
      </c>
      <c r="H387" t="s">
        <v>1501</v>
      </c>
      <c r="I387" t="s">
        <v>387</v>
      </c>
      <c r="J387" s="35" t="str">
        <f>_xlfn.XLOOKUP(I387,costcategory[Account Code],costcategory[Cost Category],"ERROR")</f>
        <v>Headcount Costs</v>
      </c>
      <c r="K387" s="89" t="str">
        <f t="shared" si="6"/>
        <v>DSC</v>
      </c>
      <c r="L387" s="89" t="str">
        <f>_xlfn.XLOOKUP(K387,Table2[Department],Table2[Group],"ERROR")</f>
        <v>DSC</v>
      </c>
    </row>
    <row r="388" spans="1:12" x14ac:dyDescent="0.2">
      <c r="A388" t="s">
        <v>2</v>
      </c>
      <c r="B388" s="38">
        <v>46142</v>
      </c>
      <c r="C388" s="38">
        <v>46157</v>
      </c>
      <c r="D388" t="s">
        <v>1143</v>
      </c>
      <c r="E388" t="s">
        <v>82</v>
      </c>
      <c r="F388" s="37">
        <v>781</v>
      </c>
      <c r="G388" s="39" cm="1">
        <f t="array" ref="G388">F388*_xlfn.XLOOKUP(1,
 (FOREX!$E$2:$E$13=EOMONTH(B388,0))*
 (FOREX!$F$2:$F$13=TRIM(E388)),FOREX!$G$2:$G$13,
 100)</f>
        <v>196.72059853023438</v>
      </c>
      <c r="H388" t="s">
        <v>1501</v>
      </c>
      <c r="I388" t="s">
        <v>387</v>
      </c>
      <c r="J388" s="35" t="str">
        <f>_xlfn.XLOOKUP(I388,costcategory[Account Code],costcategory[Cost Category],"ERROR")</f>
        <v>Headcount Costs</v>
      </c>
      <c r="K388" s="89" t="str">
        <f t="shared" si="6"/>
        <v>DSC</v>
      </c>
      <c r="L388" s="89" t="str">
        <f>_xlfn.XLOOKUP(K388,Table2[Department],Table2[Group],"ERROR")</f>
        <v>DSC</v>
      </c>
    </row>
    <row r="389" spans="1:12" x14ac:dyDescent="0.2">
      <c r="A389" t="s">
        <v>2</v>
      </c>
      <c r="B389" s="38">
        <v>46142</v>
      </c>
      <c r="C389" s="38">
        <v>46157</v>
      </c>
      <c r="D389" t="s">
        <v>1145</v>
      </c>
      <c r="E389" t="s">
        <v>82</v>
      </c>
      <c r="F389" s="37">
        <v>671</v>
      </c>
      <c r="G389" s="39" cm="1">
        <f t="array" ref="G389">F389*_xlfn.XLOOKUP(1,
 (FOREX!$E$2:$E$13=EOMONTH(B389,0))*
 (FOREX!$F$2:$F$13=TRIM(E389)),FOREX!$G$2:$G$13,
 100)</f>
        <v>169.01347197668025</v>
      </c>
      <c r="H389" t="s">
        <v>1501</v>
      </c>
      <c r="I389" t="s">
        <v>387</v>
      </c>
      <c r="J389" s="35" t="str">
        <f>_xlfn.XLOOKUP(I389,costcategory[Account Code],costcategory[Cost Category],"ERROR")</f>
        <v>Headcount Costs</v>
      </c>
      <c r="K389" s="89" t="str">
        <f t="shared" si="6"/>
        <v>DSC</v>
      </c>
      <c r="L389" s="89" t="str">
        <f>_xlfn.XLOOKUP(K389,Table2[Department],Table2[Group],"ERROR")</f>
        <v>DSC</v>
      </c>
    </row>
    <row r="390" spans="1:12" x14ac:dyDescent="0.2">
      <c r="A390" t="s">
        <v>2</v>
      </c>
      <c r="B390" s="38">
        <v>46142</v>
      </c>
      <c r="C390" s="38">
        <v>46157</v>
      </c>
      <c r="D390" t="s">
        <v>1125</v>
      </c>
      <c r="E390" t="s">
        <v>82</v>
      </c>
      <c r="F390" s="37">
        <v>29.75</v>
      </c>
      <c r="G390" s="39" cm="1">
        <f t="array" ref="G390">F390*_xlfn.XLOOKUP(1,
 (FOREX!$E$2:$E$13=EOMONTH(B390,0))*
 (FOREX!$F$2:$F$13=TRIM(E390)),FOREX!$G$2:$G$13,
 100)</f>
        <v>7.4935183178930513</v>
      </c>
      <c r="H390" t="s">
        <v>1502</v>
      </c>
      <c r="I390" t="s">
        <v>387</v>
      </c>
      <c r="J390" s="35" t="str">
        <f>_xlfn.XLOOKUP(I390,costcategory[Account Code],costcategory[Cost Category],"ERROR")</f>
        <v>Headcount Costs</v>
      </c>
      <c r="K390" s="89" t="str">
        <f t="shared" si="6"/>
        <v>Sales &amp; Pre-Sales</v>
      </c>
      <c r="L390" s="89" t="str">
        <f>_xlfn.XLOOKUP(K390,Table2[Department],Table2[Group],"ERROR")</f>
        <v>Sales &amp; Marketing</v>
      </c>
    </row>
    <row r="391" spans="1:12" x14ac:dyDescent="0.2">
      <c r="A391" t="s">
        <v>2</v>
      </c>
      <c r="B391" s="38">
        <v>46142</v>
      </c>
      <c r="C391" s="38">
        <v>46157</v>
      </c>
      <c r="D391" t="s">
        <v>1127</v>
      </c>
      <c r="E391" t="s">
        <v>82</v>
      </c>
      <c r="F391" s="37">
        <v>23.25</v>
      </c>
      <c r="G391" s="39" cm="1">
        <f t="array" ref="G391">F391*_xlfn.XLOOKUP(1,
 (FOREX!$E$2:$E$13=EOMONTH(B391,0))*
 (FOREX!$F$2:$F$13=TRIM(E391)),FOREX!$G$2:$G$13,
 100)</f>
        <v>5.85627902154667</v>
      </c>
      <c r="H391" t="s">
        <v>1502</v>
      </c>
      <c r="I391" t="s">
        <v>387</v>
      </c>
      <c r="J391" s="35" t="str">
        <f>_xlfn.XLOOKUP(I391,costcategory[Account Code],costcategory[Cost Category],"ERROR")</f>
        <v>Headcount Costs</v>
      </c>
      <c r="K391" s="89" t="str">
        <f t="shared" si="6"/>
        <v>DSC</v>
      </c>
      <c r="L391" s="89" t="str">
        <f>_xlfn.XLOOKUP(K391,Table2[Department],Table2[Group],"ERROR")</f>
        <v>DSC</v>
      </c>
    </row>
    <row r="392" spans="1:12" x14ac:dyDescent="0.2">
      <c r="A392" t="s">
        <v>2</v>
      </c>
      <c r="B392" s="38">
        <v>46142</v>
      </c>
      <c r="C392" s="38">
        <v>46157</v>
      </c>
      <c r="D392" t="s">
        <v>1129</v>
      </c>
      <c r="E392" t="s">
        <v>82</v>
      </c>
      <c r="F392" s="37">
        <v>24.75</v>
      </c>
      <c r="G392" s="39" cm="1">
        <f t="array" ref="G392">F392*_xlfn.XLOOKUP(1,
 (FOREX!$E$2:$E$13=EOMONTH(B392,0))*
 (FOREX!$F$2:$F$13=TRIM(E392)),FOREX!$G$2:$G$13,
 100)</f>
        <v>6.2341034745496815</v>
      </c>
      <c r="H392" t="s">
        <v>1502</v>
      </c>
      <c r="I392" t="s">
        <v>387</v>
      </c>
      <c r="J392" s="35" t="str">
        <f>_xlfn.XLOOKUP(I392,costcategory[Account Code],costcategory[Cost Category],"ERROR")</f>
        <v>Headcount Costs</v>
      </c>
      <c r="K392" s="89" t="str">
        <f t="shared" si="6"/>
        <v>Sales &amp; Pre-Sales</v>
      </c>
      <c r="L392" s="89" t="str">
        <f>_xlfn.XLOOKUP(K392,Table2[Department],Table2[Group],"ERROR")</f>
        <v>Sales &amp; Marketing</v>
      </c>
    </row>
    <row r="393" spans="1:12" x14ac:dyDescent="0.2">
      <c r="A393" t="s">
        <v>2</v>
      </c>
      <c r="B393" s="38">
        <v>46142</v>
      </c>
      <c r="C393" s="38">
        <v>46157</v>
      </c>
      <c r="D393" t="s">
        <v>1131</v>
      </c>
      <c r="E393" t="s">
        <v>82</v>
      </c>
      <c r="F393" s="37">
        <v>29.75</v>
      </c>
      <c r="G393" s="39" cm="1">
        <f t="array" ref="G393">F393*_xlfn.XLOOKUP(1,
 (FOREX!$E$2:$E$13=EOMONTH(B393,0))*
 (FOREX!$F$2:$F$13=TRIM(E393)),FOREX!$G$2:$G$13,
 100)</f>
        <v>7.4935183178930513</v>
      </c>
      <c r="H393" t="s">
        <v>1502</v>
      </c>
      <c r="I393" t="s">
        <v>387</v>
      </c>
      <c r="J393" s="35" t="str">
        <f>_xlfn.XLOOKUP(I393,costcategory[Account Code],costcategory[Cost Category],"ERROR")</f>
        <v>Headcount Costs</v>
      </c>
      <c r="K393" s="89" t="str">
        <f t="shared" si="6"/>
        <v>HR</v>
      </c>
      <c r="L393" s="89" t="str">
        <f>_xlfn.XLOOKUP(K393,Table2[Department],Table2[Group],"ERROR")</f>
        <v>General &amp; Administrative</v>
      </c>
    </row>
    <row r="394" spans="1:12" x14ac:dyDescent="0.2">
      <c r="A394" t="s">
        <v>2</v>
      </c>
      <c r="B394" s="38">
        <v>46142</v>
      </c>
      <c r="C394" s="38">
        <v>46157</v>
      </c>
      <c r="D394" t="s">
        <v>1133</v>
      </c>
      <c r="E394" t="s">
        <v>82</v>
      </c>
      <c r="F394" s="37">
        <v>29.75</v>
      </c>
      <c r="G394" s="39" cm="1">
        <f t="array" ref="G394">F394*_xlfn.XLOOKUP(1,
 (FOREX!$E$2:$E$13=EOMONTH(B394,0))*
 (FOREX!$F$2:$F$13=TRIM(E394)),FOREX!$G$2:$G$13,
 100)</f>
        <v>7.4935183178930513</v>
      </c>
      <c r="H394" t="s">
        <v>1502</v>
      </c>
      <c r="I394" t="s">
        <v>387</v>
      </c>
      <c r="J394" s="35" t="str">
        <f>_xlfn.XLOOKUP(I394,costcategory[Account Code],costcategory[Cost Category],"ERROR")</f>
        <v>Headcount Costs</v>
      </c>
      <c r="K394" s="89" t="str">
        <f t="shared" si="6"/>
        <v>Finance</v>
      </c>
      <c r="L394" s="89" t="str">
        <f>_xlfn.XLOOKUP(K394,Table2[Department],Table2[Group],"ERROR")</f>
        <v>General &amp; Administrative</v>
      </c>
    </row>
    <row r="395" spans="1:12" x14ac:dyDescent="0.2">
      <c r="A395" t="s">
        <v>2</v>
      </c>
      <c r="B395" s="38">
        <v>46142</v>
      </c>
      <c r="C395" s="38">
        <v>46157</v>
      </c>
      <c r="D395" t="s">
        <v>1134</v>
      </c>
      <c r="E395" t="s">
        <v>82</v>
      </c>
      <c r="F395" s="37">
        <v>29.75</v>
      </c>
      <c r="G395" s="39" cm="1">
        <f t="array" ref="G395">F395*_xlfn.XLOOKUP(1,
 (FOREX!$E$2:$E$13=EOMONTH(B395,0))*
 (FOREX!$F$2:$F$13=TRIM(E395)),FOREX!$G$2:$G$13,
 100)</f>
        <v>7.4935183178930513</v>
      </c>
      <c r="H395" t="s">
        <v>1502</v>
      </c>
      <c r="I395" t="s">
        <v>387</v>
      </c>
      <c r="J395" s="35" t="str">
        <f>_xlfn.XLOOKUP(I395,costcategory[Account Code],costcategory[Cost Category],"ERROR")</f>
        <v>Headcount Costs</v>
      </c>
      <c r="K395" s="89" t="str">
        <f t="shared" si="6"/>
        <v>DSC</v>
      </c>
      <c r="L395" s="89" t="str">
        <f>_xlfn.XLOOKUP(K395,Table2[Department],Table2[Group],"ERROR")</f>
        <v>DSC</v>
      </c>
    </row>
    <row r="396" spans="1:12" x14ac:dyDescent="0.2">
      <c r="A396" t="s">
        <v>2</v>
      </c>
      <c r="B396" s="38">
        <v>46142</v>
      </c>
      <c r="C396" s="38">
        <v>46157</v>
      </c>
      <c r="D396" t="s">
        <v>1136</v>
      </c>
      <c r="E396" t="s">
        <v>82</v>
      </c>
      <c r="F396" s="37">
        <v>29.75</v>
      </c>
      <c r="G396" s="39" cm="1">
        <f t="array" ref="G396">F396*_xlfn.XLOOKUP(1,
 (FOREX!$E$2:$E$13=EOMONTH(B396,0))*
 (FOREX!$F$2:$F$13=TRIM(E396)),FOREX!$G$2:$G$13,
 100)</f>
        <v>7.4935183178930513</v>
      </c>
      <c r="H396" t="s">
        <v>1502</v>
      </c>
      <c r="I396" t="s">
        <v>387</v>
      </c>
      <c r="J396" s="35" t="str">
        <f>_xlfn.XLOOKUP(I396,costcategory[Account Code],costcategory[Cost Category],"ERROR")</f>
        <v>Headcount Costs</v>
      </c>
      <c r="K396" s="89" t="str">
        <f t="shared" si="6"/>
        <v>DSC</v>
      </c>
      <c r="L396" s="89" t="str">
        <f>_xlfn.XLOOKUP(K396,Table2[Department],Table2[Group],"ERROR")</f>
        <v>DSC</v>
      </c>
    </row>
    <row r="397" spans="1:12" x14ac:dyDescent="0.2">
      <c r="A397" t="s">
        <v>2</v>
      </c>
      <c r="B397" s="38">
        <v>46142</v>
      </c>
      <c r="C397" s="38">
        <v>46157</v>
      </c>
      <c r="D397" t="s">
        <v>1137</v>
      </c>
      <c r="E397" t="s">
        <v>82</v>
      </c>
      <c r="F397" s="37">
        <v>28.75</v>
      </c>
      <c r="G397" s="39" cm="1">
        <f t="array" ref="G397">F397*_xlfn.XLOOKUP(1,
 (FOREX!$E$2:$E$13=EOMONTH(B397,0))*
 (FOREX!$F$2:$F$13=TRIM(E397)),FOREX!$G$2:$G$13,
 100)</f>
        <v>7.241635349224377</v>
      </c>
      <c r="H397" t="s">
        <v>1502</v>
      </c>
      <c r="I397" t="s">
        <v>387</v>
      </c>
      <c r="J397" s="35" t="str">
        <f>_xlfn.XLOOKUP(I397,costcategory[Account Code],costcategory[Cost Category],"ERROR")</f>
        <v>Headcount Costs</v>
      </c>
      <c r="K397" s="89" t="str">
        <f t="shared" si="6"/>
        <v>DSC</v>
      </c>
      <c r="L397" s="89" t="str">
        <f>_xlfn.XLOOKUP(K397,Table2[Department],Table2[Group],"ERROR")</f>
        <v>DSC</v>
      </c>
    </row>
    <row r="398" spans="1:12" x14ac:dyDescent="0.2">
      <c r="A398" t="s">
        <v>2</v>
      </c>
      <c r="B398" s="38">
        <v>46142</v>
      </c>
      <c r="C398" s="38">
        <v>46157</v>
      </c>
      <c r="D398" t="s">
        <v>1139</v>
      </c>
      <c r="E398" t="s">
        <v>82</v>
      </c>
      <c r="F398" s="37">
        <v>29.75</v>
      </c>
      <c r="G398" s="39" cm="1">
        <f t="array" ref="G398">F398*_xlfn.XLOOKUP(1,
 (FOREX!$E$2:$E$13=EOMONTH(B398,0))*
 (FOREX!$F$2:$F$13=TRIM(E398)),FOREX!$G$2:$G$13,
 100)</f>
        <v>7.4935183178930513</v>
      </c>
      <c r="H398" t="s">
        <v>1502</v>
      </c>
      <c r="I398" t="s">
        <v>387</v>
      </c>
      <c r="J398" s="35" t="str">
        <f>_xlfn.XLOOKUP(I398,costcategory[Account Code],costcategory[Cost Category],"ERROR")</f>
        <v>Headcount Costs</v>
      </c>
      <c r="K398" s="89" t="str">
        <f t="shared" si="6"/>
        <v>Business Operation</v>
      </c>
      <c r="L398" s="89" t="str">
        <f>_xlfn.XLOOKUP(K398,Table2[Department],Table2[Group],"ERROR")</f>
        <v>Sales &amp; Marketing</v>
      </c>
    </row>
    <row r="399" spans="1:12" x14ac:dyDescent="0.2">
      <c r="A399" t="s">
        <v>2</v>
      </c>
      <c r="B399" s="38">
        <v>46142</v>
      </c>
      <c r="C399" s="38">
        <v>46157</v>
      </c>
      <c r="D399" t="s">
        <v>1141</v>
      </c>
      <c r="E399" t="s">
        <v>82</v>
      </c>
      <c r="F399" s="37">
        <v>29.75</v>
      </c>
      <c r="G399" s="39" cm="1">
        <f t="array" ref="G399">F399*_xlfn.XLOOKUP(1,
 (FOREX!$E$2:$E$13=EOMONTH(B399,0))*
 (FOREX!$F$2:$F$13=TRIM(E399)),FOREX!$G$2:$G$13,
 100)</f>
        <v>7.4935183178930513</v>
      </c>
      <c r="H399" t="s">
        <v>1502</v>
      </c>
      <c r="I399" t="s">
        <v>387</v>
      </c>
      <c r="J399" s="35" t="str">
        <f>_xlfn.XLOOKUP(I399,costcategory[Account Code],costcategory[Cost Category],"ERROR")</f>
        <v>Headcount Costs</v>
      </c>
      <c r="K399" s="89" t="str">
        <f t="shared" si="6"/>
        <v>DSC</v>
      </c>
      <c r="L399" s="89" t="str">
        <f>_xlfn.XLOOKUP(K399,Table2[Department],Table2[Group],"ERROR")</f>
        <v>DSC</v>
      </c>
    </row>
    <row r="400" spans="1:12" x14ac:dyDescent="0.2">
      <c r="A400" t="s">
        <v>2</v>
      </c>
      <c r="B400" s="38">
        <v>46142</v>
      </c>
      <c r="C400" s="38">
        <v>46157</v>
      </c>
      <c r="D400" t="s">
        <v>1143</v>
      </c>
      <c r="E400" t="s">
        <v>82</v>
      </c>
      <c r="F400" s="37">
        <v>29.75</v>
      </c>
      <c r="G400" s="39" cm="1">
        <f t="array" ref="G400">F400*_xlfn.XLOOKUP(1,
 (FOREX!$E$2:$E$13=EOMONTH(B400,0))*
 (FOREX!$F$2:$F$13=TRIM(E400)),FOREX!$G$2:$G$13,
 100)</f>
        <v>7.4935183178930513</v>
      </c>
      <c r="H400" t="s">
        <v>1502</v>
      </c>
      <c r="I400" t="s">
        <v>387</v>
      </c>
      <c r="J400" s="35" t="str">
        <f>_xlfn.XLOOKUP(I400,costcategory[Account Code],costcategory[Cost Category],"ERROR")</f>
        <v>Headcount Costs</v>
      </c>
      <c r="K400" s="89" t="str">
        <f t="shared" si="6"/>
        <v>DSC</v>
      </c>
      <c r="L400" s="89" t="str">
        <f>_xlfn.XLOOKUP(K400,Table2[Department],Table2[Group],"ERROR")</f>
        <v>DSC</v>
      </c>
    </row>
    <row r="401" spans="1:12" x14ac:dyDescent="0.2">
      <c r="A401" t="s">
        <v>2</v>
      </c>
      <c r="B401" s="38">
        <v>46142</v>
      </c>
      <c r="C401" s="38">
        <v>46157</v>
      </c>
      <c r="D401" t="s">
        <v>1145</v>
      </c>
      <c r="E401" t="s">
        <v>82</v>
      </c>
      <c r="F401" s="37">
        <v>29.75</v>
      </c>
      <c r="G401" s="39" cm="1">
        <f t="array" ref="G401">F401*_xlfn.XLOOKUP(1,
 (FOREX!$E$2:$E$13=EOMONTH(B401,0))*
 (FOREX!$F$2:$F$13=TRIM(E401)),FOREX!$G$2:$G$13,
 100)</f>
        <v>7.4935183178930513</v>
      </c>
      <c r="H401" t="s">
        <v>1502</v>
      </c>
      <c r="I401" t="s">
        <v>387</v>
      </c>
      <c r="J401" s="35" t="str">
        <f>_xlfn.XLOOKUP(I401,costcategory[Account Code],costcategory[Cost Category],"ERROR")</f>
        <v>Headcount Costs</v>
      </c>
      <c r="K401" s="89" t="str">
        <f t="shared" si="6"/>
        <v>DSC</v>
      </c>
      <c r="L401" s="89" t="str">
        <f>_xlfn.XLOOKUP(K401,Table2[Department],Table2[Group],"ERROR")</f>
        <v>DSC</v>
      </c>
    </row>
    <row r="402" spans="1:12" x14ac:dyDescent="0.2">
      <c r="A402" t="s">
        <v>2</v>
      </c>
      <c r="B402" s="38">
        <v>46142</v>
      </c>
      <c r="C402" s="38">
        <v>46157</v>
      </c>
      <c r="D402" t="s">
        <v>1125</v>
      </c>
      <c r="E402" t="s">
        <v>82</v>
      </c>
      <c r="F402" s="37">
        <v>11.9</v>
      </c>
      <c r="G402" s="39" cm="1">
        <f t="array" ref="G402">F402*_xlfn.XLOOKUP(1,
 (FOREX!$E$2:$E$13=EOMONTH(B402,0))*
 (FOREX!$F$2:$F$13=TRIM(E402)),FOREX!$G$2:$G$13,
 100)</f>
        <v>2.9974073271572204</v>
      </c>
      <c r="H402" t="s">
        <v>1503</v>
      </c>
      <c r="I402" t="s">
        <v>387</v>
      </c>
      <c r="J402" s="35" t="str">
        <f>_xlfn.XLOOKUP(I402,costcategory[Account Code],costcategory[Cost Category],"ERROR")</f>
        <v>Headcount Costs</v>
      </c>
      <c r="K402" s="89" t="str">
        <f t="shared" si="6"/>
        <v>Sales &amp; Pre-Sales</v>
      </c>
      <c r="L402" s="89" t="str">
        <f>_xlfn.XLOOKUP(K402,Table2[Department],Table2[Group],"ERROR")</f>
        <v>Sales &amp; Marketing</v>
      </c>
    </row>
    <row r="403" spans="1:12" x14ac:dyDescent="0.2">
      <c r="A403" t="s">
        <v>2</v>
      </c>
      <c r="B403" s="38">
        <v>46142</v>
      </c>
      <c r="C403" s="38">
        <v>46157</v>
      </c>
      <c r="D403" t="s">
        <v>1127</v>
      </c>
      <c r="E403" t="s">
        <v>82</v>
      </c>
      <c r="F403" s="37">
        <v>9.3000000000000007</v>
      </c>
      <c r="G403" s="39" cm="1">
        <f t="array" ref="G403">F403*_xlfn.XLOOKUP(1,
 (FOREX!$E$2:$E$13=EOMONTH(B403,0))*
 (FOREX!$F$2:$F$13=TRIM(E403)),FOREX!$G$2:$G$13,
 100)</f>
        <v>2.3425116086186684</v>
      </c>
      <c r="H403" t="s">
        <v>1503</v>
      </c>
      <c r="I403" t="s">
        <v>387</v>
      </c>
      <c r="J403" s="35" t="str">
        <f>_xlfn.XLOOKUP(I403,costcategory[Account Code],costcategory[Cost Category],"ERROR")</f>
        <v>Headcount Costs</v>
      </c>
      <c r="K403" s="89" t="str">
        <f t="shared" si="6"/>
        <v>DSC</v>
      </c>
      <c r="L403" s="89" t="str">
        <f>_xlfn.XLOOKUP(K403,Table2[Department],Table2[Group],"ERROR")</f>
        <v>DSC</v>
      </c>
    </row>
    <row r="404" spans="1:12" x14ac:dyDescent="0.2">
      <c r="A404" t="s">
        <v>2</v>
      </c>
      <c r="B404" s="38">
        <v>46142</v>
      </c>
      <c r="C404" s="38">
        <v>46157</v>
      </c>
      <c r="D404" t="s">
        <v>1129</v>
      </c>
      <c r="E404" t="s">
        <v>82</v>
      </c>
      <c r="F404" s="37">
        <v>9.9</v>
      </c>
      <c r="G404" s="39" cm="1">
        <f t="array" ref="G404">F404*_xlfn.XLOOKUP(1,
 (FOREX!$E$2:$E$13=EOMONTH(B404,0))*
 (FOREX!$F$2:$F$13=TRIM(E404)),FOREX!$G$2:$G$13,
 100)</f>
        <v>2.4936413898198726</v>
      </c>
      <c r="H404" t="s">
        <v>1503</v>
      </c>
      <c r="I404" t="s">
        <v>387</v>
      </c>
      <c r="J404" s="35" t="str">
        <f>_xlfn.XLOOKUP(I404,costcategory[Account Code],costcategory[Cost Category],"ERROR")</f>
        <v>Headcount Costs</v>
      </c>
      <c r="K404" s="89" t="str">
        <f t="shared" si="6"/>
        <v>Sales &amp; Pre-Sales</v>
      </c>
      <c r="L404" s="89" t="str">
        <f>_xlfn.XLOOKUP(K404,Table2[Department],Table2[Group],"ERROR")</f>
        <v>Sales &amp; Marketing</v>
      </c>
    </row>
    <row r="405" spans="1:12" x14ac:dyDescent="0.2">
      <c r="A405" t="s">
        <v>2</v>
      </c>
      <c r="B405" s="38">
        <v>46142</v>
      </c>
      <c r="C405" s="38">
        <v>46157</v>
      </c>
      <c r="D405" t="s">
        <v>1131</v>
      </c>
      <c r="E405" t="s">
        <v>82</v>
      </c>
      <c r="F405" s="37">
        <v>11.9</v>
      </c>
      <c r="G405" s="39" cm="1">
        <f t="array" ref="G405">F405*_xlfn.XLOOKUP(1,
 (FOREX!$E$2:$E$13=EOMONTH(B405,0))*
 (FOREX!$F$2:$F$13=TRIM(E405)),FOREX!$G$2:$G$13,
 100)</f>
        <v>2.9974073271572204</v>
      </c>
      <c r="H405" t="s">
        <v>1503</v>
      </c>
      <c r="I405" t="s">
        <v>387</v>
      </c>
      <c r="J405" s="35" t="str">
        <f>_xlfn.XLOOKUP(I405,costcategory[Account Code],costcategory[Cost Category],"ERROR")</f>
        <v>Headcount Costs</v>
      </c>
      <c r="K405" s="89" t="str">
        <f t="shared" si="6"/>
        <v>HR</v>
      </c>
      <c r="L405" s="89" t="str">
        <f>_xlfn.XLOOKUP(K405,Table2[Department],Table2[Group],"ERROR")</f>
        <v>General &amp; Administrative</v>
      </c>
    </row>
    <row r="406" spans="1:12" x14ac:dyDescent="0.2">
      <c r="A406" t="s">
        <v>2</v>
      </c>
      <c r="B406" s="38">
        <v>46142</v>
      </c>
      <c r="C406" s="38">
        <v>46157</v>
      </c>
      <c r="D406" t="s">
        <v>1133</v>
      </c>
      <c r="E406" t="s">
        <v>82</v>
      </c>
      <c r="F406" s="37">
        <v>11.9</v>
      </c>
      <c r="G406" s="39" cm="1">
        <f t="array" ref="G406">F406*_xlfn.XLOOKUP(1,
 (FOREX!$E$2:$E$13=EOMONTH(B406,0))*
 (FOREX!$F$2:$F$13=TRIM(E406)),FOREX!$G$2:$G$13,
 100)</f>
        <v>2.9974073271572204</v>
      </c>
      <c r="H406" t="s">
        <v>1503</v>
      </c>
      <c r="I406" t="s">
        <v>387</v>
      </c>
      <c r="J406" s="35" t="str">
        <f>_xlfn.XLOOKUP(I406,costcategory[Account Code],costcategory[Cost Category],"ERROR")</f>
        <v>Headcount Costs</v>
      </c>
      <c r="K406" s="89" t="str">
        <f t="shared" si="6"/>
        <v>Finance</v>
      </c>
      <c r="L406" s="89" t="str">
        <f>_xlfn.XLOOKUP(K406,Table2[Department],Table2[Group],"ERROR")</f>
        <v>General &amp; Administrative</v>
      </c>
    </row>
    <row r="407" spans="1:12" x14ac:dyDescent="0.2">
      <c r="A407" t="s">
        <v>2</v>
      </c>
      <c r="B407" s="38">
        <v>46142</v>
      </c>
      <c r="C407" s="38">
        <v>46157</v>
      </c>
      <c r="D407" t="s">
        <v>1134</v>
      </c>
      <c r="E407" t="s">
        <v>82</v>
      </c>
      <c r="F407" s="37">
        <v>11.9</v>
      </c>
      <c r="G407" s="39" cm="1">
        <f t="array" ref="G407">F407*_xlfn.XLOOKUP(1,
 (FOREX!$E$2:$E$13=EOMONTH(B407,0))*
 (FOREX!$F$2:$F$13=TRIM(E407)),FOREX!$G$2:$G$13,
 100)</f>
        <v>2.9974073271572204</v>
      </c>
      <c r="H407" t="s">
        <v>1503</v>
      </c>
      <c r="I407" t="s">
        <v>387</v>
      </c>
      <c r="J407" s="35" t="str">
        <f>_xlfn.XLOOKUP(I407,costcategory[Account Code],costcategory[Cost Category],"ERROR")</f>
        <v>Headcount Costs</v>
      </c>
      <c r="K407" s="89" t="str">
        <f t="shared" si="6"/>
        <v>DSC</v>
      </c>
      <c r="L407" s="89" t="str">
        <f>_xlfn.XLOOKUP(K407,Table2[Department],Table2[Group],"ERROR")</f>
        <v>DSC</v>
      </c>
    </row>
    <row r="408" spans="1:12" x14ac:dyDescent="0.2">
      <c r="A408" t="s">
        <v>2</v>
      </c>
      <c r="B408" s="38">
        <v>46142</v>
      </c>
      <c r="C408" s="38">
        <v>46157</v>
      </c>
      <c r="D408" t="s">
        <v>1136</v>
      </c>
      <c r="E408" t="s">
        <v>82</v>
      </c>
      <c r="F408" s="37">
        <v>11.9</v>
      </c>
      <c r="G408" s="39" cm="1">
        <f t="array" ref="G408">F408*_xlfn.XLOOKUP(1,
 (FOREX!$E$2:$E$13=EOMONTH(B408,0))*
 (FOREX!$F$2:$F$13=TRIM(E408)),FOREX!$G$2:$G$13,
 100)</f>
        <v>2.9974073271572204</v>
      </c>
      <c r="H408" t="s">
        <v>1503</v>
      </c>
      <c r="I408" t="s">
        <v>387</v>
      </c>
      <c r="J408" s="35" t="str">
        <f>_xlfn.XLOOKUP(I408,costcategory[Account Code],costcategory[Cost Category],"ERROR")</f>
        <v>Headcount Costs</v>
      </c>
      <c r="K408" s="89" t="str">
        <f t="shared" ref="K408:K471" si="7">_xlfn.XLOOKUP(D408,$AL$2:$AL$25,$AM$2:$AM$25,"ERROR")</f>
        <v>DSC</v>
      </c>
      <c r="L408" s="89" t="str">
        <f>_xlfn.XLOOKUP(K408,Table2[Department],Table2[Group],"ERROR")</f>
        <v>DSC</v>
      </c>
    </row>
    <row r="409" spans="1:12" x14ac:dyDescent="0.2">
      <c r="A409" t="s">
        <v>2</v>
      </c>
      <c r="B409" s="38">
        <v>46142</v>
      </c>
      <c r="C409" s="38">
        <v>46157</v>
      </c>
      <c r="D409" t="s">
        <v>1137</v>
      </c>
      <c r="E409" t="s">
        <v>82</v>
      </c>
      <c r="F409" s="37">
        <v>11.5</v>
      </c>
      <c r="G409" s="39" cm="1">
        <f t="array" ref="G409">F409*_xlfn.XLOOKUP(1,
 (FOREX!$E$2:$E$13=EOMONTH(B409,0))*
 (FOREX!$F$2:$F$13=TRIM(E409)),FOREX!$G$2:$G$13,
 100)</f>
        <v>2.8966541396897507</v>
      </c>
      <c r="H409" t="s">
        <v>1503</v>
      </c>
      <c r="I409" t="s">
        <v>387</v>
      </c>
      <c r="J409" s="35" t="str">
        <f>_xlfn.XLOOKUP(I409,costcategory[Account Code],costcategory[Cost Category],"ERROR")</f>
        <v>Headcount Costs</v>
      </c>
      <c r="K409" s="89" t="str">
        <f t="shared" si="7"/>
        <v>DSC</v>
      </c>
      <c r="L409" s="89" t="str">
        <f>_xlfn.XLOOKUP(K409,Table2[Department],Table2[Group],"ERROR")</f>
        <v>DSC</v>
      </c>
    </row>
    <row r="410" spans="1:12" x14ac:dyDescent="0.2">
      <c r="A410" t="s">
        <v>2</v>
      </c>
      <c r="B410" s="38">
        <v>46142</v>
      </c>
      <c r="C410" s="38">
        <v>46157</v>
      </c>
      <c r="D410" t="s">
        <v>1139</v>
      </c>
      <c r="E410" t="s">
        <v>82</v>
      </c>
      <c r="F410" s="37">
        <v>0</v>
      </c>
      <c r="G410" s="39" cm="1">
        <f t="array" ref="G410">F410*_xlfn.XLOOKUP(1,
 (FOREX!$E$2:$E$13=EOMONTH(B410,0))*
 (FOREX!$F$2:$F$13=TRIM(E410)),FOREX!$G$2:$G$13,
 100)</f>
        <v>0</v>
      </c>
      <c r="H410" t="s">
        <v>1503</v>
      </c>
      <c r="I410" t="s">
        <v>387</v>
      </c>
      <c r="J410" s="35" t="str">
        <f>_xlfn.XLOOKUP(I410,costcategory[Account Code],costcategory[Cost Category],"ERROR")</f>
        <v>Headcount Costs</v>
      </c>
      <c r="K410" s="89" t="str">
        <f t="shared" si="7"/>
        <v>Business Operation</v>
      </c>
      <c r="L410" s="89" t="str">
        <f>_xlfn.XLOOKUP(K410,Table2[Department],Table2[Group],"ERROR")</f>
        <v>Sales &amp; Marketing</v>
      </c>
    </row>
    <row r="411" spans="1:12" x14ac:dyDescent="0.2">
      <c r="A411" t="s">
        <v>2</v>
      </c>
      <c r="B411" s="38">
        <v>46142</v>
      </c>
      <c r="C411" s="38">
        <v>46157</v>
      </c>
      <c r="D411" t="s">
        <v>1141</v>
      </c>
      <c r="E411" t="s">
        <v>82</v>
      </c>
      <c r="F411" s="37">
        <v>11.9</v>
      </c>
      <c r="G411" s="39" cm="1">
        <f t="array" ref="G411">F411*_xlfn.XLOOKUP(1,
 (FOREX!$E$2:$E$13=EOMONTH(B411,0))*
 (FOREX!$F$2:$F$13=TRIM(E411)),FOREX!$G$2:$G$13,
 100)</f>
        <v>2.9974073271572204</v>
      </c>
      <c r="H411" t="s">
        <v>1503</v>
      </c>
      <c r="I411" t="s">
        <v>387</v>
      </c>
      <c r="J411" s="35" t="str">
        <f>_xlfn.XLOOKUP(I411,costcategory[Account Code],costcategory[Cost Category],"ERROR")</f>
        <v>Headcount Costs</v>
      </c>
      <c r="K411" s="89" t="str">
        <f t="shared" si="7"/>
        <v>DSC</v>
      </c>
      <c r="L411" s="89" t="str">
        <f>_xlfn.XLOOKUP(K411,Table2[Department],Table2[Group],"ERROR")</f>
        <v>DSC</v>
      </c>
    </row>
    <row r="412" spans="1:12" x14ac:dyDescent="0.2">
      <c r="A412" t="s">
        <v>2</v>
      </c>
      <c r="B412" s="38">
        <v>46142</v>
      </c>
      <c r="C412" s="38">
        <v>46157</v>
      </c>
      <c r="D412" t="s">
        <v>1143</v>
      </c>
      <c r="E412" t="s">
        <v>82</v>
      </c>
      <c r="F412" s="37">
        <v>11.9</v>
      </c>
      <c r="G412" s="39" cm="1">
        <f t="array" ref="G412">F412*_xlfn.XLOOKUP(1,
 (FOREX!$E$2:$E$13=EOMONTH(B412,0))*
 (FOREX!$F$2:$F$13=TRIM(E412)),FOREX!$G$2:$G$13,
 100)</f>
        <v>2.9974073271572204</v>
      </c>
      <c r="H412" t="s">
        <v>1503</v>
      </c>
      <c r="I412" t="s">
        <v>387</v>
      </c>
      <c r="J412" s="35" t="str">
        <f>_xlfn.XLOOKUP(I412,costcategory[Account Code],costcategory[Cost Category],"ERROR")</f>
        <v>Headcount Costs</v>
      </c>
      <c r="K412" s="89" t="str">
        <f t="shared" si="7"/>
        <v>DSC</v>
      </c>
      <c r="L412" s="89" t="str">
        <f>_xlfn.XLOOKUP(K412,Table2[Department],Table2[Group],"ERROR")</f>
        <v>DSC</v>
      </c>
    </row>
    <row r="413" spans="1:12" x14ac:dyDescent="0.2">
      <c r="A413" t="s">
        <v>2</v>
      </c>
      <c r="B413" s="38">
        <v>46142</v>
      </c>
      <c r="C413" s="38">
        <v>46157</v>
      </c>
      <c r="D413" t="s">
        <v>1145</v>
      </c>
      <c r="E413" t="s">
        <v>82</v>
      </c>
      <c r="F413" s="37">
        <v>11.9</v>
      </c>
      <c r="G413" s="39" cm="1">
        <f t="array" ref="G413">F413*_xlfn.XLOOKUP(1,
 (FOREX!$E$2:$E$13=EOMONTH(B413,0))*
 (FOREX!$F$2:$F$13=TRIM(E413)),FOREX!$G$2:$G$13,
 100)</f>
        <v>2.9974073271572204</v>
      </c>
      <c r="H413" t="s">
        <v>1503</v>
      </c>
      <c r="I413" t="s">
        <v>387</v>
      </c>
      <c r="J413" s="35" t="str">
        <f>_xlfn.XLOOKUP(I413,costcategory[Account Code],costcategory[Cost Category],"ERROR")</f>
        <v>Headcount Costs</v>
      </c>
      <c r="K413" s="89" t="str">
        <f t="shared" si="7"/>
        <v>DSC</v>
      </c>
      <c r="L413" s="89" t="str">
        <f>_xlfn.XLOOKUP(K413,Table2[Department],Table2[Group],"ERROR")</f>
        <v>DSC</v>
      </c>
    </row>
    <row r="414" spans="1:12" x14ac:dyDescent="0.2">
      <c r="A414" t="s">
        <v>2</v>
      </c>
      <c r="B414" s="38">
        <v>46142</v>
      </c>
      <c r="C414" s="38">
        <v>46157</v>
      </c>
      <c r="D414" t="s">
        <v>1125</v>
      </c>
      <c r="E414" t="s">
        <v>82</v>
      </c>
      <c r="F414" s="37">
        <v>4812.5</v>
      </c>
      <c r="G414" s="39" cm="1">
        <f t="array" ref="G414">F414*_xlfn.XLOOKUP(1,
 (FOREX!$E$2:$E$13=EOMONTH(B414,0))*
 (FOREX!$F$2:$F$13=TRIM(E414)),FOREX!$G$2:$G$13,
 100)</f>
        <v>1212.1867867179935</v>
      </c>
      <c r="H414" t="s">
        <v>1504</v>
      </c>
      <c r="I414" t="s">
        <v>387</v>
      </c>
      <c r="J414" s="35" t="str">
        <f>_xlfn.XLOOKUP(I414,costcategory[Account Code],costcategory[Cost Category],"ERROR")</f>
        <v>Headcount Costs</v>
      </c>
      <c r="K414" s="89" t="str">
        <f t="shared" si="7"/>
        <v>Sales &amp; Pre-Sales</v>
      </c>
      <c r="L414" s="89" t="str">
        <f>_xlfn.XLOOKUP(K414,Table2[Department],Table2[Group],"ERROR")</f>
        <v>Sales &amp; Marketing</v>
      </c>
    </row>
    <row r="415" spans="1:12" x14ac:dyDescent="0.2">
      <c r="A415" t="s">
        <v>2</v>
      </c>
      <c r="B415" s="38">
        <v>46142</v>
      </c>
      <c r="C415" s="38">
        <v>46157</v>
      </c>
      <c r="D415" t="s">
        <v>1127</v>
      </c>
      <c r="E415" t="s">
        <v>82</v>
      </c>
      <c r="F415" s="37">
        <v>91.4</v>
      </c>
      <c r="G415" s="39" cm="1">
        <f t="array" ref="G415">F415*_xlfn.XLOOKUP(1,
 (FOREX!$E$2:$E$13=EOMONTH(B415,0))*
 (FOREX!$F$2:$F$13=TRIM(E415)),FOREX!$G$2:$G$13,
 100)</f>
        <v>23.022103336316803</v>
      </c>
      <c r="H415" t="s">
        <v>1504</v>
      </c>
      <c r="I415" t="s">
        <v>387</v>
      </c>
      <c r="J415" s="35" t="str">
        <f>_xlfn.XLOOKUP(I415,costcategory[Account Code],costcategory[Cost Category],"ERROR")</f>
        <v>Headcount Costs</v>
      </c>
      <c r="K415" s="89" t="str">
        <f t="shared" si="7"/>
        <v>DSC</v>
      </c>
      <c r="L415" s="89" t="str">
        <f>_xlfn.XLOOKUP(K415,Table2[Department],Table2[Group],"ERROR")</f>
        <v>DSC</v>
      </c>
    </row>
    <row r="416" spans="1:12" x14ac:dyDescent="0.2">
      <c r="A416" t="s">
        <v>2</v>
      </c>
      <c r="B416" s="38">
        <v>46142</v>
      </c>
      <c r="C416" s="38">
        <v>46157</v>
      </c>
      <c r="D416" t="s">
        <v>1129</v>
      </c>
      <c r="E416" t="s">
        <v>82</v>
      </c>
      <c r="F416" s="37">
        <v>109.75</v>
      </c>
      <c r="G416" s="39" cm="1">
        <f t="array" ref="G416">F416*_xlfn.XLOOKUP(1,
 (FOREX!$E$2:$E$13=EOMONTH(B416,0))*
 (FOREX!$F$2:$F$13=TRIM(E416)),FOREX!$G$2:$G$13,
 100)</f>
        <v>27.64415581138697</v>
      </c>
      <c r="H416" t="s">
        <v>1504</v>
      </c>
      <c r="I416" t="s">
        <v>387</v>
      </c>
      <c r="J416" s="35" t="str">
        <f>_xlfn.XLOOKUP(I416,costcategory[Account Code],costcategory[Cost Category],"ERROR")</f>
        <v>Headcount Costs</v>
      </c>
      <c r="K416" s="89" t="str">
        <f t="shared" si="7"/>
        <v>Sales &amp; Pre-Sales</v>
      </c>
      <c r="L416" s="89" t="str">
        <f>_xlfn.XLOOKUP(K416,Table2[Department],Table2[Group],"ERROR")</f>
        <v>Sales &amp; Marketing</v>
      </c>
    </row>
    <row r="417" spans="1:12" x14ac:dyDescent="0.2">
      <c r="A417" t="s">
        <v>2</v>
      </c>
      <c r="B417" s="38">
        <v>46142</v>
      </c>
      <c r="C417" s="38">
        <v>46157</v>
      </c>
      <c r="D417" t="s">
        <v>1131</v>
      </c>
      <c r="E417" t="s">
        <v>82</v>
      </c>
      <c r="F417" s="37">
        <v>1454.15</v>
      </c>
      <c r="G417" s="39" cm="1">
        <f t="array" ref="G417">F417*_xlfn.XLOOKUP(1,
 (FOREX!$E$2:$E$13=EOMONTH(B417,0))*
 (FOREX!$F$2:$F$13=TRIM(E417)),FOREX!$G$2:$G$13,
 100)</f>
        <v>366.27561888955233</v>
      </c>
      <c r="H417" t="s">
        <v>1504</v>
      </c>
      <c r="I417" t="s">
        <v>387</v>
      </c>
      <c r="J417" s="35" t="str">
        <f>_xlfn.XLOOKUP(I417,costcategory[Account Code],costcategory[Cost Category],"ERROR")</f>
        <v>Headcount Costs</v>
      </c>
      <c r="K417" s="89" t="str">
        <f t="shared" si="7"/>
        <v>HR</v>
      </c>
      <c r="L417" s="89" t="str">
        <f>_xlfn.XLOOKUP(K417,Table2[Department],Table2[Group],"ERROR")</f>
        <v>General &amp; Administrative</v>
      </c>
    </row>
    <row r="418" spans="1:12" x14ac:dyDescent="0.2">
      <c r="A418" t="s">
        <v>2</v>
      </c>
      <c r="B418" s="38">
        <v>46142</v>
      </c>
      <c r="C418" s="38">
        <v>46157</v>
      </c>
      <c r="D418" t="s">
        <v>1133</v>
      </c>
      <c r="E418" t="s">
        <v>82</v>
      </c>
      <c r="F418" s="37">
        <v>1688.15</v>
      </c>
      <c r="G418" s="39" cm="1">
        <f t="array" ref="G418">F418*_xlfn.XLOOKUP(1,
 (FOREX!$E$2:$E$13=EOMONTH(B418,0))*
 (FOREX!$F$2:$F$13=TRIM(E418)),FOREX!$G$2:$G$13,
 100)</f>
        <v>425.216233558022</v>
      </c>
      <c r="H418" t="s">
        <v>1504</v>
      </c>
      <c r="I418" t="s">
        <v>387</v>
      </c>
      <c r="J418" s="35" t="str">
        <f>_xlfn.XLOOKUP(I418,costcategory[Account Code],costcategory[Cost Category],"ERROR")</f>
        <v>Headcount Costs</v>
      </c>
      <c r="K418" s="89" t="str">
        <f t="shared" si="7"/>
        <v>Finance</v>
      </c>
      <c r="L418" s="89" t="str">
        <f>_xlfn.XLOOKUP(K418,Table2[Department],Table2[Group],"ERROR")</f>
        <v>General &amp; Administrative</v>
      </c>
    </row>
    <row r="419" spans="1:12" x14ac:dyDescent="0.2">
      <c r="A419" t="s">
        <v>2</v>
      </c>
      <c r="B419" s="38">
        <v>46142</v>
      </c>
      <c r="C419" s="38">
        <v>46157</v>
      </c>
      <c r="D419" t="s">
        <v>1134</v>
      </c>
      <c r="E419" t="s">
        <v>82</v>
      </c>
      <c r="F419" s="37">
        <v>5032.5</v>
      </c>
      <c r="G419" s="39" cm="1">
        <f t="array" ref="G419">F419*_xlfn.XLOOKUP(1,
 (FOREX!$E$2:$E$13=EOMONTH(B419,0))*
 (FOREX!$F$2:$F$13=TRIM(E419)),FOREX!$G$2:$G$13,
 100)</f>
        <v>1267.6010398251019</v>
      </c>
      <c r="H419" t="s">
        <v>1504</v>
      </c>
      <c r="I419" t="s">
        <v>387</v>
      </c>
      <c r="J419" s="35" t="str">
        <f>_xlfn.XLOOKUP(I419,costcategory[Account Code],costcategory[Cost Category],"ERROR")</f>
        <v>Headcount Costs</v>
      </c>
      <c r="K419" s="89" t="str">
        <f t="shared" si="7"/>
        <v>DSC</v>
      </c>
      <c r="L419" s="89" t="str">
        <f>_xlfn.XLOOKUP(K419,Table2[Department],Table2[Group],"ERROR")</f>
        <v>DSC</v>
      </c>
    </row>
    <row r="420" spans="1:12" x14ac:dyDescent="0.2">
      <c r="A420" t="s">
        <v>2</v>
      </c>
      <c r="B420" s="38">
        <v>46142</v>
      </c>
      <c r="C420" s="38">
        <v>46157</v>
      </c>
      <c r="D420" t="s">
        <v>1136</v>
      </c>
      <c r="E420" t="s">
        <v>82</v>
      </c>
      <c r="F420" s="37">
        <v>2811.25</v>
      </c>
      <c r="G420" s="39" cm="1">
        <f t="array" ref="G420">F420*_xlfn.XLOOKUP(1,
 (FOREX!$E$2:$E$13=EOMONTH(B420,0))*
 (FOREX!$F$2:$F$13=TRIM(E420)),FOREX!$G$2:$G$13,
 100)</f>
        <v>708.10599566980977</v>
      </c>
      <c r="H420" t="s">
        <v>1504</v>
      </c>
      <c r="I420" t="s">
        <v>387</v>
      </c>
      <c r="J420" s="35" t="str">
        <f>_xlfn.XLOOKUP(I420,costcategory[Account Code],costcategory[Cost Category],"ERROR")</f>
        <v>Headcount Costs</v>
      </c>
      <c r="K420" s="89" t="str">
        <f t="shared" si="7"/>
        <v>DSC</v>
      </c>
      <c r="L420" s="89" t="str">
        <f>_xlfn.XLOOKUP(K420,Table2[Department],Table2[Group],"ERROR")</f>
        <v>DSC</v>
      </c>
    </row>
    <row r="421" spans="1:12" x14ac:dyDescent="0.2">
      <c r="A421" t="s">
        <v>2</v>
      </c>
      <c r="B421" s="38">
        <v>46142</v>
      </c>
      <c r="C421" s="38">
        <v>46157</v>
      </c>
      <c r="D421" t="s">
        <v>1137</v>
      </c>
      <c r="E421" t="s">
        <v>82</v>
      </c>
      <c r="F421" s="37">
        <v>181.65</v>
      </c>
      <c r="G421" s="39" cm="1">
        <f t="array" ref="G421">F421*_xlfn.XLOOKUP(1,
 (FOREX!$E$2:$E$13=EOMONTH(B421,0))*
 (FOREX!$F$2:$F$13=TRIM(E421)),FOREX!$G$2:$G$13,
 100)</f>
        <v>45.754541258664631</v>
      </c>
      <c r="H421" t="s">
        <v>1504</v>
      </c>
      <c r="I421" t="s">
        <v>387</v>
      </c>
      <c r="J421" s="35" t="str">
        <f>_xlfn.XLOOKUP(I421,costcategory[Account Code],costcategory[Cost Category],"ERROR")</f>
        <v>Headcount Costs</v>
      </c>
      <c r="K421" s="89" t="str">
        <f t="shared" si="7"/>
        <v>DSC</v>
      </c>
      <c r="L421" s="89" t="str">
        <f>_xlfn.XLOOKUP(K421,Table2[Department],Table2[Group],"ERROR")</f>
        <v>DSC</v>
      </c>
    </row>
    <row r="422" spans="1:12" x14ac:dyDescent="0.2">
      <c r="A422" t="s">
        <v>2</v>
      </c>
      <c r="B422" s="38">
        <v>46142</v>
      </c>
      <c r="C422" s="38">
        <v>46157</v>
      </c>
      <c r="D422" t="s">
        <v>1139</v>
      </c>
      <c r="E422" t="s">
        <v>82</v>
      </c>
      <c r="F422" s="37">
        <v>3304.15</v>
      </c>
      <c r="G422" s="39" cm="1">
        <f t="array" ref="G422">F422*_xlfn.XLOOKUP(1,
 (FOREX!$E$2:$E$13=EOMONTH(B422,0))*
 (FOREX!$F$2:$F$13=TRIM(E422)),FOREX!$G$2:$G$13,
 100)</f>
        <v>832.25911092659919</v>
      </c>
      <c r="H422" t="s">
        <v>1504</v>
      </c>
      <c r="I422" t="s">
        <v>387</v>
      </c>
      <c r="J422" s="35" t="str">
        <f>_xlfn.XLOOKUP(I422,costcategory[Account Code],costcategory[Cost Category],"ERROR")</f>
        <v>Headcount Costs</v>
      </c>
      <c r="K422" s="89" t="str">
        <f t="shared" si="7"/>
        <v>Business Operation</v>
      </c>
      <c r="L422" s="89" t="str">
        <f>_xlfn.XLOOKUP(K422,Table2[Department],Table2[Group],"ERROR")</f>
        <v>Sales &amp; Marketing</v>
      </c>
    </row>
    <row r="423" spans="1:12" x14ac:dyDescent="0.2">
      <c r="A423" t="s">
        <v>2</v>
      </c>
      <c r="B423" s="38">
        <v>46142</v>
      </c>
      <c r="C423" s="38">
        <v>46157</v>
      </c>
      <c r="D423" t="s">
        <v>1141</v>
      </c>
      <c r="E423" t="s">
        <v>82</v>
      </c>
      <c r="F423" s="37">
        <v>6490</v>
      </c>
      <c r="G423" s="39" cm="1">
        <f t="array" ref="G423">F423*_xlfn.XLOOKUP(1,
 (FOREX!$E$2:$E$13=EOMONTH(B423,0))*
 (FOREX!$F$2:$F$13=TRIM(E423)),FOREX!$G$2:$G$13,
 100)</f>
        <v>1634.7204666596942</v>
      </c>
      <c r="H423" t="s">
        <v>1504</v>
      </c>
      <c r="I423" t="s">
        <v>387</v>
      </c>
      <c r="J423" s="35" t="str">
        <f>_xlfn.XLOOKUP(I423,costcategory[Account Code],costcategory[Cost Category],"ERROR")</f>
        <v>Headcount Costs</v>
      </c>
      <c r="K423" s="89" t="str">
        <f t="shared" si="7"/>
        <v>DSC</v>
      </c>
      <c r="L423" s="89" t="str">
        <f>_xlfn.XLOOKUP(K423,Table2[Department],Table2[Group],"ERROR")</f>
        <v>DSC</v>
      </c>
    </row>
    <row r="424" spans="1:12" x14ac:dyDescent="0.2">
      <c r="A424" t="s">
        <v>2</v>
      </c>
      <c r="B424" s="38">
        <v>46142</v>
      </c>
      <c r="C424" s="38">
        <v>46157</v>
      </c>
      <c r="D424" t="s">
        <v>1143</v>
      </c>
      <c r="E424" t="s">
        <v>82</v>
      </c>
      <c r="F424" s="37">
        <v>343.15</v>
      </c>
      <c r="G424" s="39" cm="1">
        <f t="array" ref="G424">F424*_xlfn.XLOOKUP(1,
 (FOREX!$E$2:$E$13=EOMONTH(B424,0))*
 (FOREX!$F$2:$F$13=TRIM(E424)),FOREX!$G$2:$G$13,
 100)</f>
        <v>86.433640698655481</v>
      </c>
      <c r="H424" t="s">
        <v>1504</v>
      </c>
      <c r="I424" t="s">
        <v>387</v>
      </c>
      <c r="J424" s="35" t="str">
        <f>_xlfn.XLOOKUP(I424,costcategory[Account Code],costcategory[Cost Category],"ERROR")</f>
        <v>Headcount Costs</v>
      </c>
      <c r="K424" s="89" t="str">
        <f t="shared" si="7"/>
        <v>DSC</v>
      </c>
      <c r="L424" s="89" t="str">
        <f>_xlfn.XLOOKUP(K424,Table2[Department],Table2[Group],"ERROR")</f>
        <v>DSC</v>
      </c>
    </row>
    <row r="425" spans="1:12" x14ac:dyDescent="0.2">
      <c r="A425" t="s">
        <v>2</v>
      </c>
      <c r="B425" s="38">
        <v>46142</v>
      </c>
      <c r="C425" s="38">
        <v>46157</v>
      </c>
      <c r="D425" t="s">
        <v>1145</v>
      </c>
      <c r="E425" t="s">
        <v>82</v>
      </c>
      <c r="F425" s="37">
        <v>218.5</v>
      </c>
      <c r="G425" s="39" cm="1">
        <f t="array" ref="G425">F425*_xlfn.XLOOKUP(1,
 (FOREX!$E$2:$E$13=EOMONTH(B425,0))*
 (FOREX!$F$2:$F$13=TRIM(E425)),FOREX!$G$2:$G$13,
 100)</f>
        <v>55.036428654105265</v>
      </c>
      <c r="H425" t="s">
        <v>1504</v>
      </c>
      <c r="I425" t="s">
        <v>387</v>
      </c>
      <c r="J425" s="35" t="str">
        <f>_xlfn.XLOOKUP(I425,costcategory[Account Code],costcategory[Cost Category],"ERROR")</f>
        <v>Headcount Costs</v>
      </c>
      <c r="K425" s="89" t="str">
        <f t="shared" si="7"/>
        <v>DSC</v>
      </c>
      <c r="L425" s="89" t="str">
        <f>_xlfn.XLOOKUP(K425,Table2[Department],Table2[Group],"ERROR")</f>
        <v>DSC</v>
      </c>
    </row>
    <row r="426" spans="1:12" x14ac:dyDescent="0.2">
      <c r="A426" t="s">
        <v>2</v>
      </c>
      <c r="B426" s="38">
        <v>46142</v>
      </c>
      <c r="C426" s="38">
        <v>46157</v>
      </c>
      <c r="D426" t="s">
        <v>1125</v>
      </c>
      <c r="E426" t="s">
        <v>82</v>
      </c>
      <c r="F426" s="37">
        <v>3341</v>
      </c>
      <c r="G426" s="39" cm="1">
        <f t="array" ref="G426">F426*_xlfn.XLOOKUP(1,
 (FOREX!$E$2:$E$13=EOMONTH(B426,0))*
 (FOREX!$F$2:$F$13=TRIM(E426)),FOREX!$G$2:$G$13,
 100)</f>
        <v>841.54099832203985</v>
      </c>
      <c r="H426" t="s">
        <v>1505</v>
      </c>
      <c r="I426" t="s">
        <v>364</v>
      </c>
      <c r="J426" s="35" t="str">
        <f>_xlfn.XLOOKUP(I426,costcategory[Account Code],costcategory[Cost Category],"ERROR")</f>
        <v>Headcount Costs</v>
      </c>
      <c r="K426" s="89" t="str">
        <f t="shared" si="7"/>
        <v>Sales &amp; Pre-Sales</v>
      </c>
      <c r="L426" s="89" t="str">
        <f>_xlfn.XLOOKUP(K426,Table2[Department],Table2[Group],"ERROR")</f>
        <v>Sales &amp; Marketing</v>
      </c>
    </row>
    <row r="427" spans="1:12" x14ac:dyDescent="0.2">
      <c r="A427" t="s">
        <v>2</v>
      </c>
      <c r="B427" s="38">
        <v>46142</v>
      </c>
      <c r="C427" s="38">
        <v>46157</v>
      </c>
      <c r="D427" t="s">
        <v>1127</v>
      </c>
      <c r="E427" t="s">
        <v>82</v>
      </c>
      <c r="F427" s="37">
        <v>611</v>
      </c>
      <c r="G427" s="39" cm="1">
        <f t="array" ref="G427">F427*_xlfn.XLOOKUP(1,
 (FOREX!$E$2:$E$13=EOMONTH(B427,0))*
 (FOREX!$F$2:$F$13=TRIM(E427)),FOREX!$G$2:$G$13,
 100)</f>
        <v>153.90049385655982</v>
      </c>
      <c r="H427" t="s">
        <v>1505</v>
      </c>
      <c r="I427" t="s">
        <v>364</v>
      </c>
      <c r="J427" s="35" t="str">
        <f>_xlfn.XLOOKUP(I427,costcategory[Account Code],costcategory[Cost Category],"ERROR")</f>
        <v>Headcount Costs</v>
      </c>
      <c r="K427" s="89" t="str">
        <f t="shared" si="7"/>
        <v>DSC</v>
      </c>
      <c r="L427" s="89" t="str">
        <f>_xlfn.XLOOKUP(K427,Table2[Department],Table2[Group],"ERROR")</f>
        <v>DSC</v>
      </c>
    </row>
    <row r="428" spans="1:12" x14ac:dyDescent="0.2">
      <c r="A428" t="s">
        <v>2</v>
      </c>
      <c r="B428" s="38">
        <v>46142</v>
      </c>
      <c r="C428" s="38">
        <v>46157</v>
      </c>
      <c r="D428" t="s">
        <v>1129</v>
      </c>
      <c r="E428" t="s">
        <v>82</v>
      </c>
      <c r="F428" s="37">
        <v>650</v>
      </c>
      <c r="G428" s="39" cm="1">
        <f t="array" ref="G428">F428*_xlfn.XLOOKUP(1,
 (FOREX!$E$2:$E$13=EOMONTH(B428,0))*
 (FOREX!$F$2:$F$13=TRIM(E428)),FOREX!$G$2:$G$13,
 100)</f>
        <v>163.7239296346381</v>
      </c>
      <c r="H428" t="s">
        <v>1505</v>
      </c>
      <c r="I428" t="s">
        <v>364</v>
      </c>
      <c r="J428" s="35" t="str">
        <f>_xlfn.XLOOKUP(I428,costcategory[Account Code],costcategory[Cost Category],"ERROR")</f>
        <v>Headcount Costs</v>
      </c>
      <c r="K428" s="89" t="str">
        <f t="shared" si="7"/>
        <v>Sales &amp; Pre-Sales</v>
      </c>
      <c r="L428" s="89" t="str">
        <f>_xlfn.XLOOKUP(K428,Table2[Department],Table2[Group],"ERROR")</f>
        <v>Sales &amp; Marketing</v>
      </c>
    </row>
    <row r="429" spans="1:12" x14ac:dyDescent="0.2">
      <c r="A429" t="s">
        <v>2</v>
      </c>
      <c r="B429" s="38">
        <v>46142</v>
      </c>
      <c r="C429" s="38">
        <v>46157</v>
      </c>
      <c r="D429" t="s">
        <v>1131</v>
      </c>
      <c r="E429" t="s">
        <v>82</v>
      </c>
      <c r="F429" s="37">
        <v>1573</v>
      </c>
      <c r="G429" s="39" cm="1">
        <f t="array" ref="G429">F429*_xlfn.XLOOKUP(1,
 (FOREX!$E$2:$E$13=EOMONTH(B429,0))*
 (FOREX!$F$2:$F$13=TRIM(E429)),FOREX!$G$2:$G$13,
 100)</f>
        <v>396.21190971582416</v>
      </c>
      <c r="H429" t="s">
        <v>1505</v>
      </c>
      <c r="I429" t="s">
        <v>364</v>
      </c>
      <c r="J429" s="35" t="str">
        <f>_xlfn.XLOOKUP(I429,costcategory[Account Code],costcategory[Cost Category],"ERROR")</f>
        <v>Headcount Costs</v>
      </c>
      <c r="K429" s="89" t="str">
        <f t="shared" si="7"/>
        <v>HR</v>
      </c>
      <c r="L429" s="89" t="str">
        <f>_xlfn.XLOOKUP(K429,Table2[Department],Table2[Group],"ERROR")</f>
        <v>General &amp; Administrative</v>
      </c>
    </row>
    <row r="430" spans="1:12" x14ac:dyDescent="0.2">
      <c r="A430" t="s">
        <v>2</v>
      </c>
      <c r="B430" s="38">
        <v>46142</v>
      </c>
      <c r="C430" s="38">
        <v>46157</v>
      </c>
      <c r="D430" t="s">
        <v>1133</v>
      </c>
      <c r="E430" t="s">
        <v>82</v>
      </c>
      <c r="F430" s="37">
        <v>1695</v>
      </c>
      <c r="G430" s="39" cm="1">
        <f t="array" ref="G430">F430*_xlfn.XLOOKUP(1,
 (FOREX!$E$2:$E$13=EOMONTH(B430,0))*
 (FOREX!$F$2:$F$13=TRIM(E430)),FOREX!$G$2:$G$13,
 100)</f>
        <v>426.94163189340242</v>
      </c>
      <c r="H430" t="s">
        <v>1505</v>
      </c>
      <c r="I430" t="s">
        <v>364</v>
      </c>
      <c r="J430" s="35" t="str">
        <f>_xlfn.XLOOKUP(I430,costcategory[Account Code],costcategory[Cost Category],"ERROR")</f>
        <v>Headcount Costs</v>
      </c>
      <c r="K430" s="89" t="str">
        <f t="shared" si="7"/>
        <v>Finance</v>
      </c>
      <c r="L430" s="89" t="str">
        <f>_xlfn.XLOOKUP(K430,Table2[Department],Table2[Group],"ERROR")</f>
        <v>General &amp; Administrative</v>
      </c>
    </row>
    <row r="431" spans="1:12" x14ac:dyDescent="0.2">
      <c r="A431" t="s">
        <v>2</v>
      </c>
      <c r="B431" s="38">
        <v>46142</v>
      </c>
      <c r="C431" s="38">
        <v>46157</v>
      </c>
      <c r="D431" t="s">
        <v>1134</v>
      </c>
      <c r="E431" t="s">
        <v>82</v>
      </c>
      <c r="F431" s="37">
        <v>3456</v>
      </c>
      <c r="G431" s="39" cm="1">
        <f t="array" ref="G431">F431*_xlfn.XLOOKUP(1,
 (FOREX!$E$2:$E$13=EOMONTH(B431,0))*
 (FOREX!$F$2:$F$13=TRIM(E431)),FOREX!$G$2:$G$13,
 100)</f>
        <v>870.50753971893732</v>
      </c>
      <c r="H431" t="s">
        <v>1505</v>
      </c>
      <c r="I431" t="s">
        <v>364</v>
      </c>
      <c r="J431" s="35" t="str">
        <f>_xlfn.XLOOKUP(I431,costcategory[Account Code],costcategory[Cost Category],"ERROR")</f>
        <v>Headcount Costs</v>
      </c>
      <c r="K431" s="89" t="str">
        <f t="shared" si="7"/>
        <v>DSC</v>
      </c>
      <c r="L431" s="89" t="str">
        <f>_xlfn.XLOOKUP(K431,Table2[Department],Table2[Group],"ERROR")</f>
        <v>DSC</v>
      </c>
    </row>
    <row r="432" spans="1:12" x14ac:dyDescent="0.2">
      <c r="A432" t="s">
        <v>2</v>
      </c>
      <c r="B432" s="38">
        <v>46142</v>
      </c>
      <c r="C432" s="38">
        <v>46157</v>
      </c>
      <c r="D432" t="s">
        <v>1136</v>
      </c>
      <c r="E432" t="s">
        <v>82</v>
      </c>
      <c r="F432" s="37">
        <v>2301</v>
      </c>
      <c r="G432" s="39" cm="1">
        <f t="array" ref="G432">F432*_xlfn.XLOOKUP(1,
 (FOREX!$E$2:$E$13=EOMONTH(B432,0))*
 (FOREX!$F$2:$F$13=TRIM(E432)),FOREX!$G$2:$G$13,
 100)</f>
        <v>579.5827109066189</v>
      </c>
      <c r="H432" t="s">
        <v>1505</v>
      </c>
      <c r="I432" t="s">
        <v>364</v>
      </c>
      <c r="J432" s="35" t="str">
        <f>_xlfn.XLOOKUP(I432,costcategory[Account Code],costcategory[Cost Category],"ERROR")</f>
        <v>Headcount Costs</v>
      </c>
      <c r="K432" s="89" t="str">
        <f t="shared" si="7"/>
        <v>DSC</v>
      </c>
      <c r="L432" s="89" t="str">
        <f>_xlfn.XLOOKUP(K432,Table2[Department],Table2[Group],"ERROR")</f>
        <v>DSC</v>
      </c>
    </row>
    <row r="433" spans="1:12" x14ac:dyDescent="0.2">
      <c r="A433" t="s">
        <v>2</v>
      </c>
      <c r="B433" s="38">
        <v>46142</v>
      </c>
      <c r="C433" s="38">
        <v>46157</v>
      </c>
      <c r="D433" t="s">
        <v>1137</v>
      </c>
      <c r="E433" t="s">
        <v>82</v>
      </c>
      <c r="F433" s="37">
        <v>750</v>
      </c>
      <c r="G433" s="39" cm="1">
        <f t="array" ref="G433">F433*_xlfn.XLOOKUP(1,
 (FOREX!$E$2:$E$13=EOMONTH(B433,0))*
 (FOREX!$F$2:$F$13=TRIM(E433)),FOREX!$G$2:$G$13,
 100)</f>
        <v>188.9122265015055</v>
      </c>
      <c r="H433" t="s">
        <v>1505</v>
      </c>
      <c r="I433" t="s">
        <v>364</v>
      </c>
      <c r="J433" s="35" t="str">
        <f>_xlfn.XLOOKUP(I433,costcategory[Account Code],costcategory[Cost Category],"ERROR")</f>
        <v>Headcount Costs</v>
      </c>
      <c r="K433" s="89" t="str">
        <f t="shared" si="7"/>
        <v>DSC</v>
      </c>
      <c r="L433" s="89" t="str">
        <f>_xlfn.XLOOKUP(K433,Table2[Department],Table2[Group],"ERROR")</f>
        <v>DSC</v>
      </c>
    </row>
    <row r="434" spans="1:12" x14ac:dyDescent="0.2">
      <c r="A434" t="s">
        <v>2</v>
      </c>
      <c r="B434" s="38">
        <v>46142</v>
      </c>
      <c r="C434" s="38">
        <v>46157</v>
      </c>
      <c r="D434" t="s">
        <v>1139</v>
      </c>
      <c r="E434" t="s">
        <v>82</v>
      </c>
      <c r="F434" s="37">
        <v>390</v>
      </c>
      <c r="G434" s="39" cm="1">
        <f t="array" ref="G434">F434*_xlfn.XLOOKUP(1,
 (FOREX!$E$2:$E$13=EOMONTH(B434,0))*
 (FOREX!$F$2:$F$13=TRIM(E434)),FOREX!$G$2:$G$13,
 100)</f>
        <v>98.234357780782858</v>
      </c>
      <c r="H434" t="s">
        <v>1505</v>
      </c>
      <c r="I434" t="s">
        <v>364</v>
      </c>
      <c r="J434" s="35" t="str">
        <f>_xlfn.XLOOKUP(I434,costcategory[Account Code],costcategory[Cost Category],"ERROR")</f>
        <v>Headcount Costs</v>
      </c>
      <c r="K434" s="89" t="str">
        <f t="shared" si="7"/>
        <v>Business Operation</v>
      </c>
      <c r="L434" s="89" t="str">
        <f>_xlfn.XLOOKUP(K434,Table2[Department],Table2[Group],"ERROR")</f>
        <v>Sales &amp; Marketing</v>
      </c>
    </row>
    <row r="435" spans="1:12" x14ac:dyDescent="0.2">
      <c r="A435" t="s">
        <v>2</v>
      </c>
      <c r="B435" s="38">
        <v>46142</v>
      </c>
      <c r="C435" s="38">
        <v>46157</v>
      </c>
      <c r="D435" t="s">
        <v>1141</v>
      </c>
      <c r="E435" t="s">
        <v>82</v>
      </c>
      <c r="F435" s="37">
        <v>4279</v>
      </c>
      <c r="G435" s="39" cm="1">
        <f t="array" ref="G435">F435*_xlfn.XLOOKUP(1,
 (FOREX!$E$2:$E$13=EOMONTH(B435,0))*
 (FOREX!$F$2:$F$13=TRIM(E435)),FOREX!$G$2:$G$13,
 100)</f>
        <v>1077.8072229332561</v>
      </c>
      <c r="H435" t="s">
        <v>1505</v>
      </c>
      <c r="I435" t="s">
        <v>364</v>
      </c>
      <c r="J435" s="35" t="str">
        <f>_xlfn.XLOOKUP(I435,costcategory[Account Code],costcategory[Cost Category],"ERROR")</f>
        <v>Headcount Costs</v>
      </c>
      <c r="K435" s="89" t="str">
        <f t="shared" si="7"/>
        <v>DSC</v>
      </c>
      <c r="L435" s="89" t="str">
        <f>_xlfn.XLOOKUP(K435,Table2[Department],Table2[Group],"ERROR")</f>
        <v>DSC</v>
      </c>
    </row>
    <row r="436" spans="1:12" x14ac:dyDescent="0.2">
      <c r="A436" t="s">
        <v>2</v>
      </c>
      <c r="B436" s="38">
        <v>46142</v>
      </c>
      <c r="C436" s="38">
        <v>46157</v>
      </c>
      <c r="D436" t="s">
        <v>1143</v>
      </c>
      <c r="E436" t="s">
        <v>82</v>
      </c>
      <c r="F436" s="37">
        <v>923</v>
      </c>
      <c r="G436" s="39" cm="1">
        <f t="array" ref="G436">F436*_xlfn.XLOOKUP(1,
 (FOREX!$E$2:$E$13=EOMONTH(B436,0))*
 (FOREX!$F$2:$F$13=TRIM(E436)),FOREX!$G$2:$G$13,
 100)</f>
        <v>232.48798008118609</v>
      </c>
      <c r="H436" t="s">
        <v>1505</v>
      </c>
      <c r="I436" t="s">
        <v>364</v>
      </c>
      <c r="J436" s="35" t="str">
        <f>_xlfn.XLOOKUP(I436,costcategory[Account Code],costcategory[Cost Category],"ERROR")</f>
        <v>Headcount Costs</v>
      </c>
      <c r="K436" s="89" t="str">
        <f t="shared" si="7"/>
        <v>DSC</v>
      </c>
      <c r="L436" s="89" t="str">
        <f>_xlfn.XLOOKUP(K436,Table2[Department],Table2[Group],"ERROR")</f>
        <v>DSC</v>
      </c>
    </row>
    <row r="437" spans="1:12" x14ac:dyDescent="0.2">
      <c r="A437" t="s">
        <v>2</v>
      </c>
      <c r="B437" s="38">
        <v>46142</v>
      </c>
      <c r="C437" s="38">
        <v>46157</v>
      </c>
      <c r="D437" t="s">
        <v>1145</v>
      </c>
      <c r="E437" t="s">
        <v>82</v>
      </c>
      <c r="F437" s="37">
        <v>793</v>
      </c>
      <c r="G437" s="39" cm="1">
        <f t="array" ref="G437">F437*_xlfn.XLOOKUP(1,
 (FOREX!$E$2:$E$13=EOMONTH(B437,0))*
 (FOREX!$F$2:$F$13=TRIM(E437)),FOREX!$G$2:$G$13,
 100)</f>
        <v>199.74319415425848</v>
      </c>
      <c r="H437" t="s">
        <v>1505</v>
      </c>
      <c r="I437" t="s">
        <v>364</v>
      </c>
      <c r="J437" s="35" t="str">
        <f>_xlfn.XLOOKUP(I437,costcategory[Account Code],costcategory[Cost Category],"ERROR")</f>
        <v>Headcount Costs</v>
      </c>
      <c r="K437" s="89" t="str">
        <f t="shared" si="7"/>
        <v>DSC</v>
      </c>
      <c r="L437" s="89" t="str">
        <f>_xlfn.XLOOKUP(K437,Table2[Department],Table2[Group],"ERROR")</f>
        <v>DSC</v>
      </c>
    </row>
    <row r="438" spans="1:12" x14ac:dyDescent="0.2">
      <c r="A438" t="s">
        <v>2</v>
      </c>
      <c r="B438" s="38">
        <v>46142</v>
      </c>
      <c r="C438" s="38">
        <v>46157</v>
      </c>
      <c r="D438" t="s">
        <v>1125</v>
      </c>
      <c r="E438" t="s">
        <v>82</v>
      </c>
      <c r="F438" s="37">
        <v>104.15</v>
      </c>
      <c r="G438" s="39" cm="1">
        <f t="array" ref="G438">F438*_xlfn.XLOOKUP(1,
 (FOREX!$E$2:$E$13=EOMONTH(B438,0))*
 (FOREX!$F$2:$F$13=TRIM(E438)),FOREX!$G$2:$G$13,
 100)</f>
        <v>26.233611186842399</v>
      </c>
      <c r="H438" t="s">
        <v>1506</v>
      </c>
      <c r="I438" t="s">
        <v>364</v>
      </c>
      <c r="J438" s="35" t="str">
        <f>_xlfn.XLOOKUP(I438,costcategory[Account Code],costcategory[Cost Category],"ERROR")</f>
        <v>Headcount Costs</v>
      </c>
      <c r="K438" s="89" t="str">
        <f t="shared" si="7"/>
        <v>Sales &amp; Pre-Sales</v>
      </c>
      <c r="L438" s="89" t="str">
        <f>_xlfn.XLOOKUP(K438,Table2[Department],Table2[Group],"ERROR")</f>
        <v>Sales &amp; Marketing</v>
      </c>
    </row>
    <row r="439" spans="1:12" x14ac:dyDescent="0.2">
      <c r="A439" t="s">
        <v>2</v>
      </c>
      <c r="B439" s="38">
        <v>46142</v>
      </c>
      <c r="C439" s="38">
        <v>46157</v>
      </c>
      <c r="D439" t="s">
        <v>1127</v>
      </c>
      <c r="E439" t="s">
        <v>82</v>
      </c>
      <c r="F439" s="37">
        <v>81.349999999999994</v>
      </c>
      <c r="G439" s="39" cm="1">
        <f t="array" ref="G439">F439*_xlfn.XLOOKUP(1,
 (FOREX!$E$2:$E$13=EOMONTH(B439,0))*
 (FOREX!$F$2:$F$13=TRIM(E439)),FOREX!$G$2:$G$13,
 100)</f>
        <v>20.490679501196627</v>
      </c>
      <c r="H439" t="s">
        <v>1506</v>
      </c>
      <c r="I439" t="s">
        <v>364</v>
      </c>
      <c r="J439" s="35" t="str">
        <f>_xlfn.XLOOKUP(I439,costcategory[Account Code],costcategory[Cost Category],"ERROR")</f>
        <v>Headcount Costs</v>
      </c>
      <c r="K439" s="89" t="str">
        <f t="shared" si="7"/>
        <v>DSC</v>
      </c>
      <c r="L439" s="89" t="str">
        <f>_xlfn.XLOOKUP(K439,Table2[Department],Table2[Group],"ERROR")</f>
        <v>DSC</v>
      </c>
    </row>
    <row r="440" spans="1:12" x14ac:dyDescent="0.2">
      <c r="A440" t="s">
        <v>2</v>
      </c>
      <c r="B440" s="38">
        <v>46142</v>
      </c>
      <c r="C440" s="38">
        <v>46157</v>
      </c>
      <c r="D440" t="s">
        <v>1129</v>
      </c>
      <c r="E440" t="s">
        <v>82</v>
      </c>
      <c r="F440" s="37">
        <v>86.65</v>
      </c>
      <c r="G440" s="39" cm="1">
        <f t="array" ref="G440">F440*_xlfn.XLOOKUP(1,
 (FOREX!$E$2:$E$13=EOMONTH(B440,0))*
 (FOREX!$F$2:$F$13=TRIM(E440)),FOREX!$G$2:$G$13,
 100)</f>
        <v>21.825659235140602</v>
      </c>
      <c r="H440" t="s">
        <v>1506</v>
      </c>
      <c r="I440" t="s">
        <v>364</v>
      </c>
      <c r="J440" s="35" t="str">
        <f>_xlfn.XLOOKUP(I440,costcategory[Account Code],costcategory[Cost Category],"ERROR")</f>
        <v>Headcount Costs</v>
      </c>
      <c r="K440" s="89" t="str">
        <f t="shared" si="7"/>
        <v>Sales &amp; Pre-Sales</v>
      </c>
      <c r="L440" s="89" t="str">
        <f>_xlfn.XLOOKUP(K440,Table2[Department],Table2[Group],"ERROR")</f>
        <v>Sales &amp; Marketing</v>
      </c>
    </row>
    <row r="441" spans="1:12" x14ac:dyDescent="0.2">
      <c r="A441" t="s">
        <v>2</v>
      </c>
      <c r="B441" s="38">
        <v>46142</v>
      </c>
      <c r="C441" s="38">
        <v>46157</v>
      </c>
      <c r="D441" t="s">
        <v>1131</v>
      </c>
      <c r="E441" t="s">
        <v>82</v>
      </c>
      <c r="F441" s="37">
        <v>104.15</v>
      </c>
      <c r="G441" s="39" cm="1">
        <f t="array" ref="G441">F441*_xlfn.XLOOKUP(1,
 (FOREX!$E$2:$E$13=EOMONTH(B441,0))*
 (FOREX!$F$2:$F$13=TRIM(E441)),FOREX!$G$2:$G$13,
 100)</f>
        <v>26.233611186842399</v>
      </c>
      <c r="H441" t="s">
        <v>1506</v>
      </c>
      <c r="I441" t="s">
        <v>364</v>
      </c>
      <c r="J441" s="35" t="str">
        <f>_xlfn.XLOOKUP(I441,costcategory[Account Code],costcategory[Cost Category],"ERROR")</f>
        <v>Headcount Costs</v>
      </c>
      <c r="K441" s="89" t="str">
        <f t="shared" si="7"/>
        <v>HR</v>
      </c>
      <c r="L441" s="89" t="str">
        <f>_xlfn.XLOOKUP(K441,Table2[Department],Table2[Group],"ERROR")</f>
        <v>General &amp; Administrative</v>
      </c>
    </row>
    <row r="442" spans="1:12" x14ac:dyDescent="0.2">
      <c r="A442" t="s">
        <v>2</v>
      </c>
      <c r="B442" s="38">
        <v>46142</v>
      </c>
      <c r="C442" s="38">
        <v>46157</v>
      </c>
      <c r="D442" t="s">
        <v>1133</v>
      </c>
      <c r="E442" t="s">
        <v>82</v>
      </c>
      <c r="F442" s="37">
        <v>104.15</v>
      </c>
      <c r="G442" s="39" cm="1">
        <f t="array" ref="G442">F442*_xlfn.XLOOKUP(1,
 (FOREX!$E$2:$E$13=EOMONTH(B442,0))*
 (FOREX!$F$2:$F$13=TRIM(E442)),FOREX!$G$2:$G$13,
 100)</f>
        <v>26.233611186842399</v>
      </c>
      <c r="H442" t="s">
        <v>1506</v>
      </c>
      <c r="I442" t="s">
        <v>364</v>
      </c>
      <c r="J442" s="35" t="str">
        <f>_xlfn.XLOOKUP(I442,costcategory[Account Code],costcategory[Cost Category],"ERROR")</f>
        <v>Headcount Costs</v>
      </c>
      <c r="K442" s="89" t="str">
        <f t="shared" si="7"/>
        <v>Finance</v>
      </c>
      <c r="L442" s="89" t="str">
        <f>_xlfn.XLOOKUP(K442,Table2[Department],Table2[Group],"ERROR")</f>
        <v>General &amp; Administrative</v>
      </c>
    </row>
    <row r="443" spans="1:12" x14ac:dyDescent="0.2">
      <c r="A443" t="s">
        <v>2</v>
      </c>
      <c r="B443" s="38">
        <v>46142</v>
      </c>
      <c r="C443" s="38">
        <v>46157</v>
      </c>
      <c r="D443" t="s">
        <v>1134</v>
      </c>
      <c r="E443" t="s">
        <v>82</v>
      </c>
      <c r="F443" s="37">
        <v>104.15</v>
      </c>
      <c r="G443" s="39" cm="1">
        <f t="array" ref="G443">F443*_xlfn.XLOOKUP(1,
 (FOREX!$E$2:$E$13=EOMONTH(B443,0))*
 (FOREX!$F$2:$F$13=TRIM(E443)),FOREX!$G$2:$G$13,
 100)</f>
        <v>26.233611186842399</v>
      </c>
      <c r="H443" t="s">
        <v>1506</v>
      </c>
      <c r="I443" t="s">
        <v>364</v>
      </c>
      <c r="J443" s="35" t="str">
        <f>_xlfn.XLOOKUP(I443,costcategory[Account Code],costcategory[Cost Category],"ERROR")</f>
        <v>Headcount Costs</v>
      </c>
      <c r="K443" s="89" t="str">
        <f t="shared" si="7"/>
        <v>DSC</v>
      </c>
      <c r="L443" s="89" t="str">
        <f>_xlfn.XLOOKUP(K443,Table2[Department],Table2[Group],"ERROR")</f>
        <v>DSC</v>
      </c>
    </row>
    <row r="444" spans="1:12" x14ac:dyDescent="0.2">
      <c r="A444" t="s">
        <v>2</v>
      </c>
      <c r="B444" s="38">
        <v>46142</v>
      </c>
      <c r="C444" s="38">
        <v>46157</v>
      </c>
      <c r="D444" t="s">
        <v>1136</v>
      </c>
      <c r="E444" t="s">
        <v>82</v>
      </c>
      <c r="F444" s="37">
        <v>104.15</v>
      </c>
      <c r="G444" s="39" cm="1">
        <f t="array" ref="G444">F444*_xlfn.XLOOKUP(1,
 (FOREX!$E$2:$E$13=EOMONTH(B444,0))*
 (FOREX!$F$2:$F$13=TRIM(E444)),FOREX!$G$2:$G$13,
 100)</f>
        <v>26.233611186842399</v>
      </c>
      <c r="H444" t="s">
        <v>1506</v>
      </c>
      <c r="I444" t="s">
        <v>364</v>
      </c>
      <c r="J444" s="35" t="str">
        <f>_xlfn.XLOOKUP(I444,costcategory[Account Code],costcategory[Cost Category],"ERROR")</f>
        <v>Headcount Costs</v>
      </c>
      <c r="K444" s="89" t="str">
        <f t="shared" si="7"/>
        <v>DSC</v>
      </c>
      <c r="L444" s="89" t="str">
        <f>_xlfn.XLOOKUP(K444,Table2[Department],Table2[Group],"ERROR")</f>
        <v>DSC</v>
      </c>
    </row>
    <row r="445" spans="1:12" x14ac:dyDescent="0.2">
      <c r="A445" t="s">
        <v>2</v>
      </c>
      <c r="B445" s="38">
        <v>46142</v>
      </c>
      <c r="C445" s="38">
        <v>46157</v>
      </c>
      <c r="D445" t="s">
        <v>1137</v>
      </c>
      <c r="E445" t="s">
        <v>82</v>
      </c>
      <c r="F445" s="37">
        <v>100.65</v>
      </c>
      <c r="G445" s="39" cm="1">
        <f t="array" ref="G445">F445*_xlfn.XLOOKUP(1,
 (FOREX!$E$2:$E$13=EOMONTH(B445,0))*
 (FOREX!$F$2:$F$13=TRIM(E445)),FOREX!$G$2:$G$13,
 100)</f>
        <v>25.352020796502039</v>
      </c>
      <c r="H445" t="s">
        <v>1506</v>
      </c>
      <c r="I445" t="s">
        <v>364</v>
      </c>
      <c r="J445" s="35" t="str">
        <f>_xlfn.XLOOKUP(I445,costcategory[Account Code],costcategory[Cost Category],"ERROR")</f>
        <v>Headcount Costs</v>
      </c>
      <c r="K445" s="89" t="str">
        <f t="shared" si="7"/>
        <v>DSC</v>
      </c>
      <c r="L445" s="89" t="str">
        <f>_xlfn.XLOOKUP(K445,Table2[Department],Table2[Group],"ERROR")</f>
        <v>DSC</v>
      </c>
    </row>
    <row r="446" spans="1:12" x14ac:dyDescent="0.2">
      <c r="A446" t="s">
        <v>2</v>
      </c>
      <c r="B446" s="38">
        <v>46142</v>
      </c>
      <c r="C446" s="38">
        <v>46157</v>
      </c>
      <c r="D446" t="s">
        <v>1139</v>
      </c>
      <c r="E446" t="s">
        <v>82</v>
      </c>
      <c r="F446" s="37">
        <v>104.15</v>
      </c>
      <c r="G446" s="39" cm="1">
        <f t="array" ref="G446">F446*_xlfn.XLOOKUP(1,
 (FOREX!$E$2:$E$13=EOMONTH(B446,0))*
 (FOREX!$F$2:$F$13=TRIM(E446)),FOREX!$G$2:$G$13,
 100)</f>
        <v>26.233611186842399</v>
      </c>
      <c r="H446" t="s">
        <v>1506</v>
      </c>
      <c r="I446" t="s">
        <v>364</v>
      </c>
      <c r="J446" s="35" t="str">
        <f>_xlfn.XLOOKUP(I446,costcategory[Account Code],costcategory[Cost Category],"ERROR")</f>
        <v>Headcount Costs</v>
      </c>
      <c r="K446" s="89" t="str">
        <f t="shared" si="7"/>
        <v>Business Operation</v>
      </c>
      <c r="L446" s="89" t="str">
        <f>_xlfn.XLOOKUP(K446,Table2[Department],Table2[Group],"ERROR")</f>
        <v>Sales &amp; Marketing</v>
      </c>
    </row>
    <row r="447" spans="1:12" x14ac:dyDescent="0.2">
      <c r="A447" t="s">
        <v>2</v>
      </c>
      <c r="B447" s="38">
        <v>46142</v>
      </c>
      <c r="C447" s="38">
        <v>46157</v>
      </c>
      <c r="D447" t="s">
        <v>1141</v>
      </c>
      <c r="E447" t="s">
        <v>82</v>
      </c>
      <c r="F447" s="37">
        <v>104.15</v>
      </c>
      <c r="G447" s="39" cm="1">
        <f t="array" ref="G447">F447*_xlfn.XLOOKUP(1,
 (FOREX!$E$2:$E$13=EOMONTH(B447,0))*
 (FOREX!$F$2:$F$13=TRIM(E447)),FOREX!$G$2:$G$13,
 100)</f>
        <v>26.233611186842399</v>
      </c>
      <c r="H447" t="s">
        <v>1506</v>
      </c>
      <c r="I447" t="s">
        <v>364</v>
      </c>
      <c r="J447" s="35" t="str">
        <f>_xlfn.XLOOKUP(I447,costcategory[Account Code],costcategory[Cost Category],"ERROR")</f>
        <v>Headcount Costs</v>
      </c>
      <c r="K447" s="89" t="str">
        <f t="shared" si="7"/>
        <v>DSC</v>
      </c>
      <c r="L447" s="89" t="str">
        <f>_xlfn.XLOOKUP(K447,Table2[Department],Table2[Group],"ERROR")</f>
        <v>DSC</v>
      </c>
    </row>
    <row r="448" spans="1:12" x14ac:dyDescent="0.2">
      <c r="A448" t="s">
        <v>2</v>
      </c>
      <c r="B448" s="38">
        <v>46142</v>
      </c>
      <c r="C448" s="38">
        <v>46157</v>
      </c>
      <c r="D448" t="s">
        <v>1143</v>
      </c>
      <c r="E448" t="s">
        <v>82</v>
      </c>
      <c r="F448" s="37">
        <v>104.15</v>
      </c>
      <c r="G448" s="39" cm="1">
        <f t="array" ref="G448">F448*_xlfn.XLOOKUP(1,
 (FOREX!$E$2:$E$13=EOMONTH(B448,0))*
 (FOREX!$F$2:$F$13=TRIM(E448)),FOREX!$G$2:$G$13,
 100)</f>
        <v>26.233611186842399</v>
      </c>
      <c r="H448" t="s">
        <v>1506</v>
      </c>
      <c r="I448" t="s">
        <v>364</v>
      </c>
      <c r="J448" s="35" t="str">
        <f>_xlfn.XLOOKUP(I448,costcategory[Account Code],costcategory[Cost Category],"ERROR")</f>
        <v>Headcount Costs</v>
      </c>
      <c r="K448" s="89" t="str">
        <f t="shared" si="7"/>
        <v>DSC</v>
      </c>
      <c r="L448" s="89" t="str">
        <f>_xlfn.XLOOKUP(K448,Table2[Department],Table2[Group],"ERROR")</f>
        <v>DSC</v>
      </c>
    </row>
    <row r="449" spans="1:12" x14ac:dyDescent="0.2">
      <c r="A449" t="s">
        <v>2</v>
      </c>
      <c r="B449" s="38">
        <v>46142</v>
      </c>
      <c r="C449" s="38">
        <v>46157</v>
      </c>
      <c r="D449" t="s">
        <v>1145</v>
      </c>
      <c r="E449" t="s">
        <v>82</v>
      </c>
      <c r="F449" s="37">
        <v>104.15</v>
      </c>
      <c r="G449" s="39" cm="1">
        <f t="array" ref="G449">F449*_xlfn.XLOOKUP(1,
 (FOREX!$E$2:$E$13=EOMONTH(B449,0))*
 (FOREX!$F$2:$F$13=TRIM(E449)),FOREX!$G$2:$G$13,
 100)</f>
        <v>26.233611186842399</v>
      </c>
      <c r="H449" t="s">
        <v>1506</v>
      </c>
      <c r="I449" t="s">
        <v>364</v>
      </c>
      <c r="J449" s="35" t="str">
        <f>_xlfn.XLOOKUP(I449,costcategory[Account Code],costcategory[Cost Category],"ERROR")</f>
        <v>Headcount Costs</v>
      </c>
      <c r="K449" s="89" t="str">
        <f t="shared" si="7"/>
        <v>DSC</v>
      </c>
      <c r="L449" s="89" t="str">
        <f>_xlfn.XLOOKUP(K449,Table2[Department],Table2[Group],"ERROR")</f>
        <v>DSC</v>
      </c>
    </row>
    <row r="450" spans="1:12" x14ac:dyDescent="0.2">
      <c r="A450" t="s">
        <v>2</v>
      </c>
      <c r="B450" s="38">
        <v>46142</v>
      </c>
      <c r="C450" s="38">
        <v>46157</v>
      </c>
      <c r="D450" t="s">
        <v>1125</v>
      </c>
      <c r="E450" t="s">
        <v>82</v>
      </c>
      <c r="F450" s="37">
        <v>11.9</v>
      </c>
      <c r="G450" s="39" cm="1">
        <f t="array" ref="G450">F450*_xlfn.XLOOKUP(1,
 (FOREX!$E$2:$E$13=EOMONTH(B450,0))*
 (FOREX!$F$2:$F$13=TRIM(E450)),FOREX!$G$2:$G$13,
 100)</f>
        <v>2.9974073271572204</v>
      </c>
      <c r="H450" t="s">
        <v>1507</v>
      </c>
      <c r="I450" t="s">
        <v>364</v>
      </c>
      <c r="J450" s="35" t="str">
        <f>_xlfn.XLOOKUP(I450,costcategory[Account Code],costcategory[Cost Category],"ERROR")</f>
        <v>Headcount Costs</v>
      </c>
      <c r="K450" s="89" t="str">
        <f t="shared" si="7"/>
        <v>Sales &amp; Pre-Sales</v>
      </c>
      <c r="L450" s="89" t="str">
        <f>_xlfn.XLOOKUP(K450,Table2[Department],Table2[Group],"ERROR")</f>
        <v>Sales &amp; Marketing</v>
      </c>
    </row>
    <row r="451" spans="1:12" x14ac:dyDescent="0.2">
      <c r="A451" t="s">
        <v>2</v>
      </c>
      <c r="B451" s="38">
        <v>46142</v>
      </c>
      <c r="C451" s="38">
        <v>46157</v>
      </c>
      <c r="D451" t="s">
        <v>1127</v>
      </c>
      <c r="E451" t="s">
        <v>82</v>
      </c>
      <c r="F451" s="37">
        <v>9.3000000000000007</v>
      </c>
      <c r="G451" s="39" cm="1">
        <f t="array" ref="G451">F451*_xlfn.XLOOKUP(1,
 (FOREX!$E$2:$E$13=EOMONTH(B451,0))*
 (FOREX!$F$2:$F$13=TRIM(E451)),FOREX!$G$2:$G$13,
 100)</f>
        <v>2.3425116086186684</v>
      </c>
      <c r="H451" t="s">
        <v>1507</v>
      </c>
      <c r="I451" t="s">
        <v>364</v>
      </c>
      <c r="J451" s="35" t="str">
        <f>_xlfn.XLOOKUP(I451,costcategory[Account Code],costcategory[Cost Category],"ERROR")</f>
        <v>Headcount Costs</v>
      </c>
      <c r="K451" s="89" t="str">
        <f t="shared" si="7"/>
        <v>DSC</v>
      </c>
      <c r="L451" s="89" t="str">
        <f>_xlfn.XLOOKUP(K451,Table2[Department],Table2[Group],"ERROR")</f>
        <v>DSC</v>
      </c>
    </row>
    <row r="452" spans="1:12" x14ac:dyDescent="0.2">
      <c r="A452" t="s">
        <v>2</v>
      </c>
      <c r="B452" s="38">
        <v>46142</v>
      </c>
      <c r="C452" s="38">
        <v>46157</v>
      </c>
      <c r="D452" t="s">
        <v>1129</v>
      </c>
      <c r="E452" t="s">
        <v>82</v>
      </c>
      <c r="F452" s="37">
        <v>9.9</v>
      </c>
      <c r="G452" s="39" cm="1">
        <f t="array" ref="G452">F452*_xlfn.XLOOKUP(1,
 (FOREX!$E$2:$E$13=EOMONTH(B452,0))*
 (FOREX!$F$2:$F$13=TRIM(E452)),FOREX!$G$2:$G$13,
 100)</f>
        <v>2.4936413898198726</v>
      </c>
      <c r="H452" t="s">
        <v>1507</v>
      </c>
      <c r="I452" t="s">
        <v>364</v>
      </c>
      <c r="J452" s="35" t="str">
        <f>_xlfn.XLOOKUP(I452,costcategory[Account Code],costcategory[Cost Category],"ERROR")</f>
        <v>Headcount Costs</v>
      </c>
      <c r="K452" s="89" t="str">
        <f t="shared" si="7"/>
        <v>Sales &amp; Pre-Sales</v>
      </c>
      <c r="L452" s="89" t="str">
        <f>_xlfn.XLOOKUP(K452,Table2[Department],Table2[Group],"ERROR")</f>
        <v>Sales &amp; Marketing</v>
      </c>
    </row>
    <row r="453" spans="1:12" x14ac:dyDescent="0.2">
      <c r="A453" t="s">
        <v>2</v>
      </c>
      <c r="B453" s="38">
        <v>46142</v>
      </c>
      <c r="C453" s="38">
        <v>46157</v>
      </c>
      <c r="D453" t="s">
        <v>1131</v>
      </c>
      <c r="E453" t="s">
        <v>82</v>
      </c>
      <c r="F453" s="37">
        <v>11.9</v>
      </c>
      <c r="G453" s="39" cm="1">
        <f t="array" ref="G453">F453*_xlfn.XLOOKUP(1,
 (FOREX!$E$2:$E$13=EOMONTH(B453,0))*
 (FOREX!$F$2:$F$13=TRIM(E453)),FOREX!$G$2:$G$13,
 100)</f>
        <v>2.9974073271572204</v>
      </c>
      <c r="H453" t="s">
        <v>1507</v>
      </c>
      <c r="I453" t="s">
        <v>364</v>
      </c>
      <c r="J453" s="35" t="str">
        <f>_xlfn.XLOOKUP(I453,costcategory[Account Code],costcategory[Cost Category],"ERROR")</f>
        <v>Headcount Costs</v>
      </c>
      <c r="K453" s="89" t="str">
        <f t="shared" si="7"/>
        <v>HR</v>
      </c>
      <c r="L453" s="89" t="str">
        <f>_xlfn.XLOOKUP(K453,Table2[Department],Table2[Group],"ERROR")</f>
        <v>General &amp; Administrative</v>
      </c>
    </row>
    <row r="454" spans="1:12" x14ac:dyDescent="0.2">
      <c r="A454" t="s">
        <v>2</v>
      </c>
      <c r="B454" s="38">
        <v>46142</v>
      </c>
      <c r="C454" s="38">
        <v>46157</v>
      </c>
      <c r="D454" t="s">
        <v>1133</v>
      </c>
      <c r="E454" t="s">
        <v>82</v>
      </c>
      <c r="F454" s="37">
        <v>11.9</v>
      </c>
      <c r="G454" s="39" cm="1">
        <f t="array" ref="G454">F454*_xlfn.XLOOKUP(1,
 (FOREX!$E$2:$E$13=EOMONTH(B454,0))*
 (FOREX!$F$2:$F$13=TRIM(E454)),FOREX!$G$2:$G$13,
 100)</f>
        <v>2.9974073271572204</v>
      </c>
      <c r="H454" t="s">
        <v>1507</v>
      </c>
      <c r="I454" t="s">
        <v>364</v>
      </c>
      <c r="J454" s="35" t="str">
        <f>_xlfn.XLOOKUP(I454,costcategory[Account Code],costcategory[Cost Category],"ERROR")</f>
        <v>Headcount Costs</v>
      </c>
      <c r="K454" s="89" t="str">
        <f t="shared" si="7"/>
        <v>Finance</v>
      </c>
      <c r="L454" s="89" t="str">
        <f>_xlfn.XLOOKUP(K454,Table2[Department],Table2[Group],"ERROR")</f>
        <v>General &amp; Administrative</v>
      </c>
    </row>
    <row r="455" spans="1:12" x14ac:dyDescent="0.2">
      <c r="A455" t="s">
        <v>2</v>
      </c>
      <c r="B455" s="38">
        <v>46142</v>
      </c>
      <c r="C455" s="38">
        <v>46157</v>
      </c>
      <c r="D455" t="s">
        <v>1134</v>
      </c>
      <c r="E455" t="s">
        <v>82</v>
      </c>
      <c r="F455" s="37">
        <v>11.9</v>
      </c>
      <c r="G455" s="39" cm="1">
        <f t="array" ref="G455">F455*_xlfn.XLOOKUP(1,
 (FOREX!$E$2:$E$13=EOMONTH(B455,0))*
 (FOREX!$F$2:$F$13=TRIM(E455)),FOREX!$G$2:$G$13,
 100)</f>
        <v>2.9974073271572204</v>
      </c>
      <c r="H455" t="s">
        <v>1507</v>
      </c>
      <c r="I455" t="s">
        <v>364</v>
      </c>
      <c r="J455" s="35" t="str">
        <f>_xlfn.XLOOKUP(I455,costcategory[Account Code],costcategory[Cost Category],"ERROR")</f>
        <v>Headcount Costs</v>
      </c>
      <c r="K455" s="89" t="str">
        <f t="shared" si="7"/>
        <v>DSC</v>
      </c>
      <c r="L455" s="89" t="str">
        <f>_xlfn.XLOOKUP(K455,Table2[Department],Table2[Group],"ERROR")</f>
        <v>DSC</v>
      </c>
    </row>
    <row r="456" spans="1:12" x14ac:dyDescent="0.2">
      <c r="A456" t="s">
        <v>2</v>
      </c>
      <c r="B456" s="38">
        <v>46142</v>
      </c>
      <c r="C456" s="38">
        <v>46157</v>
      </c>
      <c r="D456" t="s">
        <v>1136</v>
      </c>
      <c r="E456" t="s">
        <v>82</v>
      </c>
      <c r="F456" s="37">
        <v>11.9</v>
      </c>
      <c r="G456" s="39" cm="1">
        <f t="array" ref="G456">F456*_xlfn.XLOOKUP(1,
 (FOREX!$E$2:$E$13=EOMONTH(B456,0))*
 (FOREX!$F$2:$F$13=TRIM(E456)),FOREX!$G$2:$G$13,
 100)</f>
        <v>2.9974073271572204</v>
      </c>
      <c r="H456" t="s">
        <v>1507</v>
      </c>
      <c r="I456" t="s">
        <v>364</v>
      </c>
      <c r="J456" s="35" t="str">
        <f>_xlfn.XLOOKUP(I456,costcategory[Account Code],costcategory[Cost Category],"ERROR")</f>
        <v>Headcount Costs</v>
      </c>
      <c r="K456" s="89" t="str">
        <f t="shared" si="7"/>
        <v>DSC</v>
      </c>
      <c r="L456" s="89" t="str">
        <f>_xlfn.XLOOKUP(K456,Table2[Department],Table2[Group],"ERROR")</f>
        <v>DSC</v>
      </c>
    </row>
    <row r="457" spans="1:12" x14ac:dyDescent="0.2">
      <c r="A457" t="s">
        <v>2</v>
      </c>
      <c r="B457" s="38">
        <v>46142</v>
      </c>
      <c r="C457" s="38">
        <v>46157</v>
      </c>
      <c r="D457" t="s">
        <v>1137</v>
      </c>
      <c r="E457" t="s">
        <v>82</v>
      </c>
      <c r="F457" s="37">
        <v>11.5</v>
      </c>
      <c r="G457" s="39" cm="1">
        <f t="array" ref="G457">F457*_xlfn.XLOOKUP(1,
 (FOREX!$E$2:$E$13=EOMONTH(B457,0))*
 (FOREX!$F$2:$F$13=TRIM(E457)),FOREX!$G$2:$G$13,
 100)</f>
        <v>2.8966541396897507</v>
      </c>
      <c r="H457" t="s">
        <v>1507</v>
      </c>
      <c r="I457" t="s">
        <v>364</v>
      </c>
      <c r="J457" s="35" t="str">
        <f>_xlfn.XLOOKUP(I457,costcategory[Account Code],costcategory[Cost Category],"ERROR")</f>
        <v>Headcount Costs</v>
      </c>
      <c r="K457" s="89" t="str">
        <f t="shared" si="7"/>
        <v>DSC</v>
      </c>
      <c r="L457" s="89" t="str">
        <f>_xlfn.XLOOKUP(K457,Table2[Department],Table2[Group],"ERROR")</f>
        <v>DSC</v>
      </c>
    </row>
    <row r="458" spans="1:12" x14ac:dyDescent="0.2">
      <c r="A458" t="s">
        <v>2</v>
      </c>
      <c r="B458" s="38">
        <v>46142</v>
      </c>
      <c r="C458" s="38">
        <v>46157</v>
      </c>
      <c r="D458" t="s">
        <v>1139</v>
      </c>
      <c r="E458" t="s">
        <v>82</v>
      </c>
      <c r="F458" s="37">
        <v>0</v>
      </c>
      <c r="G458" s="39" cm="1">
        <f t="array" ref="G458">F458*_xlfn.XLOOKUP(1,
 (FOREX!$E$2:$E$13=EOMONTH(B458,0))*
 (FOREX!$F$2:$F$13=TRIM(E458)),FOREX!$G$2:$G$13,
 100)</f>
        <v>0</v>
      </c>
      <c r="H458" t="s">
        <v>1507</v>
      </c>
      <c r="I458" t="s">
        <v>364</v>
      </c>
      <c r="J458" s="35" t="str">
        <f>_xlfn.XLOOKUP(I458,costcategory[Account Code],costcategory[Cost Category],"ERROR")</f>
        <v>Headcount Costs</v>
      </c>
      <c r="K458" s="89" t="str">
        <f t="shared" si="7"/>
        <v>Business Operation</v>
      </c>
      <c r="L458" s="89" t="str">
        <f>_xlfn.XLOOKUP(K458,Table2[Department],Table2[Group],"ERROR")</f>
        <v>Sales &amp; Marketing</v>
      </c>
    </row>
    <row r="459" spans="1:12" x14ac:dyDescent="0.2">
      <c r="A459" t="s">
        <v>2</v>
      </c>
      <c r="B459" s="38">
        <v>46142</v>
      </c>
      <c r="C459" s="38">
        <v>46157</v>
      </c>
      <c r="D459" t="s">
        <v>1141</v>
      </c>
      <c r="E459" t="s">
        <v>82</v>
      </c>
      <c r="F459" s="37">
        <v>11.9</v>
      </c>
      <c r="G459" s="39" cm="1">
        <f t="array" ref="G459">F459*_xlfn.XLOOKUP(1,
 (FOREX!$E$2:$E$13=EOMONTH(B459,0))*
 (FOREX!$F$2:$F$13=TRIM(E459)),FOREX!$G$2:$G$13,
 100)</f>
        <v>2.9974073271572204</v>
      </c>
      <c r="H459" t="s">
        <v>1507</v>
      </c>
      <c r="I459" t="s">
        <v>364</v>
      </c>
      <c r="J459" s="35" t="str">
        <f>_xlfn.XLOOKUP(I459,costcategory[Account Code],costcategory[Cost Category],"ERROR")</f>
        <v>Headcount Costs</v>
      </c>
      <c r="K459" s="89" t="str">
        <f t="shared" si="7"/>
        <v>DSC</v>
      </c>
      <c r="L459" s="89" t="str">
        <f>_xlfn.XLOOKUP(K459,Table2[Department],Table2[Group],"ERROR")</f>
        <v>DSC</v>
      </c>
    </row>
    <row r="460" spans="1:12" x14ac:dyDescent="0.2">
      <c r="A460" t="s">
        <v>2</v>
      </c>
      <c r="B460" s="38">
        <v>46142</v>
      </c>
      <c r="C460" s="38">
        <v>46157</v>
      </c>
      <c r="D460" t="s">
        <v>1143</v>
      </c>
      <c r="E460" t="s">
        <v>82</v>
      </c>
      <c r="F460" s="37">
        <v>11.9</v>
      </c>
      <c r="G460" s="39" cm="1">
        <f t="array" ref="G460">F460*_xlfn.XLOOKUP(1,
 (FOREX!$E$2:$E$13=EOMONTH(B460,0))*
 (FOREX!$F$2:$F$13=TRIM(E460)),FOREX!$G$2:$G$13,
 100)</f>
        <v>2.9974073271572204</v>
      </c>
      <c r="H460" t="s">
        <v>1507</v>
      </c>
      <c r="I460" t="s">
        <v>364</v>
      </c>
      <c r="J460" s="35" t="str">
        <f>_xlfn.XLOOKUP(I460,costcategory[Account Code],costcategory[Cost Category],"ERROR")</f>
        <v>Headcount Costs</v>
      </c>
      <c r="K460" s="89" t="str">
        <f t="shared" si="7"/>
        <v>DSC</v>
      </c>
      <c r="L460" s="89" t="str">
        <f>_xlfn.XLOOKUP(K460,Table2[Department],Table2[Group],"ERROR")</f>
        <v>DSC</v>
      </c>
    </row>
    <row r="461" spans="1:12" x14ac:dyDescent="0.2">
      <c r="A461" t="s">
        <v>2</v>
      </c>
      <c r="B461" s="38">
        <v>46142</v>
      </c>
      <c r="C461" s="38">
        <v>46157</v>
      </c>
      <c r="D461" t="s">
        <v>1145</v>
      </c>
      <c r="E461" t="s">
        <v>82</v>
      </c>
      <c r="F461" s="37">
        <v>11.9</v>
      </c>
      <c r="G461" s="39" cm="1">
        <f t="array" ref="G461">F461*_xlfn.XLOOKUP(1,
 (FOREX!$E$2:$E$13=EOMONTH(B461,0))*
 (FOREX!$F$2:$F$13=TRIM(E461)),FOREX!$G$2:$G$13,
 100)</f>
        <v>2.9974073271572204</v>
      </c>
      <c r="H461" t="s">
        <v>1507</v>
      </c>
      <c r="I461" t="s">
        <v>364</v>
      </c>
      <c r="J461" s="35" t="str">
        <f>_xlfn.XLOOKUP(I461,costcategory[Account Code],costcategory[Cost Category],"ERROR")</f>
        <v>Headcount Costs</v>
      </c>
      <c r="K461" s="89" t="str">
        <f t="shared" si="7"/>
        <v>DSC</v>
      </c>
      <c r="L461" s="89" t="str">
        <f>_xlfn.XLOOKUP(K461,Table2[Department],Table2[Group],"ERROR")</f>
        <v>DSC</v>
      </c>
    </row>
    <row r="462" spans="1:12" x14ac:dyDescent="0.2">
      <c r="A462" t="s">
        <v>2</v>
      </c>
      <c r="B462" s="38">
        <v>46173</v>
      </c>
      <c r="C462" s="38">
        <v>46171</v>
      </c>
      <c r="D462" t="s">
        <v>1127</v>
      </c>
      <c r="E462" t="s">
        <v>82</v>
      </c>
      <c r="F462" s="37">
        <v>4049.05</v>
      </c>
      <c r="G462" s="39" cm="1">
        <f t="array" ref="G462">F462*_xlfn.XLOOKUP(1,
 (FOREX!$E$2:$E$13=EOMONTH(B462,0))*
 (FOREX!$F$2:$F$13=TRIM(E462)),FOREX!$G$2:$G$13,
 100)</f>
        <v>1020.42133575</v>
      </c>
      <c r="H462" t="s">
        <v>443</v>
      </c>
      <c r="I462" t="s">
        <v>387</v>
      </c>
      <c r="J462" s="35" t="str">
        <f>_xlfn.XLOOKUP(I462,costcategory[Account Code],costcategory[Cost Category],"ERROR")</f>
        <v>Headcount Costs</v>
      </c>
      <c r="K462" s="89" t="str">
        <f t="shared" si="7"/>
        <v>DSC</v>
      </c>
      <c r="L462" s="89" t="str">
        <f>_xlfn.XLOOKUP(K462,Table2[Department],Table2[Group],"ERROR")</f>
        <v>DSC</v>
      </c>
    </row>
    <row r="463" spans="1:12" x14ac:dyDescent="0.2">
      <c r="A463" t="s">
        <v>2</v>
      </c>
      <c r="B463" s="38">
        <v>46173</v>
      </c>
      <c r="C463" s="38">
        <v>46171</v>
      </c>
      <c r="D463" t="s">
        <v>1129</v>
      </c>
      <c r="E463" t="s">
        <v>82</v>
      </c>
      <c r="F463" s="37">
        <v>4301.55</v>
      </c>
      <c r="G463" s="39" cm="1">
        <f t="array" ref="G463">F463*_xlfn.XLOOKUP(1,
 (FOREX!$E$2:$E$13=EOMONTH(B463,0))*
 (FOREX!$F$2:$F$13=TRIM(E463)),FOREX!$G$2:$G$13,
 100)</f>
        <v>1084.05512325</v>
      </c>
      <c r="H463" t="s">
        <v>443</v>
      </c>
      <c r="I463" t="s">
        <v>387</v>
      </c>
      <c r="J463" s="35" t="str">
        <f>_xlfn.XLOOKUP(I463,costcategory[Account Code],costcategory[Cost Category],"ERROR")</f>
        <v>Headcount Costs</v>
      </c>
      <c r="K463" s="89" t="str">
        <f t="shared" si="7"/>
        <v>Sales &amp; Pre-Sales</v>
      </c>
      <c r="L463" s="89" t="str">
        <f>_xlfn.XLOOKUP(K463,Table2[Department],Table2[Group],"ERROR")</f>
        <v>Sales &amp; Marketing</v>
      </c>
    </row>
    <row r="464" spans="1:12" x14ac:dyDescent="0.2">
      <c r="A464" t="s">
        <v>2</v>
      </c>
      <c r="B464" s="38">
        <v>46173</v>
      </c>
      <c r="C464" s="38">
        <v>46171</v>
      </c>
      <c r="D464" t="s">
        <v>1133</v>
      </c>
      <c r="E464" t="s">
        <v>82</v>
      </c>
      <c r="F464" s="37">
        <v>9865.2000000000007</v>
      </c>
      <c r="G464" s="39" cm="1">
        <f t="array" ref="G464">F464*_xlfn.XLOOKUP(1,
 (FOREX!$E$2:$E$13=EOMONTH(B464,0))*
 (FOREX!$F$2:$F$13=TRIM(E464)),FOREX!$G$2:$G$13,
 100)</f>
        <v>2486.1783780000001</v>
      </c>
      <c r="H464" t="s">
        <v>443</v>
      </c>
      <c r="I464" t="s">
        <v>387</v>
      </c>
      <c r="J464" s="35" t="str">
        <f>_xlfn.XLOOKUP(I464,costcategory[Account Code],costcategory[Cost Category],"ERROR")</f>
        <v>Headcount Costs</v>
      </c>
      <c r="K464" s="89" t="str">
        <f t="shared" si="7"/>
        <v>Finance</v>
      </c>
      <c r="L464" s="89" t="str">
        <f>_xlfn.XLOOKUP(K464,Table2[Department],Table2[Group],"ERROR")</f>
        <v>General &amp; Administrative</v>
      </c>
    </row>
    <row r="465" spans="1:12" x14ac:dyDescent="0.2">
      <c r="A465" t="s">
        <v>2</v>
      </c>
      <c r="B465" s="38">
        <v>46173</v>
      </c>
      <c r="C465" s="38">
        <v>46171</v>
      </c>
      <c r="D465" t="s">
        <v>1134</v>
      </c>
      <c r="E465" t="s">
        <v>82</v>
      </c>
      <c r="F465" s="37">
        <v>18581.849999999999</v>
      </c>
      <c r="G465" s="39" cm="1">
        <f t="array" ref="G465">F465*_xlfn.XLOOKUP(1,
 (FOREX!$E$2:$E$13=EOMONTH(B465,0))*
 (FOREX!$F$2:$F$13=TRIM(E465)),FOREX!$G$2:$G$13,
 100)</f>
        <v>4682.9049277499998</v>
      </c>
      <c r="H465" t="s">
        <v>443</v>
      </c>
      <c r="I465" t="s">
        <v>387</v>
      </c>
      <c r="J465" s="35" t="str">
        <f>_xlfn.XLOOKUP(I465,costcategory[Account Code],costcategory[Cost Category],"ERROR")</f>
        <v>Headcount Costs</v>
      </c>
      <c r="K465" s="89" t="str">
        <f t="shared" si="7"/>
        <v>DSC</v>
      </c>
      <c r="L465" s="89" t="str">
        <f>_xlfn.XLOOKUP(K465,Table2[Department],Table2[Group],"ERROR")</f>
        <v>DSC</v>
      </c>
    </row>
    <row r="466" spans="1:12" x14ac:dyDescent="0.2">
      <c r="A466" t="s">
        <v>2</v>
      </c>
      <c r="B466" s="38">
        <v>46173</v>
      </c>
      <c r="C466" s="38">
        <v>46171</v>
      </c>
      <c r="D466" t="s">
        <v>1136</v>
      </c>
      <c r="E466" t="s">
        <v>82</v>
      </c>
      <c r="F466" s="37">
        <v>12895.1</v>
      </c>
      <c r="G466" s="39" cm="1">
        <f t="array" ref="G466">F466*_xlfn.XLOOKUP(1,
 (FOREX!$E$2:$E$13=EOMONTH(B466,0))*
 (FOREX!$F$2:$F$13=TRIM(E466)),FOREX!$G$2:$G$13,
 100)</f>
        <v>3249.7586265</v>
      </c>
      <c r="H466" t="s">
        <v>443</v>
      </c>
      <c r="I466" t="s">
        <v>387</v>
      </c>
      <c r="J466" s="35" t="str">
        <f>_xlfn.XLOOKUP(I466,costcategory[Account Code],costcategory[Cost Category],"ERROR")</f>
        <v>Headcount Costs</v>
      </c>
      <c r="K466" s="89" t="str">
        <f t="shared" si="7"/>
        <v>DSC</v>
      </c>
      <c r="L466" s="89" t="str">
        <f>_xlfn.XLOOKUP(K466,Table2[Department],Table2[Group],"ERROR")</f>
        <v>DSC</v>
      </c>
    </row>
    <row r="467" spans="1:12" x14ac:dyDescent="0.2">
      <c r="A467" t="s">
        <v>2</v>
      </c>
      <c r="B467" s="38">
        <v>46173</v>
      </c>
      <c r="C467" s="38">
        <v>46171</v>
      </c>
      <c r="D467" t="s">
        <v>1137</v>
      </c>
      <c r="E467" t="s">
        <v>82</v>
      </c>
      <c r="F467" s="37">
        <v>4905.1000000000004</v>
      </c>
      <c r="G467" s="39" cm="1">
        <f t="array" ref="G467">F467*_xlfn.XLOOKUP(1,
 (FOREX!$E$2:$E$13=EOMONTH(B467,0))*
 (FOREX!$F$2:$F$13=TRIM(E467)),FOREX!$G$2:$G$13,
 100)</f>
        <v>1236.1587764999999</v>
      </c>
      <c r="H467" t="s">
        <v>443</v>
      </c>
      <c r="I467" t="s">
        <v>387</v>
      </c>
      <c r="J467" s="35" t="str">
        <f>_xlfn.XLOOKUP(I467,costcategory[Account Code],costcategory[Cost Category],"ERROR")</f>
        <v>Headcount Costs</v>
      </c>
      <c r="K467" s="89" t="str">
        <f t="shared" si="7"/>
        <v>DSC</v>
      </c>
      <c r="L467" s="89" t="str">
        <f>_xlfn.XLOOKUP(K467,Table2[Department],Table2[Group],"ERROR")</f>
        <v>DSC</v>
      </c>
    </row>
    <row r="468" spans="1:12" x14ac:dyDescent="0.2">
      <c r="A468" t="s">
        <v>2</v>
      </c>
      <c r="B468" s="38">
        <v>46173</v>
      </c>
      <c r="C468" s="38">
        <v>46171</v>
      </c>
      <c r="D468" t="s">
        <v>1139</v>
      </c>
      <c r="E468" t="s">
        <v>82</v>
      </c>
      <c r="F468" s="37">
        <v>15776.1</v>
      </c>
      <c r="G468" s="39" cm="1">
        <f t="array" ref="G468">F468*_xlfn.XLOOKUP(1,
 (FOREX!$E$2:$E$13=EOMONTH(B468,0))*
 (FOREX!$F$2:$F$13=TRIM(E468)),FOREX!$G$2:$G$13,
 100)</f>
        <v>3975.8138414999999</v>
      </c>
      <c r="H468" t="s">
        <v>443</v>
      </c>
      <c r="I468" t="s">
        <v>387</v>
      </c>
      <c r="J468" s="35" t="str">
        <f>_xlfn.XLOOKUP(I468,costcategory[Account Code],costcategory[Cost Category],"ERROR")</f>
        <v>Headcount Costs</v>
      </c>
      <c r="K468" s="89" t="str">
        <f t="shared" si="7"/>
        <v>Business Operation</v>
      </c>
      <c r="L468" s="89" t="str">
        <f>_xlfn.XLOOKUP(K468,Table2[Department],Table2[Group],"ERROR")</f>
        <v>Sales &amp; Marketing</v>
      </c>
    </row>
    <row r="469" spans="1:12" x14ac:dyDescent="0.2">
      <c r="A469" t="s">
        <v>2</v>
      </c>
      <c r="B469" s="38">
        <v>46173</v>
      </c>
      <c r="C469" s="38">
        <v>46171</v>
      </c>
      <c r="D469" t="s">
        <v>1141</v>
      </c>
      <c r="E469" t="s">
        <v>82</v>
      </c>
      <c r="F469" s="37">
        <v>22757.35</v>
      </c>
      <c r="G469" s="39" cm="1">
        <f t="array" ref="G469">F469*_xlfn.XLOOKUP(1,
 (FOREX!$E$2:$E$13=EOMONTH(B469,0))*
 (FOREX!$F$2:$F$13=TRIM(E469)),FOREX!$G$2:$G$13,
 100)</f>
        <v>5735.1935602499998</v>
      </c>
      <c r="H469" t="s">
        <v>443</v>
      </c>
      <c r="I469" t="s">
        <v>387</v>
      </c>
      <c r="J469" s="35" t="str">
        <f>_xlfn.XLOOKUP(I469,costcategory[Account Code],costcategory[Cost Category],"ERROR")</f>
        <v>Headcount Costs</v>
      </c>
      <c r="K469" s="89" t="str">
        <f t="shared" si="7"/>
        <v>DSC</v>
      </c>
      <c r="L469" s="89" t="str">
        <f>_xlfn.XLOOKUP(K469,Table2[Department],Table2[Group],"ERROR")</f>
        <v>DSC</v>
      </c>
    </row>
    <row r="470" spans="1:12" x14ac:dyDescent="0.2">
      <c r="A470" t="s">
        <v>2</v>
      </c>
      <c r="B470" s="38">
        <v>46173</v>
      </c>
      <c r="C470" s="38">
        <v>46171</v>
      </c>
      <c r="D470" t="s">
        <v>1143</v>
      </c>
      <c r="E470" t="s">
        <v>82</v>
      </c>
      <c r="F470" s="37">
        <v>5934.2</v>
      </c>
      <c r="G470" s="39" cm="1">
        <f t="array" ref="G470">F470*_xlfn.XLOOKUP(1,
 (FOREX!$E$2:$E$13=EOMONTH(B470,0))*
 (FOREX!$F$2:$F$13=TRIM(E470)),FOREX!$G$2:$G$13,
 100)</f>
        <v>1495.5074129999998</v>
      </c>
      <c r="H470" t="s">
        <v>443</v>
      </c>
      <c r="I470" t="s">
        <v>387</v>
      </c>
      <c r="J470" s="35" t="str">
        <f>_xlfn.XLOOKUP(I470,costcategory[Account Code],costcategory[Cost Category],"ERROR")</f>
        <v>Headcount Costs</v>
      </c>
      <c r="K470" s="89" t="str">
        <f t="shared" si="7"/>
        <v>DSC</v>
      </c>
      <c r="L470" s="89" t="str">
        <f>_xlfn.XLOOKUP(K470,Table2[Department],Table2[Group],"ERROR")</f>
        <v>DSC</v>
      </c>
    </row>
    <row r="471" spans="1:12" x14ac:dyDescent="0.2">
      <c r="A471" t="s">
        <v>2</v>
      </c>
      <c r="B471" s="38">
        <v>46173</v>
      </c>
      <c r="C471" s="38">
        <v>46171</v>
      </c>
      <c r="D471" t="s">
        <v>1145</v>
      </c>
      <c r="E471" t="s">
        <v>82</v>
      </c>
      <c r="F471" s="37">
        <v>5168.8500000000004</v>
      </c>
      <c r="G471" s="39" cm="1">
        <f t="array" ref="G471">F471*_xlfn.XLOOKUP(1,
 (FOREX!$E$2:$E$13=EOMONTH(B471,0))*
 (FOREX!$F$2:$F$13=TRIM(E471)),FOREX!$G$2:$G$13,
 100)</f>
        <v>1302.62773275</v>
      </c>
      <c r="H471" t="s">
        <v>443</v>
      </c>
      <c r="I471" t="s">
        <v>387</v>
      </c>
      <c r="J471" s="35" t="str">
        <f>_xlfn.XLOOKUP(I471,costcategory[Account Code],costcategory[Cost Category],"ERROR")</f>
        <v>Headcount Costs</v>
      </c>
      <c r="K471" s="89" t="str">
        <f t="shared" si="7"/>
        <v>DSC</v>
      </c>
      <c r="L471" s="89" t="str">
        <f>_xlfn.XLOOKUP(K471,Table2[Department],Table2[Group],"ERROR")</f>
        <v>DSC</v>
      </c>
    </row>
    <row r="472" spans="1:12" x14ac:dyDescent="0.2">
      <c r="A472" t="s">
        <v>2</v>
      </c>
      <c r="B472" s="38">
        <v>46173</v>
      </c>
      <c r="C472" s="38">
        <v>46171</v>
      </c>
      <c r="D472" t="s">
        <v>1475</v>
      </c>
      <c r="E472" t="s">
        <v>82</v>
      </c>
      <c r="F472" s="37">
        <v>1834.07</v>
      </c>
      <c r="G472" s="39" cm="1">
        <f t="array" ref="G472">F472*_xlfn.XLOOKUP(1,
 (FOREX!$E$2:$E$13=EOMONTH(B472,0))*
 (FOREX!$F$2:$F$13=TRIM(E472)),FOREX!$G$2:$G$13,
 100)</f>
        <v>462.21315104999996</v>
      </c>
      <c r="H472" t="s">
        <v>443</v>
      </c>
      <c r="I472" t="s">
        <v>387</v>
      </c>
      <c r="J472" s="35" t="str">
        <f>_xlfn.XLOOKUP(I472,costcategory[Account Code],costcategory[Cost Category],"ERROR")</f>
        <v>Headcount Costs</v>
      </c>
      <c r="K472" s="89" t="str">
        <f t="shared" ref="K472:K485" si="8">_xlfn.XLOOKUP(D472,$AL$2:$AL$25,$AM$2:$AM$25,"ERROR")</f>
        <v>DSC</v>
      </c>
      <c r="L472" s="89" t="str">
        <f>_xlfn.XLOOKUP(K472,Table2[Department],Table2[Group],"ERROR")</f>
        <v>DSC</v>
      </c>
    </row>
    <row r="473" spans="1:12" x14ac:dyDescent="0.2">
      <c r="A473" t="s">
        <v>2</v>
      </c>
      <c r="B473" s="38">
        <v>46173</v>
      </c>
      <c r="C473" s="38">
        <v>46171</v>
      </c>
      <c r="D473" t="s">
        <v>1476</v>
      </c>
      <c r="E473" t="s">
        <v>82</v>
      </c>
      <c r="F473" s="37">
        <v>1959.83</v>
      </c>
      <c r="G473" s="39" cm="1">
        <f t="array" ref="G473">F473*_xlfn.XLOOKUP(1,
 (FOREX!$E$2:$E$13=EOMONTH(B473,0))*
 (FOREX!$F$2:$F$13=TRIM(E473)),FOREX!$G$2:$G$13,
 100)</f>
        <v>493.90655744999998</v>
      </c>
      <c r="H473" t="s">
        <v>443</v>
      </c>
      <c r="I473" t="s">
        <v>387</v>
      </c>
      <c r="J473" s="35" t="str">
        <f>_xlfn.XLOOKUP(I473,costcategory[Account Code],costcategory[Cost Category],"ERROR")</f>
        <v>Headcount Costs</v>
      </c>
      <c r="K473" s="89" t="str">
        <f t="shared" si="8"/>
        <v>DSC</v>
      </c>
      <c r="L473" s="89" t="str">
        <f>_xlfn.XLOOKUP(K473,Table2[Department],Table2[Group],"ERROR")</f>
        <v>DSC</v>
      </c>
    </row>
    <row r="474" spans="1:12" x14ac:dyDescent="0.2">
      <c r="A474" t="s">
        <v>2</v>
      </c>
      <c r="B474" s="38">
        <v>46173</v>
      </c>
      <c r="C474" s="38">
        <v>46188</v>
      </c>
      <c r="D474" t="s">
        <v>1127</v>
      </c>
      <c r="E474" t="s">
        <v>82</v>
      </c>
      <c r="F474" s="37">
        <v>517</v>
      </c>
      <c r="G474" s="39" cm="1">
        <f t="array" ref="G474">F474*_xlfn.XLOOKUP(1,
 (FOREX!$E$2:$E$13=EOMONTH(B474,0))*
 (FOREX!$F$2:$F$13=TRIM(E474)),FOREX!$G$2:$G$13,
 100)</f>
        <v>130.29175499999999</v>
      </c>
      <c r="H474" t="s">
        <v>1508</v>
      </c>
      <c r="I474" t="s">
        <v>387</v>
      </c>
      <c r="J474" s="35" t="str">
        <f>_xlfn.XLOOKUP(I474,costcategory[Account Code],costcategory[Cost Category],"ERROR")</f>
        <v>Headcount Costs</v>
      </c>
      <c r="K474" s="89" t="str">
        <f t="shared" si="8"/>
        <v>DSC</v>
      </c>
      <c r="L474" s="89" t="str">
        <f>_xlfn.XLOOKUP(K474,Table2[Department],Table2[Group],"ERROR")</f>
        <v>DSC</v>
      </c>
    </row>
    <row r="475" spans="1:12" x14ac:dyDescent="0.2">
      <c r="A475" t="s">
        <v>2</v>
      </c>
      <c r="B475" s="38">
        <v>46173</v>
      </c>
      <c r="C475" s="38">
        <v>46188</v>
      </c>
      <c r="D475" t="s">
        <v>1129</v>
      </c>
      <c r="E475" t="s">
        <v>82</v>
      </c>
      <c r="F475" s="37">
        <v>550</v>
      </c>
      <c r="G475" s="39" cm="1">
        <f t="array" ref="G475">F475*_xlfn.XLOOKUP(1,
 (FOREX!$E$2:$E$13=EOMONTH(B475,0))*
 (FOREX!$F$2:$F$13=TRIM(E475)),FOREX!$G$2:$G$13,
 100)</f>
        <v>138.60825</v>
      </c>
      <c r="H475" t="s">
        <v>1508</v>
      </c>
      <c r="I475" t="s">
        <v>387</v>
      </c>
      <c r="J475" s="35" t="str">
        <f>_xlfn.XLOOKUP(I475,costcategory[Account Code],costcategory[Cost Category],"ERROR")</f>
        <v>Headcount Costs</v>
      </c>
      <c r="K475" s="89" t="str">
        <f t="shared" si="8"/>
        <v>Sales &amp; Pre-Sales</v>
      </c>
      <c r="L475" s="89" t="str">
        <f>_xlfn.XLOOKUP(K475,Table2[Department],Table2[Group],"ERROR")</f>
        <v>Sales &amp; Marketing</v>
      </c>
    </row>
    <row r="476" spans="1:12" x14ac:dyDescent="0.2">
      <c r="A476" t="s">
        <v>2</v>
      </c>
      <c r="B476" s="38">
        <v>46173</v>
      </c>
      <c r="C476" s="38">
        <v>46188</v>
      </c>
      <c r="D476" t="s">
        <v>1133</v>
      </c>
      <c r="E476" t="s">
        <v>82</v>
      </c>
      <c r="F476" s="37">
        <v>1441</v>
      </c>
      <c r="G476" s="39" cm="1">
        <f t="array" ref="G476">F476*_xlfn.XLOOKUP(1,
 (FOREX!$E$2:$E$13=EOMONTH(B476,0))*
 (FOREX!$F$2:$F$13=TRIM(E476)),FOREX!$G$2:$G$13,
 100)</f>
        <v>363.153615</v>
      </c>
      <c r="H476" t="s">
        <v>1508</v>
      </c>
      <c r="I476" t="s">
        <v>387</v>
      </c>
      <c r="J476" s="35" t="str">
        <f>_xlfn.XLOOKUP(I476,costcategory[Account Code],costcategory[Cost Category],"ERROR")</f>
        <v>Headcount Costs</v>
      </c>
      <c r="K476" s="89" t="str">
        <f t="shared" si="8"/>
        <v>Finance</v>
      </c>
      <c r="L476" s="89" t="str">
        <f>_xlfn.XLOOKUP(K476,Table2[Department],Table2[Group],"ERROR")</f>
        <v>General &amp; Administrative</v>
      </c>
    </row>
    <row r="477" spans="1:12" x14ac:dyDescent="0.2">
      <c r="A477" t="s">
        <v>2</v>
      </c>
      <c r="B477" s="38">
        <v>46173</v>
      </c>
      <c r="C477" s="38">
        <v>46188</v>
      </c>
      <c r="D477" t="s">
        <v>1134</v>
      </c>
      <c r="E477" t="s">
        <v>82</v>
      </c>
      <c r="F477" s="37">
        <v>2924</v>
      </c>
      <c r="G477" s="39" cm="1">
        <f t="array" ref="G477">F477*_xlfn.XLOOKUP(1,
 (FOREX!$E$2:$E$13=EOMONTH(B477,0))*
 (FOREX!$F$2:$F$13=TRIM(E477)),FOREX!$G$2:$G$13,
 100)</f>
        <v>736.89185999999995</v>
      </c>
      <c r="H477" t="s">
        <v>1508</v>
      </c>
      <c r="I477" t="s">
        <v>387</v>
      </c>
      <c r="J477" s="35" t="str">
        <f>_xlfn.XLOOKUP(I477,costcategory[Account Code],costcategory[Cost Category],"ERROR")</f>
        <v>Headcount Costs</v>
      </c>
      <c r="K477" s="89" t="str">
        <f t="shared" si="8"/>
        <v>DSC</v>
      </c>
      <c r="L477" s="89" t="str">
        <f>_xlfn.XLOOKUP(K477,Table2[Department],Table2[Group],"ERROR")</f>
        <v>DSC</v>
      </c>
    </row>
    <row r="478" spans="1:12" x14ac:dyDescent="0.2">
      <c r="A478" t="s">
        <v>2</v>
      </c>
      <c r="B478" s="38">
        <v>46173</v>
      </c>
      <c r="C478" s="38">
        <v>46188</v>
      </c>
      <c r="D478" t="s">
        <v>1136</v>
      </c>
      <c r="E478" t="s">
        <v>82</v>
      </c>
      <c r="F478" s="37">
        <v>1947</v>
      </c>
      <c r="G478" s="39" cm="1">
        <f t="array" ref="G478">F478*_xlfn.XLOOKUP(1,
 (FOREX!$E$2:$E$13=EOMONTH(B478,0))*
 (FOREX!$F$2:$F$13=TRIM(E478)),FOREX!$G$2:$G$13,
 100)</f>
        <v>490.673205</v>
      </c>
      <c r="H478" t="s">
        <v>1508</v>
      </c>
      <c r="I478" t="s">
        <v>387</v>
      </c>
      <c r="J478" s="35" t="str">
        <f>_xlfn.XLOOKUP(I478,costcategory[Account Code],costcategory[Cost Category],"ERROR")</f>
        <v>Headcount Costs</v>
      </c>
      <c r="K478" s="89" t="str">
        <f t="shared" si="8"/>
        <v>DSC</v>
      </c>
      <c r="L478" s="89" t="str">
        <f>_xlfn.XLOOKUP(K478,Table2[Department],Table2[Group],"ERROR")</f>
        <v>DSC</v>
      </c>
    </row>
    <row r="479" spans="1:12" x14ac:dyDescent="0.2">
      <c r="A479" t="s">
        <v>2</v>
      </c>
      <c r="B479" s="38">
        <v>46173</v>
      </c>
      <c r="C479" s="38">
        <v>46188</v>
      </c>
      <c r="D479" t="s">
        <v>1137</v>
      </c>
      <c r="E479" t="s">
        <v>82</v>
      </c>
      <c r="F479" s="37">
        <v>638</v>
      </c>
      <c r="G479" s="39" cm="1">
        <f t="array" ref="G479">F479*_xlfn.XLOOKUP(1,
 (FOREX!$E$2:$E$13=EOMONTH(B479,0))*
 (FOREX!$F$2:$F$13=TRIM(E479)),FOREX!$G$2:$G$13,
 100)</f>
        <v>160.78557000000001</v>
      </c>
      <c r="H479" t="s">
        <v>1508</v>
      </c>
      <c r="I479" t="s">
        <v>387</v>
      </c>
      <c r="J479" s="35" t="str">
        <f>_xlfn.XLOOKUP(I479,costcategory[Account Code],costcategory[Cost Category],"ERROR")</f>
        <v>Headcount Costs</v>
      </c>
      <c r="K479" s="89" t="str">
        <f t="shared" si="8"/>
        <v>DSC</v>
      </c>
      <c r="L479" s="89" t="str">
        <f>_xlfn.XLOOKUP(K479,Table2[Department],Table2[Group],"ERROR")</f>
        <v>DSC</v>
      </c>
    </row>
    <row r="480" spans="1:12" x14ac:dyDescent="0.2">
      <c r="A480" t="s">
        <v>2</v>
      </c>
      <c r="B480" s="38">
        <v>46173</v>
      </c>
      <c r="C480" s="38">
        <v>46188</v>
      </c>
      <c r="D480" t="s">
        <v>1139</v>
      </c>
      <c r="E480" t="s">
        <v>82</v>
      </c>
      <c r="F480" s="37">
        <v>390</v>
      </c>
      <c r="G480" s="39" cm="1">
        <f t="array" ref="G480">F480*_xlfn.XLOOKUP(1,
 (FOREX!$E$2:$E$13=EOMONTH(B480,0))*
 (FOREX!$F$2:$F$13=TRIM(E480)),FOREX!$G$2:$G$13,
 100)</f>
        <v>98.285849999999996</v>
      </c>
      <c r="H480" t="s">
        <v>1508</v>
      </c>
      <c r="I480" t="s">
        <v>387</v>
      </c>
      <c r="J480" s="35" t="str">
        <f>_xlfn.XLOOKUP(I480,costcategory[Account Code],costcategory[Cost Category],"ERROR")</f>
        <v>Headcount Costs</v>
      </c>
      <c r="K480" s="89" t="str">
        <f t="shared" si="8"/>
        <v>Business Operation</v>
      </c>
      <c r="L480" s="89" t="str">
        <f>_xlfn.XLOOKUP(K480,Table2[Department],Table2[Group],"ERROR")</f>
        <v>Sales &amp; Marketing</v>
      </c>
    </row>
    <row r="481" spans="1:12" x14ac:dyDescent="0.2">
      <c r="A481" t="s">
        <v>2</v>
      </c>
      <c r="B481" s="38">
        <v>46173</v>
      </c>
      <c r="C481" s="38">
        <v>46188</v>
      </c>
      <c r="D481" t="s">
        <v>1141</v>
      </c>
      <c r="E481" t="s">
        <v>82</v>
      </c>
      <c r="F481" s="37">
        <v>3621</v>
      </c>
      <c r="G481" s="39" cm="1">
        <f t="array" ref="G481">F481*_xlfn.XLOOKUP(1,
 (FOREX!$E$2:$E$13=EOMONTH(B481,0))*
 (FOREX!$F$2:$F$13=TRIM(E481)),FOREX!$G$2:$G$13,
 100)</f>
        <v>912.54631499999994</v>
      </c>
      <c r="H481" t="s">
        <v>1508</v>
      </c>
      <c r="I481" t="s">
        <v>387</v>
      </c>
      <c r="J481" s="35" t="str">
        <f>_xlfn.XLOOKUP(I481,costcategory[Account Code],costcategory[Cost Category],"ERROR")</f>
        <v>Headcount Costs</v>
      </c>
      <c r="K481" s="89" t="str">
        <f t="shared" si="8"/>
        <v>DSC</v>
      </c>
      <c r="L481" s="89" t="str">
        <f>_xlfn.XLOOKUP(K481,Table2[Department],Table2[Group],"ERROR")</f>
        <v>DSC</v>
      </c>
    </row>
    <row r="482" spans="1:12" x14ac:dyDescent="0.2">
      <c r="A482" t="s">
        <v>2</v>
      </c>
      <c r="B482" s="38">
        <v>46173</v>
      </c>
      <c r="C482" s="38">
        <v>46188</v>
      </c>
      <c r="D482" t="s">
        <v>1143</v>
      </c>
      <c r="E482" t="s">
        <v>82</v>
      </c>
      <c r="F482" s="37">
        <v>781</v>
      </c>
      <c r="G482" s="39" cm="1">
        <f t="array" ref="G482">F482*_xlfn.XLOOKUP(1,
 (FOREX!$E$2:$E$13=EOMONTH(B482,0))*
 (FOREX!$F$2:$F$13=TRIM(E482)),FOREX!$G$2:$G$13,
 100)</f>
        <v>196.82371499999999</v>
      </c>
      <c r="H482" t="s">
        <v>1508</v>
      </c>
      <c r="I482" t="s">
        <v>387</v>
      </c>
      <c r="J482" s="35" t="str">
        <f>_xlfn.XLOOKUP(I482,costcategory[Account Code],costcategory[Cost Category],"ERROR")</f>
        <v>Headcount Costs</v>
      </c>
      <c r="K482" s="89" t="str">
        <f t="shared" si="8"/>
        <v>DSC</v>
      </c>
      <c r="L482" s="89" t="str">
        <f>_xlfn.XLOOKUP(K482,Table2[Department],Table2[Group],"ERROR")</f>
        <v>DSC</v>
      </c>
    </row>
    <row r="483" spans="1:12" x14ac:dyDescent="0.2">
      <c r="A483" t="s">
        <v>2</v>
      </c>
      <c r="B483" s="38">
        <v>46173</v>
      </c>
      <c r="C483" s="38">
        <v>46188</v>
      </c>
      <c r="D483" t="s">
        <v>1145</v>
      </c>
      <c r="E483" t="s">
        <v>82</v>
      </c>
      <c r="F483" s="37">
        <v>671</v>
      </c>
      <c r="G483" s="39" cm="1">
        <f t="array" ref="G483">F483*_xlfn.XLOOKUP(1,
 (FOREX!$E$2:$E$13=EOMONTH(B483,0))*
 (FOREX!$F$2:$F$13=TRIM(E483)),FOREX!$G$2:$G$13,
 100)</f>
        <v>169.10206499999998</v>
      </c>
      <c r="H483" t="s">
        <v>1508</v>
      </c>
      <c r="I483" t="s">
        <v>387</v>
      </c>
      <c r="J483" s="35" t="str">
        <f>_xlfn.XLOOKUP(I483,costcategory[Account Code],costcategory[Cost Category],"ERROR")</f>
        <v>Headcount Costs</v>
      </c>
      <c r="K483" s="89" t="str">
        <f t="shared" si="8"/>
        <v>DSC</v>
      </c>
      <c r="L483" s="89" t="str">
        <f>_xlfn.XLOOKUP(K483,Table2[Department],Table2[Group],"ERROR")</f>
        <v>DSC</v>
      </c>
    </row>
    <row r="484" spans="1:12" x14ac:dyDescent="0.2">
      <c r="A484" t="s">
        <v>2</v>
      </c>
      <c r="B484" s="38">
        <v>46173</v>
      </c>
      <c r="C484" s="38">
        <v>46188</v>
      </c>
      <c r="D484" t="s">
        <v>1475</v>
      </c>
      <c r="E484" t="s">
        <v>82</v>
      </c>
      <c r="F484" s="37">
        <v>229</v>
      </c>
      <c r="G484" s="39" cm="1">
        <f t="array" ref="G484">F484*_xlfn.XLOOKUP(1,
 (FOREX!$E$2:$E$13=EOMONTH(B484,0))*
 (FOREX!$F$2:$F$13=TRIM(E484)),FOREX!$G$2:$G$13,
 100)</f>
        <v>57.711434999999994</v>
      </c>
      <c r="H484" t="s">
        <v>1508</v>
      </c>
      <c r="I484" t="s">
        <v>387</v>
      </c>
      <c r="J484" s="35" t="str">
        <f>_xlfn.XLOOKUP(I484,costcategory[Account Code],costcategory[Cost Category],"ERROR")</f>
        <v>Headcount Costs</v>
      </c>
      <c r="K484" s="89" t="str">
        <f t="shared" si="8"/>
        <v>DSC</v>
      </c>
      <c r="L484" s="89" t="str">
        <f>_xlfn.XLOOKUP(K484,Table2[Department],Table2[Group],"ERROR")</f>
        <v>DSC</v>
      </c>
    </row>
    <row r="485" spans="1:12" x14ac:dyDescent="0.2">
      <c r="A485" t="s">
        <v>2</v>
      </c>
      <c r="B485" s="38">
        <v>46173</v>
      </c>
      <c r="C485" s="38">
        <v>46188</v>
      </c>
      <c r="D485" t="s">
        <v>1476</v>
      </c>
      <c r="E485" t="s">
        <v>82</v>
      </c>
      <c r="F485" s="37">
        <v>247</v>
      </c>
      <c r="G485" s="39" cm="1">
        <f t="array" ref="G485">F485*_xlfn.XLOOKUP(1,
 (FOREX!$E$2:$E$13=EOMONTH(B485,0))*
 (FOREX!$F$2:$F$13=TRIM(E485)),FOREX!$G$2:$G$13,
 100)</f>
        <v>62.247704999999996</v>
      </c>
      <c r="H485" t="s">
        <v>1508</v>
      </c>
      <c r="I485" t="s">
        <v>387</v>
      </c>
      <c r="J485" s="35" t="str">
        <f>_xlfn.XLOOKUP(I485,costcategory[Account Code],costcategory[Cost Category],"ERROR")</f>
        <v>Headcount Costs</v>
      </c>
      <c r="K485" s="89" t="str">
        <f t="shared" si="8"/>
        <v>DSC</v>
      </c>
      <c r="L485" s="89" t="str">
        <f>_xlfn.XLOOKUP(K485,Table2[Department],Table2[Group],"ERROR")</f>
        <v>DSC</v>
      </c>
    </row>
    <row r="486" spans="1:12" x14ac:dyDescent="0.2">
      <c r="A486" t="s">
        <v>2</v>
      </c>
      <c r="B486" s="38">
        <v>46173</v>
      </c>
      <c r="C486" s="38">
        <v>46188</v>
      </c>
      <c r="D486" t="s">
        <v>1127</v>
      </c>
      <c r="E486" t="s">
        <v>82</v>
      </c>
      <c r="F486" s="37">
        <v>23.25</v>
      </c>
      <c r="G486" s="39" cm="1">
        <f t="array" ref="G486">F486*_xlfn.XLOOKUP(1,
 (FOREX!$E$2:$E$13=EOMONTH(B486,0))*
 (FOREX!$F$2:$F$13=TRIM(E486)),FOREX!$G$2:$G$13,
 100)</f>
        <v>5.8593487499999997</v>
      </c>
      <c r="H486" t="s">
        <v>1509</v>
      </c>
      <c r="I486" t="s">
        <v>387</v>
      </c>
      <c r="J486" s="35" t="str">
        <f>_xlfn.XLOOKUP(I486,costcategory[Account Code],costcategory[Cost Category],"ERROR")</f>
        <v>Headcount Costs</v>
      </c>
      <c r="K486" s="89" t="str">
        <f t="shared" ref="K486:K521" si="9">_xlfn.XLOOKUP(D486,$AL$2:$AL$25,$AM$2:$AM$25,"ERROR")</f>
        <v>DSC</v>
      </c>
      <c r="L486" s="89" t="str">
        <f>_xlfn.XLOOKUP(K486,Table2[Department],Table2[Group],"ERROR")</f>
        <v>DSC</v>
      </c>
    </row>
    <row r="487" spans="1:12" x14ac:dyDescent="0.2">
      <c r="A487" t="s">
        <v>2</v>
      </c>
      <c r="B487" s="38">
        <v>46173</v>
      </c>
      <c r="C487" s="38">
        <v>46188</v>
      </c>
      <c r="D487" t="s">
        <v>1129</v>
      </c>
      <c r="F487" s="37">
        <v>24.75</v>
      </c>
      <c r="G487" s="39" cm="1">
        <f t="array" ref="G487">F487*_xlfn.XLOOKUP(1,
 (FOREX!$E$2:$E$13=EOMONTH(B487,0))*
 (FOREX!$F$2:$F$13=TRIM(E487)),FOREX!$G$2:$G$13,
 100)</f>
        <v>2475</v>
      </c>
      <c r="H487" t="s">
        <v>1509</v>
      </c>
      <c r="I487" t="s">
        <v>387</v>
      </c>
      <c r="J487" s="35" t="str">
        <f>_xlfn.XLOOKUP(I487,costcategory[Account Code],costcategory[Cost Category],"ERROR")</f>
        <v>Headcount Costs</v>
      </c>
      <c r="K487" s="89" t="str">
        <f t="shared" si="9"/>
        <v>Sales &amp; Pre-Sales</v>
      </c>
      <c r="L487" s="89" t="str">
        <f>_xlfn.XLOOKUP(K487,Table2[Department],Table2[Group],"ERROR")</f>
        <v>Sales &amp; Marketing</v>
      </c>
    </row>
    <row r="488" spans="1:12" x14ac:dyDescent="0.2">
      <c r="A488" t="s">
        <v>2</v>
      </c>
      <c r="B488" s="38">
        <v>46173</v>
      </c>
      <c r="C488" s="38">
        <v>46188</v>
      </c>
      <c r="D488" t="s">
        <v>1133</v>
      </c>
      <c r="F488" s="37">
        <v>29.75</v>
      </c>
      <c r="G488" s="39" cm="1">
        <f t="array" ref="G488">F488*_xlfn.XLOOKUP(1,
 (FOREX!$E$2:$E$13=EOMONTH(B488,0))*
 (FOREX!$F$2:$F$13=TRIM(E488)),FOREX!$G$2:$G$13,
 100)</f>
        <v>2975</v>
      </c>
      <c r="H488" t="s">
        <v>1509</v>
      </c>
      <c r="I488" t="s">
        <v>387</v>
      </c>
      <c r="J488" s="35" t="str">
        <f>_xlfn.XLOOKUP(I488,costcategory[Account Code],costcategory[Cost Category],"ERROR")</f>
        <v>Headcount Costs</v>
      </c>
      <c r="K488" s="89" t="str">
        <f t="shared" si="9"/>
        <v>Finance</v>
      </c>
      <c r="L488" s="89" t="str">
        <f>_xlfn.XLOOKUP(K488,Table2[Department],Table2[Group],"ERROR")</f>
        <v>General &amp; Administrative</v>
      </c>
    </row>
    <row r="489" spans="1:12" x14ac:dyDescent="0.2">
      <c r="A489" t="s">
        <v>2</v>
      </c>
      <c r="B489" s="38">
        <v>46173</v>
      </c>
      <c r="C489" s="38">
        <v>46188</v>
      </c>
      <c r="D489" t="s">
        <v>1134</v>
      </c>
      <c r="F489" s="37">
        <v>29.75</v>
      </c>
      <c r="G489" s="39" cm="1">
        <f t="array" ref="G489">F489*_xlfn.XLOOKUP(1,
 (FOREX!$E$2:$E$13=EOMONTH(B489,0))*
 (FOREX!$F$2:$F$13=TRIM(E489)),FOREX!$G$2:$G$13,
 100)</f>
        <v>2975</v>
      </c>
      <c r="H489" t="s">
        <v>1509</v>
      </c>
      <c r="I489" t="s">
        <v>387</v>
      </c>
      <c r="J489" s="35" t="str">
        <f>_xlfn.XLOOKUP(I489,costcategory[Account Code],costcategory[Cost Category],"ERROR")</f>
        <v>Headcount Costs</v>
      </c>
      <c r="K489" s="89" t="str">
        <f t="shared" si="9"/>
        <v>DSC</v>
      </c>
      <c r="L489" s="89" t="str">
        <f>_xlfn.XLOOKUP(K489,Table2[Department],Table2[Group],"ERROR")</f>
        <v>DSC</v>
      </c>
    </row>
    <row r="490" spans="1:12" x14ac:dyDescent="0.2">
      <c r="A490" t="s">
        <v>2</v>
      </c>
      <c r="B490" s="38">
        <v>46173</v>
      </c>
      <c r="C490" s="38">
        <v>46188</v>
      </c>
      <c r="D490" t="s">
        <v>1136</v>
      </c>
      <c r="F490" s="37">
        <v>29.75</v>
      </c>
      <c r="G490" s="39" cm="1">
        <f t="array" ref="G490">F490*_xlfn.XLOOKUP(1,
 (FOREX!$E$2:$E$13=EOMONTH(B490,0))*
 (FOREX!$F$2:$F$13=TRIM(E490)),FOREX!$G$2:$G$13,
 100)</f>
        <v>2975</v>
      </c>
      <c r="H490" t="s">
        <v>1509</v>
      </c>
      <c r="I490" t="s">
        <v>387</v>
      </c>
      <c r="J490" s="35" t="str">
        <f>_xlfn.XLOOKUP(I490,costcategory[Account Code],costcategory[Cost Category],"ERROR")</f>
        <v>Headcount Costs</v>
      </c>
      <c r="K490" s="89" t="str">
        <f t="shared" si="9"/>
        <v>DSC</v>
      </c>
      <c r="L490" s="89" t="str">
        <f>_xlfn.XLOOKUP(K490,Table2[Department],Table2[Group],"ERROR")</f>
        <v>DSC</v>
      </c>
    </row>
    <row r="491" spans="1:12" x14ac:dyDescent="0.2">
      <c r="A491" t="s">
        <v>2</v>
      </c>
      <c r="B491" s="38">
        <v>46173</v>
      </c>
      <c r="C491" s="38">
        <v>46188</v>
      </c>
      <c r="D491" t="s">
        <v>1137</v>
      </c>
      <c r="F491" s="37">
        <v>28.75</v>
      </c>
      <c r="G491" s="39" cm="1">
        <f t="array" ref="G491">F491*_xlfn.XLOOKUP(1,
 (FOREX!$E$2:$E$13=EOMONTH(B491,0))*
 (FOREX!$F$2:$F$13=TRIM(E491)),FOREX!$G$2:$G$13,
 100)</f>
        <v>2875</v>
      </c>
      <c r="H491" t="s">
        <v>1509</v>
      </c>
      <c r="I491" t="s">
        <v>387</v>
      </c>
      <c r="J491" s="35" t="str">
        <f>_xlfn.XLOOKUP(I491,costcategory[Account Code],costcategory[Cost Category],"ERROR")</f>
        <v>Headcount Costs</v>
      </c>
      <c r="K491" s="89" t="str">
        <f t="shared" si="9"/>
        <v>DSC</v>
      </c>
      <c r="L491" s="89" t="str">
        <f>_xlfn.XLOOKUP(K491,Table2[Department],Table2[Group],"ERROR")</f>
        <v>DSC</v>
      </c>
    </row>
    <row r="492" spans="1:12" x14ac:dyDescent="0.2">
      <c r="A492" t="s">
        <v>2</v>
      </c>
      <c r="B492" s="38">
        <v>46173</v>
      </c>
      <c r="C492" s="38">
        <v>46188</v>
      </c>
      <c r="D492" t="s">
        <v>1139</v>
      </c>
      <c r="F492" s="37">
        <v>29.75</v>
      </c>
      <c r="G492" s="39" cm="1">
        <f t="array" ref="G492">F492*_xlfn.XLOOKUP(1,
 (FOREX!$E$2:$E$13=EOMONTH(B492,0))*
 (FOREX!$F$2:$F$13=TRIM(E492)),FOREX!$G$2:$G$13,
 100)</f>
        <v>2975</v>
      </c>
      <c r="H492" t="s">
        <v>1509</v>
      </c>
      <c r="I492" t="s">
        <v>387</v>
      </c>
      <c r="J492" s="35" t="str">
        <f>_xlfn.XLOOKUP(I492,costcategory[Account Code],costcategory[Cost Category],"ERROR")</f>
        <v>Headcount Costs</v>
      </c>
      <c r="K492" s="89" t="str">
        <f t="shared" si="9"/>
        <v>Business Operation</v>
      </c>
      <c r="L492" s="89" t="str">
        <f>_xlfn.XLOOKUP(K492,Table2[Department],Table2[Group],"ERROR")</f>
        <v>Sales &amp; Marketing</v>
      </c>
    </row>
    <row r="493" spans="1:12" x14ac:dyDescent="0.2">
      <c r="A493" t="s">
        <v>2</v>
      </c>
      <c r="B493" s="38">
        <v>46173</v>
      </c>
      <c r="C493" s="38">
        <v>46188</v>
      </c>
      <c r="D493" t="s">
        <v>1141</v>
      </c>
      <c r="F493" s="37">
        <v>29.75</v>
      </c>
      <c r="G493" s="39" cm="1">
        <f t="array" ref="G493">F493*_xlfn.XLOOKUP(1,
 (FOREX!$E$2:$E$13=EOMONTH(B493,0))*
 (FOREX!$F$2:$F$13=TRIM(E493)),FOREX!$G$2:$G$13,
 100)</f>
        <v>2975</v>
      </c>
      <c r="H493" t="s">
        <v>1509</v>
      </c>
      <c r="I493" t="s">
        <v>387</v>
      </c>
      <c r="J493" s="35" t="str">
        <f>_xlfn.XLOOKUP(I493,costcategory[Account Code],costcategory[Cost Category],"ERROR")</f>
        <v>Headcount Costs</v>
      </c>
      <c r="K493" s="89" t="str">
        <f t="shared" si="9"/>
        <v>DSC</v>
      </c>
      <c r="L493" s="89" t="str">
        <f>_xlfn.XLOOKUP(K493,Table2[Department],Table2[Group],"ERROR")</f>
        <v>DSC</v>
      </c>
    </row>
    <row r="494" spans="1:12" x14ac:dyDescent="0.2">
      <c r="A494" t="s">
        <v>2</v>
      </c>
      <c r="B494" s="38">
        <v>46173</v>
      </c>
      <c r="C494" s="38">
        <v>46188</v>
      </c>
      <c r="D494" t="s">
        <v>1143</v>
      </c>
      <c r="F494" s="37">
        <v>29.75</v>
      </c>
      <c r="G494" s="39" cm="1">
        <f t="array" ref="G494">F494*_xlfn.XLOOKUP(1,
 (FOREX!$E$2:$E$13=EOMONTH(B494,0))*
 (FOREX!$F$2:$F$13=TRIM(E494)),FOREX!$G$2:$G$13,
 100)</f>
        <v>2975</v>
      </c>
      <c r="H494" t="s">
        <v>1509</v>
      </c>
      <c r="I494" t="s">
        <v>387</v>
      </c>
      <c r="J494" s="35" t="str">
        <f>_xlfn.XLOOKUP(I494,costcategory[Account Code],costcategory[Cost Category],"ERROR")</f>
        <v>Headcount Costs</v>
      </c>
      <c r="K494" s="89" t="str">
        <f t="shared" si="9"/>
        <v>DSC</v>
      </c>
      <c r="L494" s="89" t="str">
        <f>_xlfn.XLOOKUP(K494,Table2[Department],Table2[Group],"ERROR")</f>
        <v>DSC</v>
      </c>
    </row>
    <row r="495" spans="1:12" x14ac:dyDescent="0.2">
      <c r="A495" t="s">
        <v>2</v>
      </c>
      <c r="B495" s="38">
        <v>46173</v>
      </c>
      <c r="C495" s="38">
        <v>46188</v>
      </c>
      <c r="D495" t="s">
        <v>1145</v>
      </c>
      <c r="F495" s="37">
        <v>29.75</v>
      </c>
      <c r="G495" s="39" cm="1">
        <f t="array" ref="G495">F495*_xlfn.XLOOKUP(1,
 (FOREX!$E$2:$E$13=EOMONTH(B495,0))*
 (FOREX!$F$2:$F$13=TRIM(E495)),FOREX!$G$2:$G$13,
 100)</f>
        <v>2975</v>
      </c>
      <c r="H495" t="s">
        <v>1509</v>
      </c>
      <c r="I495" t="s">
        <v>387</v>
      </c>
      <c r="J495" s="35" t="str">
        <f>_xlfn.XLOOKUP(I495,costcategory[Account Code],costcategory[Cost Category],"ERROR")</f>
        <v>Headcount Costs</v>
      </c>
      <c r="K495" s="89" t="str">
        <f t="shared" si="9"/>
        <v>DSC</v>
      </c>
      <c r="L495" s="89" t="str">
        <f>_xlfn.XLOOKUP(K495,Table2[Department],Table2[Group],"ERROR")</f>
        <v>DSC</v>
      </c>
    </row>
    <row r="496" spans="1:12" x14ac:dyDescent="0.2">
      <c r="A496" t="s">
        <v>2</v>
      </c>
      <c r="B496" s="38">
        <v>46173</v>
      </c>
      <c r="C496" s="38">
        <v>46188</v>
      </c>
      <c r="D496" t="s">
        <v>1475</v>
      </c>
      <c r="F496" s="37">
        <v>10.25</v>
      </c>
      <c r="G496" s="39" cm="1">
        <f t="array" ref="G496">F496*_xlfn.XLOOKUP(1,
 (FOREX!$E$2:$E$13=EOMONTH(B496,0))*
 (FOREX!$F$2:$F$13=TRIM(E496)),FOREX!$G$2:$G$13,
 100)</f>
        <v>1025</v>
      </c>
      <c r="H496" t="s">
        <v>1509</v>
      </c>
      <c r="I496" t="s">
        <v>387</v>
      </c>
      <c r="J496" s="35" t="str">
        <f>_xlfn.XLOOKUP(I496,costcategory[Account Code],costcategory[Cost Category],"ERROR")</f>
        <v>Headcount Costs</v>
      </c>
      <c r="K496" s="89" t="str">
        <f t="shared" si="9"/>
        <v>DSC</v>
      </c>
      <c r="L496" s="89" t="str">
        <f>_xlfn.XLOOKUP(K496,Table2[Department],Table2[Group],"ERROR")</f>
        <v>DSC</v>
      </c>
    </row>
    <row r="497" spans="1:12" x14ac:dyDescent="0.2">
      <c r="A497" t="s">
        <v>2</v>
      </c>
      <c r="B497" s="38">
        <v>46173</v>
      </c>
      <c r="C497" s="38">
        <v>46188</v>
      </c>
      <c r="D497" t="s">
        <v>1476</v>
      </c>
      <c r="F497" s="37">
        <v>11.25</v>
      </c>
      <c r="G497" s="39" cm="1">
        <f t="array" ref="G497">F497*_xlfn.XLOOKUP(1,
 (FOREX!$E$2:$E$13=EOMONTH(B497,0))*
 (FOREX!$F$2:$F$13=TRIM(E497)),FOREX!$G$2:$G$13,
 100)</f>
        <v>1125</v>
      </c>
      <c r="H497" t="s">
        <v>1509</v>
      </c>
      <c r="I497" t="s">
        <v>387</v>
      </c>
      <c r="J497" s="35" t="str">
        <f>_xlfn.XLOOKUP(I497,costcategory[Account Code],costcategory[Cost Category],"ERROR")</f>
        <v>Headcount Costs</v>
      </c>
      <c r="K497" s="89" t="str">
        <f t="shared" si="9"/>
        <v>DSC</v>
      </c>
      <c r="L497" s="89" t="str">
        <f>_xlfn.XLOOKUP(K497,Table2[Department],Table2[Group],"ERROR")</f>
        <v>DSC</v>
      </c>
    </row>
    <row r="498" spans="1:12" x14ac:dyDescent="0.2">
      <c r="A498" t="s">
        <v>2</v>
      </c>
      <c r="B498" s="38">
        <v>46173</v>
      </c>
      <c r="C498" s="38">
        <v>46188</v>
      </c>
      <c r="D498" t="s">
        <v>1127</v>
      </c>
      <c r="F498" s="37">
        <v>9.3000000000000007</v>
      </c>
      <c r="G498" s="39" cm="1">
        <f t="array" ref="G498">F498*_xlfn.XLOOKUP(1,
 (FOREX!$E$2:$E$13=EOMONTH(B498,0))*
 (FOREX!$F$2:$F$13=TRIM(E498)),FOREX!$G$2:$G$13,
 100)</f>
        <v>930.00000000000011</v>
      </c>
      <c r="H498" t="s">
        <v>1510</v>
      </c>
      <c r="I498" t="s">
        <v>387</v>
      </c>
      <c r="J498" s="35" t="str">
        <f>_xlfn.XLOOKUP(I498,costcategory[Account Code],costcategory[Cost Category],"ERROR")</f>
        <v>Headcount Costs</v>
      </c>
      <c r="K498" s="89" t="str">
        <f t="shared" si="9"/>
        <v>DSC</v>
      </c>
      <c r="L498" s="89" t="str">
        <f>_xlfn.XLOOKUP(K498,Table2[Department],Table2[Group],"ERROR")</f>
        <v>DSC</v>
      </c>
    </row>
    <row r="499" spans="1:12" x14ac:dyDescent="0.2">
      <c r="A499" t="s">
        <v>2</v>
      </c>
      <c r="B499" s="38">
        <v>46173</v>
      </c>
      <c r="C499" s="38">
        <v>46188</v>
      </c>
      <c r="D499" t="s">
        <v>1129</v>
      </c>
      <c r="F499" s="37">
        <v>9.9</v>
      </c>
      <c r="G499" s="39" cm="1">
        <f t="array" ref="G499">F499*_xlfn.XLOOKUP(1,
 (FOREX!$E$2:$E$13=EOMONTH(B499,0))*
 (FOREX!$F$2:$F$13=TRIM(E499)),FOREX!$G$2:$G$13,
 100)</f>
        <v>990</v>
      </c>
      <c r="H499" t="s">
        <v>1510</v>
      </c>
      <c r="I499" t="s">
        <v>387</v>
      </c>
      <c r="J499" s="35" t="str">
        <f>_xlfn.XLOOKUP(I499,costcategory[Account Code],costcategory[Cost Category],"ERROR")</f>
        <v>Headcount Costs</v>
      </c>
      <c r="K499" s="89" t="str">
        <f t="shared" si="9"/>
        <v>Sales &amp; Pre-Sales</v>
      </c>
      <c r="L499" s="89" t="str">
        <f>_xlfn.XLOOKUP(K499,Table2[Department],Table2[Group],"ERROR")</f>
        <v>Sales &amp; Marketing</v>
      </c>
    </row>
    <row r="500" spans="1:12" x14ac:dyDescent="0.2">
      <c r="A500" t="s">
        <v>2</v>
      </c>
      <c r="B500" s="38">
        <v>46173</v>
      </c>
      <c r="C500" s="38">
        <v>46188</v>
      </c>
      <c r="D500" t="s">
        <v>1133</v>
      </c>
      <c r="F500" s="37">
        <v>11.9</v>
      </c>
      <c r="G500" s="39" cm="1">
        <f t="array" ref="G500">F500*_xlfn.XLOOKUP(1,
 (FOREX!$E$2:$E$13=EOMONTH(B500,0))*
 (FOREX!$F$2:$F$13=TRIM(E500)),FOREX!$G$2:$G$13,
 100)</f>
        <v>1190</v>
      </c>
      <c r="H500" t="s">
        <v>1510</v>
      </c>
      <c r="I500" t="s">
        <v>387</v>
      </c>
      <c r="J500" s="35" t="str">
        <f>_xlfn.XLOOKUP(I500,costcategory[Account Code],costcategory[Cost Category],"ERROR")</f>
        <v>Headcount Costs</v>
      </c>
      <c r="K500" s="89" t="str">
        <f t="shared" si="9"/>
        <v>Finance</v>
      </c>
      <c r="L500" s="89" t="str">
        <f>_xlfn.XLOOKUP(K500,Table2[Department],Table2[Group],"ERROR")</f>
        <v>General &amp; Administrative</v>
      </c>
    </row>
    <row r="501" spans="1:12" x14ac:dyDescent="0.2">
      <c r="A501" t="s">
        <v>2</v>
      </c>
      <c r="B501" s="38">
        <v>46173</v>
      </c>
      <c r="C501" s="38">
        <v>46188</v>
      </c>
      <c r="D501" t="s">
        <v>1134</v>
      </c>
      <c r="F501" s="37">
        <v>11.9</v>
      </c>
      <c r="G501" s="39" cm="1">
        <f t="array" ref="G501">F501*_xlfn.XLOOKUP(1,
 (FOREX!$E$2:$E$13=EOMONTH(B501,0))*
 (FOREX!$F$2:$F$13=TRIM(E501)),FOREX!$G$2:$G$13,
 100)</f>
        <v>1190</v>
      </c>
      <c r="H501" t="s">
        <v>1510</v>
      </c>
      <c r="I501" t="s">
        <v>387</v>
      </c>
      <c r="J501" s="35" t="str">
        <f>_xlfn.XLOOKUP(I501,costcategory[Account Code],costcategory[Cost Category],"ERROR")</f>
        <v>Headcount Costs</v>
      </c>
      <c r="K501" s="89" t="str">
        <f t="shared" si="9"/>
        <v>DSC</v>
      </c>
      <c r="L501" s="89" t="str">
        <f>_xlfn.XLOOKUP(K501,Table2[Department],Table2[Group],"ERROR")</f>
        <v>DSC</v>
      </c>
    </row>
    <row r="502" spans="1:12" x14ac:dyDescent="0.2">
      <c r="A502" t="s">
        <v>2</v>
      </c>
      <c r="B502" s="38">
        <v>46173</v>
      </c>
      <c r="C502" s="38">
        <v>46188</v>
      </c>
      <c r="D502" t="s">
        <v>1136</v>
      </c>
      <c r="F502" s="37">
        <v>11.9</v>
      </c>
      <c r="G502" s="39" cm="1">
        <f t="array" ref="G502">F502*_xlfn.XLOOKUP(1,
 (FOREX!$E$2:$E$13=EOMONTH(B502,0))*
 (FOREX!$F$2:$F$13=TRIM(E502)),FOREX!$G$2:$G$13,
 100)</f>
        <v>1190</v>
      </c>
      <c r="H502" t="s">
        <v>1510</v>
      </c>
      <c r="I502" t="s">
        <v>387</v>
      </c>
      <c r="J502" s="35" t="str">
        <f>_xlfn.XLOOKUP(I502,costcategory[Account Code],costcategory[Cost Category],"ERROR")</f>
        <v>Headcount Costs</v>
      </c>
      <c r="K502" s="89" t="str">
        <f t="shared" si="9"/>
        <v>DSC</v>
      </c>
      <c r="L502" s="89" t="str">
        <f>_xlfn.XLOOKUP(K502,Table2[Department],Table2[Group],"ERROR")</f>
        <v>DSC</v>
      </c>
    </row>
    <row r="503" spans="1:12" x14ac:dyDescent="0.2">
      <c r="A503" t="s">
        <v>2</v>
      </c>
      <c r="B503" s="38">
        <v>46173</v>
      </c>
      <c r="C503" s="38">
        <v>46188</v>
      </c>
      <c r="D503" t="s">
        <v>1137</v>
      </c>
      <c r="F503" s="37">
        <v>11.5</v>
      </c>
      <c r="G503" s="39" cm="1">
        <f t="array" ref="G503">F503*_xlfn.XLOOKUP(1,
 (FOREX!$E$2:$E$13=EOMONTH(B503,0))*
 (FOREX!$F$2:$F$13=TRIM(E503)),FOREX!$G$2:$G$13,
 100)</f>
        <v>1150</v>
      </c>
      <c r="H503" t="s">
        <v>1510</v>
      </c>
      <c r="I503" t="s">
        <v>387</v>
      </c>
      <c r="J503" s="35" t="str">
        <f>_xlfn.XLOOKUP(I503,costcategory[Account Code],costcategory[Cost Category],"ERROR")</f>
        <v>Headcount Costs</v>
      </c>
      <c r="K503" s="89" t="str">
        <f t="shared" si="9"/>
        <v>DSC</v>
      </c>
      <c r="L503" s="89" t="str">
        <f>_xlfn.XLOOKUP(K503,Table2[Department],Table2[Group],"ERROR")</f>
        <v>DSC</v>
      </c>
    </row>
    <row r="504" spans="1:12" x14ac:dyDescent="0.2">
      <c r="A504" t="s">
        <v>2</v>
      </c>
      <c r="B504" s="38">
        <v>46173</v>
      </c>
      <c r="C504" s="38">
        <v>46188</v>
      </c>
      <c r="D504" t="s">
        <v>1139</v>
      </c>
      <c r="F504" s="37">
        <v>0</v>
      </c>
      <c r="G504" s="39" cm="1">
        <f t="array" ref="G504">F504*_xlfn.XLOOKUP(1,
 (FOREX!$E$2:$E$13=EOMONTH(B504,0))*
 (FOREX!$F$2:$F$13=TRIM(E504)),FOREX!$G$2:$G$13,
 100)</f>
        <v>0</v>
      </c>
      <c r="H504" t="s">
        <v>1510</v>
      </c>
      <c r="I504" t="s">
        <v>387</v>
      </c>
      <c r="J504" s="35" t="str">
        <f>_xlfn.XLOOKUP(I504,costcategory[Account Code],costcategory[Cost Category],"ERROR")</f>
        <v>Headcount Costs</v>
      </c>
      <c r="K504" s="89" t="str">
        <f t="shared" si="9"/>
        <v>Business Operation</v>
      </c>
      <c r="L504" s="89" t="str">
        <f>_xlfn.XLOOKUP(K504,Table2[Department],Table2[Group],"ERROR")</f>
        <v>Sales &amp; Marketing</v>
      </c>
    </row>
    <row r="505" spans="1:12" x14ac:dyDescent="0.2">
      <c r="A505" t="s">
        <v>2</v>
      </c>
      <c r="B505" s="38">
        <v>46173</v>
      </c>
      <c r="C505" s="38">
        <v>46188</v>
      </c>
      <c r="D505" t="s">
        <v>1141</v>
      </c>
      <c r="F505" s="37">
        <v>11.9</v>
      </c>
      <c r="G505" s="39" cm="1">
        <f t="array" ref="G505">F505*_xlfn.XLOOKUP(1,
 (FOREX!$E$2:$E$13=EOMONTH(B505,0))*
 (FOREX!$F$2:$F$13=TRIM(E505)),FOREX!$G$2:$G$13,
 100)</f>
        <v>1190</v>
      </c>
      <c r="H505" t="s">
        <v>1510</v>
      </c>
      <c r="I505" t="s">
        <v>387</v>
      </c>
      <c r="J505" s="35" t="str">
        <f>_xlfn.XLOOKUP(I505,costcategory[Account Code],costcategory[Cost Category],"ERROR")</f>
        <v>Headcount Costs</v>
      </c>
      <c r="K505" s="89" t="str">
        <f t="shared" si="9"/>
        <v>DSC</v>
      </c>
      <c r="L505" s="89" t="str">
        <f>_xlfn.XLOOKUP(K505,Table2[Department],Table2[Group],"ERROR")</f>
        <v>DSC</v>
      </c>
    </row>
    <row r="506" spans="1:12" x14ac:dyDescent="0.2">
      <c r="A506" t="s">
        <v>2</v>
      </c>
      <c r="B506" s="38">
        <v>46173</v>
      </c>
      <c r="C506" s="38">
        <v>46188</v>
      </c>
      <c r="D506" t="s">
        <v>1143</v>
      </c>
      <c r="F506" s="37">
        <v>11.9</v>
      </c>
      <c r="G506" s="39" cm="1">
        <f t="array" ref="G506">F506*_xlfn.XLOOKUP(1,
 (FOREX!$E$2:$E$13=EOMONTH(B506,0))*
 (FOREX!$F$2:$F$13=TRIM(E506)),FOREX!$G$2:$G$13,
 100)</f>
        <v>1190</v>
      </c>
      <c r="H506" t="s">
        <v>1510</v>
      </c>
      <c r="I506" t="s">
        <v>387</v>
      </c>
      <c r="J506" s="35" t="str">
        <f>_xlfn.XLOOKUP(I506,costcategory[Account Code],costcategory[Cost Category],"ERROR")</f>
        <v>Headcount Costs</v>
      </c>
      <c r="K506" s="89" t="str">
        <f t="shared" si="9"/>
        <v>DSC</v>
      </c>
      <c r="L506" s="89" t="str">
        <f>_xlfn.XLOOKUP(K506,Table2[Department],Table2[Group],"ERROR")</f>
        <v>DSC</v>
      </c>
    </row>
    <row r="507" spans="1:12" x14ac:dyDescent="0.2">
      <c r="A507" t="s">
        <v>2</v>
      </c>
      <c r="B507" s="38">
        <v>46173</v>
      </c>
      <c r="C507" s="38">
        <v>46188</v>
      </c>
      <c r="D507" t="s">
        <v>1145</v>
      </c>
      <c r="F507" s="37">
        <v>11.9</v>
      </c>
      <c r="G507" s="39" cm="1">
        <f t="array" ref="G507">F507*_xlfn.XLOOKUP(1,
 (FOREX!$E$2:$E$13=EOMONTH(B507,0))*
 (FOREX!$F$2:$F$13=TRIM(E507)),FOREX!$G$2:$G$13,
 100)</f>
        <v>1190</v>
      </c>
      <c r="H507" t="s">
        <v>1510</v>
      </c>
      <c r="I507" t="s">
        <v>387</v>
      </c>
      <c r="J507" s="35" t="str">
        <f>_xlfn.XLOOKUP(I507,costcategory[Account Code],costcategory[Cost Category],"ERROR")</f>
        <v>Headcount Costs</v>
      </c>
      <c r="K507" s="89" t="str">
        <f t="shared" si="9"/>
        <v>DSC</v>
      </c>
      <c r="L507" s="89" t="str">
        <f>_xlfn.XLOOKUP(K507,Table2[Department],Table2[Group],"ERROR")</f>
        <v>DSC</v>
      </c>
    </row>
    <row r="508" spans="1:12" x14ac:dyDescent="0.2">
      <c r="A508" t="s">
        <v>2</v>
      </c>
      <c r="B508" s="38">
        <v>46173</v>
      </c>
      <c r="C508" s="38">
        <v>46188</v>
      </c>
      <c r="D508" t="s">
        <v>1475</v>
      </c>
      <c r="F508" s="37">
        <v>4.0999999999999996</v>
      </c>
      <c r="G508" s="39" cm="1">
        <f t="array" ref="G508">F508*_xlfn.XLOOKUP(1,
 (FOREX!$E$2:$E$13=EOMONTH(B508,0))*
 (FOREX!$F$2:$F$13=TRIM(E508)),FOREX!$G$2:$G$13,
 100)</f>
        <v>409.99999999999994</v>
      </c>
      <c r="H508" t="s">
        <v>1510</v>
      </c>
      <c r="I508" t="s">
        <v>387</v>
      </c>
      <c r="J508" s="35" t="str">
        <f>_xlfn.XLOOKUP(I508,costcategory[Account Code],costcategory[Cost Category],"ERROR")</f>
        <v>Headcount Costs</v>
      </c>
      <c r="K508" s="89" t="str">
        <f t="shared" si="9"/>
        <v>DSC</v>
      </c>
      <c r="L508" s="89" t="str">
        <f>_xlfn.XLOOKUP(K508,Table2[Department],Table2[Group],"ERROR")</f>
        <v>DSC</v>
      </c>
    </row>
    <row r="509" spans="1:12" x14ac:dyDescent="0.2">
      <c r="A509" t="s">
        <v>2</v>
      </c>
      <c r="B509" s="38">
        <v>46173</v>
      </c>
      <c r="C509" s="38">
        <v>46188</v>
      </c>
      <c r="D509" t="s">
        <v>1476</v>
      </c>
      <c r="F509" s="37">
        <v>4.5</v>
      </c>
      <c r="G509" s="39" cm="1">
        <f t="array" ref="G509">F509*_xlfn.XLOOKUP(1,
 (FOREX!$E$2:$E$13=EOMONTH(B509,0))*
 (FOREX!$F$2:$F$13=TRIM(E509)),FOREX!$G$2:$G$13,
 100)</f>
        <v>450</v>
      </c>
      <c r="H509" t="s">
        <v>1510</v>
      </c>
      <c r="I509" t="s">
        <v>387</v>
      </c>
      <c r="J509" s="35" t="str">
        <f>_xlfn.XLOOKUP(I509,costcategory[Account Code],costcategory[Cost Category],"ERROR")</f>
        <v>Headcount Costs</v>
      </c>
      <c r="K509" s="89" t="str">
        <f t="shared" si="9"/>
        <v>DSC</v>
      </c>
      <c r="L509" s="89" t="str">
        <f>_xlfn.XLOOKUP(K509,Table2[Department],Table2[Group],"ERROR")</f>
        <v>DSC</v>
      </c>
    </row>
    <row r="510" spans="1:12" x14ac:dyDescent="0.2">
      <c r="A510" t="s">
        <v>2</v>
      </c>
      <c r="B510" s="38">
        <v>46173</v>
      </c>
      <c r="C510" s="38">
        <v>46188</v>
      </c>
      <c r="D510" t="s">
        <v>1127</v>
      </c>
      <c r="F510" s="37">
        <v>91.4</v>
      </c>
      <c r="G510" s="39" cm="1">
        <f t="array" ref="G510">F510*_xlfn.XLOOKUP(1,
 (FOREX!$E$2:$E$13=EOMONTH(B510,0))*
 (FOREX!$F$2:$F$13=TRIM(E510)),FOREX!$G$2:$G$13,
 100)</f>
        <v>9140</v>
      </c>
      <c r="H510" t="s">
        <v>1511</v>
      </c>
      <c r="I510" t="s">
        <v>387</v>
      </c>
      <c r="J510" s="35" t="str">
        <f>_xlfn.XLOOKUP(I510,costcategory[Account Code],costcategory[Cost Category],"ERROR")</f>
        <v>Headcount Costs</v>
      </c>
      <c r="K510" s="89" t="str">
        <f t="shared" si="9"/>
        <v>DSC</v>
      </c>
      <c r="L510" s="89" t="str">
        <f>_xlfn.XLOOKUP(K510,Table2[Department],Table2[Group],"ERROR")</f>
        <v>DSC</v>
      </c>
    </row>
    <row r="511" spans="1:12" x14ac:dyDescent="0.2">
      <c r="A511" t="s">
        <v>2</v>
      </c>
      <c r="B511" s="38">
        <v>46173</v>
      </c>
      <c r="C511" s="38">
        <v>46188</v>
      </c>
      <c r="D511" t="s">
        <v>1129</v>
      </c>
      <c r="F511" s="37">
        <v>109.8</v>
      </c>
      <c r="G511" s="39" cm="1">
        <f t="array" ref="G511">F511*_xlfn.XLOOKUP(1,
 (FOREX!$E$2:$E$13=EOMONTH(B511,0))*
 (FOREX!$F$2:$F$13=TRIM(E511)),FOREX!$G$2:$G$13,
 100)</f>
        <v>10980</v>
      </c>
      <c r="H511" t="s">
        <v>1511</v>
      </c>
      <c r="I511" t="s">
        <v>387</v>
      </c>
      <c r="J511" s="35" t="str">
        <f>_xlfn.XLOOKUP(I511,costcategory[Account Code],costcategory[Cost Category],"ERROR")</f>
        <v>Headcount Costs</v>
      </c>
      <c r="K511" s="89" t="str">
        <f t="shared" si="9"/>
        <v>Sales &amp; Pre-Sales</v>
      </c>
      <c r="L511" s="89" t="str">
        <f>_xlfn.XLOOKUP(K511,Table2[Department],Table2[Group],"ERROR")</f>
        <v>Sales &amp; Marketing</v>
      </c>
    </row>
    <row r="512" spans="1:12" x14ac:dyDescent="0.2">
      <c r="A512" t="s">
        <v>2</v>
      </c>
      <c r="B512" s="38">
        <v>46173</v>
      </c>
      <c r="C512" s="38">
        <v>46188</v>
      </c>
      <c r="D512" t="s">
        <v>1133</v>
      </c>
      <c r="F512" s="37">
        <v>1688.15</v>
      </c>
      <c r="G512" s="39" cm="1">
        <f t="array" ref="G512">F512*_xlfn.XLOOKUP(1,
 (FOREX!$E$2:$E$13=EOMONTH(B512,0))*
 (FOREX!$F$2:$F$13=TRIM(E512)),FOREX!$G$2:$G$13,
 100)</f>
        <v>168815</v>
      </c>
      <c r="H512" t="s">
        <v>1511</v>
      </c>
      <c r="I512" t="s">
        <v>387</v>
      </c>
      <c r="J512" s="35" t="str">
        <f>_xlfn.XLOOKUP(I512,costcategory[Account Code],costcategory[Cost Category],"ERROR")</f>
        <v>Headcount Costs</v>
      </c>
      <c r="K512" s="89" t="str">
        <f t="shared" si="9"/>
        <v>Finance</v>
      </c>
      <c r="L512" s="89" t="str">
        <f>_xlfn.XLOOKUP(K512,Table2[Department],Table2[Group],"ERROR")</f>
        <v>General &amp; Administrative</v>
      </c>
    </row>
    <row r="513" spans="1:12" x14ac:dyDescent="0.2">
      <c r="A513" t="s">
        <v>2</v>
      </c>
      <c r="B513" s="38">
        <v>46173</v>
      </c>
      <c r="C513" s="38">
        <v>46188</v>
      </c>
      <c r="D513" t="s">
        <v>1134</v>
      </c>
      <c r="F513" s="37">
        <v>5032.5</v>
      </c>
      <c r="G513" s="39" cm="1">
        <f t="array" ref="G513">F513*_xlfn.XLOOKUP(1,
 (FOREX!$E$2:$E$13=EOMONTH(B513,0))*
 (FOREX!$F$2:$F$13=TRIM(E513)),FOREX!$G$2:$G$13,
 100)</f>
        <v>503250</v>
      </c>
      <c r="H513" t="s">
        <v>1511</v>
      </c>
      <c r="I513" t="s">
        <v>387</v>
      </c>
      <c r="J513" s="35" t="str">
        <f>_xlfn.XLOOKUP(I513,costcategory[Account Code],costcategory[Cost Category],"ERROR")</f>
        <v>Headcount Costs</v>
      </c>
      <c r="K513" s="89" t="str">
        <f t="shared" si="9"/>
        <v>DSC</v>
      </c>
      <c r="L513" s="89" t="str">
        <f>_xlfn.XLOOKUP(K513,Table2[Department],Table2[Group],"ERROR")</f>
        <v>DSC</v>
      </c>
    </row>
    <row r="514" spans="1:12" x14ac:dyDescent="0.2">
      <c r="A514" t="s">
        <v>2</v>
      </c>
      <c r="B514" s="38">
        <v>46173</v>
      </c>
      <c r="C514" s="38">
        <v>46188</v>
      </c>
      <c r="D514" t="s">
        <v>1136</v>
      </c>
      <c r="F514" s="37">
        <v>2811.25</v>
      </c>
      <c r="G514" s="39" cm="1">
        <f t="array" ref="G514">F514*_xlfn.XLOOKUP(1,
 (FOREX!$E$2:$E$13=EOMONTH(B514,0))*
 (FOREX!$F$2:$F$13=TRIM(E514)),FOREX!$G$2:$G$13,
 100)</f>
        <v>281125</v>
      </c>
      <c r="H514" t="s">
        <v>1511</v>
      </c>
      <c r="I514" t="s">
        <v>387</v>
      </c>
      <c r="J514" s="35" t="str">
        <f>_xlfn.XLOOKUP(I514,costcategory[Account Code],costcategory[Cost Category],"ERROR")</f>
        <v>Headcount Costs</v>
      </c>
      <c r="K514" s="89" t="str">
        <f t="shared" si="9"/>
        <v>DSC</v>
      </c>
      <c r="L514" s="89" t="str">
        <f>_xlfn.XLOOKUP(K514,Table2[Department],Table2[Group],"ERROR")</f>
        <v>DSC</v>
      </c>
    </row>
    <row r="515" spans="1:12" x14ac:dyDescent="0.2">
      <c r="A515" t="s">
        <v>2</v>
      </c>
      <c r="B515" s="38">
        <v>46173</v>
      </c>
      <c r="C515" s="38">
        <v>46188</v>
      </c>
      <c r="D515" t="s">
        <v>1137</v>
      </c>
      <c r="F515" s="37">
        <v>181.65</v>
      </c>
      <c r="G515" s="39" cm="1">
        <f t="array" ref="G515">F515*_xlfn.XLOOKUP(1,
 (FOREX!$E$2:$E$13=EOMONTH(B515,0))*
 (FOREX!$F$2:$F$13=TRIM(E515)),FOREX!$G$2:$G$13,
 100)</f>
        <v>18165</v>
      </c>
      <c r="H515" t="s">
        <v>1511</v>
      </c>
      <c r="I515" t="s">
        <v>387</v>
      </c>
      <c r="J515" s="35" t="str">
        <f>_xlfn.XLOOKUP(I515,costcategory[Account Code],costcategory[Cost Category],"ERROR")</f>
        <v>Headcount Costs</v>
      </c>
      <c r="K515" s="89" t="str">
        <f t="shared" si="9"/>
        <v>DSC</v>
      </c>
      <c r="L515" s="89" t="str">
        <f>_xlfn.XLOOKUP(K515,Table2[Department],Table2[Group],"ERROR")</f>
        <v>DSC</v>
      </c>
    </row>
    <row r="516" spans="1:12" x14ac:dyDescent="0.2">
      <c r="A516" t="s">
        <v>2</v>
      </c>
      <c r="B516" s="38">
        <v>46173</v>
      </c>
      <c r="C516" s="38">
        <v>46188</v>
      </c>
      <c r="D516" t="s">
        <v>1139</v>
      </c>
      <c r="F516" s="37">
        <v>3304.15</v>
      </c>
      <c r="G516" s="39" cm="1">
        <f t="array" ref="G516">F516*_xlfn.XLOOKUP(1,
 (FOREX!$E$2:$E$13=EOMONTH(B516,0))*
 (FOREX!$F$2:$F$13=TRIM(E516)),FOREX!$G$2:$G$13,
 100)</f>
        <v>330415</v>
      </c>
      <c r="H516" t="s">
        <v>1511</v>
      </c>
      <c r="I516" t="s">
        <v>387</v>
      </c>
      <c r="J516" s="35" t="str">
        <f>_xlfn.XLOOKUP(I516,costcategory[Account Code],costcategory[Cost Category],"ERROR")</f>
        <v>Headcount Costs</v>
      </c>
      <c r="K516" s="89" t="str">
        <f t="shared" si="9"/>
        <v>Business Operation</v>
      </c>
      <c r="L516" s="89" t="str">
        <f>_xlfn.XLOOKUP(K516,Table2[Department],Table2[Group],"ERROR")</f>
        <v>Sales &amp; Marketing</v>
      </c>
    </row>
    <row r="517" spans="1:12" x14ac:dyDescent="0.2">
      <c r="A517" t="s">
        <v>2</v>
      </c>
      <c r="B517" s="38">
        <v>46173</v>
      </c>
      <c r="C517" s="38">
        <v>46188</v>
      </c>
      <c r="D517" t="s">
        <v>1141</v>
      </c>
      <c r="F517" s="37">
        <v>6490</v>
      </c>
      <c r="G517" s="39" cm="1">
        <f t="array" ref="G517">F517*_xlfn.XLOOKUP(1,
 (FOREX!$E$2:$E$13=EOMONTH(B517,0))*
 (FOREX!$F$2:$F$13=TRIM(E517)),FOREX!$G$2:$G$13,
 100)</f>
        <v>649000</v>
      </c>
      <c r="H517" t="s">
        <v>1511</v>
      </c>
      <c r="I517" t="s">
        <v>387</v>
      </c>
      <c r="J517" s="35" t="str">
        <f>_xlfn.XLOOKUP(I517,costcategory[Account Code],costcategory[Cost Category],"ERROR")</f>
        <v>Headcount Costs</v>
      </c>
      <c r="K517" s="89" t="str">
        <f t="shared" si="9"/>
        <v>DSC</v>
      </c>
      <c r="L517" s="89" t="str">
        <f>_xlfn.XLOOKUP(K517,Table2[Department],Table2[Group],"ERROR")</f>
        <v>DSC</v>
      </c>
    </row>
    <row r="518" spans="1:12" x14ac:dyDescent="0.2">
      <c r="A518" t="s">
        <v>2</v>
      </c>
      <c r="B518" s="38">
        <v>46173</v>
      </c>
      <c r="C518" s="38">
        <v>46188</v>
      </c>
      <c r="D518" t="s">
        <v>1143</v>
      </c>
      <c r="F518" s="37">
        <v>343.15</v>
      </c>
      <c r="G518" s="39" cm="1">
        <f t="array" ref="G518">F518*_xlfn.XLOOKUP(1,
 (FOREX!$E$2:$E$13=EOMONTH(B518,0))*
 (FOREX!$F$2:$F$13=TRIM(E518)),FOREX!$G$2:$G$13,
 100)</f>
        <v>34315</v>
      </c>
      <c r="H518" t="s">
        <v>1511</v>
      </c>
      <c r="I518" t="s">
        <v>387</v>
      </c>
      <c r="J518" s="35" t="str">
        <f>_xlfn.XLOOKUP(I518,costcategory[Account Code],costcategory[Cost Category],"ERROR")</f>
        <v>Headcount Costs</v>
      </c>
      <c r="K518" s="89" t="str">
        <f t="shared" si="9"/>
        <v>DSC</v>
      </c>
      <c r="L518" s="89" t="str">
        <f>_xlfn.XLOOKUP(K518,Table2[Department],Table2[Group],"ERROR")</f>
        <v>DSC</v>
      </c>
    </row>
    <row r="519" spans="1:12" x14ac:dyDescent="0.2">
      <c r="A519" t="s">
        <v>2</v>
      </c>
      <c r="B519" s="38">
        <v>46173</v>
      </c>
      <c r="C519" s="38">
        <v>46188</v>
      </c>
      <c r="D519" t="s">
        <v>1145</v>
      </c>
      <c r="F519" s="37">
        <v>218.5</v>
      </c>
      <c r="G519" s="39" cm="1">
        <f t="array" ref="G519">F519*_xlfn.XLOOKUP(1,
 (FOREX!$E$2:$E$13=EOMONTH(B519,0))*
 (FOREX!$F$2:$F$13=TRIM(E519)),FOREX!$G$2:$G$13,
 100)</f>
        <v>21850</v>
      </c>
      <c r="H519" t="s">
        <v>1511</v>
      </c>
      <c r="I519" t="s">
        <v>387</v>
      </c>
      <c r="J519" s="35" t="str">
        <f>_xlfn.XLOOKUP(I519,costcategory[Account Code],costcategory[Cost Category],"ERROR")</f>
        <v>Headcount Costs</v>
      </c>
      <c r="K519" s="89" t="str">
        <f t="shared" si="9"/>
        <v>DSC</v>
      </c>
      <c r="L519" s="89" t="str">
        <f>_xlfn.XLOOKUP(K519,Table2[Department],Table2[Group],"ERROR")</f>
        <v>DSC</v>
      </c>
    </row>
    <row r="520" spans="1:12" x14ac:dyDescent="0.2">
      <c r="A520" t="s">
        <v>2</v>
      </c>
      <c r="B520" s="38">
        <v>46173</v>
      </c>
      <c r="C520" s="38">
        <v>46188</v>
      </c>
      <c r="D520" t="s">
        <v>1475</v>
      </c>
      <c r="F520" s="37">
        <v>0</v>
      </c>
      <c r="G520" s="39" cm="1">
        <f t="array" ref="G520">F520*_xlfn.XLOOKUP(1,
 (FOREX!$E$2:$E$13=EOMONTH(B520,0))*
 (FOREX!$F$2:$F$13=TRIM(E520)),FOREX!$G$2:$G$13,
 100)</f>
        <v>0</v>
      </c>
      <c r="H520" t="s">
        <v>1511</v>
      </c>
      <c r="I520" t="s">
        <v>387</v>
      </c>
      <c r="J520" s="35" t="str">
        <f>_xlfn.XLOOKUP(I520,costcategory[Account Code],costcategory[Cost Category],"ERROR")</f>
        <v>Headcount Costs</v>
      </c>
      <c r="K520" s="89" t="str">
        <f t="shared" si="9"/>
        <v>DSC</v>
      </c>
      <c r="L520" s="89" t="str">
        <f>_xlfn.XLOOKUP(K520,Table2[Department],Table2[Group],"ERROR")</f>
        <v>DSC</v>
      </c>
    </row>
    <row r="521" spans="1:12" x14ac:dyDescent="0.2">
      <c r="A521" t="s">
        <v>2</v>
      </c>
      <c r="B521" s="38">
        <v>46173</v>
      </c>
      <c r="C521" s="38">
        <v>46188</v>
      </c>
      <c r="D521" t="s">
        <v>1476</v>
      </c>
      <c r="F521" s="37">
        <v>0</v>
      </c>
      <c r="G521" s="39" cm="1">
        <f t="array" ref="G521">F521*_xlfn.XLOOKUP(1,
 (FOREX!$E$2:$E$13=EOMONTH(B521,0))*
 (FOREX!$F$2:$F$13=TRIM(E521)),FOREX!$G$2:$G$13,
 100)</f>
        <v>0</v>
      </c>
      <c r="H521" t="s">
        <v>1511</v>
      </c>
      <c r="I521" t="s">
        <v>387</v>
      </c>
      <c r="J521" s="35" t="str">
        <f>_xlfn.XLOOKUP(I521,costcategory[Account Code],costcategory[Cost Category],"ERROR")</f>
        <v>Headcount Costs</v>
      </c>
      <c r="K521" s="89" t="str">
        <f t="shared" si="9"/>
        <v>DSC</v>
      </c>
      <c r="L521" s="89" t="str">
        <f>_xlfn.XLOOKUP(K521,Table2[Department],Table2[Group],"ERROR")</f>
        <v>DSC</v>
      </c>
    </row>
  </sheetData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6E975A-DF62-403F-AD4A-73117224F560}">
          <x14:formula1>
            <xm:f>Setting!$D$2:$D$16</xm:f>
          </x14:formula1>
          <xm:sqref>AM2:AM1048576</xm:sqref>
        </x14:dataValidation>
        <x14:dataValidation type="list" allowBlank="1" showInputMessage="1" showErrorMessage="1" xr:uid="{1BDBA8BE-B6E4-431A-BE85-10D1444E8185}">
          <x14:formula1>
            <xm:f>Setting!$B$2:$B$93</xm:f>
          </x14:formula1>
          <xm:sqref>I2:I1048576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2B8F-9928-48C9-9965-2D02F243B233}">
  <sheetPr>
    <pageSetUpPr fitToPage="1"/>
  </sheetPr>
  <dimension ref="A3:N149"/>
  <sheetViews>
    <sheetView topLeftCell="A124" workbookViewId="0">
      <selection activeCell="H120" sqref="H120"/>
    </sheetView>
  </sheetViews>
  <sheetFormatPr defaultRowHeight="12.75" x14ac:dyDescent="0.2"/>
  <cols>
    <col min="1" max="1" width="29.140625" bestFit="1" customWidth="1"/>
    <col min="2" max="2" width="14.5703125" bestFit="1" customWidth="1"/>
    <col min="3" max="3" width="10" bestFit="1" customWidth="1"/>
    <col min="4" max="4" width="11" bestFit="1" customWidth="1"/>
    <col min="5" max="6" width="9" bestFit="1" customWidth="1"/>
    <col min="7" max="7" width="10" bestFit="1" customWidth="1"/>
    <col min="8" max="8" width="11" bestFit="1" customWidth="1"/>
    <col min="9" max="9" width="10" bestFit="1" customWidth="1"/>
    <col min="10" max="10" width="11" bestFit="1" customWidth="1"/>
    <col min="11" max="11" width="10" bestFit="1" customWidth="1"/>
    <col min="12" max="12" width="9" bestFit="1" customWidth="1"/>
    <col min="13" max="13" width="7" bestFit="1" customWidth="1"/>
    <col min="14" max="14" width="11" bestFit="1" customWidth="1"/>
  </cols>
  <sheetData>
    <row r="3" spans="1:14" x14ac:dyDescent="0.2">
      <c r="A3" s="64" t="s">
        <v>11</v>
      </c>
      <c r="B3" s="64" t="s">
        <v>40</v>
      </c>
    </row>
    <row r="4" spans="1:14" x14ac:dyDescent="0.2">
      <c r="B4" t="s">
        <v>9</v>
      </c>
      <c r="C4" t="s">
        <v>26</v>
      </c>
      <c r="D4" t="s">
        <v>27</v>
      </c>
      <c r="I4" t="s">
        <v>36</v>
      </c>
      <c r="K4" t="s">
        <v>12</v>
      </c>
      <c r="M4" t="s">
        <v>13</v>
      </c>
      <c r="N4" t="s">
        <v>19</v>
      </c>
    </row>
    <row r="5" spans="1:14" x14ac:dyDescent="0.2">
      <c r="B5" t="s">
        <v>1457</v>
      </c>
      <c r="C5" t="s">
        <v>1512</v>
      </c>
      <c r="D5" t="s">
        <v>1513</v>
      </c>
      <c r="E5" t="s">
        <v>1514</v>
      </c>
      <c r="F5" t="s">
        <v>1515</v>
      </c>
      <c r="G5" t="s">
        <v>1516</v>
      </c>
      <c r="H5" t="s">
        <v>1462</v>
      </c>
      <c r="I5" t="s">
        <v>1517</v>
      </c>
      <c r="J5" t="s">
        <v>1464</v>
      </c>
      <c r="K5" t="s">
        <v>1518</v>
      </c>
      <c r="L5" t="s">
        <v>1519</v>
      </c>
      <c r="M5" t="s">
        <v>1520</v>
      </c>
    </row>
    <row r="6" spans="1:14" x14ac:dyDescent="0.2">
      <c r="A6" s="64" t="s">
        <v>65</v>
      </c>
    </row>
    <row r="7" spans="1:14" x14ac:dyDescent="0.2">
      <c r="A7" s="65" t="s">
        <v>9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x14ac:dyDescent="0.2">
      <c r="A8" s="66" t="s">
        <v>1466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</row>
    <row r="9" spans="1:14" x14ac:dyDescent="0.2">
      <c r="A9" s="85">
        <v>46053</v>
      </c>
      <c r="B9" s="39">
        <v>163568.11862917003</v>
      </c>
      <c r="C9" s="39">
        <v>23779.652993249998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>
        <v>187347.77162242</v>
      </c>
    </row>
    <row r="10" spans="1:14" x14ac:dyDescent="0.2">
      <c r="A10" s="86" t="s">
        <v>354</v>
      </c>
      <c r="B10" s="39">
        <v>3988.5681860000004</v>
      </c>
      <c r="C10" s="39">
        <v>1855.9124272500003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>
        <v>5844.4806132500007</v>
      </c>
    </row>
    <row r="11" spans="1:14" x14ac:dyDescent="0.2">
      <c r="A11" s="98" t="s">
        <v>387</v>
      </c>
      <c r="B11" s="39">
        <v>3988.5681860000004</v>
      </c>
      <c r="C11" s="39">
        <v>999.11034900000016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>
        <v>4987.6785350000009</v>
      </c>
    </row>
    <row r="12" spans="1:14" x14ac:dyDescent="0.2">
      <c r="A12" s="98" t="s">
        <v>364</v>
      </c>
      <c r="B12" s="39"/>
      <c r="C12" s="39">
        <v>856.80207825000014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>
        <v>856.80207825000014</v>
      </c>
    </row>
    <row r="13" spans="1:14" x14ac:dyDescent="0.2">
      <c r="A13" s="86" t="s">
        <v>45</v>
      </c>
      <c r="B13" s="39">
        <v>20532.756935670001</v>
      </c>
      <c r="C13" s="39">
        <v>5797.0445230000005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>
        <v>26329.801458670001</v>
      </c>
    </row>
    <row r="14" spans="1:14" x14ac:dyDescent="0.2">
      <c r="A14" s="98" t="s">
        <v>387</v>
      </c>
      <c r="B14" s="39">
        <v>20532.756935670001</v>
      </c>
      <c r="C14" s="39">
        <v>3053.2308380000004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>
        <v>23585.98777367</v>
      </c>
    </row>
    <row r="15" spans="1:14" x14ac:dyDescent="0.2">
      <c r="A15" s="98" t="s">
        <v>364</v>
      </c>
      <c r="B15" s="39"/>
      <c r="C15" s="39">
        <v>2743.8136850000001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>
        <v>2743.8136850000001</v>
      </c>
    </row>
    <row r="16" spans="1:14" x14ac:dyDescent="0.2">
      <c r="A16" s="86" t="s">
        <v>350</v>
      </c>
      <c r="B16" s="39">
        <v>15149.630681999999</v>
      </c>
      <c r="C16" s="39">
        <v>4493.6346075000001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>
        <v>19643.265289500003</v>
      </c>
    </row>
    <row r="17" spans="1:14" x14ac:dyDescent="0.2">
      <c r="A17" s="98" t="s">
        <v>387</v>
      </c>
      <c r="B17" s="39">
        <v>15149.630681999999</v>
      </c>
      <c r="C17" s="39">
        <v>2421.0120750000006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>
        <v>17570.642757000001</v>
      </c>
    </row>
    <row r="18" spans="1:14" x14ac:dyDescent="0.2">
      <c r="A18" s="98" t="s">
        <v>364</v>
      </c>
      <c r="B18" s="39"/>
      <c r="C18" s="39">
        <v>2072.6225325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>
        <v>2072.6225325</v>
      </c>
    </row>
    <row r="19" spans="1:14" x14ac:dyDescent="0.2">
      <c r="A19" s="86" t="s">
        <v>523</v>
      </c>
      <c r="B19" s="39">
        <v>44168.708100000003</v>
      </c>
      <c r="C19" s="39">
        <v>17.714722500000001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>
        <v>44186.422822500004</v>
      </c>
    </row>
    <row r="20" spans="1:14" x14ac:dyDescent="0.2">
      <c r="A20" s="98" t="s">
        <v>387</v>
      </c>
      <c r="B20" s="39">
        <v>44168.708100000003</v>
      </c>
      <c r="C20" s="39">
        <v>0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>
        <v>44168.708100000003</v>
      </c>
    </row>
    <row r="21" spans="1:14" x14ac:dyDescent="0.2">
      <c r="A21" s="98" t="s">
        <v>364</v>
      </c>
      <c r="B21" s="39"/>
      <c r="C21" s="39">
        <v>17.714722500000001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>
        <v>17.714722500000001</v>
      </c>
    </row>
    <row r="22" spans="1:14" x14ac:dyDescent="0.2">
      <c r="A22" s="86" t="s">
        <v>658</v>
      </c>
      <c r="B22" s="39">
        <v>5221.5128720000002</v>
      </c>
      <c r="C22" s="39">
        <v>2341.6894842500001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>
        <v>7563.2023562500008</v>
      </c>
    </row>
    <row r="23" spans="1:14" x14ac:dyDescent="0.2">
      <c r="A23" s="98" t="s">
        <v>387</v>
      </c>
      <c r="B23" s="39">
        <v>5221.5128720000002</v>
      </c>
      <c r="C23" s="39">
        <v>1262.0755630000001</v>
      </c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>
        <v>6483.5884350000006</v>
      </c>
    </row>
    <row r="24" spans="1:14" x14ac:dyDescent="0.2">
      <c r="A24" s="98" t="s">
        <v>364</v>
      </c>
      <c r="B24" s="39"/>
      <c r="C24" s="39">
        <v>1079.61392125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>
        <v>1079.61392125</v>
      </c>
    </row>
    <row r="25" spans="1:14" x14ac:dyDescent="0.2">
      <c r="A25" s="86" t="s">
        <v>56</v>
      </c>
      <c r="B25" s="39">
        <v>19981.813319500001</v>
      </c>
      <c r="C25" s="39">
        <v>5508.4913765000001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>
        <v>25490.304695999999</v>
      </c>
    </row>
    <row r="26" spans="1:14" x14ac:dyDescent="0.2">
      <c r="A26" s="98" t="s">
        <v>387</v>
      </c>
      <c r="B26" s="39">
        <v>19981.813319500001</v>
      </c>
      <c r="C26" s="39">
        <v>2960.7206205000002</v>
      </c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>
        <v>22942.533940000001</v>
      </c>
    </row>
    <row r="27" spans="1:14" x14ac:dyDescent="0.2">
      <c r="A27" s="98" t="s">
        <v>364</v>
      </c>
      <c r="B27" s="39"/>
      <c r="C27" s="39">
        <v>2547.7707559999999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>
        <v>2547.7707559999999</v>
      </c>
    </row>
    <row r="28" spans="1:14" x14ac:dyDescent="0.2">
      <c r="A28" s="86" t="s">
        <v>57</v>
      </c>
      <c r="B28" s="39">
        <v>13097.084835000001</v>
      </c>
      <c r="C28" s="39">
        <v>8.8573612500000003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>
        <v>13105.942196250002</v>
      </c>
    </row>
    <row r="29" spans="1:14" x14ac:dyDescent="0.2">
      <c r="A29" s="98" t="s">
        <v>387</v>
      </c>
      <c r="B29" s="39">
        <v>13097.084835000001</v>
      </c>
      <c r="C29" s="39">
        <v>0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>
        <v>13097.084835000001</v>
      </c>
    </row>
    <row r="30" spans="1:14" x14ac:dyDescent="0.2">
      <c r="A30" s="98" t="s">
        <v>364</v>
      </c>
      <c r="B30" s="39"/>
      <c r="C30" s="39">
        <v>8.8573612500000003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>
        <v>8.8573612500000003</v>
      </c>
    </row>
    <row r="31" spans="1:14" x14ac:dyDescent="0.2">
      <c r="A31" s="86" t="s">
        <v>59</v>
      </c>
      <c r="B31" s="39">
        <v>23828.270065000004</v>
      </c>
      <c r="C31" s="39">
        <v>17.714722500000001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>
        <v>23845.984787500005</v>
      </c>
    </row>
    <row r="32" spans="1:14" x14ac:dyDescent="0.2">
      <c r="A32" s="98" t="s">
        <v>387</v>
      </c>
      <c r="B32" s="39">
        <v>23828.270065000004</v>
      </c>
      <c r="C32" s="39">
        <v>0</v>
      </c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>
        <v>23828.270065000004</v>
      </c>
    </row>
    <row r="33" spans="1:14" x14ac:dyDescent="0.2">
      <c r="A33" s="98" t="s">
        <v>364</v>
      </c>
      <c r="B33" s="39"/>
      <c r="C33" s="39">
        <v>17.714722500000001</v>
      </c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>
        <v>17.714722500000001</v>
      </c>
    </row>
    <row r="34" spans="1:14" x14ac:dyDescent="0.2">
      <c r="A34" s="86" t="s">
        <v>438</v>
      </c>
      <c r="B34" s="39">
        <v>17599.773634000001</v>
      </c>
      <c r="C34" s="39">
        <v>3738.5937685000004</v>
      </c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>
        <v>21338.3674025</v>
      </c>
    </row>
    <row r="35" spans="1:14" x14ac:dyDescent="0.2">
      <c r="A35" s="98" t="s">
        <v>387</v>
      </c>
      <c r="B35" s="39">
        <v>17599.773634000001</v>
      </c>
      <c r="C35" s="39">
        <v>1925.7871660000001</v>
      </c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>
        <v>19525.560799999999</v>
      </c>
    </row>
    <row r="36" spans="1:14" x14ac:dyDescent="0.2">
      <c r="A36" s="98" t="s">
        <v>364</v>
      </c>
      <c r="B36" s="39"/>
      <c r="C36" s="39">
        <v>1812.8066025000003</v>
      </c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>
        <v>1812.8066025000003</v>
      </c>
    </row>
    <row r="37" spans="1:14" x14ac:dyDescent="0.2">
      <c r="A37" s="65" t="s">
        <v>26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</row>
    <row r="38" spans="1:14" x14ac:dyDescent="0.2">
      <c r="A38" s="66" t="s">
        <v>1467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</row>
    <row r="39" spans="1:14" x14ac:dyDescent="0.2">
      <c r="A39" s="85">
        <v>46081</v>
      </c>
      <c r="B39" s="39"/>
      <c r="C39" s="39"/>
      <c r="D39" s="39">
        <v>152570.713185</v>
      </c>
      <c r="E39" s="39"/>
      <c r="F39" s="39">
        <v>-1322.8948755000015</v>
      </c>
      <c r="G39" s="39"/>
      <c r="H39" s="39"/>
      <c r="I39" s="39"/>
      <c r="J39" s="39"/>
      <c r="K39" s="39"/>
      <c r="L39" s="39"/>
      <c r="M39" s="39"/>
      <c r="N39" s="39">
        <v>151247.81830950006</v>
      </c>
    </row>
    <row r="40" spans="1:14" x14ac:dyDescent="0.2">
      <c r="A40" s="86" t="s">
        <v>354</v>
      </c>
      <c r="B40" s="39"/>
      <c r="C40" s="39"/>
      <c r="D40" s="39">
        <v>4005.250524</v>
      </c>
      <c r="E40" s="39"/>
      <c r="F40" s="39">
        <v>-139.74102449999998</v>
      </c>
      <c r="G40" s="39"/>
      <c r="H40" s="39"/>
      <c r="I40" s="39"/>
      <c r="J40" s="39"/>
      <c r="K40" s="39"/>
      <c r="L40" s="39"/>
      <c r="M40" s="39"/>
      <c r="N40" s="39">
        <v>3865.5094994999999</v>
      </c>
    </row>
    <row r="41" spans="1:14" x14ac:dyDescent="0.2">
      <c r="A41" s="98" t="s">
        <v>387</v>
      </c>
      <c r="B41" s="39"/>
      <c r="C41" s="39"/>
      <c r="D41" s="39">
        <v>4005.250524</v>
      </c>
      <c r="E41" s="39"/>
      <c r="F41" s="39"/>
      <c r="G41" s="39"/>
      <c r="H41" s="39"/>
      <c r="I41" s="39"/>
      <c r="J41" s="39"/>
      <c r="K41" s="39"/>
      <c r="L41" s="39"/>
      <c r="M41" s="39"/>
      <c r="N41" s="39">
        <v>4005.250524</v>
      </c>
    </row>
    <row r="42" spans="1:14" x14ac:dyDescent="0.2">
      <c r="A42" s="98" t="s">
        <v>364</v>
      </c>
      <c r="B42" s="39"/>
      <c r="C42" s="39"/>
      <c r="D42" s="39"/>
      <c r="E42" s="39"/>
      <c r="F42" s="39">
        <v>-139.74102449999998</v>
      </c>
      <c r="G42" s="39"/>
      <c r="H42" s="39"/>
      <c r="I42" s="39"/>
      <c r="J42" s="39"/>
      <c r="K42" s="39"/>
      <c r="L42" s="39"/>
      <c r="M42" s="39"/>
      <c r="N42" s="39">
        <v>-139.74102449999998</v>
      </c>
    </row>
    <row r="43" spans="1:14" x14ac:dyDescent="0.2">
      <c r="A43" s="86" t="s">
        <v>45</v>
      </c>
      <c r="B43" s="39"/>
      <c r="C43" s="39"/>
      <c r="D43" s="39">
        <v>20711.714958000004</v>
      </c>
      <c r="E43" s="39"/>
      <c r="F43" s="39">
        <v>-309.92068800000072</v>
      </c>
      <c r="G43" s="39"/>
      <c r="H43" s="39"/>
      <c r="I43" s="39"/>
      <c r="J43" s="39"/>
      <c r="K43" s="39"/>
      <c r="L43" s="39"/>
      <c r="M43" s="39"/>
      <c r="N43" s="39">
        <v>20401.794270000002</v>
      </c>
    </row>
    <row r="44" spans="1:14" x14ac:dyDescent="0.2">
      <c r="A44" s="98" t="s">
        <v>387</v>
      </c>
      <c r="B44" s="39"/>
      <c r="C44" s="39"/>
      <c r="D44" s="39">
        <v>20711.714958000004</v>
      </c>
      <c r="E44" s="39"/>
      <c r="F44" s="39"/>
      <c r="G44" s="39"/>
      <c r="H44" s="39"/>
      <c r="I44" s="39"/>
      <c r="J44" s="39"/>
      <c r="K44" s="39"/>
      <c r="L44" s="39"/>
      <c r="M44" s="39"/>
      <c r="N44" s="39">
        <v>20711.714958000004</v>
      </c>
    </row>
    <row r="45" spans="1:14" x14ac:dyDescent="0.2">
      <c r="A45" s="98" t="s">
        <v>364</v>
      </c>
      <c r="B45" s="39"/>
      <c r="C45" s="39"/>
      <c r="D45" s="39"/>
      <c r="E45" s="39"/>
      <c r="F45" s="39">
        <v>-309.92068800000072</v>
      </c>
      <c r="G45" s="39"/>
      <c r="H45" s="39"/>
      <c r="I45" s="39"/>
      <c r="J45" s="39"/>
      <c r="K45" s="39"/>
      <c r="L45" s="39"/>
      <c r="M45" s="39"/>
      <c r="N45" s="39">
        <v>-309.92068800000072</v>
      </c>
    </row>
    <row r="46" spans="1:14" x14ac:dyDescent="0.2">
      <c r="A46" s="86" t="s">
        <v>350</v>
      </c>
      <c r="B46" s="39"/>
      <c r="C46" s="39"/>
      <c r="D46" s="39">
        <v>15212.994588000001</v>
      </c>
      <c r="E46" s="39"/>
      <c r="F46" s="39">
        <v>-349.84669500000052</v>
      </c>
      <c r="G46" s="39"/>
      <c r="H46" s="39"/>
      <c r="I46" s="39"/>
      <c r="J46" s="39"/>
      <c r="K46" s="39"/>
      <c r="L46" s="39"/>
      <c r="M46" s="39"/>
      <c r="N46" s="39">
        <v>14863.147893000001</v>
      </c>
    </row>
    <row r="47" spans="1:14" x14ac:dyDescent="0.2">
      <c r="A47" s="98" t="s">
        <v>387</v>
      </c>
      <c r="B47" s="39"/>
      <c r="C47" s="39"/>
      <c r="D47" s="39">
        <v>15212.994588000001</v>
      </c>
      <c r="E47" s="39"/>
      <c r="F47" s="39"/>
      <c r="G47" s="39"/>
      <c r="H47" s="39"/>
      <c r="I47" s="39"/>
      <c r="J47" s="39"/>
      <c r="K47" s="39"/>
      <c r="L47" s="39"/>
      <c r="M47" s="39"/>
      <c r="N47" s="39">
        <v>15212.994588000001</v>
      </c>
    </row>
    <row r="48" spans="1:14" x14ac:dyDescent="0.2">
      <c r="A48" s="98" t="s">
        <v>364</v>
      </c>
      <c r="B48" s="39"/>
      <c r="C48" s="39"/>
      <c r="D48" s="39"/>
      <c r="E48" s="39"/>
      <c r="F48" s="39">
        <v>-349.84669500000052</v>
      </c>
      <c r="G48" s="39"/>
      <c r="H48" s="39"/>
      <c r="I48" s="39"/>
      <c r="J48" s="39"/>
      <c r="K48" s="39"/>
      <c r="L48" s="39"/>
      <c r="M48" s="39"/>
      <c r="N48" s="39">
        <v>-349.84669500000052</v>
      </c>
    </row>
    <row r="49" spans="1:14" x14ac:dyDescent="0.2">
      <c r="A49" s="86" t="s">
        <v>523</v>
      </c>
      <c r="B49" s="39"/>
      <c r="C49" s="39"/>
      <c r="D49" s="39">
        <v>44353.445399999997</v>
      </c>
      <c r="E49" s="39"/>
      <c r="F49" s="39">
        <v>17.788815</v>
      </c>
      <c r="G49" s="39"/>
      <c r="H49" s="39"/>
      <c r="I49" s="39"/>
      <c r="J49" s="39"/>
      <c r="K49" s="39"/>
      <c r="L49" s="39"/>
      <c r="M49" s="39"/>
      <c r="N49" s="39">
        <v>44371.234214999997</v>
      </c>
    </row>
    <row r="50" spans="1:14" x14ac:dyDescent="0.2">
      <c r="A50" s="98" t="s">
        <v>387</v>
      </c>
      <c r="B50" s="39"/>
      <c r="C50" s="39"/>
      <c r="D50" s="39">
        <v>44353.445399999997</v>
      </c>
      <c r="E50" s="39"/>
      <c r="F50" s="39"/>
      <c r="G50" s="39"/>
      <c r="H50" s="39"/>
      <c r="I50" s="39"/>
      <c r="J50" s="39"/>
      <c r="K50" s="39"/>
      <c r="L50" s="39"/>
      <c r="M50" s="39"/>
      <c r="N50" s="39">
        <v>44353.445399999997</v>
      </c>
    </row>
    <row r="51" spans="1:14" x14ac:dyDescent="0.2">
      <c r="A51" s="98" t="s">
        <v>364</v>
      </c>
      <c r="B51" s="39"/>
      <c r="C51" s="39"/>
      <c r="D51" s="39"/>
      <c r="E51" s="39"/>
      <c r="F51" s="39">
        <v>17.788815</v>
      </c>
      <c r="G51" s="39"/>
      <c r="H51" s="39"/>
      <c r="I51" s="39"/>
      <c r="J51" s="39"/>
      <c r="K51" s="39"/>
      <c r="L51" s="39"/>
      <c r="M51" s="39"/>
      <c r="N51" s="39">
        <v>17.788815</v>
      </c>
    </row>
    <row r="52" spans="1:14" x14ac:dyDescent="0.2">
      <c r="A52" s="86" t="s">
        <v>658</v>
      </c>
      <c r="B52" s="39"/>
      <c r="C52" s="39"/>
      <c r="D52" s="39">
        <v>5243.3520480000007</v>
      </c>
      <c r="E52" s="39"/>
      <c r="F52" s="39">
        <v>-178.48111050000011</v>
      </c>
      <c r="G52" s="39"/>
      <c r="H52" s="39"/>
      <c r="I52" s="39"/>
      <c r="J52" s="39"/>
      <c r="K52" s="39"/>
      <c r="L52" s="39"/>
      <c r="M52" s="39"/>
      <c r="N52" s="39">
        <v>5064.8709375000008</v>
      </c>
    </row>
    <row r="53" spans="1:14" x14ac:dyDescent="0.2">
      <c r="A53" s="98" t="s">
        <v>387</v>
      </c>
      <c r="B53" s="39"/>
      <c r="C53" s="39"/>
      <c r="D53" s="39">
        <v>5243.3520480000007</v>
      </c>
      <c r="E53" s="39"/>
      <c r="F53" s="39"/>
      <c r="G53" s="39"/>
      <c r="H53" s="39"/>
      <c r="I53" s="39"/>
      <c r="J53" s="39"/>
      <c r="K53" s="39"/>
      <c r="L53" s="39"/>
      <c r="M53" s="39"/>
      <c r="N53" s="39">
        <v>5243.3520480000007</v>
      </c>
    </row>
    <row r="54" spans="1:14" x14ac:dyDescent="0.2">
      <c r="A54" s="98" t="s">
        <v>364</v>
      </c>
      <c r="B54" s="39"/>
      <c r="C54" s="39"/>
      <c r="D54" s="39"/>
      <c r="E54" s="39"/>
      <c r="F54" s="39">
        <v>-178.48111050000011</v>
      </c>
      <c r="G54" s="39"/>
      <c r="H54" s="39"/>
      <c r="I54" s="39"/>
      <c r="J54" s="39"/>
      <c r="K54" s="39"/>
      <c r="L54" s="39"/>
      <c r="M54" s="39"/>
      <c r="N54" s="39">
        <v>-178.48111050000011</v>
      </c>
    </row>
    <row r="55" spans="1:14" x14ac:dyDescent="0.2">
      <c r="A55" s="86" t="s">
        <v>56</v>
      </c>
      <c r="B55" s="39"/>
      <c r="C55" s="39"/>
      <c r="D55" s="39">
        <v>16313.133968999999</v>
      </c>
      <c r="E55" s="39"/>
      <c r="F55" s="39">
        <v>-274.14540450000027</v>
      </c>
      <c r="G55" s="39"/>
      <c r="H55" s="39"/>
      <c r="I55" s="39"/>
      <c r="J55" s="39"/>
      <c r="K55" s="39"/>
      <c r="L55" s="39"/>
      <c r="M55" s="39"/>
      <c r="N55" s="39">
        <v>16038.988564499998</v>
      </c>
    </row>
    <row r="56" spans="1:14" x14ac:dyDescent="0.2">
      <c r="A56" s="98" t="s">
        <v>387</v>
      </c>
      <c r="B56" s="39"/>
      <c r="C56" s="39"/>
      <c r="D56" s="39">
        <v>16313.133968999999</v>
      </c>
      <c r="E56" s="39"/>
      <c r="F56" s="39"/>
      <c r="G56" s="39"/>
      <c r="H56" s="39"/>
      <c r="I56" s="39"/>
      <c r="J56" s="39"/>
      <c r="K56" s="39"/>
      <c r="L56" s="39"/>
      <c r="M56" s="39"/>
      <c r="N56" s="39">
        <v>16313.133968999999</v>
      </c>
    </row>
    <row r="57" spans="1:14" x14ac:dyDescent="0.2">
      <c r="A57" s="98" t="s">
        <v>364</v>
      </c>
      <c r="B57" s="39"/>
      <c r="C57" s="39"/>
      <c r="D57" s="39"/>
      <c r="E57" s="39"/>
      <c r="F57" s="39">
        <v>-274.14540450000027</v>
      </c>
      <c r="G57" s="39"/>
      <c r="H57" s="39"/>
      <c r="I57" s="39"/>
      <c r="J57" s="39"/>
      <c r="K57" s="39"/>
      <c r="L57" s="39"/>
      <c r="M57" s="39"/>
      <c r="N57" s="39">
        <v>-274.14540450000027</v>
      </c>
    </row>
    <row r="58" spans="1:14" x14ac:dyDescent="0.2">
      <c r="A58" s="86" t="s">
        <v>57</v>
      </c>
      <c r="B58" s="39"/>
      <c r="C58" s="39"/>
      <c r="D58" s="39">
        <v>13151.863890000001</v>
      </c>
      <c r="E58" s="39"/>
      <c r="F58" s="39">
        <v>8.8944074999999998</v>
      </c>
      <c r="G58" s="39"/>
      <c r="H58" s="39"/>
      <c r="I58" s="39"/>
      <c r="J58" s="39"/>
      <c r="K58" s="39"/>
      <c r="L58" s="39"/>
      <c r="M58" s="39"/>
      <c r="N58" s="39">
        <v>13160.7582975</v>
      </c>
    </row>
    <row r="59" spans="1:14" x14ac:dyDescent="0.2">
      <c r="A59" s="98" t="s">
        <v>387</v>
      </c>
      <c r="B59" s="39"/>
      <c r="C59" s="39"/>
      <c r="D59" s="39">
        <v>13151.863890000001</v>
      </c>
      <c r="E59" s="39"/>
      <c r="F59" s="39"/>
      <c r="G59" s="39"/>
      <c r="H59" s="39"/>
      <c r="I59" s="39"/>
      <c r="J59" s="39"/>
      <c r="K59" s="39"/>
      <c r="L59" s="39"/>
      <c r="M59" s="39"/>
      <c r="N59" s="39">
        <v>13151.863890000001</v>
      </c>
    </row>
    <row r="60" spans="1:14" x14ac:dyDescent="0.2">
      <c r="A60" s="98" t="s">
        <v>364</v>
      </c>
      <c r="B60" s="39"/>
      <c r="C60" s="39"/>
      <c r="D60" s="39"/>
      <c r="E60" s="39"/>
      <c r="F60" s="39">
        <v>8.8944074999999998</v>
      </c>
      <c r="G60" s="39"/>
      <c r="H60" s="39"/>
      <c r="I60" s="39"/>
      <c r="J60" s="39"/>
      <c r="K60" s="39"/>
      <c r="L60" s="39"/>
      <c r="M60" s="39"/>
      <c r="N60" s="39">
        <v>8.8944074999999998</v>
      </c>
    </row>
    <row r="61" spans="1:14" x14ac:dyDescent="0.2">
      <c r="A61" s="86" t="s">
        <v>59</v>
      </c>
      <c r="B61" s="39"/>
      <c r="C61" s="39"/>
      <c r="D61" s="39">
        <v>23927.932710000001</v>
      </c>
      <c r="E61" s="39"/>
      <c r="F61" s="39">
        <v>17.788815</v>
      </c>
      <c r="G61" s="39"/>
      <c r="H61" s="39"/>
      <c r="I61" s="39"/>
      <c r="J61" s="39"/>
      <c r="K61" s="39"/>
      <c r="L61" s="39"/>
      <c r="M61" s="39"/>
      <c r="N61" s="39">
        <v>23945.721525000001</v>
      </c>
    </row>
    <row r="62" spans="1:14" x14ac:dyDescent="0.2">
      <c r="A62" s="98" t="s">
        <v>387</v>
      </c>
      <c r="B62" s="39"/>
      <c r="C62" s="39"/>
      <c r="D62" s="39">
        <v>23927.932710000001</v>
      </c>
      <c r="E62" s="39"/>
      <c r="F62" s="39"/>
      <c r="G62" s="39"/>
      <c r="H62" s="39"/>
      <c r="I62" s="39"/>
      <c r="J62" s="39"/>
      <c r="K62" s="39"/>
      <c r="L62" s="39"/>
      <c r="M62" s="39"/>
      <c r="N62" s="39">
        <v>23927.932710000001</v>
      </c>
    </row>
    <row r="63" spans="1:14" x14ac:dyDescent="0.2">
      <c r="A63" s="98" t="s">
        <v>364</v>
      </c>
      <c r="B63" s="39"/>
      <c r="C63" s="39"/>
      <c r="D63" s="39"/>
      <c r="E63" s="39"/>
      <c r="F63" s="39">
        <v>17.788815</v>
      </c>
      <c r="G63" s="39"/>
      <c r="H63" s="39"/>
      <c r="I63" s="39"/>
      <c r="J63" s="39"/>
      <c r="K63" s="39"/>
      <c r="L63" s="39"/>
      <c r="M63" s="39"/>
      <c r="N63" s="39">
        <v>17.788815</v>
      </c>
    </row>
    <row r="64" spans="1:14" x14ac:dyDescent="0.2">
      <c r="A64" s="86" t="s">
        <v>438</v>
      </c>
      <c r="B64" s="39"/>
      <c r="C64" s="39"/>
      <c r="D64" s="39">
        <v>9651.0250980000001</v>
      </c>
      <c r="E64" s="39"/>
      <c r="F64" s="39">
        <v>-115.23199049999994</v>
      </c>
      <c r="G64" s="39"/>
      <c r="H64" s="39"/>
      <c r="I64" s="39"/>
      <c r="J64" s="39"/>
      <c r="K64" s="39"/>
      <c r="L64" s="39"/>
      <c r="M64" s="39"/>
      <c r="N64" s="39">
        <v>9535.7931074999997</v>
      </c>
    </row>
    <row r="65" spans="1:14" x14ac:dyDescent="0.2">
      <c r="A65" s="98" t="s">
        <v>387</v>
      </c>
      <c r="B65" s="39"/>
      <c r="C65" s="39"/>
      <c r="D65" s="39">
        <v>9651.0250980000001</v>
      </c>
      <c r="E65" s="39"/>
      <c r="F65" s="39"/>
      <c r="G65" s="39"/>
      <c r="H65" s="39"/>
      <c r="I65" s="39"/>
      <c r="J65" s="39"/>
      <c r="K65" s="39"/>
      <c r="L65" s="39"/>
      <c r="M65" s="39"/>
      <c r="N65" s="39">
        <v>9651.0250980000001</v>
      </c>
    </row>
    <row r="66" spans="1:14" x14ac:dyDescent="0.2">
      <c r="A66" s="98" t="s">
        <v>364</v>
      </c>
      <c r="B66" s="39"/>
      <c r="C66" s="39"/>
      <c r="D66" s="39"/>
      <c r="E66" s="39"/>
      <c r="F66" s="39">
        <v>-115.23199049999994</v>
      </c>
      <c r="G66" s="39"/>
      <c r="H66" s="39"/>
      <c r="I66" s="39"/>
      <c r="J66" s="39"/>
      <c r="K66" s="39"/>
      <c r="L66" s="39"/>
      <c r="M66" s="39"/>
      <c r="N66" s="39">
        <v>-115.23199049999994</v>
      </c>
    </row>
    <row r="67" spans="1:14" x14ac:dyDescent="0.2">
      <c r="A67" s="65" t="s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</row>
    <row r="68" spans="1:14" x14ac:dyDescent="0.2">
      <c r="A68" s="66" t="s">
        <v>1514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</row>
    <row r="69" spans="1:14" x14ac:dyDescent="0.2">
      <c r="A69" s="85">
        <v>46084</v>
      </c>
      <c r="B69" s="39"/>
      <c r="C69" s="39"/>
      <c r="D69" s="39"/>
      <c r="E69" s="39">
        <v>625.05448002000003</v>
      </c>
      <c r="F69" s="39"/>
      <c r="G69" s="39"/>
      <c r="H69" s="39"/>
      <c r="I69" s="39">
        <v>180.06641580000002</v>
      </c>
      <c r="J69" s="39"/>
      <c r="K69" s="39"/>
      <c r="L69" s="39"/>
      <c r="M69" s="39"/>
      <c r="N69" s="39">
        <v>805.12089581999999</v>
      </c>
    </row>
    <row r="70" spans="1:14" x14ac:dyDescent="0.2">
      <c r="A70" s="86" t="s">
        <v>45</v>
      </c>
      <c r="B70" s="39"/>
      <c r="C70" s="39"/>
      <c r="D70" s="39"/>
      <c r="E70" s="39">
        <v>625.05448002000003</v>
      </c>
      <c r="F70" s="39"/>
      <c r="G70" s="39"/>
      <c r="H70" s="39"/>
      <c r="I70" s="39">
        <v>180.06641580000002</v>
      </c>
      <c r="J70" s="39"/>
      <c r="K70" s="39"/>
      <c r="L70" s="39"/>
      <c r="M70" s="39"/>
      <c r="N70" s="39">
        <v>805.12089581999999</v>
      </c>
    </row>
    <row r="71" spans="1:14" x14ac:dyDescent="0.2">
      <c r="A71" s="98" t="s">
        <v>387</v>
      </c>
      <c r="B71" s="39"/>
      <c r="C71" s="39"/>
      <c r="D71" s="39"/>
      <c r="E71" s="39">
        <v>625.05448002000003</v>
      </c>
      <c r="F71" s="39"/>
      <c r="G71" s="39"/>
      <c r="H71" s="39"/>
      <c r="I71" s="39">
        <v>89.14179</v>
      </c>
      <c r="J71" s="39"/>
      <c r="K71" s="39"/>
      <c r="L71" s="39"/>
      <c r="M71" s="39"/>
      <c r="N71" s="39">
        <v>714.19627002000004</v>
      </c>
    </row>
    <row r="72" spans="1:14" x14ac:dyDescent="0.2">
      <c r="A72" s="98" t="s">
        <v>364</v>
      </c>
      <c r="B72" s="39"/>
      <c r="C72" s="39"/>
      <c r="D72" s="39"/>
      <c r="E72" s="39"/>
      <c r="F72" s="39"/>
      <c r="G72" s="39"/>
      <c r="H72" s="39"/>
      <c r="I72" s="39">
        <v>90.924625800000001</v>
      </c>
      <c r="J72" s="39"/>
      <c r="K72" s="39"/>
      <c r="L72" s="39"/>
      <c r="M72" s="39"/>
      <c r="N72" s="39">
        <v>90.924625800000001</v>
      </c>
    </row>
    <row r="73" spans="1:14" x14ac:dyDescent="0.2">
      <c r="A73" s="66" t="s">
        <v>1516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</row>
    <row r="74" spans="1:14" x14ac:dyDescent="0.2">
      <c r="A74" s="85">
        <v>46098</v>
      </c>
      <c r="B74" s="39"/>
      <c r="C74" s="39"/>
      <c r="D74" s="39"/>
      <c r="E74" s="39">
        <v>8853.7873751400002</v>
      </c>
      <c r="F74" s="39"/>
      <c r="G74" s="39">
        <v>10776.5835369</v>
      </c>
      <c r="H74" s="39"/>
      <c r="I74" s="39">
        <v>8.7203925000000009</v>
      </c>
      <c r="J74" s="39"/>
      <c r="K74" s="39"/>
      <c r="L74" s="39"/>
      <c r="M74" s="39"/>
      <c r="N74" s="39">
        <v>19639.091304540001</v>
      </c>
    </row>
    <row r="75" spans="1:14" x14ac:dyDescent="0.2">
      <c r="A75" s="86" t="s">
        <v>57</v>
      </c>
      <c r="B75" s="39"/>
      <c r="C75" s="39"/>
      <c r="D75" s="39"/>
      <c r="E75" s="39">
        <v>8853.7873751400002</v>
      </c>
      <c r="F75" s="39"/>
      <c r="G75" s="39">
        <v>10776.5835369</v>
      </c>
      <c r="H75" s="39"/>
      <c r="I75" s="39">
        <v>8.7203925000000009</v>
      </c>
      <c r="J75" s="39"/>
      <c r="K75" s="39"/>
      <c r="L75" s="39"/>
      <c r="M75" s="39"/>
      <c r="N75" s="39">
        <v>19639.091304540001</v>
      </c>
    </row>
    <row r="76" spans="1:14" x14ac:dyDescent="0.2">
      <c r="A76" s="98" t="s">
        <v>387</v>
      </c>
      <c r="B76" s="39"/>
      <c r="C76" s="39"/>
      <c r="D76" s="39"/>
      <c r="E76" s="39">
        <v>8853.7873751400002</v>
      </c>
      <c r="F76" s="39"/>
      <c r="G76" s="39">
        <v>10776.5835369</v>
      </c>
      <c r="H76" s="39"/>
      <c r="I76" s="39"/>
      <c r="J76" s="39"/>
      <c r="K76" s="39"/>
      <c r="L76" s="39"/>
      <c r="M76" s="39"/>
      <c r="N76" s="39">
        <v>19630.370912040002</v>
      </c>
    </row>
    <row r="77" spans="1:14" x14ac:dyDescent="0.2">
      <c r="A77" s="98" t="s">
        <v>364</v>
      </c>
      <c r="B77" s="39"/>
      <c r="C77" s="39"/>
      <c r="D77" s="39"/>
      <c r="E77" s="39"/>
      <c r="F77" s="39"/>
      <c r="G77" s="39"/>
      <c r="H77" s="39"/>
      <c r="I77" s="39">
        <v>8.7203925000000009</v>
      </c>
      <c r="J77" s="39"/>
      <c r="K77" s="39"/>
      <c r="L77" s="39"/>
      <c r="M77" s="39"/>
      <c r="N77" s="39">
        <v>8.7203925000000009</v>
      </c>
    </row>
    <row r="78" spans="1:14" x14ac:dyDescent="0.2">
      <c r="A78" s="66" t="s">
        <v>1462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</row>
    <row r="79" spans="1:14" x14ac:dyDescent="0.2">
      <c r="A79" s="85">
        <v>46112</v>
      </c>
      <c r="B79" s="39"/>
      <c r="C79" s="39"/>
      <c r="D79" s="39"/>
      <c r="E79" s="39"/>
      <c r="F79" s="39"/>
      <c r="G79" s="39"/>
      <c r="H79" s="39">
        <v>162037.63605023999</v>
      </c>
      <c r="I79" s="39">
        <v>25729.971531659994</v>
      </c>
      <c r="J79" s="39"/>
      <c r="K79" s="39"/>
      <c r="L79" s="39"/>
      <c r="M79" s="39"/>
      <c r="N79" s="39">
        <v>187767.60758189997</v>
      </c>
    </row>
    <row r="80" spans="1:14" x14ac:dyDescent="0.2">
      <c r="A80" s="86" t="s">
        <v>354</v>
      </c>
      <c r="B80" s="39"/>
      <c r="C80" s="39"/>
      <c r="D80" s="39"/>
      <c r="E80" s="39"/>
      <c r="F80" s="39"/>
      <c r="G80" s="39"/>
      <c r="H80" s="39">
        <v>5693.4473699999999</v>
      </c>
      <c r="I80" s="39">
        <v>2644.9919384999994</v>
      </c>
      <c r="J80" s="39"/>
      <c r="K80" s="39"/>
      <c r="L80" s="39"/>
      <c r="M80" s="39"/>
      <c r="N80" s="39">
        <v>8338.4393084999992</v>
      </c>
    </row>
    <row r="81" spans="1:14" x14ac:dyDescent="0.2">
      <c r="A81" s="98" t="s">
        <v>387</v>
      </c>
      <c r="B81" s="39"/>
      <c r="C81" s="39"/>
      <c r="D81" s="39"/>
      <c r="E81" s="39"/>
      <c r="F81" s="39"/>
      <c r="G81" s="39"/>
      <c r="H81" s="39">
        <v>5693.4473699999999</v>
      </c>
      <c r="I81" s="39">
        <v>2.3254380000000001</v>
      </c>
      <c r="J81" s="39"/>
      <c r="K81" s="39"/>
      <c r="L81" s="39"/>
      <c r="M81" s="39"/>
      <c r="N81" s="39">
        <v>5695.7728079999997</v>
      </c>
    </row>
    <row r="82" spans="1:14" x14ac:dyDescent="0.2">
      <c r="A82" s="98" t="s">
        <v>364</v>
      </c>
      <c r="B82" s="39"/>
      <c r="C82" s="39"/>
      <c r="D82" s="39"/>
      <c r="E82" s="39"/>
      <c r="F82" s="39"/>
      <c r="G82" s="39"/>
      <c r="H82" s="39"/>
      <c r="I82" s="39">
        <v>2642.6665004999995</v>
      </c>
      <c r="J82" s="39"/>
      <c r="K82" s="39"/>
      <c r="L82" s="39"/>
      <c r="M82" s="39"/>
      <c r="N82" s="39">
        <v>2642.6665004999995</v>
      </c>
    </row>
    <row r="83" spans="1:14" x14ac:dyDescent="0.2">
      <c r="A83" s="86" t="s">
        <v>45</v>
      </c>
      <c r="B83" s="39"/>
      <c r="C83" s="39"/>
      <c r="D83" s="39"/>
      <c r="E83" s="39"/>
      <c r="F83" s="39"/>
      <c r="G83" s="39"/>
      <c r="H83" s="39">
        <v>15992.486710680001</v>
      </c>
      <c r="I83" s="39">
        <v>5477.4916943999997</v>
      </c>
      <c r="J83" s="39"/>
      <c r="K83" s="39"/>
      <c r="L83" s="39"/>
      <c r="M83" s="39"/>
      <c r="N83" s="39">
        <v>21469.978405080001</v>
      </c>
    </row>
    <row r="84" spans="1:14" x14ac:dyDescent="0.2">
      <c r="A84" s="98" t="s">
        <v>387</v>
      </c>
      <c r="B84" s="39"/>
      <c r="C84" s="39"/>
      <c r="D84" s="39"/>
      <c r="E84" s="39"/>
      <c r="F84" s="39"/>
      <c r="G84" s="39"/>
      <c r="H84" s="39">
        <v>15992.486710680001</v>
      </c>
      <c r="I84" s="39">
        <v>5.038449</v>
      </c>
      <c r="J84" s="39"/>
      <c r="K84" s="39"/>
      <c r="L84" s="39"/>
      <c r="M84" s="39"/>
      <c r="N84" s="39">
        <v>15997.525159680001</v>
      </c>
    </row>
    <row r="85" spans="1:14" x14ac:dyDescent="0.2">
      <c r="A85" s="98" t="s">
        <v>364</v>
      </c>
      <c r="B85" s="39"/>
      <c r="C85" s="39"/>
      <c r="D85" s="39"/>
      <c r="E85" s="39"/>
      <c r="F85" s="39"/>
      <c r="G85" s="39"/>
      <c r="H85" s="39"/>
      <c r="I85" s="39">
        <v>5472.4532454</v>
      </c>
      <c r="J85" s="39"/>
      <c r="K85" s="39"/>
      <c r="L85" s="39"/>
      <c r="M85" s="39"/>
      <c r="N85" s="39">
        <v>5472.4532454</v>
      </c>
    </row>
    <row r="86" spans="1:14" x14ac:dyDescent="0.2">
      <c r="A86" s="86" t="s">
        <v>350</v>
      </c>
      <c r="B86" s="39"/>
      <c r="C86" s="39"/>
      <c r="D86" s="39"/>
      <c r="E86" s="39"/>
      <c r="F86" s="39"/>
      <c r="G86" s="39"/>
      <c r="H86" s="39">
        <v>16154.817786</v>
      </c>
      <c r="I86" s="39">
        <v>4998.5289809999995</v>
      </c>
      <c r="J86" s="39"/>
      <c r="K86" s="39"/>
      <c r="L86" s="39"/>
      <c r="M86" s="39"/>
      <c r="N86" s="39">
        <v>21153.346766999999</v>
      </c>
    </row>
    <row r="87" spans="1:14" x14ac:dyDescent="0.2">
      <c r="A87" s="98" t="s">
        <v>387</v>
      </c>
      <c r="B87" s="39"/>
      <c r="C87" s="39"/>
      <c r="D87" s="39"/>
      <c r="E87" s="39"/>
      <c r="F87" s="39"/>
      <c r="G87" s="39"/>
      <c r="H87" s="39">
        <v>14604.525786</v>
      </c>
      <c r="I87" s="39">
        <v>4.6508760000000002</v>
      </c>
      <c r="J87" s="39"/>
      <c r="K87" s="39"/>
      <c r="L87" s="39"/>
      <c r="M87" s="39"/>
      <c r="N87" s="39">
        <v>14609.176662</v>
      </c>
    </row>
    <row r="88" spans="1:14" x14ac:dyDescent="0.2">
      <c r="A88" s="98" t="s">
        <v>1160</v>
      </c>
      <c r="B88" s="39"/>
      <c r="C88" s="39"/>
      <c r="D88" s="39"/>
      <c r="E88" s="39"/>
      <c r="F88" s="39"/>
      <c r="G88" s="39"/>
      <c r="H88" s="39">
        <v>1550.2919999999999</v>
      </c>
      <c r="I88" s="39"/>
      <c r="J88" s="39"/>
      <c r="K88" s="39"/>
      <c r="L88" s="39"/>
      <c r="M88" s="39"/>
      <c r="N88" s="39">
        <v>1550.2919999999999</v>
      </c>
    </row>
    <row r="89" spans="1:14" x14ac:dyDescent="0.2">
      <c r="A89" s="98" t="s">
        <v>364</v>
      </c>
      <c r="B89" s="39"/>
      <c r="C89" s="39"/>
      <c r="D89" s="39"/>
      <c r="E89" s="39"/>
      <c r="F89" s="39"/>
      <c r="G89" s="39"/>
      <c r="H89" s="39"/>
      <c r="I89" s="39">
        <v>4993.8781049999998</v>
      </c>
      <c r="J89" s="39"/>
      <c r="K89" s="39"/>
      <c r="L89" s="39"/>
      <c r="M89" s="39"/>
      <c r="N89" s="39">
        <v>4993.8781049999998</v>
      </c>
    </row>
    <row r="90" spans="1:14" x14ac:dyDescent="0.2">
      <c r="A90" s="86" t="s">
        <v>376</v>
      </c>
      <c r="B90" s="39"/>
      <c r="C90" s="39"/>
      <c r="D90" s="39"/>
      <c r="E90" s="39"/>
      <c r="F90" s="39"/>
      <c r="G90" s="39"/>
      <c r="H90" s="39">
        <v>986.30352186000005</v>
      </c>
      <c r="I90" s="39">
        <v>460.03364808000003</v>
      </c>
      <c r="J90" s="39"/>
      <c r="K90" s="39"/>
      <c r="L90" s="39"/>
      <c r="M90" s="39"/>
      <c r="N90" s="39">
        <v>1446.33716994</v>
      </c>
    </row>
    <row r="91" spans="1:14" x14ac:dyDescent="0.2">
      <c r="A91" s="98" t="s">
        <v>387</v>
      </c>
      <c r="B91" s="39"/>
      <c r="C91" s="39"/>
      <c r="D91" s="39"/>
      <c r="E91" s="39"/>
      <c r="F91" s="39"/>
      <c r="G91" s="39"/>
      <c r="H91" s="39">
        <v>986.30352186000005</v>
      </c>
      <c r="I91" s="39">
        <v>0.387573</v>
      </c>
      <c r="J91" s="39"/>
      <c r="K91" s="39"/>
      <c r="L91" s="39"/>
      <c r="M91" s="39"/>
      <c r="N91" s="39">
        <v>986.69109486000002</v>
      </c>
    </row>
    <row r="92" spans="1:14" x14ac:dyDescent="0.2">
      <c r="A92" s="98" t="s">
        <v>364</v>
      </c>
      <c r="B92" s="39"/>
      <c r="C92" s="39"/>
      <c r="D92" s="39"/>
      <c r="E92" s="39"/>
      <c r="F92" s="39"/>
      <c r="G92" s="39"/>
      <c r="H92" s="39"/>
      <c r="I92" s="39">
        <v>459.64607508000006</v>
      </c>
      <c r="J92" s="39"/>
      <c r="K92" s="39"/>
      <c r="L92" s="39"/>
      <c r="M92" s="39"/>
      <c r="N92" s="39">
        <v>459.64607508000006</v>
      </c>
    </row>
    <row r="93" spans="1:14" x14ac:dyDescent="0.2">
      <c r="A93" s="86" t="s">
        <v>523</v>
      </c>
      <c r="B93" s="39"/>
      <c r="C93" s="39"/>
      <c r="D93" s="39"/>
      <c r="E93" s="39"/>
      <c r="F93" s="39"/>
      <c r="G93" s="39"/>
      <c r="H93" s="39">
        <v>43485.690600000002</v>
      </c>
      <c r="I93" s="39">
        <v>17.440785000000002</v>
      </c>
      <c r="J93" s="39"/>
      <c r="K93" s="39"/>
      <c r="L93" s="39"/>
      <c r="M93" s="39"/>
      <c r="N93" s="39">
        <v>43503.131385000001</v>
      </c>
    </row>
    <row r="94" spans="1:14" x14ac:dyDescent="0.2">
      <c r="A94" s="98" t="s">
        <v>387</v>
      </c>
      <c r="B94" s="39"/>
      <c r="C94" s="39"/>
      <c r="D94" s="39"/>
      <c r="E94" s="39"/>
      <c r="F94" s="39"/>
      <c r="G94" s="39"/>
      <c r="H94" s="39">
        <v>43485.690600000002</v>
      </c>
      <c r="I94" s="39">
        <v>0</v>
      </c>
      <c r="J94" s="39"/>
      <c r="K94" s="39"/>
      <c r="L94" s="39"/>
      <c r="M94" s="39"/>
      <c r="N94" s="39">
        <v>43485.690600000002</v>
      </c>
    </row>
    <row r="95" spans="1:14" x14ac:dyDescent="0.2">
      <c r="A95" s="98" t="s">
        <v>364</v>
      </c>
      <c r="B95" s="39"/>
      <c r="C95" s="39"/>
      <c r="D95" s="39"/>
      <c r="E95" s="39"/>
      <c r="F95" s="39"/>
      <c r="G95" s="39"/>
      <c r="H95" s="39"/>
      <c r="I95" s="39">
        <v>17.440785000000002</v>
      </c>
      <c r="J95" s="39"/>
      <c r="K95" s="39"/>
      <c r="L95" s="39"/>
      <c r="M95" s="39"/>
      <c r="N95" s="39">
        <v>17.440785000000002</v>
      </c>
    </row>
    <row r="96" spans="1:14" x14ac:dyDescent="0.2">
      <c r="A96" s="86" t="s">
        <v>658</v>
      </c>
      <c r="B96" s="39"/>
      <c r="C96" s="39"/>
      <c r="D96" s="39"/>
      <c r="E96" s="39"/>
      <c r="F96" s="39"/>
      <c r="G96" s="39"/>
      <c r="H96" s="39">
        <v>8396.3814720000009</v>
      </c>
      <c r="I96" s="39">
        <v>3811.5866684999996</v>
      </c>
      <c r="J96" s="39"/>
      <c r="K96" s="39"/>
      <c r="L96" s="39"/>
      <c r="M96" s="39"/>
      <c r="N96" s="39">
        <v>12207.968140500001</v>
      </c>
    </row>
    <row r="97" spans="1:14" x14ac:dyDescent="0.2">
      <c r="A97" s="98" t="s">
        <v>387</v>
      </c>
      <c r="B97" s="39"/>
      <c r="C97" s="39"/>
      <c r="D97" s="39"/>
      <c r="E97" s="39"/>
      <c r="F97" s="39"/>
      <c r="G97" s="39"/>
      <c r="H97" s="39">
        <v>7466.2062720000004</v>
      </c>
      <c r="I97" s="39">
        <v>2.3254380000000001</v>
      </c>
      <c r="J97" s="39"/>
      <c r="K97" s="39"/>
      <c r="L97" s="39"/>
      <c r="M97" s="39"/>
      <c r="N97" s="39">
        <v>7468.5317100000002</v>
      </c>
    </row>
    <row r="98" spans="1:14" x14ac:dyDescent="0.2">
      <c r="A98" s="98" t="s">
        <v>1160</v>
      </c>
      <c r="B98" s="39"/>
      <c r="C98" s="39"/>
      <c r="D98" s="39"/>
      <c r="E98" s="39"/>
      <c r="F98" s="39"/>
      <c r="G98" s="39"/>
      <c r="H98" s="39">
        <v>930.17520000000002</v>
      </c>
      <c r="I98" s="39"/>
      <c r="J98" s="39"/>
      <c r="K98" s="39"/>
      <c r="L98" s="39"/>
      <c r="M98" s="39"/>
      <c r="N98" s="39">
        <v>930.17520000000002</v>
      </c>
    </row>
    <row r="99" spans="1:14" x14ac:dyDescent="0.2">
      <c r="A99" s="98" t="s">
        <v>364</v>
      </c>
      <c r="B99" s="39"/>
      <c r="C99" s="39"/>
      <c r="D99" s="39"/>
      <c r="E99" s="39"/>
      <c r="F99" s="39"/>
      <c r="G99" s="39"/>
      <c r="H99" s="39"/>
      <c r="I99" s="39">
        <v>3809.2612304999998</v>
      </c>
      <c r="J99" s="39"/>
      <c r="K99" s="39"/>
      <c r="L99" s="39"/>
      <c r="M99" s="39"/>
      <c r="N99" s="39">
        <v>3809.2612304999998</v>
      </c>
    </row>
    <row r="100" spans="1:14" x14ac:dyDescent="0.2">
      <c r="A100" s="86" t="s">
        <v>56</v>
      </c>
      <c r="B100" s="39"/>
      <c r="C100" s="39"/>
      <c r="D100" s="39"/>
      <c r="E100" s="39"/>
      <c r="F100" s="39"/>
      <c r="G100" s="39"/>
      <c r="H100" s="39">
        <v>26219.770786140005</v>
      </c>
      <c r="I100" s="39">
        <v>4987.8629720399995</v>
      </c>
      <c r="J100" s="39"/>
      <c r="K100" s="39"/>
      <c r="L100" s="39"/>
      <c r="M100" s="39"/>
      <c r="N100" s="39">
        <v>31207.633758180003</v>
      </c>
    </row>
    <row r="101" spans="1:14" x14ac:dyDescent="0.2">
      <c r="A101" s="98" t="s">
        <v>387</v>
      </c>
      <c r="B101" s="39"/>
      <c r="C101" s="39"/>
      <c r="D101" s="39"/>
      <c r="E101" s="39"/>
      <c r="F101" s="39"/>
      <c r="G101" s="39"/>
      <c r="H101" s="39">
        <v>24669.478786140004</v>
      </c>
      <c r="I101" s="39">
        <v>3.100584</v>
      </c>
      <c r="J101" s="39"/>
      <c r="K101" s="39"/>
      <c r="L101" s="39"/>
      <c r="M101" s="39"/>
      <c r="N101" s="39">
        <v>24672.579370140003</v>
      </c>
    </row>
    <row r="102" spans="1:14" x14ac:dyDescent="0.2">
      <c r="A102" s="98" t="s">
        <v>1160</v>
      </c>
      <c r="B102" s="39"/>
      <c r="C102" s="39"/>
      <c r="D102" s="39"/>
      <c r="E102" s="39"/>
      <c r="F102" s="39"/>
      <c r="G102" s="39"/>
      <c r="H102" s="39">
        <v>1550.2919999999999</v>
      </c>
      <c r="I102" s="39"/>
      <c r="J102" s="39"/>
      <c r="K102" s="39"/>
      <c r="L102" s="39"/>
      <c r="M102" s="39"/>
      <c r="N102" s="39">
        <v>1550.2919999999999</v>
      </c>
    </row>
    <row r="103" spans="1:14" x14ac:dyDescent="0.2">
      <c r="A103" s="98" t="s">
        <v>364</v>
      </c>
      <c r="B103" s="39"/>
      <c r="C103" s="39"/>
      <c r="D103" s="39"/>
      <c r="E103" s="39"/>
      <c r="F103" s="39"/>
      <c r="G103" s="39"/>
      <c r="H103" s="39"/>
      <c r="I103" s="39">
        <v>4984.7623880399997</v>
      </c>
      <c r="J103" s="39"/>
      <c r="K103" s="39"/>
      <c r="L103" s="39"/>
      <c r="M103" s="39"/>
      <c r="N103" s="39">
        <v>4984.7623880399997</v>
      </c>
    </row>
    <row r="104" spans="1:14" x14ac:dyDescent="0.2">
      <c r="A104" s="86" t="s">
        <v>59</v>
      </c>
      <c r="B104" s="39"/>
      <c r="C104" s="39"/>
      <c r="D104" s="39"/>
      <c r="E104" s="39"/>
      <c r="F104" s="39"/>
      <c r="G104" s="39"/>
      <c r="H104" s="39">
        <v>33082.456134</v>
      </c>
      <c r="I104" s="39">
        <v>17.440785000000002</v>
      </c>
      <c r="J104" s="39"/>
      <c r="K104" s="39"/>
      <c r="L104" s="39"/>
      <c r="M104" s="39"/>
      <c r="N104" s="39">
        <v>33099.896918999999</v>
      </c>
    </row>
    <row r="105" spans="1:14" x14ac:dyDescent="0.2">
      <c r="A105" s="98" t="s">
        <v>387</v>
      </c>
      <c r="B105" s="39"/>
      <c r="C105" s="39"/>
      <c r="D105" s="39"/>
      <c r="E105" s="39"/>
      <c r="F105" s="39"/>
      <c r="G105" s="39"/>
      <c r="H105" s="39">
        <v>33082.456134</v>
      </c>
      <c r="I105" s="39">
        <v>0</v>
      </c>
      <c r="J105" s="39"/>
      <c r="K105" s="39"/>
      <c r="L105" s="39"/>
      <c r="M105" s="39"/>
      <c r="N105" s="39">
        <v>33082.456134</v>
      </c>
    </row>
    <row r="106" spans="1:14" x14ac:dyDescent="0.2">
      <c r="A106" s="98" t="s">
        <v>364</v>
      </c>
      <c r="B106" s="39"/>
      <c r="C106" s="39"/>
      <c r="D106" s="39"/>
      <c r="E106" s="39"/>
      <c r="F106" s="39"/>
      <c r="G106" s="39"/>
      <c r="H106" s="39"/>
      <c r="I106" s="39">
        <v>17.440785000000002</v>
      </c>
      <c r="J106" s="39"/>
      <c r="K106" s="39"/>
      <c r="L106" s="39"/>
      <c r="M106" s="39"/>
      <c r="N106" s="39">
        <v>17.440785000000002</v>
      </c>
    </row>
    <row r="107" spans="1:14" x14ac:dyDescent="0.2">
      <c r="A107" s="86" t="s">
        <v>438</v>
      </c>
      <c r="B107" s="39"/>
      <c r="C107" s="39"/>
      <c r="D107" s="39"/>
      <c r="E107" s="39"/>
      <c r="F107" s="39"/>
      <c r="G107" s="39"/>
      <c r="H107" s="39">
        <v>12026.281669560001</v>
      </c>
      <c r="I107" s="39">
        <v>3314.5940591399999</v>
      </c>
      <c r="J107" s="39"/>
      <c r="K107" s="39"/>
      <c r="L107" s="39"/>
      <c r="M107" s="39"/>
      <c r="N107" s="39">
        <v>15340.875728700001</v>
      </c>
    </row>
    <row r="108" spans="1:14" x14ac:dyDescent="0.2">
      <c r="A108" s="98" t="s">
        <v>387</v>
      </c>
      <c r="B108" s="39"/>
      <c r="C108" s="39"/>
      <c r="D108" s="39"/>
      <c r="E108" s="39"/>
      <c r="F108" s="39"/>
      <c r="G108" s="39"/>
      <c r="H108" s="39">
        <v>12026.281669560001</v>
      </c>
      <c r="I108" s="39">
        <v>3.4881570000000002</v>
      </c>
      <c r="J108" s="39"/>
      <c r="K108" s="39"/>
      <c r="L108" s="39"/>
      <c r="M108" s="39"/>
      <c r="N108" s="39">
        <v>12029.769826560001</v>
      </c>
    </row>
    <row r="109" spans="1:14" x14ac:dyDescent="0.2">
      <c r="A109" s="98" t="s">
        <v>364</v>
      </c>
      <c r="B109" s="39"/>
      <c r="C109" s="39"/>
      <c r="D109" s="39"/>
      <c r="E109" s="39"/>
      <c r="F109" s="39"/>
      <c r="G109" s="39"/>
      <c r="H109" s="39"/>
      <c r="I109" s="39">
        <v>3311.1059021400001</v>
      </c>
      <c r="J109" s="39"/>
      <c r="K109" s="39"/>
      <c r="L109" s="39"/>
      <c r="M109" s="39"/>
      <c r="N109" s="39">
        <v>3311.1059021400001</v>
      </c>
    </row>
    <row r="110" spans="1:14" x14ac:dyDescent="0.2">
      <c r="A110" s="65" t="s">
        <v>36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1" spans="1:14" x14ac:dyDescent="0.2">
      <c r="A111" s="66" t="s">
        <v>1464</v>
      </c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</row>
    <row r="112" spans="1:14" x14ac:dyDescent="0.2">
      <c r="A112" s="85">
        <v>46142</v>
      </c>
      <c r="B112" s="39"/>
      <c r="C112" s="39"/>
      <c r="D112" s="39"/>
      <c r="E112" s="39"/>
      <c r="F112" s="39"/>
      <c r="G112" s="39"/>
      <c r="H112" s="39"/>
      <c r="I112" s="39"/>
      <c r="J112" s="39">
        <v>149707.37895595765</v>
      </c>
      <c r="K112" s="39">
        <v>23736.259187843112</v>
      </c>
      <c r="L112" s="39"/>
      <c r="M112" s="39"/>
      <c r="N112" s="39">
        <v>173443.63814380078</v>
      </c>
    </row>
    <row r="113" spans="1:14" x14ac:dyDescent="0.2">
      <c r="A113" s="86" t="s">
        <v>354</v>
      </c>
      <c r="B113" s="39"/>
      <c r="C113" s="39"/>
      <c r="D113" s="39"/>
      <c r="E113" s="39"/>
      <c r="F113" s="39"/>
      <c r="G113" s="39"/>
      <c r="H113" s="39"/>
      <c r="I113" s="39"/>
      <c r="J113" s="39">
        <v>4012.2847771697429</v>
      </c>
      <c r="K113" s="39">
        <v>1866.6307259984235</v>
      </c>
      <c r="L113" s="39"/>
      <c r="M113" s="39"/>
      <c r="N113" s="39">
        <v>5878.9155031681657</v>
      </c>
    </row>
    <row r="114" spans="1:14" x14ac:dyDescent="0.2">
      <c r="A114" s="98" t="s">
        <v>387</v>
      </c>
      <c r="B114" s="39"/>
      <c r="C114" s="39"/>
      <c r="D114" s="39"/>
      <c r="E114" s="39"/>
      <c r="F114" s="39"/>
      <c r="G114" s="39"/>
      <c r="H114" s="39"/>
      <c r="I114" s="39"/>
      <c r="J114" s="39">
        <v>4012.2847771697429</v>
      </c>
      <c r="K114" s="39">
        <v>1.56975147776594</v>
      </c>
      <c r="L114" s="39"/>
      <c r="M114" s="39"/>
      <c r="N114" s="39">
        <v>4013.8545286475087</v>
      </c>
    </row>
    <row r="115" spans="1:14" x14ac:dyDescent="0.2">
      <c r="A115" s="98" t="s">
        <v>364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>
        <v>1865.0609745206575</v>
      </c>
      <c r="L115" s="39"/>
      <c r="M115" s="39"/>
      <c r="N115" s="39">
        <v>1865.0609745206575</v>
      </c>
    </row>
    <row r="116" spans="1:14" x14ac:dyDescent="0.2">
      <c r="A116" s="86" t="s">
        <v>45</v>
      </c>
      <c r="B116" s="39"/>
      <c r="C116" s="39"/>
      <c r="D116" s="39"/>
      <c r="E116" s="39"/>
      <c r="F116" s="39"/>
      <c r="G116" s="39"/>
      <c r="H116" s="39"/>
      <c r="I116" s="39"/>
      <c r="J116" s="39">
        <v>16814.392954089868</v>
      </c>
      <c r="K116" s="39">
        <v>5834.7662428559988</v>
      </c>
      <c r="L116" s="39"/>
      <c r="M116" s="39"/>
      <c r="N116" s="39">
        <v>22649.159196945868</v>
      </c>
    </row>
    <row r="117" spans="1:14" x14ac:dyDescent="0.2">
      <c r="A117" s="98" t="s">
        <v>387</v>
      </c>
      <c r="B117" s="39"/>
      <c r="C117" s="39"/>
      <c r="D117" s="39"/>
      <c r="E117" s="39"/>
      <c r="F117" s="39"/>
      <c r="G117" s="39"/>
      <c r="H117" s="39"/>
      <c r="I117" s="39"/>
      <c r="J117" s="39">
        <v>16814.392954089868</v>
      </c>
      <c r="K117" s="39">
        <v>5.4941301721807898</v>
      </c>
      <c r="L117" s="39"/>
      <c r="M117" s="39"/>
      <c r="N117" s="39">
        <v>16819.887084262049</v>
      </c>
    </row>
    <row r="118" spans="1:14" x14ac:dyDescent="0.2">
      <c r="A118" s="98" t="s">
        <v>364</v>
      </c>
      <c r="B118" s="39"/>
      <c r="C118" s="39"/>
      <c r="D118" s="39"/>
      <c r="E118" s="39"/>
      <c r="F118" s="39"/>
      <c r="G118" s="39"/>
      <c r="H118" s="39"/>
      <c r="I118" s="39"/>
      <c r="J118" s="39"/>
      <c r="K118" s="39">
        <v>5829.2721126838178</v>
      </c>
      <c r="L118" s="39"/>
      <c r="M118" s="39"/>
      <c r="N118" s="39">
        <v>5829.2721126838178</v>
      </c>
    </row>
    <row r="119" spans="1:14" x14ac:dyDescent="0.2">
      <c r="A119" s="86" t="s">
        <v>333</v>
      </c>
      <c r="B119" s="39"/>
      <c r="C119" s="39"/>
      <c r="D119" s="39"/>
      <c r="E119" s="39"/>
      <c r="F119" s="39"/>
      <c r="G119" s="39"/>
      <c r="H119" s="39"/>
      <c r="I119" s="39"/>
      <c r="J119" s="39">
        <v>1897.4057037200248</v>
      </c>
      <c r="K119" s="39">
        <v>185.51322964237877</v>
      </c>
      <c r="L119" s="39"/>
      <c r="M119" s="39"/>
      <c r="N119" s="39">
        <v>2082.9189333624035</v>
      </c>
    </row>
    <row r="120" spans="1:14" x14ac:dyDescent="0.2">
      <c r="A120" s="98" t="s">
        <v>387</v>
      </c>
      <c r="B120" s="39"/>
      <c r="C120" s="39"/>
      <c r="D120" s="39"/>
      <c r="E120" s="39"/>
      <c r="F120" s="39"/>
      <c r="G120" s="39"/>
      <c r="H120" s="39"/>
      <c r="I120" s="39"/>
      <c r="J120" s="39">
        <v>1897.4057037200248</v>
      </c>
      <c r="K120" s="39">
        <v>0.78487573888297002</v>
      </c>
      <c r="L120" s="39"/>
      <c r="M120" s="39"/>
      <c r="N120" s="39">
        <v>1898.1905794589077</v>
      </c>
    </row>
    <row r="121" spans="1:14" x14ac:dyDescent="0.2">
      <c r="A121" s="98" t="s">
        <v>364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>
        <v>184.72835390349582</v>
      </c>
      <c r="L121" s="39"/>
      <c r="M121" s="39"/>
      <c r="N121" s="39">
        <v>184.72835390349582</v>
      </c>
    </row>
    <row r="122" spans="1:14" x14ac:dyDescent="0.2">
      <c r="A122" s="86" t="s">
        <v>350</v>
      </c>
      <c r="B122" s="39"/>
      <c r="C122" s="39"/>
      <c r="D122" s="39"/>
      <c r="E122" s="39"/>
      <c r="F122" s="39"/>
      <c r="G122" s="39"/>
      <c r="H122" s="39"/>
      <c r="I122" s="39"/>
      <c r="J122" s="39">
        <v>24018.76736129665</v>
      </c>
      <c r="K122" s="39">
        <v>5931.6983966080461</v>
      </c>
      <c r="L122" s="39"/>
      <c r="M122" s="39"/>
      <c r="N122" s="39">
        <v>29950.465757904694</v>
      </c>
    </row>
    <row r="123" spans="1:14" x14ac:dyDescent="0.2">
      <c r="A123" s="98" t="s">
        <v>387</v>
      </c>
      <c r="B123" s="39"/>
      <c r="C123" s="39"/>
      <c r="D123" s="39"/>
      <c r="E123" s="39"/>
      <c r="F123" s="39"/>
      <c r="G123" s="39"/>
      <c r="H123" s="39"/>
      <c r="I123" s="39"/>
      <c r="J123" s="39">
        <v>24018.76736129665</v>
      </c>
      <c r="K123" s="39">
        <v>3.92437869441485</v>
      </c>
      <c r="L123" s="39"/>
      <c r="M123" s="39"/>
      <c r="N123" s="39">
        <v>24022.691739991064</v>
      </c>
    </row>
    <row r="124" spans="1:14" x14ac:dyDescent="0.2">
      <c r="A124" s="98" t="s">
        <v>364</v>
      </c>
      <c r="B124" s="39"/>
      <c r="C124" s="39"/>
      <c r="D124" s="39"/>
      <c r="E124" s="39"/>
      <c r="F124" s="39"/>
      <c r="G124" s="39"/>
      <c r="H124" s="39"/>
      <c r="I124" s="39"/>
      <c r="J124" s="39"/>
      <c r="K124" s="39">
        <v>5927.7740179136308</v>
      </c>
      <c r="L124" s="39"/>
      <c r="M124" s="39"/>
      <c r="N124" s="39">
        <v>5927.7740179136308</v>
      </c>
    </row>
    <row r="125" spans="1:14" x14ac:dyDescent="0.2">
      <c r="A125" s="86" t="s">
        <v>376</v>
      </c>
      <c r="B125" s="39"/>
      <c r="C125" s="39"/>
      <c r="D125" s="39"/>
      <c r="E125" s="39"/>
      <c r="F125" s="39"/>
      <c r="G125" s="39"/>
      <c r="H125" s="39"/>
      <c r="I125" s="39"/>
      <c r="J125" s="39">
        <v>2996.0512167362394</v>
      </c>
      <c r="K125" s="39">
        <v>1396.097720538083</v>
      </c>
      <c r="L125" s="39"/>
      <c r="M125" s="39"/>
      <c r="N125" s="39">
        <v>4392.1489372743217</v>
      </c>
    </row>
    <row r="126" spans="1:14" x14ac:dyDescent="0.2">
      <c r="A126" s="98" t="s">
        <v>387</v>
      </c>
      <c r="B126" s="39"/>
      <c r="C126" s="39"/>
      <c r="D126" s="39"/>
      <c r="E126" s="39"/>
      <c r="F126" s="39"/>
      <c r="G126" s="39"/>
      <c r="H126" s="39"/>
      <c r="I126" s="39"/>
      <c r="J126" s="39">
        <v>2996.0512167362394</v>
      </c>
      <c r="K126" s="39">
        <v>1.1773136083244551</v>
      </c>
      <c r="L126" s="39"/>
      <c r="M126" s="39"/>
      <c r="N126" s="39">
        <v>2997.2285303445638</v>
      </c>
    </row>
    <row r="127" spans="1:14" x14ac:dyDescent="0.2">
      <c r="A127" s="98" t="s">
        <v>364</v>
      </c>
      <c r="B127" s="39"/>
      <c r="C127" s="39"/>
      <c r="D127" s="39"/>
      <c r="E127" s="39"/>
      <c r="F127" s="39"/>
      <c r="G127" s="39"/>
      <c r="H127" s="39"/>
      <c r="I127" s="39"/>
      <c r="J127" s="39"/>
      <c r="K127" s="39">
        <v>1394.9204069297584</v>
      </c>
      <c r="L127" s="39"/>
      <c r="M127" s="39"/>
      <c r="N127" s="39">
        <v>1394.9204069297584</v>
      </c>
    </row>
    <row r="128" spans="1:14" x14ac:dyDescent="0.2">
      <c r="A128" s="86" t="s">
        <v>523</v>
      </c>
      <c r="B128" s="39"/>
      <c r="C128" s="39"/>
      <c r="D128" s="39"/>
      <c r="E128" s="39"/>
      <c r="F128" s="39"/>
      <c r="G128" s="39"/>
      <c r="H128" s="39"/>
      <c r="I128" s="39"/>
      <c r="J128" s="39">
        <v>44404.344927304031</v>
      </c>
      <c r="K128" s="39">
        <v>17.659704124866824</v>
      </c>
      <c r="L128" s="39"/>
      <c r="M128" s="39"/>
      <c r="N128" s="39">
        <v>44422.004631428899</v>
      </c>
    </row>
    <row r="129" spans="1:14" x14ac:dyDescent="0.2">
      <c r="A129" s="98" t="s">
        <v>387</v>
      </c>
      <c r="B129" s="39"/>
      <c r="C129" s="39"/>
      <c r="D129" s="39"/>
      <c r="E129" s="39"/>
      <c r="F129" s="39"/>
      <c r="G129" s="39"/>
      <c r="H129" s="39"/>
      <c r="I129" s="39"/>
      <c r="J129" s="39">
        <v>44404.344927304031</v>
      </c>
      <c r="K129" s="39">
        <v>0</v>
      </c>
      <c r="L129" s="39"/>
      <c r="M129" s="39"/>
      <c r="N129" s="39">
        <v>44404.344927304031</v>
      </c>
    </row>
    <row r="130" spans="1:14" x14ac:dyDescent="0.2">
      <c r="A130" s="98" t="s">
        <v>364</v>
      </c>
      <c r="B130" s="39"/>
      <c r="C130" s="39"/>
      <c r="D130" s="39"/>
      <c r="E130" s="39"/>
      <c r="F130" s="39"/>
      <c r="G130" s="39"/>
      <c r="H130" s="39"/>
      <c r="I130" s="39"/>
      <c r="J130" s="39"/>
      <c r="K130" s="39">
        <v>17.659704124866824</v>
      </c>
      <c r="L130" s="39"/>
      <c r="M130" s="39"/>
      <c r="N130" s="39">
        <v>17.659704124866824</v>
      </c>
    </row>
    <row r="131" spans="1:14" x14ac:dyDescent="0.2">
      <c r="A131" s="86" t="s">
        <v>658</v>
      </c>
      <c r="B131" s="39"/>
      <c r="C131" s="39"/>
      <c r="D131" s="39"/>
      <c r="E131" s="39"/>
      <c r="F131" s="39"/>
      <c r="G131" s="39"/>
      <c r="H131" s="39"/>
      <c r="I131" s="39"/>
      <c r="J131" s="39">
        <v>5268.8708351213781</v>
      </c>
      <c r="K131" s="39">
        <v>2334.4166663726742</v>
      </c>
      <c r="L131" s="39"/>
      <c r="M131" s="39"/>
      <c r="N131" s="39">
        <v>7603.2875014940519</v>
      </c>
    </row>
    <row r="132" spans="1:14" x14ac:dyDescent="0.2">
      <c r="A132" s="98" t="s">
        <v>387</v>
      </c>
      <c r="B132" s="39"/>
      <c r="C132" s="39"/>
      <c r="D132" s="39"/>
      <c r="E132" s="39"/>
      <c r="F132" s="39"/>
      <c r="G132" s="39"/>
      <c r="H132" s="39"/>
      <c r="I132" s="39"/>
      <c r="J132" s="39">
        <v>5268.8708351213781</v>
      </c>
      <c r="K132" s="39">
        <v>2.3546272166489102</v>
      </c>
      <c r="L132" s="39"/>
      <c r="M132" s="39"/>
      <c r="N132" s="39">
        <v>5271.2254623380268</v>
      </c>
    </row>
    <row r="133" spans="1:14" x14ac:dyDescent="0.2">
      <c r="A133" s="98" t="s">
        <v>364</v>
      </c>
      <c r="B133" s="39"/>
      <c r="C133" s="39"/>
      <c r="D133" s="39"/>
      <c r="E133" s="39"/>
      <c r="F133" s="39"/>
      <c r="G133" s="39"/>
      <c r="H133" s="39"/>
      <c r="I133" s="39"/>
      <c r="J133" s="39"/>
      <c r="K133" s="39">
        <v>2332.0620391560251</v>
      </c>
      <c r="L133" s="39"/>
      <c r="M133" s="39"/>
      <c r="N133" s="39">
        <v>2332.0620391560251</v>
      </c>
    </row>
    <row r="134" spans="1:14" x14ac:dyDescent="0.2">
      <c r="A134" s="86" t="s">
        <v>56</v>
      </c>
      <c r="B134" s="39"/>
      <c r="C134" s="39"/>
      <c r="D134" s="39"/>
      <c r="E134" s="39"/>
      <c r="F134" s="39"/>
      <c r="G134" s="39"/>
      <c r="H134" s="39"/>
      <c r="I134" s="39"/>
      <c r="J134" s="39">
        <v>13394.689359776767</v>
      </c>
      <c r="K134" s="39">
        <v>2343.2465184351072</v>
      </c>
      <c r="L134" s="39"/>
      <c r="M134" s="39"/>
      <c r="N134" s="39">
        <v>15737.935878211874</v>
      </c>
    </row>
    <row r="135" spans="1:14" x14ac:dyDescent="0.2">
      <c r="A135" s="98" t="s">
        <v>387</v>
      </c>
      <c r="B135" s="39"/>
      <c r="C135" s="39"/>
      <c r="D135" s="39"/>
      <c r="E135" s="39"/>
      <c r="F135" s="39"/>
      <c r="G135" s="39"/>
      <c r="H135" s="39"/>
      <c r="I135" s="39"/>
      <c r="J135" s="39">
        <v>13394.689359776767</v>
      </c>
      <c r="K135" s="39">
        <v>2.3546272166489102</v>
      </c>
      <c r="L135" s="39"/>
      <c r="M135" s="39"/>
      <c r="N135" s="39">
        <v>13397.043986993416</v>
      </c>
    </row>
    <row r="136" spans="1:14" x14ac:dyDescent="0.2">
      <c r="A136" s="98" t="s">
        <v>364</v>
      </c>
      <c r="B136" s="39"/>
      <c r="C136" s="39"/>
      <c r="D136" s="39"/>
      <c r="E136" s="39"/>
      <c r="F136" s="39"/>
      <c r="G136" s="39"/>
      <c r="H136" s="39"/>
      <c r="I136" s="39"/>
      <c r="J136" s="39"/>
      <c r="K136" s="39">
        <v>2340.8918912184581</v>
      </c>
      <c r="L136" s="39"/>
      <c r="M136" s="39"/>
      <c r="N136" s="39">
        <v>2340.8918912184581</v>
      </c>
    </row>
    <row r="137" spans="1:14" x14ac:dyDescent="0.2">
      <c r="A137" s="86" t="s">
        <v>59</v>
      </c>
      <c r="B137" s="39"/>
      <c r="C137" s="39"/>
      <c r="D137" s="39"/>
      <c r="E137" s="39"/>
      <c r="F137" s="39"/>
      <c r="G137" s="39"/>
      <c r="H137" s="39"/>
      <c r="I137" s="39"/>
      <c r="J137" s="39">
        <v>23754.264237293086</v>
      </c>
      <c r="K137" s="39">
        <v>17.659704124866824</v>
      </c>
      <c r="L137" s="39"/>
      <c r="M137" s="39"/>
      <c r="N137" s="39">
        <v>23771.923941417954</v>
      </c>
    </row>
    <row r="138" spans="1:14" x14ac:dyDescent="0.2">
      <c r="A138" s="98" t="s">
        <v>387</v>
      </c>
      <c r="B138" s="39"/>
      <c r="C138" s="39"/>
      <c r="D138" s="39"/>
      <c r="E138" s="39"/>
      <c r="F138" s="39"/>
      <c r="G138" s="39"/>
      <c r="H138" s="39"/>
      <c r="I138" s="39"/>
      <c r="J138" s="39">
        <v>23754.264237293086</v>
      </c>
      <c r="K138" s="39">
        <v>0</v>
      </c>
      <c r="L138" s="39"/>
      <c r="M138" s="39"/>
      <c r="N138" s="39">
        <v>23754.264237293086</v>
      </c>
    </row>
    <row r="139" spans="1:14" x14ac:dyDescent="0.2">
      <c r="A139" s="98" t="s">
        <v>364</v>
      </c>
      <c r="B139" s="39"/>
      <c r="C139" s="39"/>
      <c r="D139" s="39"/>
      <c r="E139" s="39"/>
      <c r="F139" s="39"/>
      <c r="G139" s="39"/>
      <c r="H139" s="39"/>
      <c r="I139" s="39"/>
      <c r="J139" s="39"/>
      <c r="K139" s="39">
        <v>17.659704124866824</v>
      </c>
      <c r="L139" s="39"/>
      <c r="M139" s="39"/>
      <c r="N139" s="39">
        <v>17.659704124866824</v>
      </c>
    </row>
    <row r="140" spans="1:14" x14ac:dyDescent="0.2">
      <c r="A140" s="86" t="s">
        <v>438</v>
      </c>
      <c r="B140" s="39"/>
      <c r="C140" s="39"/>
      <c r="D140" s="39"/>
      <c r="E140" s="39"/>
      <c r="F140" s="39"/>
      <c r="G140" s="39"/>
      <c r="H140" s="39"/>
      <c r="I140" s="39"/>
      <c r="J140" s="39">
        <v>13146.307583449863</v>
      </c>
      <c r="K140" s="39">
        <v>3808.5702791426675</v>
      </c>
      <c r="L140" s="39"/>
      <c r="M140" s="39"/>
      <c r="N140" s="39">
        <v>16954.87786259253</v>
      </c>
    </row>
    <row r="141" spans="1:14" x14ac:dyDescent="0.2">
      <c r="A141" s="98" t="s">
        <v>387</v>
      </c>
      <c r="B141" s="39"/>
      <c r="C141" s="39"/>
      <c r="D141" s="39"/>
      <c r="E141" s="39"/>
      <c r="F141" s="39"/>
      <c r="G141" s="39"/>
      <c r="H141" s="39"/>
      <c r="I141" s="39"/>
      <c r="J141" s="39">
        <v>13146.307583449863</v>
      </c>
      <c r="K141" s="39">
        <v>3.92437869441485</v>
      </c>
      <c r="L141" s="39"/>
      <c r="M141" s="39"/>
      <c r="N141" s="39">
        <v>13150.231962144278</v>
      </c>
    </row>
    <row r="142" spans="1:14" x14ac:dyDescent="0.2">
      <c r="A142" s="98" t="s">
        <v>364</v>
      </c>
      <c r="B142" s="39"/>
      <c r="C142" s="39"/>
      <c r="D142" s="39"/>
      <c r="E142" s="39"/>
      <c r="F142" s="39"/>
      <c r="G142" s="39"/>
      <c r="H142" s="39"/>
      <c r="I142" s="39"/>
      <c r="J142" s="39"/>
      <c r="K142" s="39">
        <v>3804.6459004482526</v>
      </c>
      <c r="L142" s="39"/>
      <c r="M142" s="39"/>
      <c r="N142" s="39">
        <v>3804.6459004482526</v>
      </c>
    </row>
    <row r="143" spans="1:14" x14ac:dyDescent="0.2">
      <c r="A143" s="65" t="s">
        <v>12</v>
      </c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</row>
    <row r="144" spans="1:14" x14ac:dyDescent="0.2">
      <c r="A144" s="66" t="s">
        <v>1519</v>
      </c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</row>
    <row r="145" spans="1:14" x14ac:dyDescent="0.2">
      <c r="A145" s="85">
        <v>46150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>
        <v>1963.31304318</v>
      </c>
      <c r="M145" s="39">
        <v>59.298669000000004</v>
      </c>
      <c r="N145" s="39">
        <v>2022.61171218</v>
      </c>
    </row>
    <row r="146" spans="1:14" x14ac:dyDescent="0.2">
      <c r="A146" s="86" t="s">
        <v>438</v>
      </c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>
        <v>1963.31304318</v>
      </c>
      <c r="M146" s="39">
        <v>59.298669000000004</v>
      </c>
      <c r="N146" s="39">
        <v>2022.61171218</v>
      </c>
    </row>
    <row r="147" spans="1:14" x14ac:dyDescent="0.2">
      <c r="A147" s="98" t="s">
        <v>387</v>
      </c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>
        <v>1963.31304318</v>
      </c>
      <c r="M147" s="39">
        <v>0.387573</v>
      </c>
      <c r="N147" s="39">
        <v>1963.70061618</v>
      </c>
    </row>
    <row r="148" spans="1:14" x14ac:dyDescent="0.2">
      <c r="A148" s="98" t="s">
        <v>364</v>
      </c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>
        <v>58.911096000000001</v>
      </c>
      <c r="N148" s="39">
        <v>58.911096000000001</v>
      </c>
    </row>
    <row r="149" spans="1:14" x14ac:dyDescent="0.2">
      <c r="A149" s="65" t="s">
        <v>19</v>
      </c>
      <c r="B149" s="39">
        <v>163568.11862917003</v>
      </c>
      <c r="C149" s="39">
        <v>23779.652993249998</v>
      </c>
      <c r="D149" s="39">
        <v>152570.713185</v>
      </c>
      <c r="E149" s="39">
        <v>9478.8418551600007</v>
      </c>
      <c r="F149" s="39">
        <v>-1322.8948755000015</v>
      </c>
      <c r="G149" s="39">
        <v>10776.5835369</v>
      </c>
      <c r="H149" s="39">
        <v>162037.63605023999</v>
      </c>
      <c r="I149" s="39">
        <v>25918.758339959997</v>
      </c>
      <c r="J149" s="39">
        <v>149707.37895595765</v>
      </c>
      <c r="K149" s="39">
        <v>23736.259187843112</v>
      </c>
      <c r="L149" s="39">
        <v>1963.31304318</v>
      </c>
      <c r="M149" s="39">
        <v>59.298669000000004</v>
      </c>
      <c r="N149" s="39">
        <v>722273.65957016079</v>
      </c>
    </row>
  </sheetData>
  <pageMargins left="0.70866141732283472" right="0.70866141732283472" top="0.74803149606299213" bottom="0.74803149606299213" header="0.31496062992125984" footer="0.31496062992125984"/>
  <pageSetup scale="35" orientation="portrait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C956-4B12-431A-834F-9859AF038E94}">
  <dimension ref="A1:AG382"/>
  <sheetViews>
    <sheetView workbookViewId="0">
      <selection activeCell="H120" sqref="H120"/>
    </sheetView>
  </sheetViews>
  <sheetFormatPr defaultRowHeight="12.75" x14ac:dyDescent="0.2"/>
  <cols>
    <col min="2" max="2" width="10.42578125" bestFit="1" customWidth="1"/>
    <col min="3" max="3" width="13.5703125" customWidth="1"/>
    <col min="4" max="4" width="22.5703125" bestFit="1" customWidth="1"/>
    <col min="6" max="6" width="10" style="37" bestFit="1" customWidth="1"/>
    <col min="7" max="7" width="12.42578125" style="37" bestFit="1" customWidth="1"/>
    <col min="8" max="8" width="28.7109375" bestFit="1" customWidth="1"/>
    <col min="9" max="9" width="20" bestFit="1" customWidth="1"/>
    <col min="10" max="10" width="16" bestFit="1" customWidth="1"/>
    <col min="11" max="11" width="12.28515625" bestFit="1" customWidth="1"/>
    <col min="12" max="12" width="20.7109375" bestFit="1" customWidth="1"/>
    <col min="14" max="14" width="25.42578125" bestFit="1" customWidth="1"/>
    <col min="15" max="15" width="14.5703125" bestFit="1" customWidth="1"/>
    <col min="16" max="18" width="11" bestFit="1" customWidth="1"/>
    <col min="19" max="19" width="9" bestFit="1" customWidth="1"/>
    <col min="20" max="20" width="11" bestFit="1" customWidth="1"/>
    <col min="21" max="21" width="10" bestFit="1" customWidth="1"/>
    <col min="22" max="22" width="25.42578125" bestFit="1" customWidth="1"/>
    <col min="23" max="23" width="14.5703125" bestFit="1" customWidth="1"/>
    <col min="24" max="24" width="10" bestFit="1" customWidth="1"/>
    <col min="25" max="26" width="11" bestFit="1" customWidth="1"/>
    <col min="27" max="27" width="10" bestFit="1" customWidth="1"/>
    <col min="28" max="28" width="6.5703125" bestFit="1" customWidth="1"/>
    <col min="29" max="29" width="11" bestFit="1" customWidth="1"/>
    <col min="30" max="30" width="10" bestFit="1" customWidth="1"/>
    <col min="31" max="31" width="11" bestFit="1" customWidth="1"/>
    <col min="32" max="32" width="23.28515625" bestFit="1" customWidth="1"/>
    <col min="33" max="33" width="10.7109375" bestFit="1" customWidth="1"/>
    <col min="34" max="34" width="8.7109375" bestFit="1" customWidth="1"/>
    <col min="35" max="35" width="11" bestFit="1" customWidth="1"/>
  </cols>
  <sheetData>
    <row r="1" spans="1:33" s="83" customFormat="1" x14ac:dyDescent="0.2">
      <c r="A1" s="83" t="s">
        <v>43</v>
      </c>
      <c r="B1" s="83" t="s">
        <v>1468</v>
      </c>
      <c r="C1" s="83" t="s">
        <v>1469</v>
      </c>
      <c r="D1" s="83" t="s">
        <v>1470</v>
      </c>
      <c r="E1" s="83" t="s">
        <v>70</v>
      </c>
      <c r="F1" s="84" t="s">
        <v>1471</v>
      </c>
      <c r="G1" s="84" t="s">
        <v>72</v>
      </c>
      <c r="H1" s="88" t="s">
        <v>1082</v>
      </c>
      <c r="I1" s="83" t="s">
        <v>1122</v>
      </c>
      <c r="J1" s="23" t="s">
        <v>64</v>
      </c>
      <c r="K1" s="23" t="s">
        <v>67</v>
      </c>
      <c r="L1" s="23" t="s">
        <v>44</v>
      </c>
    </row>
    <row r="2" spans="1:33" x14ac:dyDescent="0.2">
      <c r="A2" t="s">
        <v>1</v>
      </c>
      <c r="B2" s="38">
        <v>46053</v>
      </c>
      <c r="C2" s="38">
        <v>46052</v>
      </c>
      <c r="D2" t="s">
        <v>1521</v>
      </c>
      <c r="E2" t="s">
        <v>77</v>
      </c>
      <c r="F2" s="37">
        <v>32550</v>
      </c>
      <c r="G2" s="37" cm="1">
        <f t="array" ref="G2">F2*_xlfn.XLOOKUP(1,
 (FOREX!$A$2:$A$13=EOMONTH(B2,0))*
 (FOREX!$B$2:$B$13=TRIM(E2)),FOREX!$C$2:$C$13,
 100)</f>
        <v>25627.298550000003</v>
      </c>
      <c r="H2" t="s">
        <v>386</v>
      </c>
      <c r="I2" s="26" t="s">
        <v>387</v>
      </c>
      <c r="J2" s="35" t="str">
        <f>_xlfn.XLOOKUP(I2,costcategory[Account Code],costcategory[Cost Category],"ERROR")</f>
        <v>Headcount Costs</v>
      </c>
      <c r="K2" s="89" t="str">
        <f>_xlfn.XLOOKUP(D2,$AF$3:$AF$21,$AG$3:$AG$21,"ERROR")</f>
        <v>Management</v>
      </c>
      <c r="L2" s="89" t="str">
        <f>_xlfn.XLOOKUP(K2,Table2[Department],Table2[Group],"ERROR")</f>
        <v>General &amp; Administrative</v>
      </c>
      <c r="N2" t="s">
        <v>1472</v>
      </c>
      <c r="O2" s="97"/>
      <c r="P2" s="97"/>
      <c r="Q2" s="97"/>
      <c r="R2" s="97"/>
      <c r="S2" s="97"/>
      <c r="T2" s="97"/>
      <c r="V2" t="s">
        <v>1473</v>
      </c>
      <c r="AF2" s="83" t="s">
        <v>1470</v>
      </c>
      <c r="AG2" s="83" t="s">
        <v>1123</v>
      </c>
    </row>
    <row r="3" spans="1:33" x14ac:dyDescent="0.2">
      <c r="A3" t="s">
        <v>1</v>
      </c>
      <c r="B3" s="38">
        <v>46053</v>
      </c>
      <c r="C3" s="38">
        <v>46052</v>
      </c>
      <c r="D3" t="s">
        <v>1522</v>
      </c>
      <c r="E3" t="s">
        <v>77</v>
      </c>
      <c r="F3" s="37">
        <v>6632</v>
      </c>
      <c r="G3" s="37" cm="1">
        <f t="array" ref="G3">F3*_xlfn.XLOOKUP(1,
 (FOREX!$A$2:$A$13=EOMONTH(B3,0))*
 (FOREX!$B$2:$B$13=TRIM(E3)),FOREX!$C$2:$C$13,
 100)</f>
        <v>5221.5128720000002</v>
      </c>
      <c r="H3" t="s">
        <v>386</v>
      </c>
      <c r="I3" s="26" t="s">
        <v>387</v>
      </c>
      <c r="J3" s="35" t="str">
        <f>_xlfn.XLOOKUP(I3,costcategory[Account Code],costcategory[Cost Category],"ERROR")</f>
        <v>Headcount Costs</v>
      </c>
      <c r="K3" s="89" t="str">
        <f t="shared" ref="K3:K53" si="0">_xlfn.XLOOKUP(D3,$AF$3:$AF$21,$AG$3:$AG$21,"ERROR")</f>
        <v>Marketing</v>
      </c>
      <c r="L3" s="89" t="str">
        <f>_xlfn.XLOOKUP(K3,Table2[Department],Table2[Group],"ERROR")</f>
        <v>Sales &amp; Marketing</v>
      </c>
      <c r="N3" s="64" t="s">
        <v>11</v>
      </c>
      <c r="O3" s="64" t="s">
        <v>40</v>
      </c>
      <c r="V3" s="64" t="s">
        <v>11</v>
      </c>
      <c r="W3" s="64" t="s">
        <v>40</v>
      </c>
      <c r="AF3" t="s">
        <v>1521</v>
      </c>
      <c r="AG3" t="s">
        <v>523</v>
      </c>
    </row>
    <row r="4" spans="1:33" x14ac:dyDescent="0.2">
      <c r="A4" t="s">
        <v>1</v>
      </c>
      <c r="B4" s="38">
        <v>46053</v>
      </c>
      <c r="C4" s="38">
        <v>46052</v>
      </c>
      <c r="D4" t="s">
        <v>1523</v>
      </c>
      <c r="E4" t="s">
        <v>77</v>
      </c>
      <c r="F4" s="37">
        <v>23550</v>
      </c>
      <c r="G4" s="37" cm="1">
        <f t="array" ref="G4">F4*_xlfn.XLOOKUP(1,
 (FOREX!$A$2:$A$13=EOMONTH(B4,0))*
 (FOREX!$B$2:$B$13=TRIM(E4)),FOREX!$C$2:$C$13,
 100)</f>
        <v>18541.40955</v>
      </c>
      <c r="H4" t="s">
        <v>386</v>
      </c>
      <c r="I4" s="26" t="s">
        <v>387</v>
      </c>
      <c r="J4" s="35" t="str">
        <f>_xlfn.XLOOKUP(I4,costcategory[Account Code],costcategory[Cost Category],"ERROR")</f>
        <v>Headcount Costs</v>
      </c>
      <c r="K4" s="89" t="str">
        <f t="shared" si="0"/>
        <v>Management</v>
      </c>
      <c r="L4" s="89" t="str">
        <f>_xlfn.XLOOKUP(K4,Table2[Department],Table2[Group],"ERROR")</f>
        <v>General &amp; Administrative</v>
      </c>
      <c r="O4" t="s">
        <v>9</v>
      </c>
      <c r="P4" t="s">
        <v>26</v>
      </c>
      <c r="Q4" t="s">
        <v>27</v>
      </c>
      <c r="R4" t="s">
        <v>36</v>
      </c>
      <c r="S4" t="s">
        <v>12</v>
      </c>
      <c r="T4" t="s">
        <v>19</v>
      </c>
      <c r="W4" t="s">
        <v>9</v>
      </c>
      <c r="X4" t="s">
        <v>26</v>
      </c>
      <c r="Y4" t="s">
        <v>27</v>
      </c>
      <c r="Z4" t="s">
        <v>36</v>
      </c>
      <c r="AA4" t="s">
        <v>12</v>
      </c>
      <c r="AB4" t="s">
        <v>13</v>
      </c>
      <c r="AC4" t="s">
        <v>19</v>
      </c>
      <c r="AF4" t="s">
        <v>1522</v>
      </c>
      <c r="AG4" t="s">
        <v>658</v>
      </c>
    </row>
    <row r="5" spans="1:33" x14ac:dyDescent="0.2">
      <c r="A5" t="s">
        <v>1</v>
      </c>
      <c r="B5" s="38">
        <v>46053</v>
      </c>
      <c r="C5" s="38">
        <v>46052</v>
      </c>
      <c r="D5" t="s">
        <v>1524</v>
      </c>
      <c r="E5" t="s">
        <v>77</v>
      </c>
      <c r="F5" s="37">
        <v>5066</v>
      </c>
      <c r="G5" s="37" cm="1">
        <f t="array" ref="G5">F5*_xlfn.XLOOKUP(1,
 (FOREX!$A$2:$A$13=EOMONTH(B5,0))*
 (FOREX!$B$2:$B$13=TRIM(E5)),FOREX!$C$2:$C$13,
 100)</f>
        <v>3988.5681860000004</v>
      </c>
      <c r="H5" t="s">
        <v>386</v>
      </c>
      <c r="I5" s="26" t="s">
        <v>387</v>
      </c>
      <c r="J5" s="35" t="str">
        <f>_xlfn.XLOOKUP(I5,costcategory[Account Code],costcategory[Cost Category],"ERROR")</f>
        <v>Headcount Costs</v>
      </c>
      <c r="K5" s="89" t="str">
        <f t="shared" si="0"/>
        <v>Business Operation</v>
      </c>
      <c r="L5" s="89" t="str">
        <f>_xlfn.XLOOKUP(K5,Table2[Department],Table2[Group],"ERROR")</f>
        <v>Sales &amp; Marketing</v>
      </c>
      <c r="V5" s="64" t="s">
        <v>65</v>
      </c>
      <c r="AF5" t="s">
        <v>1523</v>
      </c>
      <c r="AG5" t="s">
        <v>523</v>
      </c>
    </row>
    <row r="6" spans="1:33" x14ac:dyDescent="0.2">
      <c r="A6" t="s">
        <v>1</v>
      </c>
      <c r="B6" s="38">
        <v>46053</v>
      </c>
      <c r="C6" s="38">
        <v>46052</v>
      </c>
      <c r="D6" t="s">
        <v>1525</v>
      </c>
      <c r="E6" t="s">
        <v>77</v>
      </c>
      <c r="F6" s="1">
        <v>12207</v>
      </c>
      <c r="G6" s="37" cm="1">
        <f t="array" ref="G6">F6*_xlfn.XLOOKUP(1,
 (FOREX!$A$2:$A$13=EOMONTH(B6,0))*
 (FOREX!$B$2:$B$13=TRIM(E6)),FOREX!$C$2:$C$13,
 100)</f>
        <v>9610.8274470000015</v>
      </c>
      <c r="H6" t="s">
        <v>386</v>
      </c>
      <c r="I6" s="26" t="s">
        <v>387</v>
      </c>
      <c r="J6" s="35" t="str">
        <f>_xlfn.XLOOKUP(I6,costcategory[Account Code],costcategory[Cost Category],"ERROR")</f>
        <v>Headcount Costs</v>
      </c>
      <c r="K6" s="89" t="str">
        <f t="shared" si="0"/>
        <v>Sales &amp; Pre-Sales</v>
      </c>
      <c r="L6" s="89" t="str">
        <f>_xlfn.XLOOKUP(K6,Table2[Department],Table2[Group],"ERROR")</f>
        <v>Sales &amp; Marketing</v>
      </c>
      <c r="N6" s="64" t="s">
        <v>65</v>
      </c>
      <c r="V6" s="65" t="s">
        <v>45</v>
      </c>
      <c r="W6" s="39">
        <v>20532.756935670001</v>
      </c>
      <c r="X6" s="39">
        <v>5797.0445230000005</v>
      </c>
      <c r="Y6" s="39">
        <v>37019.335460700007</v>
      </c>
      <c r="Z6" s="39">
        <v>22471.951064289868</v>
      </c>
      <c r="AA6" s="39">
        <v>5834.7662428559988</v>
      </c>
      <c r="AB6" s="39"/>
      <c r="AC6" s="39">
        <v>91655.85422651589</v>
      </c>
      <c r="AF6" t="s">
        <v>1524</v>
      </c>
      <c r="AG6" t="s">
        <v>354</v>
      </c>
    </row>
    <row r="7" spans="1:33" x14ac:dyDescent="0.2">
      <c r="A7" t="s">
        <v>1</v>
      </c>
      <c r="B7" s="38">
        <v>46053</v>
      </c>
      <c r="C7" s="38">
        <v>46052</v>
      </c>
      <c r="D7" t="s">
        <v>1526</v>
      </c>
      <c r="E7" t="s">
        <v>77</v>
      </c>
      <c r="F7" s="1">
        <v>10147</v>
      </c>
      <c r="G7" s="37" cm="1">
        <f t="array" ref="G7">F7*_xlfn.XLOOKUP(1,
 (FOREX!$A$2:$A$13=EOMONTH(B7,0))*
 (FOREX!$B$2:$B$13=TRIM(E7)),FOREX!$C$2:$C$13,
 100)</f>
        <v>7988.9461870000005</v>
      </c>
      <c r="H7" t="s">
        <v>386</v>
      </c>
      <c r="I7" s="26" t="s">
        <v>387</v>
      </c>
      <c r="J7" s="35" t="str">
        <f>_xlfn.XLOOKUP(I7,costcategory[Account Code],costcategory[Cost Category],"ERROR")</f>
        <v>Headcount Costs</v>
      </c>
      <c r="K7" s="89" t="str">
        <f t="shared" si="0"/>
        <v>Sales &amp; Pre-Sales</v>
      </c>
      <c r="L7" s="89" t="str">
        <f>_xlfn.XLOOKUP(K7,Table2[Department],Table2[Group],"ERROR")</f>
        <v>Sales &amp; Marketing</v>
      </c>
      <c r="N7" s="65" t="s">
        <v>45</v>
      </c>
      <c r="O7" s="39">
        <v>26329.801458669997</v>
      </c>
      <c r="P7" s="39">
        <v>20401.794270000002</v>
      </c>
      <c r="Q7" s="39">
        <v>22275.099300899998</v>
      </c>
      <c r="R7" s="39">
        <v>22649.159196945871</v>
      </c>
      <c r="S7" s="39"/>
      <c r="T7" s="39">
        <v>91655.854226515861</v>
      </c>
      <c r="V7" s="66" t="s">
        <v>45</v>
      </c>
      <c r="W7" s="39">
        <v>20532.756935670001</v>
      </c>
      <c r="X7" s="39">
        <v>5797.0445230000005</v>
      </c>
      <c r="Y7" s="39">
        <v>37019.335460700007</v>
      </c>
      <c r="Z7" s="39">
        <v>22471.951064289868</v>
      </c>
      <c r="AA7" s="39">
        <v>5834.7662428559988</v>
      </c>
      <c r="AB7" s="39"/>
      <c r="AC7" s="39">
        <v>91655.85422651589</v>
      </c>
      <c r="AF7" t="s">
        <v>1525</v>
      </c>
      <c r="AG7" t="s">
        <v>438</v>
      </c>
    </row>
    <row r="8" spans="1:33" x14ac:dyDescent="0.2">
      <c r="A8" t="s">
        <v>1</v>
      </c>
      <c r="B8" s="38">
        <v>46053</v>
      </c>
      <c r="C8" s="38">
        <v>46052</v>
      </c>
      <c r="D8" t="s">
        <v>1527</v>
      </c>
      <c r="E8" t="s">
        <v>77</v>
      </c>
      <c r="F8" s="1">
        <v>6782</v>
      </c>
      <c r="G8" s="37" cm="1">
        <f t="array" ref="G8">F8*_xlfn.XLOOKUP(1,
 (FOREX!$A$2:$A$13=EOMONTH(B8,0))*
 (FOREX!$B$2:$B$13=TRIM(E8)),FOREX!$C$2:$C$13,
 100)</f>
        <v>5339.611022</v>
      </c>
      <c r="H8" t="s">
        <v>386</v>
      </c>
      <c r="I8" s="26" t="s">
        <v>387</v>
      </c>
      <c r="J8" s="35" t="str">
        <f>_xlfn.XLOOKUP(I8,costcategory[Account Code],costcategory[Cost Category],"ERROR")</f>
        <v>Headcount Costs</v>
      </c>
      <c r="K8" s="89" t="str">
        <f t="shared" si="0"/>
        <v>DSC</v>
      </c>
      <c r="L8" s="89" t="str">
        <f>_xlfn.XLOOKUP(K8,Table2[Department],Table2[Group],"ERROR")</f>
        <v>DSC</v>
      </c>
      <c r="N8" s="66" t="s">
        <v>45</v>
      </c>
      <c r="O8" s="39">
        <v>26329.801458669997</v>
      </c>
      <c r="P8" s="39">
        <v>20401.794270000002</v>
      </c>
      <c r="Q8" s="39">
        <v>22275.099300899998</v>
      </c>
      <c r="R8" s="39">
        <v>22649.159196945871</v>
      </c>
      <c r="S8" s="39"/>
      <c r="T8" s="39">
        <v>91655.854226515861</v>
      </c>
      <c r="V8" s="87" t="s">
        <v>387</v>
      </c>
      <c r="W8" s="39">
        <v>20532.756935670001</v>
      </c>
      <c r="X8" s="39">
        <v>3053.2308380000004</v>
      </c>
      <c r="Y8" s="39">
        <v>37329.256148700006</v>
      </c>
      <c r="Z8" s="39">
        <v>16908.573193089869</v>
      </c>
      <c r="AA8" s="39">
        <v>5.4941301721807898</v>
      </c>
      <c r="AB8" s="39"/>
      <c r="AC8" s="39">
        <v>77829.311245632067</v>
      </c>
      <c r="AF8" t="s">
        <v>1526</v>
      </c>
      <c r="AG8" t="s">
        <v>438</v>
      </c>
    </row>
    <row r="9" spans="1:33" x14ac:dyDescent="0.2">
      <c r="A9" t="s">
        <v>1</v>
      </c>
      <c r="B9" s="38">
        <v>46053</v>
      </c>
      <c r="C9" s="38">
        <v>46052</v>
      </c>
      <c r="D9" t="s">
        <v>1528</v>
      </c>
      <c r="E9" t="s">
        <v>77</v>
      </c>
      <c r="F9" s="1">
        <v>5635</v>
      </c>
      <c r="G9" s="37" cm="1">
        <f t="array" ref="G9">F9*_xlfn.XLOOKUP(1,
 (FOREX!$A$2:$A$13=EOMONTH(B9,0))*
 (FOREX!$B$2:$B$13=TRIM(E9)),FOREX!$C$2:$C$13,
 100)</f>
        <v>4436.5538350000006</v>
      </c>
      <c r="H9" t="s">
        <v>386</v>
      </c>
      <c r="I9" s="26" t="s">
        <v>387</v>
      </c>
      <c r="J9" s="35" t="str">
        <f>_xlfn.XLOOKUP(I9,costcategory[Account Code],costcategory[Cost Category],"ERROR")</f>
        <v>Headcount Costs</v>
      </c>
      <c r="K9" s="89" t="str">
        <f t="shared" si="0"/>
        <v>R&amp;D - Team D</v>
      </c>
      <c r="L9" s="89" t="str">
        <f>_xlfn.XLOOKUP(K9,Table2[Department],Table2[Group],"ERROR")</f>
        <v>Research &amp; Development</v>
      </c>
      <c r="N9" s="87" t="s">
        <v>387</v>
      </c>
      <c r="O9" s="39">
        <v>23585.987773669996</v>
      </c>
      <c r="P9" s="39">
        <v>20711.714958000004</v>
      </c>
      <c r="Q9" s="39">
        <v>16711.721429699999</v>
      </c>
      <c r="R9" s="39">
        <v>16819.887084262053</v>
      </c>
      <c r="S9" s="39"/>
      <c r="T9" s="39">
        <v>77829.311245632052</v>
      </c>
      <c r="V9" s="87" t="s">
        <v>364</v>
      </c>
      <c r="W9" s="39"/>
      <c r="X9" s="39">
        <v>2743.8136850000001</v>
      </c>
      <c r="Y9" s="39">
        <v>-309.92068800000072</v>
      </c>
      <c r="Z9" s="39">
        <v>5563.3778711999994</v>
      </c>
      <c r="AA9" s="39">
        <v>5829.2721126838178</v>
      </c>
      <c r="AB9" s="39"/>
      <c r="AC9" s="39">
        <v>13826.542980883816</v>
      </c>
      <c r="AF9" t="s">
        <v>1527</v>
      </c>
      <c r="AG9" t="s">
        <v>45</v>
      </c>
    </row>
    <row r="10" spans="1:33" x14ac:dyDescent="0.2">
      <c r="A10" t="s">
        <v>1</v>
      </c>
      <c r="B10" s="38">
        <v>46053</v>
      </c>
      <c r="C10" s="38">
        <v>46052</v>
      </c>
      <c r="D10" t="s">
        <v>1529</v>
      </c>
      <c r="E10" t="s">
        <v>77</v>
      </c>
      <c r="F10" s="1">
        <v>15340</v>
      </c>
      <c r="G10" s="37" cm="1">
        <f t="array" ref="G10">F10*_xlfn.XLOOKUP(1,
 (FOREX!$A$2:$A$13=EOMONTH(B10,0))*
 (FOREX!$B$2:$B$13=TRIM(E10)),FOREX!$C$2:$C$13,
 100)</f>
        <v>12077.504140000001</v>
      </c>
      <c r="H10" t="s">
        <v>386</v>
      </c>
      <c r="I10" s="26" t="s">
        <v>387</v>
      </c>
      <c r="J10" s="35" t="str">
        <f>_xlfn.XLOOKUP(I10,costcategory[Account Code],costcategory[Cost Category],"ERROR")</f>
        <v>Headcount Costs</v>
      </c>
      <c r="K10" s="89" t="str">
        <f t="shared" si="0"/>
        <v>R&amp;D - Team W</v>
      </c>
      <c r="L10" s="89" t="str">
        <f>_xlfn.XLOOKUP(K10,Table2[Department],Table2[Group],"ERROR")</f>
        <v>Research &amp; Development</v>
      </c>
      <c r="N10" s="87" t="s">
        <v>364</v>
      </c>
      <c r="O10" s="39">
        <v>2743.8136850000001</v>
      </c>
      <c r="P10" s="39">
        <v>-309.92068800000072</v>
      </c>
      <c r="Q10" s="39">
        <v>5563.3778711999994</v>
      </c>
      <c r="R10" s="39">
        <v>5829.2721126838178</v>
      </c>
      <c r="S10" s="39"/>
      <c r="T10" s="39">
        <v>13826.542980883816</v>
      </c>
      <c r="V10" s="65" t="s">
        <v>62</v>
      </c>
      <c r="W10" s="39">
        <v>59318.338782000006</v>
      </c>
      <c r="X10" s="39">
        <v>4511.34933</v>
      </c>
      <c r="Y10" s="39">
        <v>119861.19401586</v>
      </c>
      <c r="Z10" s="39">
        <v>78792.572623136948</v>
      </c>
      <c r="AA10" s="39">
        <v>7530.9690509133743</v>
      </c>
      <c r="AB10" s="39"/>
      <c r="AC10" s="39">
        <v>270014.42380191031</v>
      </c>
      <c r="AF10" t="s">
        <v>1528</v>
      </c>
      <c r="AG10" t="s">
        <v>56</v>
      </c>
    </row>
    <row r="11" spans="1:33" x14ac:dyDescent="0.2">
      <c r="A11" t="s">
        <v>1</v>
      </c>
      <c r="B11" s="38">
        <v>46053</v>
      </c>
      <c r="C11" s="38">
        <v>46052</v>
      </c>
      <c r="D11" t="s">
        <v>1530</v>
      </c>
      <c r="E11" t="s">
        <v>77</v>
      </c>
      <c r="F11" s="1">
        <v>11132</v>
      </c>
      <c r="G11" s="37" cm="1">
        <f t="array" ref="G11">F11*_xlfn.XLOOKUP(1,
 (FOREX!$A$2:$A$13=EOMONTH(B11,0))*
 (FOREX!$B$2:$B$13=TRIM(E11)),FOREX!$C$2:$C$13,
 100)</f>
        <v>8764.4573720000008</v>
      </c>
      <c r="H11" t="s">
        <v>386</v>
      </c>
      <c r="I11" s="26" t="s">
        <v>387</v>
      </c>
      <c r="J11" s="35" t="str">
        <f>_xlfn.XLOOKUP(I11,costcategory[Account Code],costcategory[Cost Category],"ERROR")</f>
        <v>Headcount Costs</v>
      </c>
      <c r="K11" s="89" t="str">
        <f t="shared" si="0"/>
        <v>R&amp;D - Team D</v>
      </c>
      <c r="L11" s="89" t="str">
        <f>_xlfn.XLOOKUP(K11,Table2[Department],Table2[Group],"ERROR")</f>
        <v>Research &amp; Development</v>
      </c>
      <c r="N11" s="65" t="s">
        <v>62</v>
      </c>
      <c r="O11" s="39">
        <v>63829.688112000003</v>
      </c>
      <c r="P11" s="39">
        <v>59234.382107999998</v>
      </c>
      <c r="Q11" s="39">
        <v>66102.815321940012</v>
      </c>
      <c r="R11" s="39">
        <v>80847.538259970301</v>
      </c>
      <c r="S11" s="39"/>
      <c r="T11" s="39">
        <v>270014.42380191031</v>
      </c>
      <c r="V11" s="66" t="s">
        <v>333</v>
      </c>
      <c r="W11" s="39"/>
      <c r="X11" s="39"/>
      <c r="Y11" s="39"/>
      <c r="Z11" s="39">
        <v>1897.4057037200248</v>
      </c>
      <c r="AA11" s="39">
        <v>185.51322964237877</v>
      </c>
      <c r="AB11" s="39"/>
      <c r="AC11" s="39">
        <v>2082.9189333624035</v>
      </c>
      <c r="AF11" t="s">
        <v>1529</v>
      </c>
      <c r="AG11" t="s">
        <v>59</v>
      </c>
    </row>
    <row r="12" spans="1:33" x14ac:dyDescent="0.2">
      <c r="A12" t="s">
        <v>1</v>
      </c>
      <c r="B12" s="38">
        <v>46053</v>
      </c>
      <c r="C12" s="38">
        <v>46052</v>
      </c>
      <c r="D12" t="s">
        <v>1531</v>
      </c>
      <c r="E12" t="s">
        <v>77</v>
      </c>
      <c r="F12" s="1">
        <v>14925</v>
      </c>
      <c r="G12" s="37" cm="1">
        <f t="array" ref="G12">F12*_xlfn.XLOOKUP(1,
 (FOREX!$A$2:$A$13=EOMONTH(B12,0))*
 (FOREX!$B$2:$B$13=TRIM(E12)),FOREX!$C$2:$C$13,
 100)</f>
        <v>11750.765925000002</v>
      </c>
      <c r="H12" t="s">
        <v>386</v>
      </c>
      <c r="I12" s="26" t="s">
        <v>387</v>
      </c>
      <c r="J12" s="35" t="str">
        <f>_xlfn.XLOOKUP(I12,costcategory[Account Code],costcategory[Cost Category],"ERROR")</f>
        <v>Headcount Costs</v>
      </c>
      <c r="K12" s="89" t="str">
        <f t="shared" si="0"/>
        <v>R&amp;D - Team W</v>
      </c>
      <c r="L12" s="89" t="str">
        <f>_xlfn.XLOOKUP(K12,Table2[Department],Table2[Group],"ERROR")</f>
        <v>Research &amp; Development</v>
      </c>
      <c r="N12" s="66" t="s">
        <v>333</v>
      </c>
      <c r="O12" s="39"/>
      <c r="P12" s="39"/>
      <c r="Q12" s="39"/>
      <c r="R12" s="39">
        <v>2082.9189333624035</v>
      </c>
      <c r="S12" s="39"/>
      <c r="T12" s="39">
        <v>2082.9189333624035</v>
      </c>
      <c r="V12" s="87" t="s">
        <v>387</v>
      </c>
      <c r="W12" s="39"/>
      <c r="X12" s="39"/>
      <c r="Y12" s="39"/>
      <c r="Z12" s="39">
        <v>1897.4057037200248</v>
      </c>
      <c r="AA12" s="39">
        <v>0.78487573888297002</v>
      </c>
      <c r="AB12" s="39"/>
      <c r="AC12" s="39">
        <v>1898.1905794589077</v>
      </c>
      <c r="AF12" t="s">
        <v>1530</v>
      </c>
      <c r="AG12" t="s">
        <v>56</v>
      </c>
    </row>
    <row r="13" spans="1:33" x14ac:dyDescent="0.2">
      <c r="A13" t="s">
        <v>1</v>
      </c>
      <c r="B13" s="38">
        <v>46053</v>
      </c>
      <c r="C13" s="38">
        <v>46052</v>
      </c>
      <c r="D13" t="s">
        <v>1532</v>
      </c>
      <c r="E13" t="s">
        <v>77</v>
      </c>
      <c r="F13" s="1">
        <v>16635</v>
      </c>
      <c r="G13" s="37" cm="1">
        <f t="array" ref="G13">F13*_xlfn.XLOOKUP(1,
 (FOREX!$A$2:$A$13=EOMONTH(B13,0))*
 (FOREX!$B$2:$B$13=TRIM(E13)),FOREX!$C$2:$C$13,
 100)</f>
        <v>13097.084835000001</v>
      </c>
      <c r="H13" t="s">
        <v>386</v>
      </c>
      <c r="I13" s="26" t="s">
        <v>387</v>
      </c>
      <c r="J13" s="35" t="str">
        <f>_xlfn.XLOOKUP(I13,costcategory[Account Code],costcategory[Cost Category],"ERROR")</f>
        <v>Headcount Costs</v>
      </c>
      <c r="K13" s="89" t="str">
        <f t="shared" si="0"/>
        <v>R&amp;D - Team P</v>
      </c>
      <c r="L13" s="89" t="str">
        <f>_xlfn.XLOOKUP(K13,Table2[Department],Table2[Group],"ERROR")</f>
        <v>Research &amp; Development</v>
      </c>
      <c r="N13" s="87" t="s">
        <v>387</v>
      </c>
      <c r="O13" s="39"/>
      <c r="P13" s="39"/>
      <c r="Q13" s="39"/>
      <c r="R13" s="39">
        <v>1898.1905794589077</v>
      </c>
      <c r="S13" s="39"/>
      <c r="T13" s="39">
        <v>1898.1905794589077</v>
      </c>
      <c r="V13" s="87" t="s">
        <v>364</v>
      </c>
      <c r="W13" s="39"/>
      <c r="X13" s="39"/>
      <c r="Y13" s="39"/>
      <c r="Z13" s="39"/>
      <c r="AA13" s="39">
        <v>184.72835390349582</v>
      </c>
      <c r="AB13" s="39"/>
      <c r="AC13" s="39">
        <v>184.72835390349582</v>
      </c>
      <c r="AF13" t="s">
        <v>1531</v>
      </c>
      <c r="AG13" t="s">
        <v>59</v>
      </c>
    </row>
    <row r="14" spans="1:33" x14ac:dyDescent="0.2">
      <c r="A14" t="s">
        <v>1</v>
      </c>
      <c r="B14" s="38">
        <v>46053</v>
      </c>
      <c r="C14" s="38">
        <v>46052</v>
      </c>
      <c r="D14" t="s">
        <v>1533</v>
      </c>
      <c r="E14" t="s">
        <v>77</v>
      </c>
      <c r="F14" s="1">
        <v>3866.5</v>
      </c>
      <c r="G14" s="37" cm="1">
        <f t="array" ref="G14">F14*_xlfn.XLOOKUP(1,
 (FOREX!$A$2:$A$13=EOMONTH(B14,0))*
 (FOREX!$B$2:$B$13=TRIM(E14)),FOREX!$C$2:$C$13,
 100)</f>
        <v>3044.1766465000001</v>
      </c>
      <c r="H14" t="s">
        <v>386</v>
      </c>
      <c r="I14" s="26" t="s">
        <v>387</v>
      </c>
      <c r="J14" s="35" t="str">
        <f>_xlfn.XLOOKUP(I14,costcategory[Account Code],costcategory[Cost Category],"ERROR")</f>
        <v>Headcount Costs</v>
      </c>
      <c r="K14" s="89" t="str">
        <f t="shared" si="0"/>
        <v>R&amp;D - Team D</v>
      </c>
      <c r="L14" s="89" t="str">
        <f>_xlfn.XLOOKUP(K14,Table2[Department],Table2[Group],"ERROR")</f>
        <v>Research &amp; Development</v>
      </c>
      <c r="N14" s="87" t="s">
        <v>364</v>
      </c>
      <c r="O14" s="39"/>
      <c r="P14" s="39"/>
      <c r="Q14" s="39"/>
      <c r="R14" s="39">
        <v>184.72835390349582</v>
      </c>
      <c r="S14" s="39"/>
      <c r="T14" s="39">
        <v>184.72835390349582</v>
      </c>
      <c r="V14" s="66" t="s">
        <v>350</v>
      </c>
      <c r="W14" s="39">
        <v>15149.630681999999</v>
      </c>
      <c r="X14" s="39">
        <v>4493.6346075000001</v>
      </c>
      <c r="Y14" s="39">
        <v>31017.965679000001</v>
      </c>
      <c r="Z14" s="39">
        <v>29017.29634229665</v>
      </c>
      <c r="AA14" s="39">
        <v>5931.6983966080461</v>
      </c>
      <c r="AB14" s="39"/>
      <c r="AC14" s="39">
        <v>85610.225707404694</v>
      </c>
      <c r="AF14" t="s">
        <v>1532</v>
      </c>
      <c r="AG14" t="s">
        <v>57</v>
      </c>
    </row>
    <row r="15" spans="1:33" x14ac:dyDescent="0.2">
      <c r="A15" t="s">
        <v>1</v>
      </c>
      <c r="B15" s="38">
        <v>46053</v>
      </c>
      <c r="C15" s="38">
        <v>46052</v>
      </c>
      <c r="D15" t="s">
        <v>1534</v>
      </c>
      <c r="E15" t="s">
        <v>77</v>
      </c>
      <c r="F15" s="1">
        <v>4746</v>
      </c>
      <c r="G15" s="37" cm="1">
        <f t="array" ref="G15">F15*_xlfn.XLOOKUP(1,
 (FOREX!$A$2:$A$13=EOMONTH(B15,0))*
 (FOREX!$B$2:$B$13=TRIM(E15)),FOREX!$C$2:$C$13,
 100)</f>
        <v>3736.6254660000004</v>
      </c>
      <c r="H15" t="s">
        <v>386</v>
      </c>
      <c r="I15" s="26" t="s">
        <v>387</v>
      </c>
      <c r="J15" s="35" t="str">
        <f>_xlfn.XLOOKUP(I15,costcategory[Account Code],costcategory[Cost Category],"ERROR")</f>
        <v>Headcount Costs</v>
      </c>
      <c r="K15" s="89" t="str">
        <f t="shared" si="0"/>
        <v>R&amp;D - Team D</v>
      </c>
      <c r="L15" s="89" t="str">
        <f>_xlfn.XLOOKUP(K15,Table2[Department],Table2[Group],"ERROR")</f>
        <v>Research &amp; Development</v>
      </c>
      <c r="N15" s="66" t="s">
        <v>350</v>
      </c>
      <c r="O15" s="39">
        <v>19643.265289499999</v>
      </c>
      <c r="P15" s="39">
        <v>14863.147893000001</v>
      </c>
      <c r="Q15" s="39">
        <v>21153.346767000003</v>
      </c>
      <c r="R15" s="39">
        <v>29950.465757904698</v>
      </c>
      <c r="S15" s="39"/>
      <c r="T15" s="39">
        <v>85610.225707404679</v>
      </c>
      <c r="V15" s="87" t="s">
        <v>387</v>
      </c>
      <c r="W15" s="39">
        <v>15149.630681999999</v>
      </c>
      <c r="X15" s="39">
        <v>2421.0120750000006</v>
      </c>
      <c r="Y15" s="39">
        <v>29817.520374</v>
      </c>
      <c r="Z15" s="39">
        <v>24023.41823729665</v>
      </c>
      <c r="AA15" s="39">
        <v>3.92437869441485</v>
      </c>
      <c r="AB15" s="39"/>
      <c r="AC15" s="39">
        <v>71415.505746991068</v>
      </c>
      <c r="AF15" t="s">
        <v>1533</v>
      </c>
      <c r="AG15" t="s">
        <v>56</v>
      </c>
    </row>
    <row r="16" spans="1:33" x14ac:dyDescent="0.2">
      <c r="A16" t="s">
        <v>1</v>
      </c>
      <c r="B16" s="38">
        <v>46053</v>
      </c>
      <c r="C16" s="38">
        <v>46052</v>
      </c>
      <c r="D16" t="s">
        <v>1535</v>
      </c>
      <c r="E16" t="s">
        <v>77</v>
      </c>
      <c r="F16" s="1">
        <v>13364</v>
      </c>
      <c r="G16" s="37" cm="1">
        <f t="array" ref="G16">F16*_xlfn.XLOOKUP(1,
 (FOREX!$A$2:$A$13=EOMONTH(B16,0))*
 (FOREX!$B$2:$B$13=TRIM(E16)),FOREX!$C$2:$C$13,
 100)</f>
        <v>10521.757844</v>
      </c>
      <c r="H16" t="s">
        <v>386</v>
      </c>
      <c r="I16" s="26" t="s">
        <v>387</v>
      </c>
      <c r="J16" s="35" t="str">
        <f>_xlfn.XLOOKUP(I16,costcategory[Account Code],costcategory[Cost Category],"ERROR")</f>
        <v>Headcount Costs</v>
      </c>
      <c r="K16" s="89" t="str">
        <f t="shared" si="0"/>
        <v>HR</v>
      </c>
      <c r="L16" s="89" t="str">
        <f>_xlfn.XLOOKUP(K16,Table2[Department],Table2[Group],"ERROR")</f>
        <v>General &amp; Administrative</v>
      </c>
      <c r="N16" s="87" t="s">
        <v>387</v>
      </c>
      <c r="O16" s="39">
        <v>17570.642756999998</v>
      </c>
      <c r="P16" s="39">
        <v>15212.994588000001</v>
      </c>
      <c r="Q16" s="39">
        <v>14609.176662</v>
      </c>
      <c r="R16" s="39">
        <v>24022.691739991067</v>
      </c>
      <c r="S16" s="39"/>
      <c r="T16" s="39">
        <v>71415.505746991053</v>
      </c>
      <c r="V16" s="87" t="s">
        <v>1160</v>
      </c>
      <c r="W16" s="39"/>
      <c r="X16" s="39"/>
      <c r="Y16" s="39">
        <v>1550.2919999999999</v>
      </c>
      <c r="Z16" s="39"/>
      <c r="AA16" s="39"/>
      <c r="AB16" s="39"/>
      <c r="AC16" s="39">
        <v>1550.2919999999999</v>
      </c>
      <c r="AF16" t="s">
        <v>1534</v>
      </c>
      <c r="AG16" t="s">
        <v>56</v>
      </c>
    </row>
    <row r="17" spans="1:33" x14ac:dyDescent="0.2">
      <c r="A17" t="s">
        <v>1</v>
      </c>
      <c r="B17" s="38">
        <v>46053</v>
      </c>
      <c r="C17" s="38">
        <v>46052</v>
      </c>
      <c r="D17" t="s">
        <v>1536</v>
      </c>
      <c r="E17" t="s">
        <v>77</v>
      </c>
      <c r="F17" s="1">
        <v>9132</v>
      </c>
      <c r="G17" s="37" cm="1">
        <f t="array" ref="G17">F17*_xlfn.XLOOKUP(1,
 (FOREX!$A$2:$A$13=EOMONTH(B17,0))*
 (FOREX!$B$2:$B$13=TRIM(E17)),FOREX!$C$2:$C$13,
 100)</f>
        <v>7189.815372</v>
      </c>
      <c r="H17" t="s">
        <v>386</v>
      </c>
      <c r="I17" s="26" t="s">
        <v>387</v>
      </c>
      <c r="J17" s="35" t="str">
        <f>_xlfn.XLOOKUP(I17,costcategory[Account Code],costcategory[Cost Category],"ERROR")</f>
        <v>Headcount Costs</v>
      </c>
      <c r="K17" s="89" t="str">
        <f t="shared" si="0"/>
        <v>DSC</v>
      </c>
      <c r="L17" s="89" t="str">
        <f>_xlfn.XLOOKUP(K17,Table2[Department],Table2[Group],"ERROR")</f>
        <v>DSC</v>
      </c>
      <c r="N17" s="87" t="s">
        <v>364</v>
      </c>
      <c r="O17" s="39">
        <v>2072.6225325</v>
      </c>
      <c r="P17" s="39">
        <v>-349.84669500000052</v>
      </c>
      <c r="Q17" s="39">
        <v>4993.8781049999998</v>
      </c>
      <c r="R17" s="39">
        <v>5927.7740179136308</v>
      </c>
      <c r="S17" s="39"/>
      <c r="T17" s="39">
        <v>12644.42796041363</v>
      </c>
      <c r="V17" s="87" t="s">
        <v>364</v>
      </c>
      <c r="W17" s="39"/>
      <c r="X17" s="39">
        <v>2072.6225325</v>
      </c>
      <c r="Y17" s="39">
        <v>-349.84669500000052</v>
      </c>
      <c r="Z17" s="39">
        <v>4993.8781049999998</v>
      </c>
      <c r="AA17" s="39">
        <v>5927.7740179136308</v>
      </c>
      <c r="AB17" s="39"/>
      <c r="AC17" s="39">
        <v>12644.42796041363</v>
      </c>
      <c r="AF17" t="s">
        <v>1535</v>
      </c>
      <c r="AG17" t="s">
        <v>350</v>
      </c>
    </row>
    <row r="18" spans="1:33" x14ac:dyDescent="0.2">
      <c r="A18" t="s">
        <v>1</v>
      </c>
      <c r="B18" s="38">
        <v>46053</v>
      </c>
      <c r="C18" s="38">
        <v>46052</v>
      </c>
      <c r="D18" t="s">
        <v>1537</v>
      </c>
      <c r="E18" t="s">
        <v>77</v>
      </c>
      <c r="F18" s="1">
        <v>5085</v>
      </c>
      <c r="G18" s="37" cm="1">
        <f t="array" ref="G18">F18*_xlfn.XLOOKUP(1,
 (FOREX!$A$2:$A$13=EOMONTH(B18,0))*
 (FOREX!$B$2:$B$13=TRIM(E18)),FOREX!$C$2:$C$13,
 100)</f>
        <v>4003.5272850000001</v>
      </c>
      <c r="H18" t="s">
        <v>386</v>
      </c>
      <c r="I18" s="26" t="s">
        <v>387</v>
      </c>
      <c r="J18" s="35" t="str">
        <f>_xlfn.XLOOKUP(I18,costcategory[Account Code],costcategory[Cost Category],"ERROR")</f>
        <v>Headcount Costs</v>
      </c>
      <c r="K18" s="89" t="str">
        <f t="shared" si="0"/>
        <v>DSC</v>
      </c>
      <c r="L18" s="89" t="str">
        <f>_xlfn.XLOOKUP(K18,Table2[Department],Table2[Group],"ERROR")</f>
        <v>DSC</v>
      </c>
      <c r="N18" s="87" t="s">
        <v>1160</v>
      </c>
      <c r="O18" s="39"/>
      <c r="P18" s="39"/>
      <c r="Q18" s="39">
        <v>1550.2919999999999</v>
      </c>
      <c r="R18" s="39"/>
      <c r="S18" s="39"/>
      <c r="T18" s="39">
        <v>1550.2919999999999</v>
      </c>
      <c r="V18" s="66" t="s">
        <v>376</v>
      </c>
      <c r="W18" s="39"/>
      <c r="X18" s="39"/>
      <c r="Y18" s="39">
        <v>986.30352186000005</v>
      </c>
      <c r="Z18" s="39">
        <v>3456.0848648162396</v>
      </c>
      <c r="AA18" s="39">
        <v>1396.097720538083</v>
      </c>
      <c r="AB18" s="39"/>
      <c r="AC18" s="39">
        <v>5838.4861072143221</v>
      </c>
      <c r="AF18" t="s">
        <v>1536</v>
      </c>
      <c r="AG18" t="s">
        <v>45</v>
      </c>
    </row>
    <row r="19" spans="1:33" x14ac:dyDescent="0.2">
      <c r="A19" t="s">
        <v>1</v>
      </c>
      <c r="B19" s="38">
        <v>46053</v>
      </c>
      <c r="C19" s="38">
        <v>46052</v>
      </c>
      <c r="D19" t="s">
        <v>1538</v>
      </c>
      <c r="E19" t="s">
        <v>77</v>
      </c>
      <c r="F19" s="1">
        <v>5878</v>
      </c>
      <c r="G19" s="37" cm="1">
        <f t="array" ref="G19">F19*_xlfn.XLOOKUP(1,
 (FOREX!$A$2:$A$13=EOMONTH(B19,0))*
 (FOREX!$B$2:$B$13=TRIM(E19)),FOREX!$C$2:$C$13,
 100)</f>
        <v>4627.8728380000002</v>
      </c>
      <c r="H19" t="s">
        <v>386</v>
      </c>
      <c r="I19" s="26" t="s">
        <v>387</v>
      </c>
      <c r="J19" s="35" t="str">
        <f>_xlfn.XLOOKUP(I19,costcategory[Account Code],costcategory[Cost Category],"ERROR")</f>
        <v>Headcount Costs</v>
      </c>
      <c r="K19" s="89" t="str">
        <f t="shared" si="0"/>
        <v>HR</v>
      </c>
      <c r="L19" s="89" t="str">
        <f>_xlfn.XLOOKUP(K19,Table2[Department],Table2[Group],"ERROR")</f>
        <v>General &amp; Administrative</v>
      </c>
      <c r="N19" s="66" t="s">
        <v>376</v>
      </c>
      <c r="O19" s="39"/>
      <c r="P19" s="39"/>
      <c r="Q19" s="39">
        <v>1446.33716994</v>
      </c>
      <c r="R19" s="39">
        <v>4392.1489372743217</v>
      </c>
      <c r="S19" s="39"/>
      <c r="T19" s="39">
        <v>5838.4861072143231</v>
      </c>
      <c r="V19" s="87" t="s">
        <v>387</v>
      </c>
      <c r="W19" s="39"/>
      <c r="X19" s="39"/>
      <c r="Y19" s="39">
        <v>986.30352186000005</v>
      </c>
      <c r="Z19" s="39">
        <v>2996.4387897362394</v>
      </c>
      <c r="AA19" s="39">
        <v>1.1773136083244551</v>
      </c>
      <c r="AB19" s="39"/>
      <c r="AC19" s="39">
        <v>3983.9196252045635</v>
      </c>
      <c r="AF19" t="s">
        <v>1537</v>
      </c>
      <c r="AG19" t="s">
        <v>45</v>
      </c>
    </row>
    <row r="20" spans="1:33" x14ac:dyDescent="0.2">
      <c r="A20" t="s">
        <v>1</v>
      </c>
      <c r="B20" s="38">
        <v>46053</v>
      </c>
      <c r="C20" s="38">
        <v>46052</v>
      </c>
      <c r="D20" t="s">
        <v>1539</v>
      </c>
      <c r="E20" t="s">
        <v>77</v>
      </c>
      <c r="F20" s="1">
        <v>5080.2700000000004</v>
      </c>
      <c r="G20" s="37" cm="1">
        <f t="array" ref="G20">F20*_xlfn.XLOOKUP(1,
 (FOREX!$A$2:$A$13=EOMONTH(B20,0))*
 (FOREX!$B$2:$B$13=TRIM(E20)),FOREX!$C$2:$C$13,
 100)</f>
        <v>3999.8032566700008</v>
      </c>
      <c r="H20" t="s">
        <v>386</v>
      </c>
      <c r="I20" s="26" t="s">
        <v>387</v>
      </c>
      <c r="J20" s="35" t="str">
        <f>_xlfn.XLOOKUP(I20,costcategory[Account Code],costcategory[Cost Category],"ERROR")</f>
        <v>Headcount Costs</v>
      </c>
      <c r="K20" s="89" t="str">
        <f t="shared" si="0"/>
        <v>DSC</v>
      </c>
      <c r="L20" s="89" t="str">
        <f>_xlfn.XLOOKUP(K20,Table2[Department],Table2[Group],"ERROR")</f>
        <v>DSC</v>
      </c>
      <c r="N20" s="87" t="s">
        <v>387</v>
      </c>
      <c r="O20" s="39"/>
      <c r="P20" s="39"/>
      <c r="Q20" s="39">
        <v>986.69109486000002</v>
      </c>
      <c r="R20" s="39">
        <v>2997.2285303445638</v>
      </c>
      <c r="S20" s="39"/>
      <c r="T20" s="39">
        <v>3983.919625204564</v>
      </c>
      <c r="V20" s="87" t="s">
        <v>364</v>
      </c>
      <c r="W20" s="39"/>
      <c r="X20" s="39"/>
      <c r="Y20" s="39"/>
      <c r="Z20" s="39">
        <v>459.64607508000006</v>
      </c>
      <c r="AA20" s="39">
        <v>1394.9204069297584</v>
      </c>
      <c r="AB20" s="39"/>
      <c r="AC20" s="39">
        <v>1854.5664820097586</v>
      </c>
      <c r="AF20" t="s">
        <v>1538</v>
      </c>
      <c r="AG20" t="s">
        <v>350</v>
      </c>
    </row>
    <row r="21" spans="1:33" x14ac:dyDescent="0.2">
      <c r="A21" t="s">
        <v>1</v>
      </c>
      <c r="B21" s="38">
        <v>46053</v>
      </c>
      <c r="C21" s="38">
        <v>46058</v>
      </c>
      <c r="D21" t="s">
        <v>1521</v>
      </c>
      <c r="E21" t="s">
        <v>77</v>
      </c>
      <c r="F21" s="1"/>
      <c r="G21" s="37" cm="1">
        <f t="array" ref="G21">F21*_xlfn.XLOOKUP(1,
 (FOREX!$A$2:$A$13=EOMONTH(B21,0))*
 (FOREX!$B$2:$B$13=TRIM(E21)),FOREX!$C$2:$C$13,
 100)</f>
        <v>0</v>
      </c>
      <c r="H21" t="s">
        <v>1540</v>
      </c>
      <c r="I21" s="26" t="s">
        <v>387</v>
      </c>
      <c r="J21" s="35" t="str">
        <f>_xlfn.XLOOKUP(I21,costcategory[Account Code],costcategory[Cost Category],"ERROR")</f>
        <v>Headcount Costs</v>
      </c>
      <c r="K21" s="89" t="str">
        <f t="shared" si="0"/>
        <v>Management</v>
      </c>
      <c r="L21" s="89" t="str">
        <f>_xlfn.XLOOKUP(K21,Table2[Department],Table2[Group],"ERROR")</f>
        <v>General &amp; Administrative</v>
      </c>
      <c r="N21" s="87" t="s">
        <v>364</v>
      </c>
      <c r="O21" s="39"/>
      <c r="P21" s="39"/>
      <c r="Q21" s="39">
        <v>459.64607508000006</v>
      </c>
      <c r="R21" s="39">
        <v>1394.9204069297584</v>
      </c>
      <c r="S21" s="39"/>
      <c r="T21" s="39">
        <v>1854.5664820097586</v>
      </c>
      <c r="V21" s="66" t="s">
        <v>523</v>
      </c>
      <c r="W21" s="39">
        <v>44168.708100000003</v>
      </c>
      <c r="X21" s="39">
        <v>17.714722500000001</v>
      </c>
      <c r="Y21" s="39">
        <v>87856.924815000006</v>
      </c>
      <c r="Z21" s="39">
        <v>44421.78571230403</v>
      </c>
      <c r="AA21" s="39">
        <v>17.659704124866824</v>
      </c>
      <c r="AB21" s="39"/>
      <c r="AC21" s="39">
        <v>176482.79305392888</v>
      </c>
      <c r="AF21" t="s">
        <v>1539</v>
      </c>
      <c r="AG21" t="s">
        <v>45</v>
      </c>
    </row>
    <row r="22" spans="1:33" x14ac:dyDescent="0.2">
      <c r="A22" t="s">
        <v>1</v>
      </c>
      <c r="B22" s="38">
        <v>46053</v>
      </c>
      <c r="C22" s="38">
        <v>46058</v>
      </c>
      <c r="D22" t="s">
        <v>1522</v>
      </c>
      <c r="E22" t="s">
        <v>77</v>
      </c>
      <c r="F22" s="37">
        <v>3</v>
      </c>
      <c r="G22" s="37" cm="1">
        <f t="array" ref="G22">F22*_xlfn.XLOOKUP(1,
 (FOREX!$A$2:$A$13=EOMONTH(B22,0))*
 (FOREX!$B$2:$B$13=TRIM(E22)),FOREX!$C$2:$C$13,
 100)</f>
        <v>2.3619630000000003</v>
      </c>
      <c r="H22" t="s">
        <v>1540</v>
      </c>
      <c r="I22" s="26" t="s">
        <v>387</v>
      </c>
      <c r="J22" s="35" t="str">
        <f>_xlfn.XLOOKUP(I22,costcategory[Account Code],costcategory[Cost Category],"ERROR")</f>
        <v>Headcount Costs</v>
      </c>
      <c r="K22" s="89" t="str">
        <f t="shared" si="0"/>
        <v>Marketing</v>
      </c>
      <c r="L22" s="89" t="str">
        <f>_xlfn.XLOOKUP(K22,Table2[Department],Table2[Group],"ERROR")</f>
        <v>Sales &amp; Marketing</v>
      </c>
      <c r="N22" s="66" t="s">
        <v>523</v>
      </c>
      <c r="O22" s="39">
        <v>44186.422822500004</v>
      </c>
      <c r="P22" s="39">
        <v>44371.234214999997</v>
      </c>
      <c r="Q22" s="39">
        <v>43503.131385000001</v>
      </c>
      <c r="R22" s="39">
        <v>44422.004631428899</v>
      </c>
      <c r="S22" s="39"/>
      <c r="T22" s="39">
        <v>176482.79305392888</v>
      </c>
      <c r="V22" s="87" t="s">
        <v>387</v>
      </c>
      <c r="W22" s="39">
        <v>44168.708100000003</v>
      </c>
      <c r="X22" s="39">
        <v>0</v>
      </c>
      <c r="Y22" s="39">
        <v>87839.135999999999</v>
      </c>
      <c r="Z22" s="39">
        <v>44404.344927304031</v>
      </c>
      <c r="AA22" s="39">
        <v>0</v>
      </c>
      <c r="AB22" s="39"/>
      <c r="AC22" s="39">
        <v>176412.189027304</v>
      </c>
      <c r="AF22" t="s">
        <v>1541</v>
      </c>
      <c r="AG22" t="s">
        <v>45</v>
      </c>
    </row>
    <row r="23" spans="1:33" x14ac:dyDescent="0.2">
      <c r="A23" t="s">
        <v>1</v>
      </c>
      <c r="B23" s="38">
        <v>46053</v>
      </c>
      <c r="C23" s="38">
        <v>46058</v>
      </c>
      <c r="D23" t="s">
        <v>1523</v>
      </c>
      <c r="E23" t="s">
        <v>77</v>
      </c>
      <c r="G23" s="37" cm="1">
        <f t="array" ref="G23">F23*_xlfn.XLOOKUP(1,
 (FOREX!$A$2:$A$13=EOMONTH(B23,0))*
 (FOREX!$B$2:$B$13=TRIM(E23)),FOREX!$C$2:$C$13,
 100)</f>
        <v>0</v>
      </c>
      <c r="H23" t="s">
        <v>1540</v>
      </c>
      <c r="I23" s="26" t="s">
        <v>387</v>
      </c>
      <c r="J23" s="35" t="str">
        <f>_xlfn.XLOOKUP(I23,costcategory[Account Code],costcategory[Cost Category],"ERROR")</f>
        <v>Headcount Costs</v>
      </c>
      <c r="K23" s="89" t="str">
        <f t="shared" si="0"/>
        <v>Management</v>
      </c>
      <c r="L23" s="89" t="str">
        <f>_xlfn.XLOOKUP(K23,Table2[Department],Table2[Group],"ERROR")</f>
        <v>General &amp; Administrative</v>
      </c>
      <c r="N23" s="87" t="s">
        <v>387</v>
      </c>
      <c r="O23" s="39">
        <v>44168.708100000003</v>
      </c>
      <c r="P23" s="39">
        <v>44353.445399999997</v>
      </c>
      <c r="Q23" s="39">
        <v>43485.690600000002</v>
      </c>
      <c r="R23" s="39">
        <v>44404.344927304031</v>
      </c>
      <c r="S23" s="39"/>
      <c r="T23" s="39">
        <v>176412.189027304</v>
      </c>
      <c r="V23" s="87" t="s">
        <v>364</v>
      </c>
      <c r="W23" s="39"/>
      <c r="X23" s="39">
        <v>17.714722500000001</v>
      </c>
      <c r="Y23" s="39">
        <v>17.788815</v>
      </c>
      <c r="Z23" s="39">
        <v>17.440785000000002</v>
      </c>
      <c r="AA23" s="39">
        <v>17.659704124866824</v>
      </c>
      <c r="AB23" s="39"/>
      <c r="AC23" s="39">
        <v>70.604026624866819</v>
      </c>
      <c r="AF23" t="s">
        <v>1542</v>
      </c>
      <c r="AG23" t="s">
        <v>376</v>
      </c>
    </row>
    <row r="24" spans="1:33" x14ac:dyDescent="0.2">
      <c r="A24" t="s">
        <v>1</v>
      </c>
      <c r="B24" s="38">
        <v>46053</v>
      </c>
      <c r="C24" s="38">
        <v>46058</v>
      </c>
      <c r="D24" t="s">
        <v>1524</v>
      </c>
      <c r="E24" t="s">
        <v>77</v>
      </c>
      <c r="F24" s="37">
        <v>2</v>
      </c>
      <c r="G24" s="37" cm="1">
        <f t="array" ref="G24">F24*_xlfn.XLOOKUP(1,
 (FOREX!$A$2:$A$13=EOMONTH(B24,0))*
 (FOREX!$B$2:$B$13=TRIM(E24)),FOREX!$C$2:$C$13,
 100)</f>
        <v>1.5746420000000001</v>
      </c>
      <c r="H24" t="s">
        <v>1540</v>
      </c>
      <c r="I24" s="26" t="s">
        <v>387</v>
      </c>
      <c r="J24" s="35" t="str">
        <f>_xlfn.XLOOKUP(I24,costcategory[Account Code],costcategory[Cost Category],"ERROR")</f>
        <v>Headcount Costs</v>
      </c>
      <c r="K24" s="89" t="str">
        <f t="shared" si="0"/>
        <v>Business Operation</v>
      </c>
      <c r="L24" s="89" t="str">
        <f>_xlfn.XLOOKUP(K24,Table2[Department],Table2[Group],"ERROR")</f>
        <v>Sales &amp; Marketing</v>
      </c>
      <c r="N24" s="87" t="s">
        <v>364</v>
      </c>
      <c r="O24" s="39">
        <v>17.714722500000001</v>
      </c>
      <c r="P24" s="39">
        <v>17.788815</v>
      </c>
      <c r="Q24" s="39">
        <v>17.440785000000002</v>
      </c>
      <c r="R24" s="39">
        <v>17.659704124866824</v>
      </c>
      <c r="S24" s="39"/>
      <c r="T24" s="39">
        <v>70.604026624866819</v>
      </c>
      <c r="V24" s="65" t="s">
        <v>55</v>
      </c>
      <c r="W24" s="39">
        <v>56907.168219500003</v>
      </c>
      <c r="X24" s="39">
        <v>5535.0634602500004</v>
      </c>
      <c r="Y24" s="39">
        <v>132078.06621918004</v>
      </c>
      <c r="Z24" s="39">
        <v>42162.977746609846</v>
      </c>
      <c r="AA24" s="39">
        <v>2360.9062225599741</v>
      </c>
      <c r="AB24" s="39"/>
      <c r="AC24" s="39">
        <v>239044.18186809984</v>
      </c>
      <c r="AF24" t="s">
        <v>1543</v>
      </c>
      <c r="AG24" t="s">
        <v>438</v>
      </c>
    </row>
    <row r="25" spans="1:33" x14ac:dyDescent="0.2">
      <c r="A25" t="s">
        <v>1</v>
      </c>
      <c r="B25" s="38">
        <v>46053</v>
      </c>
      <c r="C25" s="38">
        <v>46058</v>
      </c>
      <c r="D25" t="s">
        <v>1525</v>
      </c>
      <c r="E25" t="s">
        <v>77</v>
      </c>
      <c r="F25" s="37">
        <v>3</v>
      </c>
      <c r="G25" s="37" cm="1">
        <f t="array" ref="G25">F25*_xlfn.XLOOKUP(1,
 (FOREX!$A$2:$A$13=EOMONTH(B25,0))*
 (FOREX!$B$2:$B$13=TRIM(E25)),FOREX!$C$2:$C$13,
 100)</f>
        <v>2.3619630000000003</v>
      </c>
      <c r="H25" t="s">
        <v>1540</v>
      </c>
      <c r="I25" s="26" t="s">
        <v>387</v>
      </c>
      <c r="J25" s="35" t="str">
        <f>_xlfn.XLOOKUP(I25,costcategory[Account Code],costcategory[Cost Category],"ERROR")</f>
        <v>Headcount Costs</v>
      </c>
      <c r="K25" s="89" t="str">
        <f t="shared" si="0"/>
        <v>Sales &amp; Pre-Sales</v>
      </c>
      <c r="L25" s="89" t="str">
        <f>_xlfn.XLOOKUP(K25,Table2[Department],Table2[Group],"ERROR")</f>
        <v>Sales &amp; Marketing</v>
      </c>
      <c r="N25" s="65" t="s">
        <v>55</v>
      </c>
      <c r="O25" s="39">
        <v>62442.231679750003</v>
      </c>
      <c r="P25" s="39">
        <v>53145.468386999994</v>
      </c>
      <c r="Q25" s="39">
        <v>83946.621981720004</v>
      </c>
      <c r="R25" s="39">
        <v>39509.859819629826</v>
      </c>
      <c r="S25" s="39"/>
      <c r="T25" s="39">
        <v>239044.18186809987</v>
      </c>
      <c r="V25" s="66" t="s">
        <v>56</v>
      </c>
      <c r="W25" s="39">
        <v>19981.813319500001</v>
      </c>
      <c r="X25" s="39">
        <v>5508.4913765000001</v>
      </c>
      <c r="Y25" s="39">
        <v>42258.759350640008</v>
      </c>
      <c r="Z25" s="39">
        <v>18382.552331816765</v>
      </c>
      <c r="AA25" s="39">
        <v>2343.2465184351072</v>
      </c>
      <c r="AB25" s="39"/>
      <c r="AC25" s="39">
        <v>88474.862896891864</v>
      </c>
      <c r="AF25" t="s">
        <v>1544</v>
      </c>
      <c r="AG25" t="s">
        <v>333</v>
      </c>
    </row>
    <row r="26" spans="1:33" x14ac:dyDescent="0.2">
      <c r="A26" t="s">
        <v>1</v>
      </c>
      <c r="B26" s="38">
        <v>46053</v>
      </c>
      <c r="C26" s="38">
        <v>46058</v>
      </c>
      <c r="D26" t="s">
        <v>1526</v>
      </c>
      <c r="E26" t="s">
        <v>77</v>
      </c>
      <c r="F26" s="37">
        <v>3</v>
      </c>
      <c r="G26" s="37" cm="1">
        <f t="array" ref="G26">F26*_xlfn.XLOOKUP(1,
 (FOREX!$A$2:$A$13=EOMONTH(B26,0))*
 (FOREX!$B$2:$B$13=TRIM(E26)),FOREX!$C$2:$C$13,
 100)</f>
        <v>2.3619630000000003</v>
      </c>
      <c r="H26" t="s">
        <v>1540</v>
      </c>
      <c r="I26" s="26" t="s">
        <v>387</v>
      </c>
      <c r="J26" s="35" t="str">
        <f>_xlfn.XLOOKUP(I26,costcategory[Account Code],costcategory[Cost Category],"ERROR")</f>
        <v>Headcount Costs</v>
      </c>
      <c r="K26" s="89" t="str">
        <f t="shared" si="0"/>
        <v>Sales &amp; Pre-Sales</v>
      </c>
      <c r="L26" s="89" t="str">
        <f>_xlfn.XLOOKUP(K26,Table2[Department],Table2[Group],"ERROR")</f>
        <v>Sales &amp; Marketing</v>
      </c>
      <c r="N26" s="66" t="s">
        <v>56</v>
      </c>
      <c r="O26" s="39">
        <v>25490.304695999999</v>
      </c>
      <c r="P26" s="39">
        <v>16038.988564499998</v>
      </c>
      <c r="Q26" s="39">
        <v>31207.633758180003</v>
      </c>
      <c r="R26" s="39">
        <v>15737.935878211874</v>
      </c>
      <c r="S26" s="39"/>
      <c r="T26" s="39">
        <v>88474.862896891878</v>
      </c>
      <c r="V26" s="87" t="s">
        <v>387</v>
      </c>
      <c r="W26" s="39">
        <v>19981.813319500001</v>
      </c>
      <c r="X26" s="39">
        <v>2960.7206205000002</v>
      </c>
      <c r="Y26" s="39">
        <v>40982.612755140006</v>
      </c>
      <c r="Z26" s="39">
        <v>13397.789943776766</v>
      </c>
      <c r="AA26" s="39">
        <v>2.3546272166489102</v>
      </c>
      <c r="AB26" s="39"/>
      <c r="AC26" s="39">
        <v>77325.291266133412</v>
      </c>
      <c r="AF26" t="s">
        <v>1545</v>
      </c>
      <c r="AG26" t="s">
        <v>438</v>
      </c>
    </row>
    <row r="27" spans="1:33" x14ac:dyDescent="0.2">
      <c r="A27" t="s">
        <v>1</v>
      </c>
      <c r="B27" s="38">
        <v>46053</v>
      </c>
      <c r="C27" s="38">
        <v>46058</v>
      </c>
      <c r="D27" t="s">
        <v>1527</v>
      </c>
      <c r="E27" t="s">
        <v>77</v>
      </c>
      <c r="F27" s="37">
        <v>3</v>
      </c>
      <c r="G27" s="37" cm="1">
        <f t="array" ref="G27">F27*_xlfn.XLOOKUP(1,
 (FOREX!$A$2:$A$13=EOMONTH(B27,0))*
 (FOREX!$B$2:$B$13=TRIM(E27)),FOREX!$C$2:$C$13,
 100)</f>
        <v>2.3619630000000003</v>
      </c>
      <c r="H27" t="s">
        <v>1540</v>
      </c>
      <c r="I27" s="26" t="s">
        <v>387</v>
      </c>
      <c r="J27" s="35" t="str">
        <f>_xlfn.XLOOKUP(I27,costcategory[Account Code],costcategory[Cost Category],"ERROR")</f>
        <v>Headcount Costs</v>
      </c>
      <c r="K27" s="89" t="str">
        <f t="shared" si="0"/>
        <v>DSC</v>
      </c>
      <c r="L27" s="89" t="str">
        <f>_xlfn.XLOOKUP(K27,Table2[Department],Table2[Group],"ERROR")</f>
        <v>DSC</v>
      </c>
      <c r="N27" s="87" t="s">
        <v>387</v>
      </c>
      <c r="O27" s="39">
        <v>22942.533940000001</v>
      </c>
      <c r="P27" s="39">
        <v>16313.133968999999</v>
      </c>
      <c r="Q27" s="39">
        <v>24672.579370140003</v>
      </c>
      <c r="R27" s="39">
        <v>13397.043986993416</v>
      </c>
      <c r="S27" s="39"/>
      <c r="T27" s="39">
        <v>77325.291266133412</v>
      </c>
      <c r="V27" s="87" t="s">
        <v>1160</v>
      </c>
      <c r="W27" s="39"/>
      <c r="X27" s="39"/>
      <c r="Y27" s="39">
        <v>1550.2919999999999</v>
      </c>
      <c r="Z27" s="39"/>
      <c r="AA27" s="39"/>
      <c r="AB27" s="39"/>
      <c r="AC27" s="39">
        <v>1550.2919999999999</v>
      </c>
    </row>
    <row r="28" spans="1:33" x14ac:dyDescent="0.2">
      <c r="A28" t="s">
        <v>1</v>
      </c>
      <c r="B28" s="38">
        <v>46053</v>
      </c>
      <c r="C28" s="38">
        <v>46058</v>
      </c>
      <c r="D28" t="s">
        <v>1528</v>
      </c>
      <c r="E28" t="s">
        <v>77</v>
      </c>
      <c r="G28" s="37" cm="1">
        <f t="array" ref="G28">F28*_xlfn.XLOOKUP(1,
 (FOREX!$A$2:$A$13=EOMONTH(B28,0))*
 (FOREX!$B$2:$B$13=TRIM(E28)),FOREX!$C$2:$C$13,
 100)</f>
        <v>0</v>
      </c>
      <c r="H28" t="s">
        <v>1540</v>
      </c>
      <c r="I28" s="26" t="s">
        <v>387</v>
      </c>
      <c r="J28" s="35" t="str">
        <f>_xlfn.XLOOKUP(I28,costcategory[Account Code],costcategory[Cost Category],"ERROR")</f>
        <v>Headcount Costs</v>
      </c>
      <c r="K28" s="89" t="str">
        <f t="shared" si="0"/>
        <v>R&amp;D - Team D</v>
      </c>
      <c r="L28" s="89" t="str">
        <f>_xlfn.XLOOKUP(K28,Table2[Department],Table2[Group],"ERROR")</f>
        <v>Research &amp; Development</v>
      </c>
      <c r="N28" s="87" t="s">
        <v>364</v>
      </c>
      <c r="O28" s="39">
        <v>2547.7707559999999</v>
      </c>
      <c r="P28" s="39">
        <v>-274.14540450000027</v>
      </c>
      <c r="Q28" s="39">
        <v>4984.7623880399997</v>
      </c>
      <c r="R28" s="39">
        <v>2340.8918912184581</v>
      </c>
      <c r="S28" s="39"/>
      <c r="T28" s="39">
        <v>9599.2796307584576</v>
      </c>
      <c r="V28" s="87" t="s">
        <v>364</v>
      </c>
      <c r="W28" s="39"/>
      <c r="X28" s="39">
        <v>2547.7707559999999</v>
      </c>
      <c r="Y28" s="39">
        <v>-274.14540450000027</v>
      </c>
      <c r="Z28" s="39">
        <v>4984.7623880399997</v>
      </c>
      <c r="AA28" s="39">
        <v>2340.8918912184581</v>
      </c>
      <c r="AB28" s="39"/>
      <c r="AC28" s="39">
        <v>9599.2796307584576</v>
      </c>
    </row>
    <row r="29" spans="1:33" x14ac:dyDescent="0.2">
      <c r="A29" t="s">
        <v>1</v>
      </c>
      <c r="B29" s="38">
        <v>46053</v>
      </c>
      <c r="C29" s="38">
        <v>46058</v>
      </c>
      <c r="D29" t="s">
        <v>1529</v>
      </c>
      <c r="E29" t="s">
        <v>77</v>
      </c>
      <c r="G29" s="37" cm="1">
        <f t="array" ref="G29">F29*_xlfn.XLOOKUP(1,
 (FOREX!$A$2:$A$13=EOMONTH(B29,0))*
 (FOREX!$B$2:$B$13=TRIM(E29)),FOREX!$C$2:$C$13,
 100)</f>
        <v>0</v>
      </c>
      <c r="H29" t="s">
        <v>1540</v>
      </c>
      <c r="I29" s="26" t="s">
        <v>387</v>
      </c>
      <c r="J29" s="35" t="str">
        <f>_xlfn.XLOOKUP(I29,costcategory[Account Code],costcategory[Cost Category],"ERROR")</f>
        <v>Headcount Costs</v>
      </c>
      <c r="K29" s="89" t="str">
        <f t="shared" si="0"/>
        <v>R&amp;D - Team W</v>
      </c>
      <c r="L29" s="89" t="str">
        <f>_xlfn.XLOOKUP(K29,Table2[Department],Table2[Group],"ERROR")</f>
        <v>Research &amp; Development</v>
      </c>
      <c r="N29" s="87" t="s">
        <v>1160</v>
      </c>
      <c r="O29" s="39"/>
      <c r="P29" s="39"/>
      <c r="Q29" s="39">
        <v>1550.2919999999999</v>
      </c>
      <c r="R29" s="39"/>
      <c r="S29" s="39"/>
      <c r="T29" s="39">
        <v>1550.2919999999999</v>
      </c>
      <c r="V29" s="66" t="s">
        <v>57</v>
      </c>
      <c r="W29" s="39">
        <v>13097.084835000001</v>
      </c>
      <c r="X29" s="39">
        <v>8.8573612500000003</v>
      </c>
      <c r="Y29" s="39">
        <v>32791.129209539999</v>
      </c>
      <c r="Z29" s="39">
        <v>8.7203925000000009</v>
      </c>
      <c r="AA29" s="39"/>
      <c r="AB29" s="39"/>
      <c r="AC29" s="39">
        <v>45905.791798289996</v>
      </c>
    </row>
    <row r="30" spans="1:33" x14ac:dyDescent="0.2">
      <c r="A30" t="s">
        <v>1</v>
      </c>
      <c r="B30" s="38">
        <v>46053</v>
      </c>
      <c r="C30" s="38">
        <v>46058</v>
      </c>
      <c r="D30" t="s">
        <v>1530</v>
      </c>
      <c r="E30" t="s">
        <v>77</v>
      </c>
      <c r="F30" s="37">
        <v>3</v>
      </c>
      <c r="G30" s="37" cm="1">
        <f t="array" ref="G30">F30*_xlfn.XLOOKUP(1,
 (FOREX!$A$2:$A$13=EOMONTH(B30,0))*
 (FOREX!$B$2:$B$13=TRIM(E30)),FOREX!$C$2:$C$13,
 100)</f>
        <v>2.3619630000000003</v>
      </c>
      <c r="H30" t="s">
        <v>1540</v>
      </c>
      <c r="I30" s="26" t="s">
        <v>387</v>
      </c>
      <c r="J30" s="35" t="str">
        <f>_xlfn.XLOOKUP(I30,costcategory[Account Code],costcategory[Cost Category],"ERROR")</f>
        <v>Headcount Costs</v>
      </c>
      <c r="K30" s="89" t="str">
        <f t="shared" si="0"/>
        <v>R&amp;D - Team D</v>
      </c>
      <c r="L30" s="89" t="str">
        <f>_xlfn.XLOOKUP(K30,Table2[Department],Table2[Group],"ERROR")</f>
        <v>Research &amp; Development</v>
      </c>
      <c r="N30" s="66" t="s">
        <v>57</v>
      </c>
      <c r="O30" s="39">
        <v>13105.942196250002</v>
      </c>
      <c r="P30" s="39">
        <v>13160.7582975</v>
      </c>
      <c r="Q30" s="39">
        <v>19639.091304540001</v>
      </c>
      <c r="R30" s="39"/>
      <c r="S30" s="39"/>
      <c r="T30" s="39">
        <v>45905.791798290003</v>
      </c>
      <c r="V30" s="87" t="s">
        <v>387</v>
      </c>
      <c r="W30" s="39">
        <v>13097.084835000001</v>
      </c>
      <c r="X30" s="39">
        <v>0</v>
      </c>
      <c r="Y30" s="39">
        <v>32782.234802039995</v>
      </c>
      <c r="Z30" s="39"/>
      <c r="AA30" s="39"/>
      <c r="AB30" s="39"/>
      <c r="AC30" s="39">
        <v>45879.319637039996</v>
      </c>
    </row>
    <row r="31" spans="1:33" x14ac:dyDescent="0.2">
      <c r="A31" t="s">
        <v>1</v>
      </c>
      <c r="B31" s="38">
        <v>46053</v>
      </c>
      <c r="C31" s="38">
        <v>46058</v>
      </c>
      <c r="D31" t="s">
        <v>1531</v>
      </c>
      <c r="E31" t="s">
        <v>77</v>
      </c>
      <c r="G31" s="37" cm="1">
        <f t="array" ref="G31">F31*_xlfn.XLOOKUP(1,
 (FOREX!$A$2:$A$13=EOMONTH(B31,0))*
 (FOREX!$B$2:$B$13=TRIM(E31)),FOREX!$C$2:$C$13,
 100)</f>
        <v>0</v>
      </c>
      <c r="H31" t="s">
        <v>1540</v>
      </c>
      <c r="I31" s="26" t="s">
        <v>387</v>
      </c>
      <c r="J31" s="35" t="str">
        <f>_xlfn.XLOOKUP(I31,costcategory[Account Code],costcategory[Cost Category],"ERROR")</f>
        <v>Headcount Costs</v>
      </c>
      <c r="K31" s="89" t="str">
        <f t="shared" si="0"/>
        <v>R&amp;D - Team W</v>
      </c>
      <c r="L31" s="89" t="str">
        <f>_xlfn.XLOOKUP(K31,Table2[Department],Table2[Group],"ERROR")</f>
        <v>Research &amp; Development</v>
      </c>
      <c r="N31" s="87" t="s">
        <v>387</v>
      </c>
      <c r="O31" s="39">
        <v>13097.084835000001</v>
      </c>
      <c r="P31" s="39">
        <v>13151.863890000001</v>
      </c>
      <c r="Q31" s="39">
        <v>19630.370912040002</v>
      </c>
      <c r="R31" s="39"/>
      <c r="S31" s="39"/>
      <c r="T31" s="39">
        <v>45879.319637040004</v>
      </c>
      <c r="V31" s="87" t="s">
        <v>364</v>
      </c>
      <c r="W31" s="39"/>
      <c r="X31" s="39">
        <v>8.8573612500000003</v>
      </c>
      <c r="Y31" s="39">
        <v>8.8944074999999998</v>
      </c>
      <c r="Z31" s="39">
        <v>8.7203925000000009</v>
      </c>
      <c r="AA31" s="39"/>
      <c r="AB31" s="39"/>
      <c r="AC31" s="39">
        <v>26.472161249999999</v>
      </c>
    </row>
    <row r="32" spans="1:33" x14ac:dyDescent="0.2">
      <c r="A32" t="s">
        <v>1</v>
      </c>
      <c r="B32" s="38">
        <v>46053</v>
      </c>
      <c r="C32" s="38">
        <v>46058</v>
      </c>
      <c r="D32" t="s">
        <v>1532</v>
      </c>
      <c r="E32" t="s">
        <v>77</v>
      </c>
      <c r="G32" s="37" cm="1">
        <f t="array" ref="G32">F32*_xlfn.XLOOKUP(1,
 (FOREX!$A$2:$A$13=EOMONTH(B32,0))*
 (FOREX!$B$2:$B$13=TRIM(E32)),FOREX!$C$2:$C$13,
 100)</f>
        <v>0</v>
      </c>
      <c r="H32" t="s">
        <v>1540</v>
      </c>
      <c r="I32" s="26" t="s">
        <v>387</v>
      </c>
      <c r="J32" s="35" t="str">
        <f>_xlfn.XLOOKUP(I32,costcategory[Account Code],costcategory[Cost Category],"ERROR")</f>
        <v>Headcount Costs</v>
      </c>
      <c r="K32" s="89" t="str">
        <f t="shared" si="0"/>
        <v>R&amp;D - Team P</v>
      </c>
      <c r="L32" s="89" t="str">
        <f>_xlfn.XLOOKUP(K32,Table2[Department],Table2[Group],"ERROR")</f>
        <v>Research &amp; Development</v>
      </c>
      <c r="N32" s="87" t="s">
        <v>364</v>
      </c>
      <c r="O32" s="39">
        <v>8.8573612500000003</v>
      </c>
      <c r="P32" s="39">
        <v>8.8944074999999998</v>
      </c>
      <c r="Q32" s="39">
        <v>8.7203925000000009</v>
      </c>
      <c r="R32" s="39"/>
      <c r="S32" s="39"/>
      <c r="T32" s="39">
        <v>26.472161249999999</v>
      </c>
      <c r="V32" s="66" t="s">
        <v>59</v>
      </c>
      <c r="W32" s="39">
        <v>23828.270065000004</v>
      </c>
      <c r="X32" s="39">
        <v>17.714722500000001</v>
      </c>
      <c r="Y32" s="39">
        <v>57028.177659000001</v>
      </c>
      <c r="Z32" s="39">
        <v>23771.705022293085</v>
      </c>
      <c r="AA32" s="39">
        <v>17.659704124866824</v>
      </c>
      <c r="AB32" s="39"/>
      <c r="AC32" s="39">
        <v>104663.52717291795</v>
      </c>
    </row>
    <row r="33" spans="1:29" x14ac:dyDescent="0.2">
      <c r="A33" t="s">
        <v>1</v>
      </c>
      <c r="B33" s="38">
        <v>46053</v>
      </c>
      <c r="C33" s="38">
        <v>46058</v>
      </c>
      <c r="D33" t="s">
        <v>1533</v>
      </c>
      <c r="E33" t="s">
        <v>77</v>
      </c>
      <c r="F33" s="37">
        <v>1.5</v>
      </c>
      <c r="G33" s="37" cm="1">
        <f t="array" ref="G33">F33*_xlfn.XLOOKUP(1,
 (FOREX!$A$2:$A$13=EOMONTH(B33,0))*
 (FOREX!$B$2:$B$13=TRIM(E33)),FOREX!$C$2:$C$13,
 100)</f>
        <v>1.1809815000000001</v>
      </c>
      <c r="H33" t="s">
        <v>1540</v>
      </c>
      <c r="I33" s="26" t="s">
        <v>387</v>
      </c>
      <c r="J33" s="35" t="str">
        <f>_xlfn.XLOOKUP(I33,costcategory[Account Code],costcategory[Cost Category],"ERROR")</f>
        <v>Headcount Costs</v>
      </c>
      <c r="K33" s="89" t="str">
        <f t="shared" si="0"/>
        <v>R&amp;D - Team D</v>
      </c>
      <c r="L33" s="89" t="str">
        <f>_xlfn.XLOOKUP(K33,Table2[Department],Table2[Group],"ERROR")</f>
        <v>Research &amp; Development</v>
      </c>
      <c r="N33" s="66" t="s">
        <v>59</v>
      </c>
      <c r="O33" s="39">
        <v>23845.984787500005</v>
      </c>
      <c r="P33" s="39">
        <v>23945.721525000001</v>
      </c>
      <c r="Q33" s="39">
        <v>33099.896918999999</v>
      </c>
      <c r="R33" s="39">
        <v>23771.923941417954</v>
      </c>
      <c r="S33" s="39"/>
      <c r="T33" s="39">
        <v>104663.52717291795</v>
      </c>
      <c r="V33" s="87" t="s">
        <v>387</v>
      </c>
      <c r="W33" s="39">
        <v>23828.270065000004</v>
      </c>
      <c r="X33" s="39">
        <v>0</v>
      </c>
      <c r="Y33" s="39">
        <v>57010.388844000001</v>
      </c>
      <c r="Z33" s="39">
        <v>23754.264237293086</v>
      </c>
      <c r="AA33" s="39">
        <v>0</v>
      </c>
      <c r="AB33" s="39"/>
      <c r="AC33" s="39">
        <v>104592.92314629309</v>
      </c>
    </row>
    <row r="34" spans="1:29" x14ac:dyDescent="0.2">
      <c r="A34" t="s">
        <v>1</v>
      </c>
      <c r="B34" s="38">
        <v>46053</v>
      </c>
      <c r="C34" s="38">
        <v>46058</v>
      </c>
      <c r="D34" t="s">
        <v>1534</v>
      </c>
      <c r="E34" t="s">
        <v>77</v>
      </c>
      <c r="F34" s="37">
        <v>2</v>
      </c>
      <c r="G34" s="37" cm="1">
        <f t="array" ref="G34">F34*_xlfn.XLOOKUP(1,
 (FOREX!$A$2:$A$13=EOMONTH(B34,0))*
 (FOREX!$B$2:$B$13=TRIM(E34)),FOREX!$C$2:$C$13,
 100)</f>
        <v>1.5746420000000001</v>
      </c>
      <c r="H34" t="s">
        <v>1540</v>
      </c>
      <c r="I34" s="26" t="s">
        <v>387</v>
      </c>
      <c r="J34" s="35" t="str">
        <f>_xlfn.XLOOKUP(I34,costcategory[Account Code],costcategory[Cost Category],"ERROR")</f>
        <v>Headcount Costs</v>
      </c>
      <c r="K34" s="89" t="str">
        <f t="shared" si="0"/>
        <v>R&amp;D - Team D</v>
      </c>
      <c r="L34" s="89" t="str">
        <f>_xlfn.XLOOKUP(K34,Table2[Department],Table2[Group],"ERROR")</f>
        <v>Research &amp; Development</v>
      </c>
      <c r="N34" s="87" t="s">
        <v>387</v>
      </c>
      <c r="O34" s="39">
        <v>23828.270065000004</v>
      </c>
      <c r="P34" s="39">
        <v>23927.932710000001</v>
      </c>
      <c r="Q34" s="39">
        <v>33082.456134</v>
      </c>
      <c r="R34" s="39">
        <v>23754.264237293086</v>
      </c>
      <c r="S34" s="39"/>
      <c r="T34" s="39">
        <v>104592.92314629309</v>
      </c>
      <c r="V34" s="87" t="s">
        <v>364</v>
      </c>
      <c r="W34" s="39"/>
      <c r="X34" s="39">
        <v>17.714722500000001</v>
      </c>
      <c r="Y34" s="39">
        <v>17.788815</v>
      </c>
      <c r="Z34" s="39">
        <v>17.440785000000002</v>
      </c>
      <c r="AA34" s="39">
        <v>17.659704124866824</v>
      </c>
      <c r="AB34" s="39"/>
      <c r="AC34" s="39">
        <v>70.604026624866819</v>
      </c>
    </row>
    <row r="35" spans="1:29" x14ac:dyDescent="0.2">
      <c r="A35" t="s">
        <v>1</v>
      </c>
      <c r="B35" s="38">
        <v>46053</v>
      </c>
      <c r="C35" s="38">
        <v>46058</v>
      </c>
      <c r="D35" t="s">
        <v>1535</v>
      </c>
      <c r="E35" t="s">
        <v>77</v>
      </c>
      <c r="F35" s="37">
        <v>3</v>
      </c>
      <c r="G35" s="37" cm="1">
        <f t="array" ref="G35">F35*_xlfn.XLOOKUP(1,
 (FOREX!$A$2:$A$13=EOMONTH(B35,0))*
 (FOREX!$B$2:$B$13=TRIM(E35)),FOREX!$C$2:$C$13,
 100)</f>
        <v>2.3619630000000003</v>
      </c>
      <c r="H35" t="s">
        <v>1540</v>
      </c>
      <c r="I35" s="26" t="s">
        <v>387</v>
      </c>
      <c r="J35" s="35" t="str">
        <f>_xlfn.XLOOKUP(I35,costcategory[Account Code],costcategory[Cost Category],"ERROR")</f>
        <v>Headcount Costs</v>
      </c>
      <c r="K35" s="89" t="str">
        <f t="shared" si="0"/>
        <v>HR</v>
      </c>
      <c r="L35" s="89" t="str">
        <f>_xlfn.XLOOKUP(K35,Table2[Department],Table2[Group],"ERROR")</f>
        <v>General &amp; Administrative</v>
      </c>
      <c r="N35" s="87" t="s">
        <v>364</v>
      </c>
      <c r="O35" s="39">
        <v>17.714722500000001</v>
      </c>
      <c r="P35" s="39">
        <v>17.788815</v>
      </c>
      <c r="Q35" s="39">
        <v>17.440785000000002</v>
      </c>
      <c r="R35" s="39">
        <v>17.659704124866824</v>
      </c>
      <c r="S35" s="39"/>
      <c r="T35" s="39">
        <v>70.604026624866819</v>
      </c>
      <c r="V35" s="65" t="s">
        <v>61</v>
      </c>
      <c r="W35" s="39">
        <v>26809.854692000001</v>
      </c>
      <c r="X35" s="39">
        <v>7936.1956800000007</v>
      </c>
      <c r="Y35" s="39">
        <v>44582.284056060009</v>
      </c>
      <c r="Z35" s="39">
        <v>32198.635861880983</v>
      </c>
      <c r="AA35" s="39">
        <v>9972.9307146937663</v>
      </c>
      <c r="AB35" s="39">
        <v>59.298669000000004</v>
      </c>
      <c r="AC35" s="39">
        <v>121559.19967363475</v>
      </c>
    </row>
    <row r="36" spans="1:29" x14ac:dyDescent="0.2">
      <c r="A36" t="s">
        <v>1</v>
      </c>
      <c r="B36" s="38">
        <v>46053</v>
      </c>
      <c r="C36" s="38">
        <v>46058</v>
      </c>
      <c r="D36" t="s">
        <v>1536</v>
      </c>
      <c r="E36" t="s">
        <v>77</v>
      </c>
      <c r="F36" s="37">
        <v>3</v>
      </c>
      <c r="G36" s="37" cm="1">
        <f t="array" ref="G36">F36*_xlfn.XLOOKUP(1,
 (FOREX!$A$2:$A$13=EOMONTH(B36,0))*
 (FOREX!$B$2:$B$13=TRIM(E36)),FOREX!$C$2:$C$13,
 100)</f>
        <v>2.3619630000000003</v>
      </c>
      <c r="H36" t="s">
        <v>1540</v>
      </c>
      <c r="I36" s="26" t="s">
        <v>387</v>
      </c>
      <c r="J36" s="35" t="str">
        <f>_xlfn.XLOOKUP(I36,costcategory[Account Code],costcategory[Cost Category],"ERROR")</f>
        <v>Headcount Costs</v>
      </c>
      <c r="K36" s="89" t="str">
        <f t="shared" si="0"/>
        <v>DSC</v>
      </c>
      <c r="L36" s="89" t="str">
        <f>_xlfn.XLOOKUP(K36,Table2[Department],Table2[Group],"ERROR")</f>
        <v>DSC</v>
      </c>
      <c r="N36" s="65" t="s">
        <v>61</v>
      </c>
      <c r="O36" s="39">
        <v>34746.050371999998</v>
      </c>
      <c r="P36" s="39">
        <v>18466.173544499998</v>
      </c>
      <c r="Q36" s="39">
        <v>35887.283177700003</v>
      </c>
      <c r="R36" s="39">
        <v>30437.08086725475</v>
      </c>
      <c r="S36" s="39">
        <v>2022.61171218</v>
      </c>
      <c r="T36" s="39">
        <v>121559.19967363475</v>
      </c>
      <c r="V36" s="66" t="s">
        <v>354</v>
      </c>
      <c r="W36" s="39">
        <v>3988.5681860000004</v>
      </c>
      <c r="X36" s="39">
        <v>1855.9124272500003</v>
      </c>
      <c r="Y36" s="39">
        <v>9558.9568695000016</v>
      </c>
      <c r="Z36" s="39">
        <v>6657.2767156697428</v>
      </c>
      <c r="AA36" s="39">
        <v>1866.6307259984235</v>
      </c>
      <c r="AB36" s="39"/>
      <c r="AC36" s="39">
        <v>23927.344924418168</v>
      </c>
    </row>
    <row r="37" spans="1:29" x14ac:dyDescent="0.2">
      <c r="A37" t="s">
        <v>1</v>
      </c>
      <c r="B37" s="38">
        <v>46053</v>
      </c>
      <c r="C37" s="38">
        <v>46058</v>
      </c>
      <c r="D37" t="s">
        <v>1537</v>
      </c>
      <c r="E37" t="s">
        <v>77</v>
      </c>
      <c r="G37" s="37" cm="1">
        <f t="array" ref="G37">F37*_xlfn.XLOOKUP(1,
 (FOREX!$A$2:$A$13=EOMONTH(B37,0))*
 (FOREX!$B$2:$B$13=TRIM(E37)),FOREX!$C$2:$C$13,
 100)</f>
        <v>0</v>
      </c>
      <c r="H37" t="s">
        <v>1540</v>
      </c>
      <c r="I37" s="26" t="s">
        <v>387</v>
      </c>
      <c r="J37" s="35" t="str">
        <f>_xlfn.XLOOKUP(I37,costcategory[Account Code],costcategory[Cost Category],"ERROR")</f>
        <v>Headcount Costs</v>
      </c>
      <c r="K37" s="89" t="str">
        <f t="shared" si="0"/>
        <v>DSC</v>
      </c>
      <c r="L37" s="89" t="str">
        <f>_xlfn.XLOOKUP(K37,Table2[Department],Table2[Group],"ERROR")</f>
        <v>DSC</v>
      </c>
      <c r="N37" s="66" t="s">
        <v>354</v>
      </c>
      <c r="O37" s="39">
        <v>5844.4806132500007</v>
      </c>
      <c r="P37" s="39">
        <v>3865.5094994999999</v>
      </c>
      <c r="Q37" s="39">
        <v>8338.4393084999992</v>
      </c>
      <c r="R37" s="39">
        <v>5878.9155031681657</v>
      </c>
      <c r="S37" s="39"/>
      <c r="T37" s="39">
        <v>23927.344924418168</v>
      </c>
      <c r="V37" s="87" t="s">
        <v>387</v>
      </c>
      <c r="W37" s="39">
        <v>3988.5681860000004</v>
      </c>
      <c r="X37" s="39">
        <v>999.11034900000016</v>
      </c>
      <c r="Y37" s="39">
        <v>9698.6978940000008</v>
      </c>
      <c r="Z37" s="39">
        <v>4014.6102151697428</v>
      </c>
      <c r="AA37" s="39">
        <v>1.56975147776594</v>
      </c>
      <c r="AB37" s="39"/>
      <c r="AC37" s="39">
        <v>18702.556395647513</v>
      </c>
    </row>
    <row r="38" spans="1:29" x14ac:dyDescent="0.2">
      <c r="A38" t="s">
        <v>1</v>
      </c>
      <c r="B38" s="38">
        <v>46053</v>
      </c>
      <c r="C38" s="38">
        <v>46058</v>
      </c>
      <c r="D38" t="s">
        <v>1538</v>
      </c>
      <c r="E38" t="s">
        <v>77</v>
      </c>
      <c r="F38" s="37">
        <v>2</v>
      </c>
      <c r="G38" s="37" cm="1">
        <f t="array" ref="G38">F38*_xlfn.XLOOKUP(1,
 (FOREX!$A$2:$A$13=EOMONTH(B38,0))*
 (FOREX!$B$2:$B$13=TRIM(E38)),FOREX!$C$2:$C$13,
 100)</f>
        <v>1.5746420000000001</v>
      </c>
      <c r="H38" t="s">
        <v>1540</v>
      </c>
      <c r="I38" s="26" t="s">
        <v>387</v>
      </c>
      <c r="J38" s="35" t="str">
        <f>_xlfn.XLOOKUP(I38,costcategory[Account Code],costcategory[Cost Category],"ERROR")</f>
        <v>Headcount Costs</v>
      </c>
      <c r="K38" s="89" t="str">
        <f t="shared" si="0"/>
        <v>HR</v>
      </c>
      <c r="L38" s="89" t="str">
        <f>_xlfn.XLOOKUP(K38,Table2[Department],Table2[Group],"ERROR")</f>
        <v>General &amp; Administrative</v>
      </c>
      <c r="N38" s="87" t="s">
        <v>387</v>
      </c>
      <c r="O38" s="39">
        <v>4987.6785350000009</v>
      </c>
      <c r="P38" s="39">
        <v>4005.250524</v>
      </c>
      <c r="Q38" s="39">
        <v>5695.7728079999997</v>
      </c>
      <c r="R38" s="39">
        <v>4013.8545286475087</v>
      </c>
      <c r="S38" s="39"/>
      <c r="T38" s="39">
        <v>18702.556395647509</v>
      </c>
      <c r="V38" s="87" t="s">
        <v>364</v>
      </c>
      <c r="W38" s="39"/>
      <c r="X38" s="39">
        <v>856.80207825000014</v>
      </c>
      <c r="Y38" s="39">
        <v>-139.74102449999998</v>
      </c>
      <c r="Z38" s="39">
        <v>2642.6665004999995</v>
      </c>
      <c r="AA38" s="39">
        <v>1865.0609745206575</v>
      </c>
      <c r="AB38" s="39"/>
      <c r="AC38" s="39">
        <v>5224.7885287706576</v>
      </c>
    </row>
    <row r="39" spans="1:29" x14ac:dyDescent="0.2">
      <c r="A39" t="s">
        <v>1</v>
      </c>
      <c r="B39" s="38">
        <v>46053</v>
      </c>
      <c r="C39" s="38">
        <v>46058</v>
      </c>
      <c r="D39" t="s">
        <v>1539</v>
      </c>
      <c r="E39" t="s">
        <v>77</v>
      </c>
      <c r="F39" s="37">
        <v>2</v>
      </c>
      <c r="G39" s="37" cm="1">
        <f t="array" ref="G39">F39*_xlfn.XLOOKUP(1,
 (FOREX!$A$2:$A$13=EOMONTH(B39,0))*
 (FOREX!$B$2:$B$13=TRIM(E39)),FOREX!$C$2:$C$13,
 100)</f>
        <v>1.5746420000000001</v>
      </c>
      <c r="H39" t="s">
        <v>1540</v>
      </c>
      <c r="I39" s="26" t="s">
        <v>387</v>
      </c>
      <c r="J39" s="35" t="str">
        <f>_xlfn.XLOOKUP(I39,costcategory[Account Code],costcategory[Cost Category],"ERROR")</f>
        <v>Headcount Costs</v>
      </c>
      <c r="K39" s="89" t="str">
        <f t="shared" si="0"/>
        <v>DSC</v>
      </c>
      <c r="L39" s="89" t="str">
        <f>_xlfn.XLOOKUP(K39,Table2[Department],Table2[Group],"ERROR")</f>
        <v>DSC</v>
      </c>
      <c r="N39" s="87" t="s">
        <v>364</v>
      </c>
      <c r="O39" s="39">
        <v>856.80207825000014</v>
      </c>
      <c r="P39" s="39">
        <v>-139.74102449999998</v>
      </c>
      <c r="Q39" s="39">
        <v>2642.6665004999995</v>
      </c>
      <c r="R39" s="39">
        <v>1865.0609745206575</v>
      </c>
      <c r="S39" s="39"/>
      <c r="T39" s="39">
        <v>5224.7885287706576</v>
      </c>
      <c r="V39" s="66" t="s">
        <v>658</v>
      </c>
      <c r="W39" s="39">
        <v>5221.5128720000002</v>
      </c>
      <c r="X39" s="39">
        <v>2341.6894842500001</v>
      </c>
      <c r="Y39" s="39">
        <v>13461.252409499999</v>
      </c>
      <c r="Z39" s="39">
        <v>9080.4575036213773</v>
      </c>
      <c r="AA39" s="39">
        <v>2334.4166663726742</v>
      </c>
      <c r="AB39" s="39"/>
      <c r="AC39" s="39">
        <v>32439.328935744055</v>
      </c>
    </row>
    <row r="40" spans="1:29" x14ac:dyDescent="0.2">
      <c r="A40" t="s">
        <v>1</v>
      </c>
      <c r="B40" s="38">
        <v>46053</v>
      </c>
      <c r="C40" s="38">
        <v>46058</v>
      </c>
      <c r="D40" t="s">
        <v>1521</v>
      </c>
      <c r="E40" t="s">
        <v>77</v>
      </c>
      <c r="F40" s="37">
        <v>0</v>
      </c>
      <c r="G40" s="37" cm="1">
        <f t="array" ref="G40">F40*_xlfn.XLOOKUP(1,
 (FOREX!$A$2:$A$13=EOMONTH(B40,0))*
 (FOREX!$B$2:$B$13=TRIM(E40)),FOREX!$C$2:$C$13,
 100)</f>
        <v>0</v>
      </c>
      <c r="H40" t="s">
        <v>1546</v>
      </c>
      <c r="I40" s="30" t="s">
        <v>387</v>
      </c>
      <c r="J40" s="35" t="str">
        <f>_xlfn.XLOOKUP(I40,costcategory[Account Code],costcategory[Cost Category],"ERROR")</f>
        <v>Headcount Costs</v>
      </c>
      <c r="K40" s="89" t="str">
        <f t="shared" si="0"/>
        <v>Management</v>
      </c>
      <c r="L40" s="89" t="str">
        <f>_xlfn.XLOOKUP(K40,Table2[Department],Table2[Group],"ERROR")</f>
        <v>General &amp; Administrative</v>
      </c>
      <c r="N40" s="66" t="s">
        <v>658</v>
      </c>
      <c r="O40" s="39">
        <v>7563.2023562500008</v>
      </c>
      <c r="P40" s="39">
        <v>5064.8709375000008</v>
      </c>
      <c r="Q40" s="39">
        <v>12207.968140499999</v>
      </c>
      <c r="R40" s="39">
        <v>7603.2875014940519</v>
      </c>
      <c r="S40" s="39"/>
      <c r="T40" s="39">
        <v>32439.328935744055</v>
      </c>
      <c r="V40" s="87" t="s">
        <v>387</v>
      </c>
      <c r="W40" s="39">
        <v>5221.5128720000002</v>
      </c>
      <c r="X40" s="39">
        <v>1262.0755630000001</v>
      </c>
      <c r="Y40" s="39">
        <v>12709.55832</v>
      </c>
      <c r="Z40" s="39">
        <v>5271.196273121378</v>
      </c>
      <c r="AA40" s="39">
        <v>2.3546272166489102</v>
      </c>
      <c r="AB40" s="39"/>
      <c r="AC40" s="39">
        <v>24466.69765533803</v>
      </c>
    </row>
    <row r="41" spans="1:29" x14ac:dyDescent="0.2">
      <c r="A41" t="s">
        <v>1</v>
      </c>
      <c r="B41" s="38">
        <v>46053</v>
      </c>
      <c r="C41" s="38">
        <v>46058</v>
      </c>
      <c r="D41" t="s">
        <v>1522</v>
      </c>
      <c r="E41" t="s">
        <v>77</v>
      </c>
      <c r="F41" s="37">
        <v>1600</v>
      </c>
      <c r="G41" s="37" cm="1">
        <f t="array" ref="G41">F41*_xlfn.XLOOKUP(1,
 (FOREX!$A$2:$A$13=EOMONTH(B41,0))*
 (FOREX!$B$2:$B$13=TRIM(E41)),FOREX!$C$2:$C$13,
 100)</f>
        <v>1259.7136</v>
      </c>
      <c r="H41" t="s">
        <v>1546</v>
      </c>
      <c r="I41" s="30" t="s">
        <v>387</v>
      </c>
      <c r="J41" s="35" t="str">
        <f>_xlfn.XLOOKUP(I41,costcategory[Account Code],costcategory[Cost Category],"ERROR")</f>
        <v>Headcount Costs</v>
      </c>
      <c r="K41" s="89" t="str">
        <f t="shared" si="0"/>
        <v>Marketing</v>
      </c>
      <c r="L41" s="89" t="str">
        <f>_xlfn.XLOOKUP(K41,Table2[Department],Table2[Group],"ERROR")</f>
        <v>Sales &amp; Marketing</v>
      </c>
      <c r="N41" s="87" t="s">
        <v>387</v>
      </c>
      <c r="O41" s="39">
        <v>6483.5884350000006</v>
      </c>
      <c r="P41" s="39">
        <v>5243.3520480000007</v>
      </c>
      <c r="Q41" s="39">
        <v>7468.5317100000002</v>
      </c>
      <c r="R41" s="39">
        <v>5271.2254623380268</v>
      </c>
      <c r="S41" s="39"/>
      <c r="T41" s="39">
        <v>24466.69765533803</v>
      </c>
      <c r="V41" s="87" t="s">
        <v>1160</v>
      </c>
      <c r="W41" s="39"/>
      <c r="X41" s="39"/>
      <c r="Y41" s="39">
        <v>930.17520000000002</v>
      </c>
      <c r="Z41" s="39"/>
      <c r="AA41" s="39"/>
      <c r="AB41" s="39"/>
      <c r="AC41" s="39">
        <v>930.17520000000002</v>
      </c>
    </row>
    <row r="42" spans="1:29" x14ac:dyDescent="0.2">
      <c r="A42" t="s">
        <v>1</v>
      </c>
      <c r="B42" s="38">
        <v>46053</v>
      </c>
      <c r="C42" s="38">
        <v>46058</v>
      </c>
      <c r="D42" t="s">
        <v>1523</v>
      </c>
      <c r="E42" t="s">
        <v>77</v>
      </c>
      <c r="F42" s="37">
        <v>0</v>
      </c>
      <c r="G42" s="37" cm="1">
        <f t="array" ref="G42">F42*_xlfn.XLOOKUP(1,
 (FOREX!$A$2:$A$13=EOMONTH(B42,0))*
 (FOREX!$B$2:$B$13=TRIM(E42)),FOREX!$C$2:$C$13,
 100)</f>
        <v>0</v>
      </c>
      <c r="H42" t="s">
        <v>1546</v>
      </c>
      <c r="I42" s="30" t="s">
        <v>387</v>
      </c>
      <c r="J42" s="35" t="str">
        <f>_xlfn.XLOOKUP(I42,costcategory[Account Code],costcategory[Cost Category],"ERROR")</f>
        <v>Headcount Costs</v>
      </c>
      <c r="K42" s="89" t="str">
        <f t="shared" si="0"/>
        <v>Management</v>
      </c>
      <c r="L42" s="89" t="str">
        <f>_xlfn.XLOOKUP(K42,Table2[Department],Table2[Group],"ERROR")</f>
        <v>General &amp; Administrative</v>
      </c>
      <c r="N42" s="87" t="s">
        <v>364</v>
      </c>
      <c r="O42" s="39">
        <v>1079.61392125</v>
      </c>
      <c r="P42" s="39">
        <v>-178.48111050000011</v>
      </c>
      <c r="Q42" s="39">
        <v>3809.2612304999998</v>
      </c>
      <c r="R42" s="39">
        <v>2332.0620391560251</v>
      </c>
      <c r="S42" s="39"/>
      <c r="T42" s="39">
        <v>7042.4560804060247</v>
      </c>
      <c r="V42" s="87" t="s">
        <v>364</v>
      </c>
      <c r="W42" s="39"/>
      <c r="X42" s="39">
        <v>1079.61392125</v>
      </c>
      <c r="Y42" s="39">
        <v>-178.48111050000011</v>
      </c>
      <c r="Z42" s="39">
        <v>3809.2612304999998</v>
      </c>
      <c r="AA42" s="39">
        <v>2332.0620391560251</v>
      </c>
      <c r="AB42" s="39"/>
      <c r="AC42" s="39">
        <v>7042.4560804060247</v>
      </c>
    </row>
    <row r="43" spans="1:29" x14ac:dyDescent="0.2">
      <c r="A43" t="s">
        <v>1</v>
      </c>
      <c r="B43" s="38">
        <v>46053</v>
      </c>
      <c r="C43" s="38">
        <v>46058</v>
      </c>
      <c r="D43" t="s">
        <v>1524</v>
      </c>
      <c r="E43" t="s">
        <v>77</v>
      </c>
      <c r="F43" s="37">
        <v>1267</v>
      </c>
      <c r="G43" s="37" cm="1">
        <f t="array" ref="G43">F43*_xlfn.XLOOKUP(1,
 (FOREX!$A$2:$A$13=EOMONTH(B43,0))*
 (FOREX!$B$2:$B$13=TRIM(E43)),FOREX!$C$2:$C$13,
 100)</f>
        <v>997.53570700000012</v>
      </c>
      <c r="H43" t="s">
        <v>1546</v>
      </c>
      <c r="I43" s="30" t="s">
        <v>387</v>
      </c>
      <c r="J43" s="35" t="str">
        <f>_xlfn.XLOOKUP(I43,costcategory[Account Code],costcategory[Cost Category],"ERROR")</f>
        <v>Headcount Costs</v>
      </c>
      <c r="K43" s="89" t="str">
        <f t="shared" si="0"/>
        <v>Business Operation</v>
      </c>
      <c r="L43" s="89" t="str">
        <f>_xlfn.XLOOKUP(K43,Table2[Department],Table2[Group],"ERROR")</f>
        <v>Sales &amp; Marketing</v>
      </c>
      <c r="N43" s="87" t="s">
        <v>1160</v>
      </c>
      <c r="O43" s="39"/>
      <c r="P43" s="39"/>
      <c r="Q43" s="39">
        <v>930.17520000000002</v>
      </c>
      <c r="R43" s="39"/>
      <c r="S43" s="39"/>
      <c r="T43" s="39">
        <v>930.17520000000002</v>
      </c>
      <c r="V43" s="66" t="s">
        <v>438</v>
      </c>
      <c r="W43" s="39">
        <v>17599.773634000001</v>
      </c>
      <c r="X43" s="39">
        <v>3738.5937685000004</v>
      </c>
      <c r="Y43" s="39">
        <v>21562.074777060003</v>
      </c>
      <c r="Z43" s="39">
        <v>16460.901642589863</v>
      </c>
      <c r="AA43" s="39">
        <v>5771.8833223226675</v>
      </c>
      <c r="AB43" s="39">
        <v>59.298669000000004</v>
      </c>
      <c r="AC43" s="39">
        <v>65192.525813472537</v>
      </c>
    </row>
    <row r="44" spans="1:29" x14ac:dyDescent="0.2">
      <c r="A44" t="s">
        <v>1</v>
      </c>
      <c r="B44" s="38">
        <v>46053</v>
      </c>
      <c r="C44" s="38">
        <v>46058</v>
      </c>
      <c r="D44" t="s">
        <v>1525</v>
      </c>
      <c r="E44" t="s">
        <v>77</v>
      </c>
      <c r="F44" s="37">
        <v>1440</v>
      </c>
      <c r="G44" s="37" cm="1">
        <f t="array" ref="G44">F44*_xlfn.XLOOKUP(1,
 (FOREX!$A$2:$A$13=EOMONTH(B44,0))*
 (FOREX!$B$2:$B$13=TRIM(E44)),FOREX!$C$2:$C$13,
 100)</f>
        <v>1133.74224</v>
      </c>
      <c r="H44" t="s">
        <v>1546</v>
      </c>
      <c r="I44" s="30" t="s">
        <v>387</v>
      </c>
      <c r="J44" s="35" t="str">
        <f>_xlfn.XLOOKUP(I44,costcategory[Account Code],costcategory[Cost Category],"ERROR")</f>
        <v>Headcount Costs</v>
      </c>
      <c r="K44" s="89" t="str">
        <f t="shared" si="0"/>
        <v>Sales &amp; Pre-Sales</v>
      </c>
      <c r="L44" s="89" t="str">
        <f>_xlfn.XLOOKUP(K44,Table2[Department],Table2[Group],"ERROR")</f>
        <v>Sales &amp; Marketing</v>
      </c>
      <c r="N44" s="66" t="s">
        <v>438</v>
      </c>
      <c r="O44" s="39">
        <v>21338.3674025</v>
      </c>
      <c r="P44" s="39">
        <v>9535.7931074999997</v>
      </c>
      <c r="Q44" s="39">
        <v>15340.875728700001</v>
      </c>
      <c r="R44" s="39">
        <v>16954.877862592533</v>
      </c>
      <c r="S44" s="39">
        <v>2022.61171218</v>
      </c>
      <c r="T44" s="39">
        <v>65192.52581347253</v>
      </c>
      <c r="V44" s="87" t="s">
        <v>387</v>
      </c>
      <c r="W44" s="39">
        <v>17599.773634000001</v>
      </c>
      <c r="X44" s="39">
        <v>1925.7871660000001</v>
      </c>
      <c r="Y44" s="39">
        <v>21677.306767560003</v>
      </c>
      <c r="Z44" s="39">
        <v>13149.795740449863</v>
      </c>
      <c r="AA44" s="39">
        <v>1967.2374218744148</v>
      </c>
      <c r="AB44" s="39">
        <v>0.387573</v>
      </c>
      <c r="AC44" s="39">
        <v>56320.288302884284</v>
      </c>
    </row>
    <row r="45" spans="1:29" x14ac:dyDescent="0.2">
      <c r="A45" t="s">
        <v>1</v>
      </c>
      <c r="B45" s="38">
        <v>46053</v>
      </c>
      <c r="C45" s="38">
        <v>46058</v>
      </c>
      <c r="D45" t="s">
        <v>1526</v>
      </c>
      <c r="E45" t="s">
        <v>77</v>
      </c>
      <c r="F45" s="37">
        <v>1000</v>
      </c>
      <c r="G45" s="37" cm="1">
        <f t="array" ref="G45">F45*_xlfn.XLOOKUP(1,
 (FOREX!$A$2:$A$13=EOMONTH(B45,0))*
 (FOREX!$B$2:$B$13=TRIM(E45)),FOREX!$C$2:$C$13,
 100)</f>
        <v>787.32100000000003</v>
      </c>
      <c r="H45" t="s">
        <v>1546</v>
      </c>
      <c r="I45" s="30" t="s">
        <v>387</v>
      </c>
      <c r="J45" s="35" t="str">
        <f>_xlfn.XLOOKUP(I45,costcategory[Account Code],costcategory[Cost Category],"ERROR")</f>
        <v>Headcount Costs</v>
      </c>
      <c r="K45" s="89" t="str">
        <f t="shared" si="0"/>
        <v>Sales &amp; Pre-Sales</v>
      </c>
      <c r="L45" s="89" t="str">
        <f>_xlfn.XLOOKUP(K45,Table2[Department],Table2[Group],"ERROR")</f>
        <v>Sales &amp; Marketing</v>
      </c>
      <c r="N45" s="87" t="s">
        <v>387</v>
      </c>
      <c r="O45" s="39">
        <v>19525.560799999999</v>
      </c>
      <c r="P45" s="39">
        <v>9651.0250980000001</v>
      </c>
      <c r="Q45" s="39">
        <v>12029.769826560001</v>
      </c>
      <c r="R45" s="39">
        <v>13150.23196214428</v>
      </c>
      <c r="S45" s="39">
        <v>1963.70061618</v>
      </c>
      <c r="T45" s="39">
        <v>56320.288302884277</v>
      </c>
      <c r="V45" s="87" t="s">
        <v>364</v>
      </c>
      <c r="W45" s="39"/>
      <c r="X45" s="39">
        <v>1812.8066025000003</v>
      </c>
      <c r="Y45" s="39">
        <v>-115.23199049999994</v>
      </c>
      <c r="Z45" s="39">
        <v>3311.1059021400001</v>
      </c>
      <c r="AA45" s="39">
        <v>3804.6459004482526</v>
      </c>
      <c r="AB45" s="39">
        <v>58.911096000000001</v>
      </c>
      <c r="AC45" s="39">
        <v>8872.2375105882529</v>
      </c>
    </row>
    <row r="46" spans="1:29" x14ac:dyDescent="0.2">
      <c r="A46" t="s">
        <v>1</v>
      </c>
      <c r="B46" s="38">
        <v>46053</v>
      </c>
      <c r="C46" s="38">
        <v>46058</v>
      </c>
      <c r="D46" t="s">
        <v>1527</v>
      </c>
      <c r="E46" t="s">
        <v>77</v>
      </c>
      <c r="F46" s="37">
        <v>1600</v>
      </c>
      <c r="G46" s="37" cm="1">
        <f t="array" ref="G46">F46*_xlfn.XLOOKUP(1,
 (FOREX!$A$2:$A$13=EOMONTH(B46,0))*
 (FOREX!$B$2:$B$13=TRIM(E46)),FOREX!$C$2:$C$13,
 100)</f>
        <v>1259.7136</v>
      </c>
      <c r="H46" t="s">
        <v>1546</v>
      </c>
      <c r="I46" s="30" t="s">
        <v>387</v>
      </c>
      <c r="J46" s="35" t="str">
        <f>_xlfn.XLOOKUP(I46,costcategory[Account Code],costcategory[Cost Category],"ERROR")</f>
        <v>Headcount Costs</v>
      </c>
      <c r="K46" s="89" t="str">
        <f t="shared" si="0"/>
        <v>DSC</v>
      </c>
      <c r="L46" s="89" t="str">
        <f>_xlfn.XLOOKUP(K46,Table2[Department],Table2[Group],"ERROR")</f>
        <v>DSC</v>
      </c>
      <c r="N46" s="87" t="s">
        <v>364</v>
      </c>
      <c r="O46" s="39">
        <v>1812.8066025000003</v>
      </c>
      <c r="P46" s="39">
        <v>-115.23199049999994</v>
      </c>
      <c r="Q46" s="39">
        <v>3311.1059021400001</v>
      </c>
      <c r="R46" s="39">
        <v>3804.6459004482526</v>
      </c>
      <c r="S46" s="39">
        <v>58.911096000000001</v>
      </c>
      <c r="T46" s="39">
        <v>8872.2375105882529</v>
      </c>
      <c r="V46" s="65" t="s">
        <v>19</v>
      </c>
      <c r="W46" s="39">
        <v>163568.11862917</v>
      </c>
      <c r="X46" s="39">
        <v>23779.652993249998</v>
      </c>
      <c r="Y46" s="39">
        <v>333540.87975179998</v>
      </c>
      <c r="Z46" s="39">
        <v>175626.13729591767</v>
      </c>
      <c r="AA46" s="39">
        <v>25699.572231023114</v>
      </c>
      <c r="AB46" s="39">
        <v>59.298669000000004</v>
      </c>
      <c r="AC46" s="39">
        <v>722273.65957016067</v>
      </c>
    </row>
    <row r="47" spans="1:29" x14ac:dyDescent="0.2">
      <c r="A47" t="s">
        <v>1</v>
      </c>
      <c r="B47" s="38">
        <v>46053</v>
      </c>
      <c r="C47" s="38">
        <v>46058</v>
      </c>
      <c r="D47" t="s">
        <v>1528</v>
      </c>
      <c r="E47" t="s">
        <v>77</v>
      </c>
      <c r="F47" s="37">
        <v>0</v>
      </c>
      <c r="G47" s="37" cm="1">
        <f t="array" ref="G47">F47*_xlfn.XLOOKUP(1,
 (FOREX!$A$2:$A$13=EOMONTH(B47,0))*
 (FOREX!$B$2:$B$13=TRIM(E47)),FOREX!$C$2:$C$13,
 100)</f>
        <v>0</v>
      </c>
      <c r="H47" t="s">
        <v>1546</v>
      </c>
      <c r="I47" s="30" t="s">
        <v>387</v>
      </c>
      <c r="J47" s="35" t="str">
        <f>_xlfn.XLOOKUP(I47,costcategory[Account Code],costcategory[Cost Category],"ERROR")</f>
        <v>Headcount Costs</v>
      </c>
      <c r="K47" s="89" t="str">
        <f t="shared" si="0"/>
        <v>R&amp;D - Team D</v>
      </c>
      <c r="L47" s="89" t="str">
        <f>_xlfn.XLOOKUP(K47,Table2[Department],Table2[Group],"ERROR")</f>
        <v>Research &amp; Development</v>
      </c>
      <c r="N47" s="65" t="s">
        <v>19</v>
      </c>
      <c r="O47" s="39">
        <v>187347.77162242008</v>
      </c>
      <c r="P47" s="39">
        <v>151247.81830950006</v>
      </c>
      <c r="Q47" s="39">
        <v>208211.81978226005</v>
      </c>
      <c r="R47" s="39">
        <v>173443.63814380075</v>
      </c>
      <c r="S47" s="39">
        <v>2022.61171218</v>
      </c>
      <c r="T47" s="39">
        <v>722273.65957016067</v>
      </c>
    </row>
    <row r="48" spans="1:29" x14ac:dyDescent="0.2">
      <c r="A48" t="s">
        <v>1</v>
      </c>
      <c r="B48" s="38">
        <v>46053</v>
      </c>
      <c r="C48" s="38">
        <v>46058</v>
      </c>
      <c r="D48" t="s">
        <v>1529</v>
      </c>
      <c r="E48" t="s">
        <v>77</v>
      </c>
      <c r="F48" s="37">
        <v>0</v>
      </c>
      <c r="G48" s="37" cm="1">
        <f t="array" ref="G48">F48*_xlfn.XLOOKUP(1,
 (FOREX!$A$2:$A$13=EOMONTH(B48,0))*
 (FOREX!$B$2:$B$13=TRIM(E48)),FOREX!$C$2:$C$13,
 100)</f>
        <v>0</v>
      </c>
      <c r="H48" t="s">
        <v>1546</v>
      </c>
      <c r="I48" s="30" t="s">
        <v>387</v>
      </c>
      <c r="J48" s="35" t="str">
        <f>_xlfn.XLOOKUP(I48,costcategory[Account Code],costcategory[Cost Category],"ERROR")</f>
        <v>Headcount Costs</v>
      </c>
      <c r="K48" s="89" t="str">
        <f t="shared" si="0"/>
        <v>R&amp;D - Team W</v>
      </c>
      <c r="L48" s="89" t="str">
        <f>_xlfn.XLOOKUP(K48,Table2[Department],Table2[Group],"ERROR")</f>
        <v>Research &amp; Development</v>
      </c>
    </row>
    <row r="49" spans="1:12" x14ac:dyDescent="0.2">
      <c r="A49" t="s">
        <v>1</v>
      </c>
      <c r="B49" s="38">
        <v>46053</v>
      </c>
      <c r="C49" s="38">
        <v>46058</v>
      </c>
      <c r="D49" t="s">
        <v>1530</v>
      </c>
      <c r="E49" t="s">
        <v>77</v>
      </c>
      <c r="F49" s="37">
        <v>1600</v>
      </c>
      <c r="G49" s="37" cm="1">
        <f t="array" ref="G49">F49*_xlfn.XLOOKUP(1,
 (FOREX!$A$2:$A$13=EOMONTH(B49,0))*
 (FOREX!$B$2:$B$13=TRIM(E49)),FOREX!$C$2:$C$13,
 100)</f>
        <v>1259.7136</v>
      </c>
      <c r="H49" t="s">
        <v>1546</v>
      </c>
      <c r="I49" s="30" t="s">
        <v>387</v>
      </c>
      <c r="J49" s="35" t="str">
        <f>_xlfn.XLOOKUP(I49,costcategory[Account Code],costcategory[Cost Category],"ERROR")</f>
        <v>Headcount Costs</v>
      </c>
      <c r="K49" s="89" t="str">
        <f t="shared" si="0"/>
        <v>R&amp;D - Team D</v>
      </c>
      <c r="L49" s="89" t="str">
        <f>_xlfn.XLOOKUP(K49,Table2[Department],Table2[Group],"ERROR")</f>
        <v>Research &amp; Development</v>
      </c>
    </row>
    <row r="50" spans="1:12" x14ac:dyDescent="0.2">
      <c r="A50" t="s">
        <v>1</v>
      </c>
      <c r="B50" s="38">
        <v>46053</v>
      </c>
      <c r="C50" s="38">
        <v>46058</v>
      </c>
      <c r="D50" t="s">
        <v>1531</v>
      </c>
      <c r="E50" t="s">
        <v>77</v>
      </c>
      <c r="F50" s="37">
        <v>0</v>
      </c>
      <c r="G50" s="37" cm="1">
        <f t="array" ref="G50">F50*_xlfn.XLOOKUP(1,
 (FOREX!$A$2:$A$13=EOMONTH(B50,0))*
 (FOREX!$B$2:$B$13=TRIM(E50)),FOREX!$C$2:$C$13,
 100)</f>
        <v>0</v>
      </c>
      <c r="H50" t="s">
        <v>1546</v>
      </c>
      <c r="I50" s="30" t="s">
        <v>387</v>
      </c>
      <c r="J50" s="35" t="str">
        <f>_xlfn.XLOOKUP(I50,costcategory[Account Code],costcategory[Cost Category],"ERROR")</f>
        <v>Headcount Costs</v>
      </c>
      <c r="K50" s="89" t="str">
        <f t="shared" si="0"/>
        <v>R&amp;D - Team W</v>
      </c>
      <c r="L50" s="89" t="str">
        <f>_xlfn.XLOOKUP(K50,Table2[Department],Table2[Group],"ERROR")</f>
        <v>Research &amp; Development</v>
      </c>
    </row>
    <row r="51" spans="1:12" x14ac:dyDescent="0.2">
      <c r="A51" t="s">
        <v>1</v>
      </c>
      <c r="B51" s="38">
        <v>46053</v>
      </c>
      <c r="C51" s="38">
        <v>46058</v>
      </c>
      <c r="D51" t="s">
        <v>1532</v>
      </c>
      <c r="E51" t="s">
        <v>77</v>
      </c>
      <c r="F51" s="37">
        <v>0</v>
      </c>
      <c r="G51" s="37" cm="1">
        <f t="array" ref="G51">F51*_xlfn.XLOOKUP(1,
 (FOREX!$A$2:$A$13=EOMONTH(B51,0))*
 (FOREX!$B$2:$B$13=TRIM(E51)),FOREX!$C$2:$C$13,
 100)</f>
        <v>0</v>
      </c>
      <c r="H51" t="s">
        <v>1546</v>
      </c>
      <c r="I51" s="30" t="s">
        <v>387</v>
      </c>
      <c r="J51" s="35" t="str">
        <f>_xlfn.XLOOKUP(I51,costcategory[Account Code],costcategory[Cost Category],"ERROR")</f>
        <v>Headcount Costs</v>
      </c>
      <c r="K51" s="89" t="str">
        <f t="shared" si="0"/>
        <v>R&amp;D - Team P</v>
      </c>
      <c r="L51" s="89" t="str">
        <f>_xlfn.XLOOKUP(K51,Table2[Department],Table2[Group],"ERROR")</f>
        <v>Research &amp; Development</v>
      </c>
    </row>
    <row r="52" spans="1:12" x14ac:dyDescent="0.2">
      <c r="A52" t="s">
        <v>1</v>
      </c>
      <c r="B52" s="38">
        <v>46053</v>
      </c>
      <c r="C52" s="38">
        <v>46058</v>
      </c>
      <c r="D52" t="s">
        <v>1533</v>
      </c>
      <c r="E52" t="s">
        <v>77</v>
      </c>
      <c r="F52" s="37">
        <v>967</v>
      </c>
      <c r="G52" s="37" cm="1">
        <f t="array" ref="G52">F52*_xlfn.XLOOKUP(1,
 (FOREX!$A$2:$A$13=EOMONTH(B52,0))*
 (FOREX!$B$2:$B$13=TRIM(E52)),FOREX!$C$2:$C$13,
 100)</f>
        <v>761.33940700000005</v>
      </c>
      <c r="H52" t="s">
        <v>1546</v>
      </c>
      <c r="I52" s="30" t="s">
        <v>387</v>
      </c>
      <c r="J52" s="35" t="str">
        <f>_xlfn.XLOOKUP(I52,costcategory[Account Code],costcategory[Cost Category],"ERROR")</f>
        <v>Headcount Costs</v>
      </c>
      <c r="K52" s="89" t="str">
        <f t="shared" si="0"/>
        <v>R&amp;D - Team D</v>
      </c>
      <c r="L52" s="89" t="str">
        <f>_xlfn.XLOOKUP(K52,Table2[Department],Table2[Group],"ERROR")</f>
        <v>Research &amp; Development</v>
      </c>
    </row>
    <row r="53" spans="1:12" x14ac:dyDescent="0.2">
      <c r="A53" t="s">
        <v>1</v>
      </c>
      <c r="B53" s="38">
        <v>46053</v>
      </c>
      <c r="C53" s="38">
        <v>46058</v>
      </c>
      <c r="D53" t="s">
        <v>1534</v>
      </c>
      <c r="E53" t="s">
        <v>77</v>
      </c>
      <c r="F53" s="37">
        <v>1187</v>
      </c>
      <c r="G53" s="37" cm="1">
        <f t="array" ref="G53">F53*_xlfn.XLOOKUP(1,
 (FOREX!$A$2:$A$13=EOMONTH(B53,0))*
 (FOREX!$B$2:$B$13=TRIM(E53)),FOREX!$C$2:$C$13,
 100)</f>
        <v>934.55002700000011</v>
      </c>
      <c r="H53" t="s">
        <v>1546</v>
      </c>
      <c r="I53" s="30" t="s">
        <v>387</v>
      </c>
      <c r="J53" s="35" t="str">
        <f>_xlfn.XLOOKUP(I53,costcategory[Account Code],costcategory[Cost Category],"ERROR")</f>
        <v>Headcount Costs</v>
      </c>
      <c r="K53" s="89" t="str">
        <f t="shared" si="0"/>
        <v>R&amp;D - Team D</v>
      </c>
      <c r="L53" s="89" t="str">
        <f>_xlfn.XLOOKUP(K53,Table2[Department],Table2[Group],"ERROR")</f>
        <v>Research &amp; Development</v>
      </c>
    </row>
    <row r="54" spans="1:12" x14ac:dyDescent="0.2">
      <c r="A54" t="s">
        <v>1</v>
      </c>
      <c r="B54" s="38">
        <v>46053</v>
      </c>
      <c r="C54" s="38">
        <v>46058</v>
      </c>
      <c r="D54" t="s">
        <v>1535</v>
      </c>
      <c r="E54" t="s">
        <v>77</v>
      </c>
      <c r="F54" s="37">
        <v>1600</v>
      </c>
      <c r="G54" s="37" cm="1">
        <f t="array" ref="G54">F54*_xlfn.XLOOKUP(1,
 (FOREX!$A$2:$A$13=EOMONTH(B54,0))*
 (FOREX!$B$2:$B$13=TRIM(E54)),FOREX!$C$2:$C$13,
 100)</f>
        <v>1259.7136</v>
      </c>
      <c r="H54" t="s">
        <v>1546</v>
      </c>
      <c r="I54" s="30" t="s">
        <v>387</v>
      </c>
      <c r="J54" s="35" t="str">
        <f>_xlfn.XLOOKUP(I54,costcategory[Account Code],costcategory[Cost Category],"ERROR")</f>
        <v>Headcount Costs</v>
      </c>
      <c r="K54" s="89" t="str">
        <f t="shared" ref="K54:K58" si="1">_xlfn.XLOOKUP(D54,$AF$3:$AF$21,$AG$3:$AG$21,"ERROR")</f>
        <v>HR</v>
      </c>
      <c r="L54" s="89" t="str">
        <f>_xlfn.XLOOKUP(K54,Table2[Department],Table2[Group],"ERROR")</f>
        <v>General &amp; Administrative</v>
      </c>
    </row>
    <row r="55" spans="1:12" x14ac:dyDescent="0.2">
      <c r="A55" t="s">
        <v>1</v>
      </c>
      <c r="B55" s="38">
        <v>46053</v>
      </c>
      <c r="C55" s="38">
        <v>46058</v>
      </c>
      <c r="D55" t="s">
        <v>1536</v>
      </c>
      <c r="E55" t="s">
        <v>77</v>
      </c>
      <c r="F55" s="37">
        <v>1000</v>
      </c>
      <c r="G55" s="37" cm="1">
        <f t="array" ref="G55">F55*_xlfn.XLOOKUP(1,
 (FOREX!$A$2:$A$13=EOMONTH(B55,0))*
 (FOREX!$B$2:$B$13=TRIM(E55)),FOREX!$C$2:$C$13,
 100)</f>
        <v>787.32100000000003</v>
      </c>
      <c r="H55" t="s">
        <v>1546</v>
      </c>
      <c r="I55" s="30" t="s">
        <v>387</v>
      </c>
      <c r="J55" s="35" t="str">
        <f>_xlfn.XLOOKUP(I55,costcategory[Account Code],costcategory[Cost Category],"ERROR")</f>
        <v>Headcount Costs</v>
      </c>
      <c r="K55" s="89" t="str">
        <f t="shared" si="1"/>
        <v>DSC</v>
      </c>
      <c r="L55" s="89" t="str">
        <f>_xlfn.XLOOKUP(K55,Table2[Department],Table2[Group],"ERROR")</f>
        <v>DSC</v>
      </c>
    </row>
    <row r="56" spans="1:12" x14ac:dyDescent="0.2">
      <c r="A56" t="s">
        <v>1</v>
      </c>
      <c r="B56" s="38">
        <v>46053</v>
      </c>
      <c r="C56" s="38">
        <v>46058</v>
      </c>
      <c r="D56" t="s">
        <v>1537</v>
      </c>
      <c r="E56" t="s">
        <v>77</v>
      </c>
      <c r="F56" s="37">
        <v>0</v>
      </c>
      <c r="G56" s="37" cm="1">
        <f t="array" ref="G56">F56*_xlfn.XLOOKUP(1,
 (FOREX!$A$2:$A$13=EOMONTH(B56,0))*
 (FOREX!$B$2:$B$13=TRIM(E56)),FOREX!$C$2:$C$13,
 100)</f>
        <v>0</v>
      </c>
      <c r="H56" t="s">
        <v>1546</v>
      </c>
      <c r="I56" s="30" t="s">
        <v>387</v>
      </c>
      <c r="J56" s="35" t="str">
        <f>_xlfn.XLOOKUP(I56,costcategory[Account Code],costcategory[Cost Category],"ERROR")</f>
        <v>Headcount Costs</v>
      </c>
      <c r="K56" s="89" t="str">
        <f t="shared" si="1"/>
        <v>DSC</v>
      </c>
      <c r="L56" s="89" t="str">
        <f>_xlfn.XLOOKUP(K56,Table2[Department],Table2[Group],"ERROR")</f>
        <v>DSC</v>
      </c>
    </row>
    <row r="57" spans="1:12" x14ac:dyDescent="0.2">
      <c r="A57" t="s">
        <v>1</v>
      </c>
      <c r="B57" s="38">
        <v>46053</v>
      </c>
      <c r="C57" s="38">
        <v>46058</v>
      </c>
      <c r="D57" t="s">
        <v>1538</v>
      </c>
      <c r="E57" t="s">
        <v>77</v>
      </c>
      <c r="F57" s="37">
        <v>1470</v>
      </c>
      <c r="G57" s="37" cm="1">
        <f t="array" ref="G57">F57*_xlfn.XLOOKUP(1,
 (FOREX!$A$2:$A$13=EOMONTH(B57,0))*
 (FOREX!$B$2:$B$13=TRIM(E57)),FOREX!$C$2:$C$13,
 100)</f>
        <v>1157.3618700000002</v>
      </c>
      <c r="H57" t="s">
        <v>1546</v>
      </c>
      <c r="I57" s="30" t="s">
        <v>387</v>
      </c>
      <c r="J57" s="35" t="str">
        <f>_xlfn.XLOOKUP(I57,costcategory[Account Code],costcategory[Cost Category],"ERROR")</f>
        <v>Headcount Costs</v>
      </c>
      <c r="K57" s="89" t="str">
        <f t="shared" si="1"/>
        <v>HR</v>
      </c>
      <c r="L57" s="89" t="str">
        <f>_xlfn.XLOOKUP(K57,Table2[Department],Table2[Group],"ERROR")</f>
        <v>General &amp; Administrative</v>
      </c>
    </row>
    <row r="58" spans="1:12" x14ac:dyDescent="0.2">
      <c r="A58" t="s">
        <v>1</v>
      </c>
      <c r="B58" s="38">
        <v>46053</v>
      </c>
      <c r="C58" s="38">
        <v>46058</v>
      </c>
      <c r="D58" t="s">
        <v>1539</v>
      </c>
      <c r="E58" t="s">
        <v>77</v>
      </c>
      <c r="F58" s="37">
        <v>1270</v>
      </c>
      <c r="G58" s="37" cm="1">
        <f t="array" ref="G58">F58*_xlfn.XLOOKUP(1,
 (FOREX!$A$2:$A$13=EOMONTH(B58,0))*
 (FOREX!$B$2:$B$13=TRIM(E58)),FOREX!$C$2:$C$13,
 100)</f>
        <v>999.89767000000006</v>
      </c>
      <c r="H58" t="s">
        <v>1546</v>
      </c>
      <c r="I58" s="30" t="s">
        <v>387</v>
      </c>
      <c r="J58" s="35" t="str">
        <f>_xlfn.XLOOKUP(I58,costcategory[Account Code],costcategory[Cost Category],"ERROR")</f>
        <v>Headcount Costs</v>
      </c>
      <c r="K58" s="89" t="str">
        <f t="shared" si="1"/>
        <v>DSC</v>
      </c>
      <c r="L58" s="89" t="str">
        <f>_xlfn.XLOOKUP(K58,Table2[Department],Table2[Group],"ERROR")</f>
        <v>DSC</v>
      </c>
    </row>
    <row r="59" spans="1:12" x14ac:dyDescent="0.2">
      <c r="A59" t="s">
        <v>1</v>
      </c>
      <c r="B59" s="38">
        <v>46053</v>
      </c>
      <c r="C59" s="38">
        <v>46058</v>
      </c>
      <c r="D59" t="s">
        <v>1521</v>
      </c>
      <c r="E59" t="s">
        <v>77</v>
      </c>
      <c r="F59" s="37">
        <v>11.25</v>
      </c>
      <c r="G59" s="37" cm="1">
        <f t="array" ref="G59">F59*_xlfn.XLOOKUP(1,
 (FOREX!$A$2:$A$13=EOMONTH(B59,0))*
 (FOREX!$B$2:$B$13=TRIM(E59)),FOREX!$C$2:$C$13,
 100)</f>
        <v>8.8573612500000003</v>
      </c>
      <c r="H59" t="s">
        <v>1547</v>
      </c>
      <c r="I59" s="30" t="s">
        <v>364</v>
      </c>
      <c r="J59" s="35" t="str">
        <f>_xlfn.XLOOKUP(I59,costcategory[Account Code],costcategory[Cost Category],"ERROR")</f>
        <v>Headcount Costs</v>
      </c>
      <c r="K59" s="89" t="str">
        <f t="shared" ref="K59:K96" si="2">_xlfn.XLOOKUP(D59,$AF$3:$AF$21,$AG$3:$AG$21,"ERROR")</f>
        <v>Management</v>
      </c>
      <c r="L59" s="89" t="str">
        <f>_xlfn.XLOOKUP(K59,Table2[Department],Table2[Group],"ERROR")</f>
        <v>General &amp; Administrative</v>
      </c>
    </row>
    <row r="60" spans="1:12" x14ac:dyDescent="0.2">
      <c r="A60" t="s">
        <v>1</v>
      </c>
      <c r="B60" s="38">
        <v>46053</v>
      </c>
      <c r="C60" s="38">
        <v>46058</v>
      </c>
      <c r="D60" t="s">
        <v>1522</v>
      </c>
      <c r="E60" t="s">
        <v>77</v>
      </c>
      <c r="F60" s="37">
        <v>11.25</v>
      </c>
      <c r="G60" s="37" cm="1">
        <f t="array" ref="G60">F60*_xlfn.XLOOKUP(1,
 (FOREX!$A$2:$A$13=EOMONTH(B60,0))*
 (FOREX!$B$2:$B$13=TRIM(E60)),FOREX!$C$2:$C$13,
 100)</f>
        <v>8.8573612500000003</v>
      </c>
      <c r="H60" t="s">
        <v>1547</v>
      </c>
      <c r="I60" s="30" t="s">
        <v>364</v>
      </c>
      <c r="J60" s="35" t="str">
        <f>_xlfn.XLOOKUP(I60,costcategory[Account Code],costcategory[Cost Category],"ERROR")</f>
        <v>Headcount Costs</v>
      </c>
      <c r="K60" s="89" t="str">
        <f t="shared" si="2"/>
        <v>Marketing</v>
      </c>
      <c r="L60" s="89" t="str">
        <f>_xlfn.XLOOKUP(K60,Table2[Department],Table2[Group],"ERROR")</f>
        <v>Sales &amp; Marketing</v>
      </c>
    </row>
    <row r="61" spans="1:12" x14ac:dyDescent="0.2">
      <c r="A61" t="s">
        <v>1</v>
      </c>
      <c r="B61" s="38">
        <v>46053</v>
      </c>
      <c r="C61" s="38">
        <v>46058</v>
      </c>
      <c r="D61" t="s">
        <v>1523</v>
      </c>
      <c r="E61" t="s">
        <v>77</v>
      </c>
      <c r="F61" s="37">
        <v>11.25</v>
      </c>
      <c r="G61" s="37" cm="1">
        <f t="array" ref="G61">F61*_xlfn.XLOOKUP(1,
 (FOREX!$A$2:$A$13=EOMONTH(B61,0))*
 (FOREX!$B$2:$B$13=TRIM(E61)),FOREX!$C$2:$C$13,
 100)</f>
        <v>8.8573612500000003</v>
      </c>
      <c r="H61" t="s">
        <v>1547</v>
      </c>
      <c r="I61" s="30" t="s">
        <v>364</v>
      </c>
      <c r="J61" s="35" t="str">
        <f>_xlfn.XLOOKUP(I61,costcategory[Account Code],costcategory[Cost Category],"ERROR")</f>
        <v>Headcount Costs</v>
      </c>
      <c r="K61" s="89" t="str">
        <f t="shared" si="2"/>
        <v>Management</v>
      </c>
      <c r="L61" s="89" t="str">
        <f>_xlfn.XLOOKUP(K61,Table2[Department],Table2[Group],"ERROR")</f>
        <v>General &amp; Administrative</v>
      </c>
    </row>
    <row r="62" spans="1:12" x14ac:dyDescent="0.2">
      <c r="A62" t="s">
        <v>1</v>
      </c>
      <c r="B62" s="38">
        <v>46053</v>
      </c>
      <c r="C62" s="38">
        <v>46058</v>
      </c>
      <c r="D62" t="s">
        <v>1524</v>
      </c>
      <c r="E62" t="s">
        <v>77</v>
      </c>
      <c r="F62" s="37">
        <v>11.25</v>
      </c>
      <c r="G62" s="37" cm="1">
        <f t="array" ref="G62">F62*_xlfn.XLOOKUP(1,
 (FOREX!$A$2:$A$13=EOMONTH(B62,0))*
 (FOREX!$B$2:$B$13=TRIM(E62)),FOREX!$C$2:$C$13,
 100)</f>
        <v>8.8573612500000003</v>
      </c>
      <c r="H62" t="s">
        <v>1547</v>
      </c>
      <c r="I62" s="30" t="s">
        <v>364</v>
      </c>
      <c r="J62" s="35" t="str">
        <f>_xlfn.XLOOKUP(I62,costcategory[Account Code],costcategory[Cost Category],"ERROR")</f>
        <v>Headcount Costs</v>
      </c>
      <c r="K62" s="89" t="str">
        <f t="shared" si="2"/>
        <v>Business Operation</v>
      </c>
      <c r="L62" s="89" t="str">
        <f>_xlfn.XLOOKUP(K62,Table2[Department],Table2[Group],"ERROR")</f>
        <v>Sales &amp; Marketing</v>
      </c>
    </row>
    <row r="63" spans="1:12" x14ac:dyDescent="0.2">
      <c r="A63" t="s">
        <v>1</v>
      </c>
      <c r="B63" s="38">
        <v>46053</v>
      </c>
      <c r="C63" s="38">
        <v>46058</v>
      </c>
      <c r="D63" t="s">
        <v>1525</v>
      </c>
      <c r="E63" t="s">
        <v>77</v>
      </c>
      <c r="F63" s="37">
        <v>11.25</v>
      </c>
      <c r="G63" s="37" cm="1">
        <f t="array" ref="G63">F63*_xlfn.XLOOKUP(1,
 (FOREX!$A$2:$A$13=EOMONTH(B63,0))*
 (FOREX!$B$2:$B$13=TRIM(E63)),FOREX!$C$2:$C$13,
 100)</f>
        <v>8.8573612500000003</v>
      </c>
      <c r="H63" t="s">
        <v>1547</v>
      </c>
      <c r="I63" s="30" t="s">
        <v>364</v>
      </c>
      <c r="J63" s="35" t="str">
        <f>_xlfn.XLOOKUP(I63,costcategory[Account Code],costcategory[Cost Category],"ERROR")</f>
        <v>Headcount Costs</v>
      </c>
      <c r="K63" s="89" t="str">
        <f t="shared" si="2"/>
        <v>Sales &amp; Pre-Sales</v>
      </c>
      <c r="L63" s="89" t="str">
        <f>_xlfn.XLOOKUP(K63,Table2[Department],Table2[Group],"ERROR")</f>
        <v>Sales &amp; Marketing</v>
      </c>
    </row>
    <row r="64" spans="1:12" x14ac:dyDescent="0.2">
      <c r="A64" t="s">
        <v>1</v>
      </c>
      <c r="B64" s="38">
        <v>46053</v>
      </c>
      <c r="C64" s="38">
        <v>46058</v>
      </c>
      <c r="D64" t="s">
        <v>1526</v>
      </c>
      <c r="E64" t="s">
        <v>77</v>
      </c>
      <c r="F64" s="37">
        <v>11.25</v>
      </c>
      <c r="G64" s="37" cm="1">
        <f t="array" ref="G64">F64*_xlfn.XLOOKUP(1,
 (FOREX!$A$2:$A$13=EOMONTH(B64,0))*
 (FOREX!$B$2:$B$13=TRIM(E64)),FOREX!$C$2:$C$13,
 100)</f>
        <v>8.8573612500000003</v>
      </c>
      <c r="H64" t="s">
        <v>1547</v>
      </c>
      <c r="I64" s="30" t="s">
        <v>364</v>
      </c>
      <c r="J64" s="35" t="str">
        <f>_xlfn.XLOOKUP(I64,costcategory[Account Code],costcategory[Cost Category],"ERROR")</f>
        <v>Headcount Costs</v>
      </c>
      <c r="K64" s="89" t="str">
        <f t="shared" si="2"/>
        <v>Sales &amp; Pre-Sales</v>
      </c>
      <c r="L64" s="89" t="str">
        <f>_xlfn.XLOOKUP(K64,Table2[Department],Table2[Group],"ERROR")</f>
        <v>Sales &amp; Marketing</v>
      </c>
    </row>
    <row r="65" spans="1:12" x14ac:dyDescent="0.2">
      <c r="A65" t="s">
        <v>1</v>
      </c>
      <c r="B65" s="38">
        <v>46053</v>
      </c>
      <c r="C65" s="38">
        <v>46058</v>
      </c>
      <c r="D65" t="s">
        <v>1527</v>
      </c>
      <c r="E65" t="s">
        <v>77</v>
      </c>
      <c r="F65" s="37">
        <v>11.25</v>
      </c>
      <c r="G65" s="37" cm="1">
        <f t="array" ref="G65">F65*_xlfn.XLOOKUP(1,
 (FOREX!$A$2:$A$13=EOMONTH(B65,0))*
 (FOREX!$B$2:$B$13=TRIM(E65)),FOREX!$C$2:$C$13,
 100)</f>
        <v>8.8573612500000003</v>
      </c>
      <c r="H65" t="s">
        <v>1547</v>
      </c>
      <c r="I65" s="30" t="s">
        <v>364</v>
      </c>
      <c r="J65" s="35" t="str">
        <f>_xlfn.XLOOKUP(I65,costcategory[Account Code],costcategory[Cost Category],"ERROR")</f>
        <v>Headcount Costs</v>
      </c>
      <c r="K65" s="89" t="str">
        <f t="shared" si="2"/>
        <v>DSC</v>
      </c>
      <c r="L65" s="89" t="str">
        <f>_xlfn.XLOOKUP(K65,Table2[Department],Table2[Group],"ERROR")</f>
        <v>DSC</v>
      </c>
    </row>
    <row r="66" spans="1:12" x14ac:dyDescent="0.2">
      <c r="A66" t="s">
        <v>1</v>
      </c>
      <c r="B66" s="38">
        <v>46053</v>
      </c>
      <c r="C66" s="38">
        <v>46058</v>
      </c>
      <c r="D66" t="s">
        <v>1528</v>
      </c>
      <c r="E66" t="s">
        <v>77</v>
      </c>
      <c r="F66" s="37">
        <v>11.25</v>
      </c>
      <c r="G66" s="37" cm="1">
        <f t="array" ref="G66">F66*_xlfn.XLOOKUP(1,
 (FOREX!$A$2:$A$13=EOMONTH(B66,0))*
 (FOREX!$B$2:$B$13=TRIM(E66)),FOREX!$C$2:$C$13,
 100)</f>
        <v>8.8573612500000003</v>
      </c>
      <c r="H66" t="s">
        <v>1547</v>
      </c>
      <c r="I66" s="30" t="s">
        <v>364</v>
      </c>
      <c r="J66" s="35" t="str">
        <f>_xlfn.XLOOKUP(I66,costcategory[Account Code],costcategory[Cost Category],"ERROR")</f>
        <v>Headcount Costs</v>
      </c>
      <c r="K66" s="89" t="str">
        <f t="shared" si="2"/>
        <v>R&amp;D - Team D</v>
      </c>
      <c r="L66" s="89" t="str">
        <f>_xlfn.XLOOKUP(K66,Table2[Department],Table2[Group],"ERROR")</f>
        <v>Research &amp; Development</v>
      </c>
    </row>
    <row r="67" spans="1:12" x14ac:dyDescent="0.2">
      <c r="A67" t="s">
        <v>1</v>
      </c>
      <c r="B67" s="38">
        <v>46053</v>
      </c>
      <c r="C67" s="38">
        <v>46058</v>
      </c>
      <c r="D67" t="s">
        <v>1529</v>
      </c>
      <c r="E67" t="s">
        <v>77</v>
      </c>
      <c r="F67" s="37">
        <v>11.25</v>
      </c>
      <c r="G67" s="37" cm="1">
        <f t="array" ref="G67">F67*_xlfn.XLOOKUP(1,
 (FOREX!$A$2:$A$13=EOMONTH(B67,0))*
 (FOREX!$B$2:$B$13=TRIM(E67)),FOREX!$C$2:$C$13,
 100)</f>
        <v>8.8573612500000003</v>
      </c>
      <c r="H67" t="s">
        <v>1547</v>
      </c>
      <c r="I67" s="30" t="s">
        <v>364</v>
      </c>
      <c r="J67" s="35" t="str">
        <f>_xlfn.XLOOKUP(I67,costcategory[Account Code],costcategory[Cost Category],"ERROR")</f>
        <v>Headcount Costs</v>
      </c>
      <c r="K67" s="89" t="str">
        <f t="shared" si="2"/>
        <v>R&amp;D - Team W</v>
      </c>
      <c r="L67" s="89" t="str">
        <f>_xlfn.XLOOKUP(K67,Table2[Department],Table2[Group],"ERROR")</f>
        <v>Research &amp; Development</v>
      </c>
    </row>
    <row r="68" spans="1:12" x14ac:dyDescent="0.2">
      <c r="A68" t="s">
        <v>1</v>
      </c>
      <c r="B68" s="38">
        <v>46053</v>
      </c>
      <c r="C68" s="38">
        <v>46058</v>
      </c>
      <c r="D68" t="s">
        <v>1530</v>
      </c>
      <c r="E68" t="s">
        <v>77</v>
      </c>
      <c r="F68" s="37">
        <v>11.25</v>
      </c>
      <c r="G68" s="37" cm="1">
        <f t="array" ref="G68">F68*_xlfn.XLOOKUP(1,
 (FOREX!$A$2:$A$13=EOMONTH(B68,0))*
 (FOREX!$B$2:$B$13=TRIM(E68)),FOREX!$C$2:$C$13,
 100)</f>
        <v>8.8573612500000003</v>
      </c>
      <c r="H68" t="s">
        <v>1547</v>
      </c>
      <c r="I68" s="30" t="s">
        <v>364</v>
      </c>
      <c r="J68" s="35" t="str">
        <f>_xlfn.XLOOKUP(I68,costcategory[Account Code],costcategory[Cost Category],"ERROR")</f>
        <v>Headcount Costs</v>
      </c>
      <c r="K68" s="89" t="str">
        <f t="shared" si="2"/>
        <v>R&amp;D - Team D</v>
      </c>
      <c r="L68" s="89" t="str">
        <f>_xlfn.XLOOKUP(K68,Table2[Department],Table2[Group],"ERROR")</f>
        <v>Research &amp; Development</v>
      </c>
    </row>
    <row r="69" spans="1:12" x14ac:dyDescent="0.2">
      <c r="A69" t="s">
        <v>1</v>
      </c>
      <c r="B69" s="38">
        <v>46053</v>
      </c>
      <c r="C69" s="38">
        <v>46058</v>
      </c>
      <c r="D69" t="s">
        <v>1531</v>
      </c>
      <c r="E69" t="s">
        <v>77</v>
      </c>
      <c r="F69" s="37">
        <v>11.25</v>
      </c>
      <c r="G69" s="37" cm="1">
        <f t="array" ref="G69">F69*_xlfn.XLOOKUP(1,
 (FOREX!$A$2:$A$13=EOMONTH(B69,0))*
 (FOREX!$B$2:$B$13=TRIM(E69)),FOREX!$C$2:$C$13,
 100)</f>
        <v>8.8573612500000003</v>
      </c>
      <c r="H69" t="s">
        <v>1547</v>
      </c>
      <c r="I69" s="30" t="s">
        <v>364</v>
      </c>
      <c r="J69" s="35" t="str">
        <f>_xlfn.XLOOKUP(I69,costcategory[Account Code],costcategory[Cost Category],"ERROR")</f>
        <v>Headcount Costs</v>
      </c>
      <c r="K69" s="89" t="str">
        <f t="shared" si="2"/>
        <v>R&amp;D - Team W</v>
      </c>
      <c r="L69" s="89" t="str">
        <f>_xlfn.XLOOKUP(K69,Table2[Department],Table2[Group],"ERROR")</f>
        <v>Research &amp; Development</v>
      </c>
    </row>
    <row r="70" spans="1:12" x14ac:dyDescent="0.2">
      <c r="A70" t="s">
        <v>1</v>
      </c>
      <c r="B70" s="38">
        <v>46053</v>
      </c>
      <c r="C70" s="38">
        <v>46058</v>
      </c>
      <c r="D70" t="s">
        <v>1532</v>
      </c>
      <c r="E70" t="s">
        <v>77</v>
      </c>
      <c r="F70" s="37">
        <v>11.25</v>
      </c>
      <c r="G70" s="37" cm="1">
        <f t="array" ref="G70">F70*_xlfn.XLOOKUP(1,
 (FOREX!$A$2:$A$13=EOMONTH(B70,0))*
 (FOREX!$B$2:$B$13=TRIM(E70)),FOREX!$C$2:$C$13,
 100)</f>
        <v>8.8573612500000003</v>
      </c>
      <c r="H70" t="s">
        <v>1547</v>
      </c>
      <c r="I70" s="30" t="s">
        <v>364</v>
      </c>
      <c r="J70" s="35" t="str">
        <f>_xlfn.XLOOKUP(I70,costcategory[Account Code],costcategory[Cost Category],"ERROR")</f>
        <v>Headcount Costs</v>
      </c>
      <c r="K70" s="89" t="str">
        <f t="shared" si="2"/>
        <v>R&amp;D - Team P</v>
      </c>
      <c r="L70" s="89" t="str">
        <f>_xlfn.XLOOKUP(K70,Table2[Department],Table2[Group],"ERROR")</f>
        <v>Research &amp; Development</v>
      </c>
    </row>
    <row r="71" spans="1:12" x14ac:dyDescent="0.2">
      <c r="A71" t="s">
        <v>1</v>
      </c>
      <c r="B71" s="38">
        <v>46053</v>
      </c>
      <c r="C71" s="38">
        <v>46058</v>
      </c>
      <c r="D71" t="s">
        <v>1533</v>
      </c>
      <c r="E71" t="s">
        <v>77</v>
      </c>
      <c r="F71" s="37">
        <v>11.25</v>
      </c>
      <c r="G71" s="37" cm="1">
        <f t="array" ref="G71">F71*_xlfn.XLOOKUP(1,
 (FOREX!$A$2:$A$13=EOMONTH(B71,0))*
 (FOREX!$B$2:$B$13=TRIM(E71)),FOREX!$C$2:$C$13,
 100)</f>
        <v>8.8573612500000003</v>
      </c>
      <c r="H71" t="s">
        <v>1547</v>
      </c>
      <c r="I71" s="30" t="s">
        <v>364</v>
      </c>
      <c r="J71" s="35" t="str">
        <f>_xlfn.XLOOKUP(I71,costcategory[Account Code],costcategory[Cost Category],"ERROR")</f>
        <v>Headcount Costs</v>
      </c>
      <c r="K71" s="89" t="str">
        <f t="shared" si="2"/>
        <v>R&amp;D - Team D</v>
      </c>
      <c r="L71" s="89" t="str">
        <f>_xlfn.XLOOKUP(K71,Table2[Department],Table2[Group],"ERROR")</f>
        <v>Research &amp; Development</v>
      </c>
    </row>
    <row r="72" spans="1:12" x14ac:dyDescent="0.2">
      <c r="A72" t="s">
        <v>1</v>
      </c>
      <c r="B72" s="38">
        <v>46053</v>
      </c>
      <c r="C72" s="38">
        <v>46058</v>
      </c>
      <c r="D72" t="s">
        <v>1534</v>
      </c>
      <c r="E72" t="s">
        <v>77</v>
      </c>
      <c r="F72" s="37">
        <v>11.25</v>
      </c>
      <c r="G72" s="37" cm="1">
        <f t="array" ref="G72">F72*_xlfn.XLOOKUP(1,
 (FOREX!$A$2:$A$13=EOMONTH(B72,0))*
 (FOREX!$B$2:$B$13=TRIM(E72)),FOREX!$C$2:$C$13,
 100)</f>
        <v>8.8573612500000003</v>
      </c>
      <c r="H72" t="s">
        <v>1547</v>
      </c>
      <c r="I72" s="30" t="s">
        <v>364</v>
      </c>
      <c r="J72" s="35" t="str">
        <f>_xlfn.XLOOKUP(I72,costcategory[Account Code],costcategory[Cost Category],"ERROR")</f>
        <v>Headcount Costs</v>
      </c>
      <c r="K72" s="89" t="str">
        <f t="shared" si="2"/>
        <v>R&amp;D - Team D</v>
      </c>
      <c r="L72" s="89" t="str">
        <f>_xlfn.XLOOKUP(K72,Table2[Department],Table2[Group],"ERROR")</f>
        <v>Research &amp; Development</v>
      </c>
    </row>
    <row r="73" spans="1:12" x14ac:dyDescent="0.2">
      <c r="A73" t="s">
        <v>1</v>
      </c>
      <c r="B73" s="38">
        <v>46053</v>
      </c>
      <c r="C73" s="38">
        <v>46058</v>
      </c>
      <c r="D73" t="s">
        <v>1535</v>
      </c>
      <c r="E73" t="s">
        <v>77</v>
      </c>
      <c r="F73" s="37">
        <v>11.25</v>
      </c>
      <c r="G73" s="37" cm="1">
        <f t="array" ref="G73">F73*_xlfn.XLOOKUP(1,
 (FOREX!$A$2:$A$13=EOMONTH(B73,0))*
 (FOREX!$B$2:$B$13=TRIM(E73)),FOREX!$C$2:$C$13,
 100)</f>
        <v>8.8573612500000003</v>
      </c>
      <c r="H73" t="s">
        <v>1547</v>
      </c>
      <c r="I73" s="30" t="s">
        <v>364</v>
      </c>
      <c r="J73" s="35" t="str">
        <f>_xlfn.XLOOKUP(I73,costcategory[Account Code],costcategory[Cost Category],"ERROR")</f>
        <v>Headcount Costs</v>
      </c>
      <c r="K73" s="89" t="str">
        <f t="shared" si="2"/>
        <v>HR</v>
      </c>
      <c r="L73" s="89" t="str">
        <f>_xlfn.XLOOKUP(K73,Table2[Department],Table2[Group],"ERROR")</f>
        <v>General &amp; Administrative</v>
      </c>
    </row>
    <row r="74" spans="1:12" x14ac:dyDescent="0.2">
      <c r="A74" t="s">
        <v>1</v>
      </c>
      <c r="B74" s="38">
        <v>46053</v>
      </c>
      <c r="C74" s="38">
        <v>46058</v>
      </c>
      <c r="D74" t="s">
        <v>1536</v>
      </c>
      <c r="E74" t="s">
        <v>77</v>
      </c>
      <c r="F74" s="37">
        <v>11.25</v>
      </c>
      <c r="G74" s="37" cm="1">
        <f t="array" ref="G74">F74*_xlfn.XLOOKUP(1,
 (FOREX!$A$2:$A$13=EOMONTH(B74,0))*
 (FOREX!$B$2:$B$13=TRIM(E74)),FOREX!$C$2:$C$13,
 100)</f>
        <v>8.8573612500000003</v>
      </c>
      <c r="H74" t="s">
        <v>1547</v>
      </c>
      <c r="I74" s="30" t="s">
        <v>364</v>
      </c>
      <c r="J74" s="35" t="str">
        <f>_xlfn.XLOOKUP(I74,costcategory[Account Code],costcategory[Cost Category],"ERROR")</f>
        <v>Headcount Costs</v>
      </c>
      <c r="K74" s="89" t="str">
        <f t="shared" si="2"/>
        <v>DSC</v>
      </c>
      <c r="L74" s="89" t="str">
        <f>_xlfn.XLOOKUP(K74,Table2[Department],Table2[Group],"ERROR")</f>
        <v>DSC</v>
      </c>
    </row>
    <row r="75" spans="1:12" x14ac:dyDescent="0.2">
      <c r="A75" t="s">
        <v>1</v>
      </c>
      <c r="B75" s="38">
        <v>46053</v>
      </c>
      <c r="C75" s="38">
        <v>46058</v>
      </c>
      <c r="D75" t="s">
        <v>1537</v>
      </c>
      <c r="E75" t="s">
        <v>77</v>
      </c>
      <c r="F75" s="37">
        <v>11.25</v>
      </c>
      <c r="G75" s="37" cm="1">
        <f t="array" ref="G75">F75*_xlfn.XLOOKUP(1,
 (FOREX!$A$2:$A$13=EOMONTH(B75,0))*
 (FOREX!$B$2:$B$13=TRIM(E75)),FOREX!$C$2:$C$13,
 100)</f>
        <v>8.8573612500000003</v>
      </c>
      <c r="H75" t="s">
        <v>1547</v>
      </c>
      <c r="I75" s="30" t="s">
        <v>364</v>
      </c>
      <c r="J75" s="35" t="str">
        <f>_xlfn.XLOOKUP(I75,costcategory[Account Code],costcategory[Cost Category],"ERROR")</f>
        <v>Headcount Costs</v>
      </c>
      <c r="K75" s="89" t="str">
        <f t="shared" si="2"/>
        <v>DSC</v>
      </c>
      <c r="L75" s="89" t="str">
        <f>_xlfn.XLOOKUP(K75,Table2[Department],Table2[Group],"ERROR")</f>
        <v>DSC</v>
      </c>
    </row>
    <row r="76" spans="1:12" x14ac:dyDescent="0.2">
      <c r="A76" t="s">
        <v>1</v>
      </c>
      <c r="B76" s="38">
        <v>46053</v>
      </c>
      <c r="C76" s="38">
        <v>46058</v>
      </c>
      <c r="D76" t="s">
        <v>1538</v>
      </c>
      <c r="E76" t="s">
        <v>77</v>
      </c>
      <c r="F76" s="37">
        <v>11.25</v>
      </c>
      <c r="G76" s="37" cm="1">
        <f t="array" ref="G76">F76*_xlfn.XLOOKUP(1,
 (FOREX!$A$2:$A$13=EOMONTH(B76,0))*
 (FOREX!$B$2:$B$13=TRIM(E76)),FOREX!$C$2:$C$13,
 100)</f>
        <v>8.8573612500000003</v>
      </c>
      <c r="H76" t="s">
        <v>1547</v>
      </c>
      <c r="I76" s="30" t="s">
        <v>364</v>
      </c>
      <c r="J76" s="35" t="str">
        <f>_xlfn.XLOOKUP(I76,costcategory[Account Code],costcategory[Cost Category],"ERROR")</f>
        <v>Headcount Costs</v>
      </c>
      <c r="K76" s="89" t="str">
        <f t="shared" si="2"/>
        <v>HR</v>
      </c>
      <c r="L76" s="89" t="str">
        <f>_xlfn.XLOOKUP(K76,Table2[Department],Table2[Group],"ERROR")</f>
        <v>General &amp; Administrative</v>
      </c>
    </row>
    <row r="77" spans="1:12" x14ac:dyDescent="0.2">
      <c r="A77" t="s">
        <v>1</v>
      </c>
      <c r="B77" s="38">
        <v>46053</v>
      </c>
      <c r="C77" s="38">
        <v>46058</v>
      </c>
      <c r="D77" t="s">
        <v>1539</v>
      </c>
      <c r="E77" t="s">
        <v>77</v>
      </c>
      <c r="F77" s="37">
        <v>11.25</v>
      </c>
      <c r="G77" s="37" cm="1">
        <f t="array" ref="G77">F77*_xlfn.XLOOKUP(1,
 (FOREX!$A$2:$A$13=EOMONTH(B77,0))*
 (FOREX!$B$2:$B$13=TRIM(E77)),FOREX!$C$2:$C$13,
 100)</f>
        <v>8.8573612500000003</v>
      </c>
      <c r="H77" t="s">
        <v>1547</v>
      </c>
      <c r="I77" s="30" t="s">
        <v>364</v>
      </c>
      <c r="J77" s="35" t="str">
        <f>_xlfn.XLOOKUP(I77,costcategory[Account Code],costcategory[Cost Category],"ERROR")</f>
        <v>Headcount Costs</v>
      </c>
      <c r="K77" s="89" t="str">
        <f t="shared" si="2"/>
        <v>DSC</v>
      </c>
      <c r="L77" s="89" t="str">
        <f>_xlfn.XLOOKUP(K77,Table2[Department],Table2[Group],"ERROR")</f>
        <v>DSC</v>
      </c>
    </row>
    <row r="78" spans="1:12" x14ac:dyDescent="0.2">
      <c r="A78" t="s">
        <v>1</v>
      </c>
      <c r="B78" s="38">
        <v>46053</v>
      </c>
      <c r="C78" s="38">
        <v>46058</v>
      </c>
      <c r="D78" t="s">
        <v>1521</v>
      </c>
      <c r="E78" t="s">
        <v>77</v>
      </c>
      <c r="F78" s="37">
        <v>0</v>
      </c>
      <c r="G78" s="37" cm="1">
        <f t="array" ref="G78">F78*_xlfn.XLOOKUP(1,
 (FOREX!$A$2:$A$13=EOMONTH(B78,0))*
 (FOREX!$B$2:$B$13=TRIM(E78)),FOREX!$C$2:$C$13,
 100)</f>
        <v>0</v>
      </c>
      <c r="H78" t="s">
        <v>1548</v>
      </c>
      <c r="I78" s="30" t="s">
        <v>364</v>
      </c>
      <c r="J78" s="35" t="str">
        <f>_xlfn.XLOOKUP(I78,costcategory[Account Code],costcategory[Cost Category],"ERROR")</f>
        <v>Headcount Costs</v>
      </c>
      <c r="K78" s="89" t="str">
        <f t="shared" si="2"/>
        <v>Management</v>
      </c>
      <c r="L78" s="89" t="str">
        <f>_xlfn.XLOOKUP(K78,Table2[Department],Table2[Group],"ERROR")</f>
        <v>General &amp; Administrative</v>
      </c>
    </row>
    <row r="79" spans="1:12" x14ac:dyDescent="0.2">
      <c r="A79" t="s">
        <v>1</v>
      </c>
      <c r="B79" s="38">
        <v>46053</v>
      </c>
      <c r="C79" s="38">
        <v>46058</v>
      </c>
      <c r="D79" t="s">
        <v>1522</v>
      </c>
      <c r="E79" t="s">
        <v>77</v>
      </c>
      <c r="F79" s="37">
        <v>1360</v>
      </c>
      <c r="G79" s="37" cm="1">
        <f t="array" ref="G79">F79*_xlfn.XLOOKUP(1,
 (FOREX!$A$2:$A$13=EOMONTH(B79,0))*
 (FOREX!$B$2:$B$13=TRIM(E79)),FOREX!$C$2:$C$13,
 100)</f>
        <v>1070.75656</v>
      </c>
      <c r="H79" t="s">
        <v>1548</v>
      </c>
      <c r="I79" s="30" t="s">
        <v>364</v>
      </c>
      <c r="J79" s="35" t="str">
        <f>_xlfn.XLOOKUP(I79,costcategory[Account Code],costcategory[Cost Category],"ERROR")</f>
        <v>Headcount Costs</v>
      </c>
      <c r="K79" s="89" t="str">
        <f t="shared" si="2"/>
        <v>Marketing</v>
      </c>
      <c r="L79" s="89" t="str">
        <f>_xlfn.XLOOKUP(K79,Table2[Department],Table2[Group],"ERROR")</f>
        <v>Sales &amp; Marketing</v>
      </c>
    </row>
    <row r="80" spans="1:12" x14ac:dyDescent="0.2">
      <c r="A80" t="s">
        <v>1</v>
      </c>
      <c r="B80" s="38">
        <v>46053</v>
      </c>
      <c r="C80" s="38">
        <v>46058</v>
      </c>
      <c r="D80" t="s">
        <v>1523</v>
      </c>
      <c r="E80" t="s">
        <v>77</v>
      </c>
      <c r="F80" s="37">
        <v>0</v>
      </c>
      <c r="G80" s="37" cm="1">
        <f t="array" ref="G80">F80*_xlfn.XLOOKUP(1,
 (FOREX!$A$2:$A$13=EOMONTH(B80,0))*
 (FOREX!$B$2:$B$13=TRIM(E80)),FOREX!$C$2:$C$13,
 100)</f>
        <v>0</v>
      </c>
      <c r="H80" t="s">
        <v>1548</v>
      </c>
      <c r="I80" s="30" t="s">
        <v>364</v>
      </c>
      <c r="J80" s="35" t="str">
        <f>_xlfn.XLOOKUP(I80,costcategory[Account Code],costcategory[Cost Category],"ERROR")</f>
        <v>Headcount Costs</v>
      </c>
      <c r="K80" s="89" t="str">
        <f t="shared" si="2"/>
        <v>Management</v>
      </c>
      <c r="L80" s="89" t="str">
        <f>_xlfn.XLOOKUP(K80,Table2[Department],Table2[Group],"ERROR")</f>
        <v>General &amp; Administrative</v>
      </c>
    </row>
    <row r="81" spans="1:12" x14ac:dyDescent="0.2">
      <c r="A81" t="s">
        <v>1</v>
      </c>
      <c r="B81" s="38">
        <v>46053</v>
      </c>
      <c r="C81" s="38">
        <v>46058</v>
      </c>
      <c r="D81" t="s">
        <v>1524</v>
      </c>
      <c r="E81" t="s">
        <v>77</v>
      </c>
      <c r="F81" s="37">
        <v>1077</v>
      </c>
      <c r="G81" s="37" cm="1">
        <f t="array" ref="G81">F81*_xlfn.XLOOKUP(1,
 (FOREX!$A$2:$A$13=EOMONTH(B81,0))*
 (FOREX!$B$2:$B$13=TRIM(E81)),FOREX!$C$2:$C$13,
 100)</f>
        <v>847.94471700000008</v>
      </c>
      <c r="H81" t="s">
        <v>1548</v>
      </c>
      <c r="I81" s="30" t="s">
        <v>364</v>
      </c>
      <c r="J81" s="35" t="str">
        <f>_xlfn.XLOOKUP(I81,costcategory[Account Code],costcategory[Cost Category],"ERROR")</f>
        <v>Headcount Costs</v>
      </c>
      <c r="K81" s="89" t="str">
        <f t="shared" si="2"/>
        <v>Business Operation</v>
      </c>
      <c r="L81" s="89" t="str">
        <f>_xlfn.XLOOKUP(K81,Table2[Department],Table2[Group],"ERROR")</f>
        <v>Sales &amp; Marketing</v>
      </c>
    </row>
    <row r="82" spans="1:12" x14ac:dyDescent="0.2">
      <c r="A82" t="s">
        <v>1</v>
      </c>
      <c r="B82" s="38">
        <v>46053</v>
      </c>
      <c r="C82" s="38">
        <v>46058</v>
      </c>
      <c r="D82" t="s">
        <v>1525</v>
      </c>
      <c r="E82" t="s">
        <v>77</v>
      </c>
      <c r="F82" s="37">
        <v>1280</v>
      </c>
      <c r="G82" s="37" cm="1">
        <f t="array" ref="G82">F82*_xlfn.XLOOKUP(1,
 (FOREX!$A$2:$A$13=EOMONTH(B82,0))*
 (FOREX!$B$2:$B$13=TRIM(E82)),FOREX!$C$2:$C$13,
 100)</f>
        <v>1007.77088</v>
      </c>
      <c r="H82" t="s">
        <v>1548</v>
      </c>
      <c r="I82" s="30" t="s">
        <v>364</v>
      </c>
      <c r="J82" s="35" t="str">
        <f>_xlfn.XLOOKUP(I82,costcategory[Account Code],costcategory[Cost Category],"ERROR")</f>
        <v>Headcount Costs</v>
      </c>
      <c r="K82" s="89" t="str">
        <f t="shared" si="2"/>
        <v>Sales &amp; Pre-Sales</v>
      </c>
      <c r="L82" s="89" t="str">
        <f>_xlfn.XLOOKUP(K82,Table2[Department],Table2[Group],"ERROR")</f>
        <v>Sales &amp; Marketing</v>
      </c>
    </row>
    <row r="83" spans="1:12" x14ac:dyDescent="0.2">
      <c r="A83" t="s">
        <v>1</v>
      </c>
      <c r="B83" s="38">
        <v>46053</v>
      </c>
      <c r="C83" s="38">
        <v>46058</v>
      </c>
      <c r="D83" t="s">
        <v>1526</v>
      </c>
      <c r="E83" t="s">
        <v>77</v>
      </c>
      <c r="F83" s="37">
        <v>1000</v>
      </c>
      <c r="G83" s="37" cm="1">
        <f t="array" ref="G83">F83*_xlfn.XLOOKUP(1,
 (FOREX!$A$2:$A$13=EOMONTH(B83,0))*
 (FOREX!$B$2:$B$13=TRIM(E83)),FOREX!$C$2:$C$13,
 100)</f>
        <v>787.32100000000003</v>
      </c>
      <c r="H83" t="s">
        <v>1548</v>
      </c>
      <c r="I83" s="30" t="s">
        <v>364</v>
      </c>
      <c r="J83" s="35" t="str">
        <f>_xlfn.XLOOKUP(I83,costcategory[Account Code],costcategory[Cost Category],"ERROR")</f>
        <v>Headcount Costs</v>
      </c>
      <c r="K83" s="89" t="str">
        <f t="shared" si="2"/>
        <v>Sales &amp; Pre-Sales</v>
      </c>
      <c r="L83" s="89" t="str">
        <f>_xlfn.XLOOKUP(K83,Table2[Department],Table2[Group],"ERROR")</f>
        <v>Sales &amp; Marketing</v>
      </c>
    </row>
    <row r="84" spans="1:12" x14ac:dyDescent="0.2">
      <c r="A84" t="s">
        <v>1</v>
      </c>
      <c r="B84" s="38">
        <v>46053</v>
      </c>
      <c r="C84" s="38">
        <v>46058</v>
      </c>
      <c r="D84" t="s">
        <v>1527</v>
      </c>
      <c r="E84" t="s">
        <v>77</v>
      </c>
      <c r="F84" s="37">
        <v>1360</v>
      </c>
      <c r="G84" s="37" cm="1">
        <f t="array" ref="G84">F84*_xlfn.XLOOKUP(1,
 (FOREX!$A$2:$A$13=EOMONTH(B84,0))*
 (FOREX!$B$2:$B$13=TRIM(E84)),FOREX!$C$2:$C$13,
 100)</f>
        <v>1070.75656</v>
      </c>
      <c r="H84" t="s">
        <v>1548</v>
      </c>
      <c r="I84" s="30" t="s">
        <v>364</v>
      </c>
      <c r="J84" s="35" t="str">
        <f>_xlfn.XLOOKUP(I84,costcategory[Account Code],costcategory[Cost Category],"ERROR")</f>
        <v>Headcount Costs</v>
      </c>
      <c r="K84" s="89" t="str">
        <f t="shared" si="2"/>
        <v>DSC</v>
      </c>
      <c r="L84" s="89" t="str">
        <f>_xlfn.XLOOKUP(K84,Table2[Department],Table2[Group],"ERROR")</f>
        <v>DSC</v>
      </c>
    </row>
    <row r="85" spans="1:12" x14ac:dyDescent="0.2">
      <c r="A85" t="s">
        <v>1</v>
      </c>
      <c r="B85" s="38">
        <v>46053</v>
      </c>
      <c r="C85" s="38">
        <v>46058</v>
      </c>
      <c r="D85" t="s">
        <v>1528</v>
      </c>
      <c r="E85" t="s">
        <v>77</v>
      </c>
      <c r="F85" s="37">
        <v>0</v>
      </c>
      <c r="G85" s="37" cm="1">
        <f t="array" ref="G85">F85*_xlfn.XLOOKUP(1,
 (FOREX!$A$2:$A$13=EOMONTH(B85,0))*
 (FOREX!$B$2:$B$13=TRIM(E85)),FOREX!$C$2:$C$13,
 100)</f>
        <v>0</v>
      </c>
      <c r="H85" t="s">
        <v>1548</v>
      </c>
      <c r="I85" s="30" t="s">
        <v>364</v>
      </c>
      <c r="J85" s="35" t="str">
        <f>_xlfn.XLOOKUP(I85,costcategory[Account Code],costcategory[Cost Category],"ERROR")</f>
        <v>Headcount Costs</v>
      </c>
      <c r="K85" s="89" t="str">
        <f t="shared" si="2"/>
        <v>R&amp;D - Team D</v>
      </c>
      <c r="L85" s="89" t="str">
        <f>_xlfn.XLOOKUP(K85,Table2[Department],Table2[Group],"ERROR")</f>
        <v>Research &amp; Development</v>
      </c>
    </row>
    <row r="86" spans="1:12" x14ac:dyDescent="0.2">
      <c r="A86" t="s">
        <v>1</v>
      </c>
      <c r="B86" s="38">
        <v>46053</v>
      </c>
      <c r="C86" s="38">
        <v>46058</v>
      </c>
      <c r="D86" t="s">
        <v>1529</v>
      </c>
      <c r="E86" t="s">
        <v>77</v>
      </c>
      <c r="F86" s="37">
        <v>0</v>
      </c>
      <c r="G86" s="37" cm="1">
        <f t="array" ref="G86">F86*_xlfn.XLOOKUP(1,
 (FOREX!$A$2:$A$13=EOMONTH(B86,0))*
 (FOREX!$B$2:$B$13=TRIM(E86)),FOREX!$C$2:$C$13,
 100)</f>
        <v>0</v>
      </c>
      <c r="H86" t="s">
        <v>1548</v>
      </c>
      <c r="I86" s="30" t="s">
        <v>364</v>
      </c>
      <c r="J86" s="35" t="str">
        <f>_xlfn.XLOOKUP(I86,costcategory[Account Code],costcategory[Cost Category],"ERROR")</f>
        <v>Headcount Costs</v>
      </c>
      <c r="K86" s="89" t="str">
        <f t="shared" si="2"/>
        <v>R&amp;D - Team W</v>
      </c>
      <c r="L86" s="89" t="str">
        <f>_xlfn.XLOOKUP(K86,Table2[Department],Table2[Group],"ERROR")</f>
        <v>Research &amp; Development</v>
      </c>
    </row>
    <row r="87" spans="1:12" x14ac:dyDescent="0.2">
      <c r="A87" t="s">
        <v>1</v>
      </c>
      <c r="B87" s="38">
        <v>46053</v>
      </c>
      <c r="C87" s="38">
        <v>46058</v>
      </c>
      <c r="D87" t="s">
        <v>1530</v>
      </c>
      <c r="E87" t="s">
        <v>77</v>
      </c>
      <c r="F87" s="37">
        <v>1360</v>
      </c>
      <c r="G87" s="37" cm="1">
        <f t="array" ref="G87">F87*_xlfn.XLOOKUP(1,
 (FOREX!$A$2:$A$13=EOMONTH(B87,0))*
 (FOREX!$B$2:$B$13=TRIM(E87)),FOREX!$C$2:$C$13,
 100)</f>
        <v>1070.75656</v>
      </c>
      <c r="H87" t="s">
        <v>1548</v>
      </c>
      <c r="I87" s="30" t="s">
        <v>364</v>
      </c>
      <c r="J87" s="35" t="str">
        <f>_xlfn.XLOOKUP(I87,costcategory[Account Code],costcategory[Cost Category],"ERROR")</f>
        <v>Headcount Costs</v>
      </c>
      <c r="K87" s="89" t="str">
        <f t="shared" si="2"/>
        <v>R&amp;D - Team D</v>
      </c>
      <c r="L87" s="89" t="str">
        <f>_xlfn.XLOOKUP(K87,Table2[Department],Table2[Group],"ERROR")</f>
        <v>Research &amp; Development</v>
      </c>
    </row>
    <row r="88" spans="1:12" x14ac:dyDescent="0.2">
      <c r="A88" t="s">
        <v>1</v>
      </c>
      <c r="B88" s="38">
        <v>46053</v>
      </c>
      <c r="C88" s="38">
        <v>46058</v>
      </c>
      <c r="D88" t="s">
        <v>1531</v>
      </c>
      <c r="E88" t="s">
        <v>77</v>
      </c>
      <c r="F88" s="37">
        <v>0</v>
      </c>
      <c r="G88" s="37" cm="1">
        <f t="array" ref="G88">F88*_xlfn.XLOOKUP(1,
 (FOREX!$A$2:$A$13=EOMONTH(B88,0))*
 (FOREX!$B$2:$B$13=TRIM(E88)),FOREX!$C$2:$C$13,
 100)</f>
        <v>0</v>
      </c>
      <c r="H88" t="s">
        <v>1548</v>
      </c>
      <c r="I88" s="30" t="s">
        <v>364</v>
      </c>
      <c r="J88" s="35" t="str">
        <f>_xlfn.XLOOKUP(I88,costcategory[Account Code],costcategory[Cost Category],"ERROR")</f>
        <v>Headcount Costs</v>
      </c>
      <c r="K88" s="89" t="str">
        <f t="shared" si="2"/>
        <v>R&amp;D - Team W</v>
      </c>
      <c r="L88" s="89" t="str">
        <f>_xlfn.XLOOKUP(K88,Table2[Department],Table2[Group],"ERROR")</f>
        <v>Research &amp; Development</v>
      </c>
    </row>
    <row r="89" spans="1:12" x14ac:dyDescent="0.2">
      <c r="A89" t="s">
        <v>1</v>
      </c>
      <c r="B89" s="38">
        <v>46053</v>
      </c>
      <c r="C89" s="38">
        <v>46058</v>
      </c>
      <c r="D89" t="s">
        <v>1532</v>
      </c>
      <c r="E89" t="s">
        <v>77</v>
      </c>
      <c r="F89" s="37">
        <v>0</v>
      </c>
      <c r="G89" s="37" cm="1">
        <f t="array" ref="G89">F89*_xlfn.XLOOKUP(1,
 (FOREX!$A$2:$A$13=EOMONTH(B89,0))*
 (FOREX!$B$2:$B$13=TRIM(E89)),FOREX!$C$2:$C$13,
 100)</f>
        <v>0</v>
      </c>
      <c r="H89" t="s">
        <v>1548</v>
      </c>
      <c r="I89" s="30" t="s">
        <v>364</v>
      </c>
      <c r="J89" s="35" t="str">
        <f>_xlfn.XLOOKUP(I89,costcategory[Account Code],costcategory[Cost Category],"ERROR")</f>
        <v>Headcount Costs</v>
      </c>
      <c r="K89" s="89" t="str">
        <f t="shared" si="2"/>
        <v>R&amp;D - Team P</v>
      </c>
      <c r="L89" s="89" t="str">
        <f>_xlfn.XLOOKUP(K89,Table2[Department],Table2[Group],"ERROR")</f>
        <v>Research &amp; Development</v>
      </c>
    </row>
    <row r="90" spans="1:12" x14ac:dyDescent="0.2">
      <c r="A90" t="s">
        <v>1</v>
      </c>
      <c r="B90" s="38">
        <v>46053</v>
      </c>
      <c r="C90" s="38">
        <v>46058</v>
      </c>
      <c r="D90" t="s">
        <v>1533</v>
      </c>
      <c r="E90" t="s">
        <v>77</v>
      </c>
      <c r="F90" s="37">
        <v>822</v>
      </c>
      <c r="G90" s="37" cm="1">
        <f t="array" ref="G90">F90*_xlfn.XLOOKUP(1,
 (FOREX!$A$2:$A$13=EOMONTH(B90,0))*
 (FOREX!$B$2:$B$13=TRIM(E90)),FOREX!$C$2:$C$13,
 100)</f>
        <v>647.177862</v>
      </c>
      <c r="H90" t="s">
        <v>1548</v>
      </c>
      <c r="I90" s="30" t="s">
        <v>364</v>
      </c>
      <c r="J90" s="35" t="str">
        <f>_xlfn.XLOOKUP(I90,costcategory[Account Code],costcategory[Cost Category],"ERROR")</f>
        <v>Headcount Costs</v>
      </c>
      <c r="K90" s="89" t="str">
        <f t="shared" si="2"/>
        <v>R&amp;D - Team D</v>
      </c>
      <c r="L90" s="89" t="str">
        <f>_xlfn.XLOOKUP(K90,Table2[Department],Table2[Group],"ERROR")</f>
        <v>Research &amp; Development</v>
      </c>
    </row>
    <row r="91" spans="1:12" x14ac:dyDescent="0.2">
      <c r="A91" t="s">
        <v>1</v>
      </c>
      <c r="B91" s="38">
        <v>46053</v>
      </c>
      <c r="C91" s="38">
        <v>46058</v>
      </c>
      <c r="D91" t="s">
        <v>1534</v>
      </c>
      <c r="E91" t="s">
        <v>77</v>
      </c>
      <c r="F91" s="37">
        <v>1009</v>
      </c>
      <c r="G91" s="37" cm="1">
        <f t="array" ref="G91">F91*_xlfn.XLOOKUP(1,
 (FOREX!$A$2:$A$13=EOMONTH(B91,0))*
 (FOREX!$B$2:$B$13=TRIM(E91)),FOREX!$C$2:$C$13,
 100)</f>
        <v>794.40688900000009</v>
      </c>
      <c r="H91" t="s">
        <v>1548</v>
      </c>
      <c r="I91" s="30" t="s">
        <v>364</v>
      </c>
      <c r="J91" s="35" t="str">
        <f>_xlfn.XLOOKUP(I91,costcategory[Account Code],costcategory[Cost Category],"ERROR")</f>
        <v>Headcount Costs</v>
      </c>
      <c r="K91" s="89" t="str">
        <f t="shared" si="2"/>
        <v>R&amp;D - Team D</v>
      </c>
      <c r="L91" s="89" t="str">
        <f>_xlfn.XLOOKUP(K91,Table2[Department],Table2[Group],"ERROR")</f>
        <v>Research &amp; Development</v>
      </c>
    </row>
    <row r="92" spans="1:12" x14ac:dyDescent="0.2">
      <c r="A92" t="s">
        <v>1</v>
      </c>
      <c r="B92" s="38">
        <v>46053</v>
      </c>
      <c r="C92" s="38">
        <v>46058</v>
      </c>
      <c r="D92" t="s">
        <v>1535</v>
      </c>
      <c r="E92" t="s">
        <v>77</v>
      </c>
      <c r="F92" s="37">
        <v>1360</v>
      </c>
      <c r="G92" s="37" cm="1">
        <f t="array" ref="G92">F92*_xlfn.XLOOKUP(1,
 (FOREX!$A$2:$A$13=EOMONTH(B92,0))*
 (FOREX!$B$2:$B$13=TRIM(E92)),FOREX!$C$2:$C$13,
 100)</f>
        <v>1070.75656</v>
      </c>
      <c r="H92" t="s">
        <v>1548</v>
      </c>
      <c r="I92" s="30" t="s">
        <v>364</v>
      </c>
      <c r="J92" s="35" t="str">
        <f>_xlfn.XLOOKUP(I92,costcategory[Account Code],costcategory[Cost Category],"ERROR")</f>
        <v>Headcount Costs</v>
      </c>
      <c r="K92" s="89" t="str">
        <f t="shared" si="2"/>
        <v>HR</v>
      </c>
      <c r="L92" s="89" t="str">
        <f>_xlfn.XLOOKUP(K92,Table2[Department],Table2[Group],"ERROR")</f>
        <v>General &amp; Administrative</v>
      </c>
    </row>
    <row r="93" spans="1:12" x14ac:dyDescent="0.2">
      <c r="A93" t="s">
        <v>1</v>
      </c>
      <c r="B93" s="38">
        <v>46053</v>
      </c>
      <c r="C93" s="38">
        <v>46058</v>
      </c>
      <c r="D93" t="s">
        <v>1536</v>
      </c>
      <c r="E93" t="s">
        <v>77</v>
      </c>
      <c r="F93" s="37">
        <v>1000</v>
      </c>
      <c r="G93" s="37" cm="1">
        <f t="array" ref="G93">F93*_xlfn.XLOOKUP(1,
 (FOREX!$A$2:$A$13=EOMONTH(B93,0))*
 (FOREX!$B$2:$B$13=TRIM(E93)),FOREX!$C$2:$C$13,
 100)</f>
        <v>787.32100000000003</v>
      </c>
      <c r="H93" t="s">
        <v>1548</v>
      </c>
      <c r="I93" s="30" t="s">
        <v>364</v>
      </c>
      <c r="J93" s="35" t="str">
        <f>_xlfn.XLOOKUP(I93,costcategory[Account Code],costcategory[Cost Category],"ERROR")</f>
        <v>Headcount Costs</v>
      </c>
      <c r="K93" s="89" t="str">
        <f t="shared" si="2"/>
        <v>DSC</v>
      </c>
      <c r="L93" s="89" t="str">
        <f>_xlfn.XLOOKUP(K93,Table2[Department],Table2[Group],"ERROR")</f>
        <v>DSC</v>
      </c>
    </row>
    <row r="94" spans="1:12" x14ac:dyDescent="0.2">
      <c r="A94" t="s">
        <v>1</v>
      </c>
      <c r="B94" s="38">
        <v>46053</v>
      </c>
      <c r="C94" s="38">
        <v>46058</v>
      </c>
      <c r="D94" t="s">
        <v>1537</v>
      </c>
      <c r="E94" t="s">
        <v>77</v>
      </c>
      <c r="F94" s="37">
        <v>0</v>
      </c>
      <c r="G94" s="37" cm="1">
        <f t="array" ref="G94">F94*_xlfn.XLOOKUP(1,
 (FOREX!$A$2:$A$13=EOMONTH(B94,0))*
 (FOREX!$B$2:$B$13=TRIM(E94)),FOREX!$C$2:$C$13,
 100)</f>
        <v>0</v>
      </c>
      <c r="H94" t="s">
        <v>1548</v>
      </c>
      <c r="I94" s="30" t="s">
        <v>364</v>
      </c>
      <c r="J94" s="35" t="str">
        <f>_xlfn.XLOOKUP(I94,costcategory[Account Code],costcategory[Cost Category],"ERROR")</f>
        <v>Headcount Costs</v>
      </c>
      <c r="K94" s="89" t="str">
        <f t="shared" si="2"/>
        <v>DSC</v>
      </c>
      <c r="L94" s="89" t="str">
        <f>_xlfn.XLOOKUP(K94,Table2[Department],Table2[Group],"ERROR")</f>
        <v>DSC</v>
      </c>
    </row>
    <row r="95" spans="1:12" x14ac:dyDescent="0.2">
      <c r="A95" t="s">
        <v>1</v>
      </c>
      <c r="B95" s="38">
        <v>46053</v>
      </c>
      <c r="C95" s="38">
        <v>46058</v>
      </c>
      <c r="D95" t="s">
        <v>1538</v>
      </c>
      <c r="E95" t="s">
        <v>77</v>
      </c>
      <c r="F95" s="37">
        <v>1250</v>
      </c>
      <c r="G95" s="37" cm="1">
        <f t="array" ref="G95">F95*_xlfn.XLOOKUP(1,
 (FOREX!$A$2:$A$13=EOMONTH(B95,0))*
 (FOREX!$B$2:$B$13=TRIM(E95)),FOREX!$C$2:$C$13,
 100)</f>
        <v>984.15125</v>
      </c>
      <c r="H95" t="s">
        <v>1548</v>
      </c>
      <c r="I95" s="30" t="s">
        <v>364</v>
      </c>
      <c r="J95" s="35" t="str">
        <f>_xlfn.XLOOKUP(I95,costcategory[Account Code],costcategory[Cost Category],"ERROR")</f>
        <v>Headcount Costs</v>
      </c>
      <c r="K95" s="89" t="str">
        <f t="shared" si="2"/>
        <v>HR</v>
      </c>
      <c r="L95" s="89" t="str">
        <f>_xlfn.XLOOKUP(K95,Table2[Department],Table2[Group],"ERROR")</f>
        <v>General &amp; Administrative</v>
      </c>
    </row>
    <row r="96" spans="1:12" x14ac:dyDescent="0.2">
      <c r="A96" t="s">
        <v>1</v>
      </c>
      <c r="B96" s="38">
        <v>46053</v>
      </c>
      <c r="C96" s="38">
        <v>46058</v>
      </c>
      <c r="D96" t="s">
        <v>1539</v>
      </c>
      <c r="E96" t="s">
        <v>77</v>
      </c>
      <c r="F96" s="37">
        <v>1080</v>
      </c>
      <c r="G96" s="37" cm="1">
        <f t="array" ref="G96">F96*_xlfn.XLOOKUP(1,
 (FOREX!$A$2:$A$13=EOMONTH(B96,0))*
 (FOREX!$B$2:$B$13=TRIM(E96)),FOREX!$C$2:$C$13,
 100)</f>
        <v>850.30668000000003</v>
      </c>
      <c r="H96" t="s">
        <v>1548</v>
      </c>
      <c r="I96" s="30" t="s">
        <v>364</v>
      </c>
      <c r="J96" s="35" t="str">
        <f>_xlfn.XLOOKUP(I96,costcategory[Account Code],costcategory[Cost Category],"ERROR")</f>
        <v>Headcount Costs</v>
      </c>
      <c r="K96" s="89" t="str">
        <f t="shared" si="2"/>
        <v>DSC</v>
      </c>
      <c r="L96" s="89" t="str">
        <f>_xlfn.XLOOKUP(K96,Table2[Department],Table2[Group],"ERROR")</f>
        <v>DSC</v>
      </c>
    </row>
    <row r="97" spans="1:12" x14ac:dyDescent="0.2">
      <c r="A97" t="s">
        <v>1</v>
      </c>
      <c r="B97" s="38">
        <v>46081</v>
      </c>
      <c r="C97" s="38">
        <v>46083</v>
      </c>
      <c r="D97" t="s">
        <v>1521</v>
      </c>
      <c r="E97" t="s">
        <v>77</v>
      </c>
      <c r="F97" s="37">
        <v>32550</v>
      </c>
      <c r="G97" s="37" cm="1">
        <f t="array" ref="G97">F97*_xlfn.XLOOKUP(1,
 (FOREX!$A$2:$A$13=EOMONTH(B97,0))*
 (FOREX!$B$2:$B$13=TRIM(E97)),FOREX!$C$2:$C$13,
 100)</f>
        <v>25734.485700000001</v>
      </c>
      <c r="H97" t="s">
        <v>400</v>
      </c>
      <c r="I97" t="s">
        <v>387</v>
      </c>
      <c r="J97" s="35" t="str">
        <f>_xlfn.XLOOKUP(I97,costcategory[Account Code],costcategory[Cost Category],"ERROR")</f>
        <v>Headcount Costs</v>
      </c>
      <c r="K97" s="89" t="str">
        <f t="shared" ref="K97:K113" si="3">_xlfn.XLOOKUP(D97,$AF$3:$AF$21,$AG$3:$AG$21,"ERROR")</f>
        <v>Management</v>
      </c>
      <c r="L97" s="89" t="str">
        <f>_xlfn.XLOOKUP(K97,Table2[Department],Table2[Group],"ERROR")</f>
        <v>General &amp; Administrative</v>
      </c>
    </row>
    <row r="98" spans="1:12" x14ac:dyDescent="0.2">
      <c r="A98" t="s">
        <v>1</v>
      </c>
      <c r="B98" s="38">
        <v>46081</v>
      </c>
      <c r="C98" s="38">
        <v>46083</v>
      </c>
      <c r="D98" t="s">
        <v>1522</v>
      </c>
      <c r="E98" t="s">
        <v>77</v>
      </c>
      <c r="F98" s="37">
        <v>6632</v>
      </c>
      <c r="G98" s="37" cm="1">
        <f t="array" ref="G98">F98*_xlfn.XLOOKUP(1,
 (FOREX!$A$2:$A$13=EOMONTH(B98,0))*
 (FOREX!$B$2:$B$13=TRIM(E98)),FOREX!$C$2:$C$13,
 100)</f>
        <v>5243.3520480000007</v>
      </c>
      <c r="H98" t="s">
        <v>400</v>
      </c>
      <c r="I98" t="s">
        <v>387</v>
      </c>
      <c r="J98" s="35" t="str">
        <f>_xlfn.XLOOKUP(I98,costcategory[Account Code],costcategory[Cost Category],"ERROR")</f>
        <v>Headcount Costs</v>
      </c>
      <c r="K98" s="89" t="str">
        <f t="shared" si="3"/>
        <v>Marketing</v>
      </c>
      <c r="L98" s="89" t="str">
        <f>_xlfn.XLOOKUP(K98,Table2[Department],Table2[Group],"ERROR")</f>
        <v>Sales &amp; Marketing</v>
      </c>
    </row>
    <row r="99" spans="1:12" x14ac:dyDescent="0.2">
      <c r="A99" t="s">
        <v>1</v>
      </c>
      <c r="B99" s="38">
        <v>46081</v>
      </c>
      <c r="C99" s="38">
        <v>46083</v>
      </c>
      <c r="D99" t="s">
        <v>1523</v>
      </c>
      <c r="E99" t="s">
        <v>77</v>
      </c>
      <c r="F99" s="37">
        <v>23550</v>
      </c>
      <c r="G99" s="37" cm="1">
        <f t="array" ref="G99">F99*_xlfn.XLOOKUP(1,
 (FOREX!$A$2:$A$13=EOMONTH(B99,0))*
 (FOREX!$B$2:$B$13=TRIM(E99)),FOREX!$C$2:$C$13,
 100)</f>
        <v>18618.959699999999</v>
      </c>
      <c r="H99" t="s">
        <v>400</v>
      </c>
      <c r="I99" t="s">
        <v>387</v>
      </c>
      <c r="J99" s="35" t="str">
        <f>_xlfn.XLOOKUP(I99,costcategory[Account Code],costcategory[Cost Category],"ERROR")</f>
        <v>Headcount Costs</v>
      </c>
      <c r="K99" s="89" t="str">
        <f t="shared" si="3"/>
        <v>Management</v>
      </c>
      <c r="L99" s="89" t="str">
        <f>_xlfn.XLOOKUP(K99,Table2[Department],Table2[Group],"ERROR")</f>
        <v>General &amp; Administrative</v>
      </c>
    </row>
    <row r="100" spans="1:12" x14ac:dyDescent="0.2">
      <c r="A100" t="s">
        <v>1</v>
      </c>
      <c r="B100" s="38">
        <v>46081</v>
      </c>
      <c r="C100" s="38">
        <v>46083</v>
      </c>
      <c r="D100" t="s">
        <v>1524</v>
      </c>
      <c r="E100" t="s">
        <v>77</v>
      </c>
      <c r="F100" s="37">
        <v>5066</v>
      </c>
      <c r="G100" s="37" cm="1">
        <f t="array" ref="G100">F100*_xlfn.XLOOKUP(1,
 (FOREX!$A$2:$A$13=EOMONTH(B100,0))*
 (FOREX!$B$2:$B$13=TRIM(E100)),FOREX!$C$2:$C$13,
 100)</f>
        <v>4005.250524</v>
      </c>
      <c r="H100" t="s">
        <v>400</v>
      </c>
      <c r="I100" t="s">
        <v>387</v>
      </c>
      <c r="J100" s="35" t="str">
        <f>_xlfn.XLOOKUP(I100,costcategory[Account Code],costcategory[Cost Category],"ERROR")</f>
        <v>Headcount Costs</v>
      </c>
      <c r="K100" s="89" t="str">
        <f t="shared" si="3"/>
        <v>Business Operation</v>
      </c>
      <c r="L100" s="89" t="str">
        <f>_xlfn.XLOOKUP(K100,Table2[Department],Table2[Group],"ERROR")</f>
        <v>Sales &amp; Marketing</v>
      </c>
    </row>
    <row r="101" spans="1:12" x14ac:dyDescent="0.2">
      <c r="A101" t="s">
        <v>1</v>
      </c>
      <c r="B101" s="38">
        <v>46081</v>
      </c>
      <c r="C101" s="38">
        <v>46083</v>
      </c>
      <c r="D101" t="s">
        <v>1525</v>
      </c>
      <c r="E101" t="s">
        <v>77</v>
      </c>
      <c r="F101" s="37">
        <v>12207</v>
      </c>
      <c r="G101" s="37" cm="1">
        <f t="array" ref="G101">F101*_xlfn.XLOOKUP(1,
 (FOREX!$A$2:$A$13=EOMONTH(B101,0))*
 (FOREX!$B$2:$B$13=TRIM(E101)),FOREX!$C$2:$C$13,
 100)</f>
        <v>9651.0250980000001</v>
      </c>
      <c r="H101" t="s">
        <v>400</v>
      </c>
      <c r="I101" t="s">
        <v>387</v>
      </c>
      <c r="J101" s="35" t="str">
        <f>_xlfn.XLOOKUP(I101,costcategory[Account Code],costcategory[Cost Category],"ERROR")</f>
        <v>Headcount Costs</v>
      </c>
      <c r="K101" s="89" t="str">
        <f t="shared" si="3"/>
        <v>Sales &amp; Pre-Sales</v>
      </c>
      <c r="L101" s="89" t="str">
        <f>_xlfn.XLOOKUP(K101,Table2[Department],Table2[Group],"ERROR")</f>
        <v>Sales &amp; Marketing</v>
      </c>
    </row>
    <row r="102" spans="1:12" x14ac:dyDescent="0.2">
      <c r="A102" t="s">
        <v>1</v>
      </c>
      <c r="B102" s="38">
        <v>46081</v>
      </c>
      <c r="C102" s="38">
        <v>46083</v>
      </c>
      <c r="D102" t="s">
        <v>1527</v>
      </c>
      <c r="E102" t="s">
        <v>77</v>
      </c>
      <c r="F102" s="37">
        <v>6782</v>
      </c>
      <c r="G102" s="37" cm="1">
        <f t="array" ref="G102">F102*_xlfn.XLOOKUP(1,
 (FOREX!$A$2:$A$13=EOMONTH(B102,0))*
 (FOREX!$B$2:$B$13=TRIM(E102)),FOREX!$C$2:$C$13,
 100)</f>
        <v>5361.9441480000005</v>
      </c>
      <c r="H102" t="s">
        <v>400</v>
      </c>
      <c r="I102" t="s">
        <v>387</v>
      </c>
      <c r="J102" s="35" t="str">
        <f>_xlfn.XLOOKUP(I102,costcategory[Account Code],costcategory[Cost Category],"ERROR")</f>
        <v>Headcount Costs</v>
      </c>
      <c r="K102" s="89" t="str">
        <f t="shared" si="3"/>
        <v>DSC</v>
      </c>
      <c r="L102" s="89" t="str">
        <f>_xlfn.XLOOKUP(K102,Table2[Department],Table2[Group],"ERROR")</f>
        <v>DSC</v>
      </c>
    </row>
    <row r="103" spans="1:12" x14ac:dyDescent="0.2">
      <c r="A103" t="s">
        <v>1</v>
      </c>
      <c r="B103" s="38">
        <v>46081</v>
      </c>
      <c r="C103" s="38">
        <v>46083</v>
      </c>
      <c r="D103" t="s">
        <v>1528</v>
      </c>
      <c r="E103" t="s">
        <v>77</v>
      </c>
      <c r="F103" s="37">
        <v>5635</v>
      </c>
      <c r="G103" s="37" cm="1">
        <f t="array" ref="G103">F103*_xlfn.XLOOKUP(1,
 (FOREX!$A$2:$A$13=EOMONTH(B103,0))*
 (FOREX!$B$2:$B$13=TRIM(E103)),FOREX!$C$2:$C$13,
 100)</f>
        <v>4455.1098900000006</v>
      </c>
      <c r="H103" t="s">
        <v>400</v>
      </c>
      <c r="I103" t="s">
        <v>387</v>
      </c>
      <c r="J103" s="35" t="str">
        <f>_xlfn.XLOOKUP(I103,costcategory[Account Code],costcategory[Cost Category],"ERROR")</f>
        <v>Headcount Costs</v>
      </c>
      <c r="K103" s="89" t="str">
        <f t="shared" si="3"/>
        <v>R&amp;D - Team D</v>
      </c>
      <c r="L103" s="89" t="str">
        <f>_xlfn.XLOOKUP(K103,Table2[Department],Table2[Group],"ERROR")</f>
        <v>Research &amp; Development</v>
      </c>
    </row>
    <row r="104" spans="1:12" x14ac:dyDescent="0.2">
      <c r="A104" t="s">
        <v>1</v>
      </c>
      <c r="B104" s="38">
        <v>46081</v>
      </c>
      <c r="C104" s="38">
        <v>46083</v>
      </c>
      <c r="D104" t="s">
        <v>1529</v>
      </c>
      <c r="E104" t="s">
        <v>77</v>
      </c>
      <c r="F104" s="37">
        <v>15340</v>
      </c>
      <c r="G104" s="37" cm="1">
        <f t="array" ref="G104">F104*_xlfn.XLOOKUP(1,
 (FOREX!$A$2:$A$13=EOMONTH(B104,0))*
 (FOREX!$B$2:$B$13=TRIM(E104)),FOREX!$C$2:$C$13,
 100)</f>
        <v>12128.018760000001</v>
      </c>
      <c r="H104" t="s">
        <v>400</v>
      </c>
      <c r="I104" t="s">
        <v>387</v>
      </c>
      <c r="J104" s="35" t="str">
        <f>_xlfn.XLOOKUP(I104,costcategory[Account Code],costcategory[Cost Category],"ERROR")</f>
        <v>Headcount Costs</v>
      </c>
      <c r="K104" s="89" t="str">
        <f t="shared" si="3"/>
        <v>R&amp;D - Team W</v>
      </c>
      <c r="L104" s="89" t="str">
        <f>_xlfn.XLOOKUP(K104,Table2[Department],Table2[Group],"ERROR")</f>
        <v>Research &amp; Development</v>
      </c>
    </row>
    <row r="105" spans="1:12" x14ac:dyDescent="0.2">
      <c r="A105" t="s">
        <v>1</v>
      </c>
      <c r="B105" s="38">
        <v>46081</v>
      </c>
      <c r="C105" s="38">
        <v>46083</v>
      </c>
      <c r="D105" t="s">
        <v>1530</v>
      </c>
      <c r="E105" t="s">
        <v>77</v>
      </c>
      <c r="F105" s="37">
        <v>11132</v>
      </c>
      <c r="G105" s="37" cm="1">
        <f t="array" ref="G105">F105*_xlfn.XLOOKUP(1,
 (FOREX!$A$2:$A$13=EOMONTH(B105,0))*
 (FOREX!$B$2:$B$13=TRIM(E105)),FOREX!$C$2:$C$13,
 100)</f>
        <v>8801.1150479999997</v>
      </c>
      <c r="H105" t="s">
        <v>400</v>
      </c>
      <c r="I105" t="s">
        <v>387</v>
      </c>
      <c r="J105" s="35" t="str">
        <f>_xlfn.XLOOKUP(I105,costcategory[Account Code],costcategory[Cost Category],"ERROR")</f>
        <v>Headcount Costs</v>
      </c>
      <c r="K105" s="89" t="str">
        <f t="shared" si="3"/>
        <v>R&amp;D - Team D</v>
      </c>
      <c r="L105" s="89" t="str">
        <f>_xlfn.XLOOKUP(K105,Table2[Department],Table2[Group],"ERROR")</f>
        <v>Research &amp; Development</v>
      </c>
    </row>
    <row r="106" spans="1:12" x14ac:dyDescent="0.2">
      <c r="A106" t="s">
        <v>1</v>
      </c>
      <c r="B106" s="38">
        <v>46081</v>
      </c>
      <c r="C106" s="38">
        <v>46083</v>
      </c>
      <c r="D106" t="s">
        <v>1531</v>
      </c>
      <c r="E106" t="s">
        <v>77</v>
      </c>
      <c r="F106" s="37">
        <v>14925</v>
      </c>
      <c r="G106" s="37" cm="1">
        <f t="array" ref="G106">F106*_xlfn.XLOOKUP(1,
 (FOREX!$A$2:$A$13=EOMONTH(B106,0))*
 (FOREX!$B$2:$B$13=TRIM(E106)),FOREX!$C$2:$C$13,
 100)</f>
        <v>11799.91395</v>
      </c>
      <c r="H106" t="s">
        <v>400</v>
      </c>
      <c r="I106" t="s">
        <v>387</v>
      </c>
      <c r="J106" s="35" t="str">
        <f>_xlfn.XLOOKUP(I106,costcategory[Account Code],costcategory[Cost Category],"ERROR")</f>
        <v>Headcount Costs</v>
      </c>
      <c r="K106" s="89" t="str">
        <f t="shared" si="3"/>
        <v>R&amp;D - Team W</v>
      </c>
      <c r="L106" s="89" t="str">
        <f>_xlfn.XLOOKUP(K106,Table2[Department],Table2[Group],"ERROR")</f>
        <v>Research &amp; Development</v>
      </c>
    </row>
    <row r="107" spans="1:12" x14ac:dyDescent="0.2">
      <c r="A107" t="s">
        <v>1</v>
      </c>
      <c r="B107" s="38">
        <v>46081</v>
      </c>
      <c r="C107" s="38">
        <v>46083</v>
      </c>
      <c r="D107" t="s">
        <v>1532</v>
      </c>
      <c r="E107" t="s">
        <v>77</v>
      </c>
      <c r="F107" s="37">
        <v>16635</v>
      </c>
      <c r="G107" s="37" cm="1">
        <f t="array" ref="G107">F107*_xlfn.XLOOKUP(1,
 (FOREX!$A$2:$A$13=EOMONTH(B107,0))*
 (FOREX!$B$2:$B$13=TRIM(E107)),FOREX!$C$2:$C$13,
 100)</f>
        <v>13151.863890000001</v>
      </c>
      <c r="H107" t="s">
        <v>400</v>
      </c>
      <c r="I107" t="s">
        <v>387</v>
      </c>
      <c r="J107" s="35" t="str">
        <f>_xlfn.XLOOKUP(I107,costcategory[Account Code],costcategory[Cost Category],"ERROR")</f>
        <v>Headcount Costs</v>
      </c>
      <c r="K107" s="89" t="str">
        <f t="shared" si="3"/>
        <v>R&amp;D - Team P</v>
      </c>
      <c r="L107" s="89" t="str">
        <f>_xlfn.XLOOKUP(K107,Table2[Department],Table2[Group],"ERROR")</f>
        <v>Research &amp; Development</v>
      </c>
    </row>
    <row r="108" spans="1:12" x14ac:dyDescent="0.2">
      <c r="A108" t="s">
        <v>1</v>
      </c>
      <c r="B108" s="38">
        <v>46081</v>
      </c>
      <c r="C108" s="38">
        <v>46083</v>
      </c>
      <c r="D108" t="s">
        <v>1533</v>
      </c>
      <c r="E108" t="s">
        <v>77</v>
      </c>
      <c r="F108" s="37">
        <v>3866.5</v>
      </c>
      <c r="G108" s="37" cm="1">
        <f t="array" ref="G108">F108*_xlfn.XLOOKUP(1,
 (FOREX!$A$2:$A$13=EOMONTH(B108,0))*
 (FOREX!$B$2:$B$13=TRIM(E108)),FOREX!$C$2:$C$13,
 100)</f>
        <v>3056.9090310000001</v>
      </c>
      <c r="H108" t="s">
        <v>400</v>
      </c>
      <c r="I108" t="s">
        <v>387</v>
      </c>
      <c r="J108" s="35" t="str">
        <f>_xlfn.XLOOKUP(I108,costcategory[Account Code],costcategory[Cost Category],"ERROR")</f>
        <v>Headcount Costs</v>
      </c>
      <c r="K108" s="89" t="str">
        <f t="shared" si="3"/>
        <v>R&amp;D - Team D</v>
      </c>
      <c r="L108" s="89" t="str">
        <f>_xlfn.XLOOKUP(K108,Table2[Department],Table2[Group],"ERROR")</f>
        <v>Research &amp; Development</v>
      </c>
    </row>
    <row r="109" spans="1:12" x14ac:dyDescent="0.2">
      <c r="A109" t="s">
        <v>1</v>
      </c>
      <c r="B109" s="38">
        <v>46081</v>
      </c>
      <c r="C109" s="38">
        <v>46083</v>
      </c>
      <c r="D109" t="s">
        <v>1535</v>
      </c>
      <c r="E109" t="s">
        <v>77</v>
      </c>
      <c r="F109" s="37">
        <v>13364</v>
      </c>
      <c r="G109" s="37" cm="1">
        <f t="array" ref="G109">F109*_xlfn.XLOOKUP(1,
 (FOREX!$A$2:$A$13=EOMONTH(B109,0))*
 (FOREX!$B$2:$B$13=TRIM(E109)),FOREX!$C$2:$C$13,
 100)</f>
        <v>10565.765496</v>
      </c>
      <c r="H109" t="s">
        <v>400</v>
      </c>
      <c r="I109" t="s">
        <v>387</v>
      </c>
      <c r="J109" s="35" t="str">
        <f>_xlfn.XLOOKUP(I109,costcategory[Account Code],costcategory[Cost Category],"ERROR")</f>
        <v>Headcount Costs</v>
      </c>
      <c r="K109" s="89" t="str">
        <f t="shared" si="3"/>
        <v>HR</v>
      </c>
      <c r="L109" s="89" t="str">
        <f>_xlfn.XLOOKUP(K109,Table2[Department],Table2[Group],"ERROR")</f>
        <v>General &amp; Administrative</v>
      </c>
    </row>
    <row r="110" spans="1:12" x14ac:dyDescent="0.2">
      <c r="A110" t="s">
        <v>1</v>
      </c>
      <c r="B110" s="38">
        <v>46081</v>
      </c>
      <c r="C110" s="38">
        <v>46083</v>
      </c>
      <c r="D110" t="s">
        <v>1536</v>
      </c>
      <c r="E110" t="s">
        <v>77</v>
      </c>
      <c r="F110" s="37">
        <v>9132</v>
      </c>
      <c r="G110" s="37" cm="1">
        <f t="array" ref="G110">F110*_xlfn.XLOOKUP(1,
 (FOREX!$A$2:$A$13=EOMONTH(B110,0))*
 (FOREX!$B$2:$B$13=TRIM(E110)),FOREX!$C$2:$C$13,
 100)</f>
        <v>7219.8870480000005</v>
      </c>
      <c r="H110" t="s">
        <v>400</v>
      </c>
      <c r="I110" t="s">
        <v>387</v>
      </c>
      <c r="J110" s="35" t="str">
        <f>_xlfn.XLOOKUP(I110,costcategory[Account Code],costcategory[Cost Category],"ERROR")</f>
        <v>Headcount Costs</v>
      </c>
      <c r="K110" s="89" t="str">
        <f t="shared" si="3"/>
        <v>DSC</v>
      </c>
      <c r="L110" s="89" t="str">
        <f>_xlfn.XLOOKUP(K110,Table2[Department],Table2[Group],"ERROR")</f>
        <v>DSC</v>
      </c>
    </row>
    <row r="111" spans="1:12" x14ac:dyDescent="0.2">
      <c r="A111" t="s">
        <v>1</v>
      </c>
      <c r="B111" s="38">
        <v>46081</v>
      </c>
      <c r="C111" s="38">
        <v>46083</v>
      </c>
      <c r="D111" t="s">
        <v>1537</v>
      </c>
      <c r="E111" t="s">
        <v>77</v>
      </c>
      <c r="F111" s="37">
        <v>5085</v>
      </c>
      <c r="G111" s="37" cm="1">
        <f t="array" ref="G111">F111*_xlfn.XLOOKUP(1,
 (FOREX!$A$2:$A$13=EOMONTH(B111,0))*
 (FOREX!$B$2:$B$13=TRIM(E111)),FOREX!$C$2:$C$13,
 100)</f>
        <v>4020.2721900000001</v>
      </c>
      <c r="H111" t="s">
        <v>400</v>
      </c>
      <c r="I111" t="s">
        <v>387</v>
      </c>
      <c r="J111" s="35" t="str">
        <f>_xlfn.XLOOKUP(I111,costcategory[Account Code],costcategory[Cost Category],"ERROR")</f>
        <v>Headcount Costs</v>
      </c>
      <c r="K111" s="89" t="str">
        <f t="shared" si="3"/>
        <v>DSC</v>
      </c>
      <c r="L111" s="89" t="str">
        <f>_xlfn.XLOOKUP(K111,Table2[Department],Table2[Group],"ERROR")</f>
        <v>DSC</v>
      </c>
    </row>
    <row r="112" spans="1:12" x14ac:dyDescent="0.2">
      <c r="A112" t="s">
        <v>1</v>
      </c>
      <c r="B112" s="38">
        <v>46081</v>
      </c>
      <c r="C112" s="38">
        <v>46083</v>
      </c>
      <c r="D112" t="s">
        <v>1538</v>
      </c>
      <c r="E112" t="s">
        <v>77</v>
      </c>
      <c r="F112" s="37">
        <v>5878</v>
      </c>
      <c r="G112" s="37" cm="1">
        <f t="array" ref="G112">F112*_xlfn.XLOOKUP(1,
 (FOREX!$A$2:$A$13=EOMONTH(B112,0))*
 (FOREX!$B$2:$B$13=TRIM(E112)),FOREX!$C$2:$C$13,
 100)</f>
        <v>4647.2290920000005</v>
      </c>
      <c r="H112" t="s">
        <v>400</v>
      </c>
      <c r="I112" t="s">
        <v>387</v>
      </c>
      <c r="J112" s="35" t="str">
        <f>_xlfn.XLOOKUP(I112,costcategory[Account Code],costcategory[Cost Category],"ERROR")</f>
        <v>Headcount Costs</v>
      </c>
      <c r="K112" s="89" t="str">
        <f t="shared" si="3"/>
        <v>HR</v>
      </c>
      <c r="L112" s="89" t="str">
        <f>_xlfn.XLOOKUP(K112,Table2[Department],Table2[Group],"ERROR")</f>
        <v>General &amp; Administrative</v>
      </c>
    </row>
    <row r="113" spans="1:12" x14ac:dyDescent="0.2">
      <c r="A113" t="s">
        <v>1</v>
      </c>
      <c r="B113" s="38">
        <v>46081</v>
      </c>
      <c r="C113" s="38">
        <v>46083</v>
      </c>
      <c r="D113" t="s">
        <v>1539</v>
      </c>
      <c r="E113" t="s">
        <v>77</v>
      </c>
      <c r="F113" s="37">
        <v>5198</v>
      </c>
      <c r="G113" s="37" cm="1">
        <f t="array" ref="G113">F113*_xlfn.XLOOKUP(1,
 (FOREX!$A$2:$A$13=EOMONTH(B113,0))*
 (FOREX!$B$2:$B$13=TRIM(E113)),FOREX!$C$2:$C$13,
 100)</f>
        <v>4109.6115719999998</v>
      </c>
      <c r="H113" t="s">
        <v>400</v>
      </c>
      <c r="I113" t="s">
        <v>387</v>
      </c>
      <c r="J113" s="35" t="str">
        <f>_xlfn.XLOOKUP(I113,costcategory[Account Code],costcategory[Cost Category],"ERROR")</f>
        <v>Headcount Costs</v>
      </c>
      <c r="K113" s="89" t="str">
        <f t="shared" si="3"/>
        <v>DSC</v>
      </c>
      <c r="L113" s="89" t="str">
        <f>_xlfn.XLOOKUP(K113,Table2[Department],Table2[Group],"ERROR")</f>
        <v>DSC</v>
      </c>
    </row>
    <row r="114" spans="1:12" x14ac:dyDescent="0.2">
      <c r="A114" t="s">
        <v>1</v>
      </c>
      <c r="B114" s="38">
        <v>46081</v>
      </c>
      <c r="C114" s="38">
        <v>46090</v>
      </c>
      <c r="D114" t="s">
        <v>1521</v>
      </c>
      <c r="E114" t="s">
        <v>77</v>
      </c>
      <c r="G114" s="37" cm="1">
        <f t="array" ref="G114">F114*_xlfn.XLOOKUP(1,
 (FOREX!$A$2:$A$13=EOMONTH(B114,0))*
 (FOREX!$B$2:$B$13=TRIM(E114)),FOREX!$C$2:$C$13,
 100)</f>
        <v>0</v>
      </c>
      <c r="H114" t="s">
        <v>1549</v>
      </c>
      <c r="I114" s="30" t="s">
        <v>364</v>
      </c>
      <c r="J114" s="35" t="str">
        <f>_xlfn.XLOOKUP(I114,costcategory[Account Code],costcategory[Cost Category],"ERROR")</f>
        <v>Headcount Costs</v>
      </c>
      <c r="K114" s="89" t="str">
        <f t="shared" ref="K114:K177" si="4">_xlfn.XLOOKUP(D114,$AF$3:$AF$21,$AG$3:$AG$21,"ERROR")</f>
        <v>Management</v>
      </c>
      <c r="L114" s="89" t="str">
        <f>_xlfn.XLOOKUP(K114,Table2[Department],Table2[Group],"ERROR")</f>
        <v>General &amp; Administrative</v>
      </c>
    </row>
    <row r="115" spans="1:12" x14ac:dyDescent="0.2">
      <c r="A115" t="s">
        <v>1</v>
      </c>
      <c r="B115" s="38">
        <v>46081</v>
      </c>
      <c r="C115" s="38">
        <v>46090</v>
      </c>
      <c r="D115" t="s">
        <v>1522</v>
      </c>
      <c r="E115" t="s">
        <v>77</v>
      </c>
      <c r="F115" s="37">
        <v>3</v>
      </c>
      <c r="G115" s="37" cm="1">
        <f t="array" ref="G115">F115*_xlfn.XLOOKUP(1,
 (FOREX!$A$2:$A$13=EOMONTH(B115,0))*
 (FOREX!$B$2:$B$13=TRIM(E115)),FOREX!$C$2:$C$13,
 100)</f>
        <v>2.371842</v>
      </c>
      <c r="H115" t="s">
        <v>1549</v>
      </c>
      <c r="I115" s="30" t="s">
        <v>364</v>
      </c>
      <c r="J115" s="35" t="str">
        <f>_xlfn.XLOOKUP(I115,costcategory[Account Code],costcategory[Cost Category],"ERROR")</f>
        <v>Headcount Costs</v>
      </c>
      <c r="K115" s="89" t="str">
        <f t="shared" si="4"/>
        <v>Marketing</v>
      </c>
      <c r="L115" s="89" t="str">
        <f>_xlfn.XLOOKUP(K115,Table2[Department],Table2[Group],"ERROR")</f>
        <v>Sales &amp; Marketing</v>
      </c>
    </row>
    <row r="116" spans="1:12" x14ac:dyDescent="0.2">
      <c r="A116" t="s">
        <v>1</v>
      </c>
      <c r="B116" s="38">
        <v>46081</v>
      </c>
      <c r="C116" s="38">
        <v>46090</v>
      </c>
      <c r="D116" t="s">
        <v>1523</v>
      </c>
      <c r="E116" t="s">
        <v>77</v>
      </c>
      <c r="G116" s="37" cm="1">
        <f t="array" ref="G116">F116*_xlfn.XLOOKUP(1,
 (FOREX!$A$2:$A$13=EOMONTH(B116,0))*
 (FOREX!$B$2:$B$13=TRIM(E116)),FOREX!$C$2:$C$13,
 100)</f>
        <v>0</v>
      </c>
      <c r="H116" t="s">
        <v>1549</v>
      </c>
      <c r="I116" s="30" t="s">
        <v>364</v>
      </c>
      <c r="J116" s="35" t="str">
        <f>_xlfn.XLOOKUP(I116,costcategory[Account Code],costcategory[Cost Category],"ERROR")</f>
        <v>Headcount Costs</v>
      </c>
      <c r="K116" s="89" t="str">
        <f t="shared" si="4"/>
        <v>Management</v>
      </c>
      <c r="L116" s="89" t="str">
        <f>_xlfn.XLOOKUP(K116,Table2[Department],Table2[Group],"ERROR")</f>
        <v>General &amp; Administrative</v>
      </c>
    </row>
    <row r="117" spans="1:12" x14ac:dyDescent="0.2">
      <c r="A117" t="s">
        <v>1</v>
      </c>
      <c r="B117" s="38">
        <v>46081</v>
      </c>
      <c r="C117" s="38">
        <v>46090</v>
      </c>
      <c r="D117" t="s">
        <v>1524</v>
      </c>
      <c r="E117" t="s">
        <v>77</v>
      </c>
      <c r="F117" s="37">
        <v>2</v>
      </c>
      <c r="G117" s="37" cm="1">
        <f t="array" ref="G117">F117*_xlfn.XLOOKUP(1,
 (FOREX!$A$2:$A$13=EOMONTH(B117,0))*
 (FOREX!$B$2:$B$13=TRIM(E117)),FOREX!$C$2:$C$13,
 100)</f>
        <v>1.5812280000000001</v>
      </c>
      <c r="H117" t="s">
        <v>1549</v>
      </c>
      <c r="I117" s="30" t="s">
        <v>364</v>
      </c>
      <c r="J117" s="35" t="str">
        <f>_xlfn.XLOOKUP(I117,costcategory[Account Code],costcategory[Cost Category],"ERROR")</f>
        <v>Headcount Costs</v>
      </c>
      <c r="K117" s="89" t="str">
        <f t="shared" si="4"/>
        <v>Business Operation</v>
      </c>
      <c r="L117" s="89" t="str">
        <f>_xlfn.XLOOKUP(K117,Table2[Department],Table2[Group],"ERROR")</f>
        <v>Sales &amp; Marketing</v>
      </c>
    </row>
    <row r="118" spans="1:12" x14ac:dyDescent="0.2">
      <c r="A118" t="s">
        <v>1</v>
      </c>
      <c r="B118" s="38">
        <v>46081</v>
      </c>
      <c r="C118" s="38">
        <v>46090</v>
      </c>
      <c r="D118" t="s">
        <v>1525</v>
      </c>
      <c r="E118" t="s">
        <v>77</v>
      </c>
      <c r="F118" s="37">
        <v>3</v>
      </c>
      <c r="G118" s="37" cm="1">
        <f t="array" ref="G118">F118*_xlfn.XLOOKUP(1,
 (FOREX!$A$2:$A$13=EOMONTH(B118,0))*
 (FOREX!$B$2:$B$13=TRIM(E118)),FOREX!$C$2:$C$13,
 100)</f>
        <v>2.371842</v>
      </c>
      <c r="H118" t="s">
        <v>1549</v>
      </c>
      <c r="I118" s="30" t="s">
        <v>364</v>
      </c>
      <c r="J118" s="35" t="str">
        <f>_xlfn.XLOOKUP(I118,costcategory[Account Code],costcategory[Cost Category],"ERROR")</f>
        <v>Headcount Costs</v>
      </c>
      <c r="K118" s="89" t="str">
        <f t="shared" si="4"/>
        <v>Sales &amp; Pre-Sales</v>
      </c>
      <c r="L118" s="89" t="str">
        <f>_xlfn.XLOOKUP(K118,Table2[Department],Table2[Group],"ERROR")</f>
        <v>Sales &amp; Marketing</v>
      </c>
    </row>
    <row r="119" spans="1:12" x14ac:dyDescent="0.2">
      <c r="A119" t="s">
        <v>1</v>
      </c>
      <c r="B119" s="38">
        <v>46081</v>
      </c>
      <c r="C119" s="38">
        <v>46090</v>
      </c>
      <c r="D119" t="s">
        <v>1527</v>
      </c>
      <c r="E119" t="s">
        <v>77</v>
      </c>
      <c r="F119" s="37">
        <v>3</v>
      </c>
      <c r="G119" s="37" cm="1">
        <f t="array" ref="G119">F119*_xlfn.XLOOKUP(1,
 (FOREX!$A$2:$A$13=EOMONTH(B119,0))*
 (FOREX!$B$2:$B$13=TRIM(E119)),FOREX!$C$2:$C$13,
 100)</f>
        <v>2.371842</v>
      </c>
      <c r="H119" t="s">
        <v>1549</v>
      </c>
      <c r="I119" s="30" t="s">
        <v>364</v>
      </c>
      <c r="J119" s="35" t="str">
        <f>_xlfn.XLOOKUP(I119,costcategory[Account Code],costcategory[Cost Category],"ERROR")</f>
        <v>Headcount Costs</v>
      </c>
      <c r="K119" s="89" t="str">
        <f t="shared" si="4"/>
        <v>DSC</v>
      </c>
      <c r="L119" s="89" t="str">
        <f>_xlfn.XLOOKUP(K119,Table2[Department],Table2[Group],"ERROR")</f>
        <v>DSC</v>
      </c>
    </row>
    <row r="120" spans="1:12" x14ac:dyDescent="0.2">
      <c r="A120" t="s">
        <v>1</v>
      </c>
      <c r="B120" s="38">
        <v>46081</v>
      </c>
      <c r="C120" s="38">
        <v>46090</v>
      </c>
      <c r="D120" t="s">
        <v>1528</v>
      </c>
      <c r="E120" t="s">
        <v>77</v>
      </c>
      <c r="G120" s="37" cm="1">
        <f t="array" ref="G120">F120*_xlfn.XLOOKUP(1,
 (FOREX!$A$2:$A$13=EOMONTH(B120,0))*
 (FOREX!$B$2:$B$13=TRIM(E120)),FOREX!$C$2:$C$13,
 100)</f>
        <v>0</v>
      </c>
      <c r="H120" t="s">
        <v>1549</v>
      </c>
      <c r="I120" s="30" t="s">
        <v>364</v>
      </c>
      <c r="J120" s="35" t="str">
        <f>_xlfn.XLOOKUP(I120,costcategory[Account Code],costcategory[Cost Category],"ERROR")</f>
        <v>Headcount Costs</v>
      </c>
      <c r="K120" s="89" t="str">
        <f t="shared" si="4"/>
        <v>R&amp;D - Team D</v>
      </c>
      <c r="L120" s="89" t="str">
        <f>_xlfn.XLOOKUP(K120,Table2[Department],Table2[Group],"ERROR")</f>
        <v>Research &amp; Development</v>
      </c>
    </row>
    <row r="121" spans="1:12" x14ac:dyDescent="0.2">
      <c r="A121" t="s">
        <v>1</v>
      </c>
      <c r="B121" s="38">
        <v>46081</v>
      </c>
      <c r="C121" s="38">
        <v>46090</v>
      </c>
      <c r="D121" t="s">
        <v>1529</v>
      </c>
      <c r="E121" t="s">
        <v>77</v>
      </c>
      <c r="G121" s="37" cm="1">
        <f t="array" ref="G121">F121*_xlfn.XLOOKUP(1,
 (FOREX!$A$2:$A$13=EOMONTH(B121,0))*
 (FOREX!$B$2:$B$13=TRIM(E121)),FOREX!$C$2:$C$13,
 100)</f>
        <v>0</v>
      </c>
      <c r="H121" t="s">
        <v>1549</v>
      </c>
      <c r="I121" s="30" t="s">
        <v>364</v>
      </c>
      <c r="J121" s="35" t="str">
        <f>_xlfn.XLOOKUP(I121,costcategory[Account Code],costcategory[Cost Category],"ERROR")</f>
        <v>Headcount Costs</v>
      </c>
      <c r="K121" s="89" t="str">
        <f t="shared" si="4"/>
        <v>R&amp;D - Team W</v>
      </c>
      <c r="L121" s="89" t="str">
        <f>_xlfn.XLOOKUP(K121,Table2[Department],Table2[Group],"ERROR")</f>
        <v>Research &amp; Development</v>
      </c>
    </row>
    <row r="122" spans="1:12" x14ac:dyDescent="0.2">
      <c r="A122" t="s">
        <v>1</v>
      </c>
      <c r="B122" s="38">
        <v>46081</v>
      </c>
      <c r="C122" s="38">
        <v>46090</v>
      </c>
      <c r="D122" t="s">
        <v>1530</v>
      </c>
      <c r="E122" t="s">
        <v>77</v>
      </c>
      <c r="F122" s="37">
        <v>3</v>
      </c>
      <c r="G122" s="37" cm="1">
        <f t="array" ref="G122">F122*_xlfn.XLOOKUP(1,
 (FOREX!$A$2:$A$13=EOMONTH(B122,0))*
 (FOREX!$B$2:$B$13=TRIM(E122)),FOREX!$C$2:$C$13,
 100)</f>
        <v>2.371842</v>
      </c>
      <c r="H122" t="s">
        <v>1549</v>
      </c>
      <c r="I122" s="30" t="s">
        <v>364</v>
      </c>
      <c r="J122" s="35" t="str">
        <f>_xlfn.XLOOKUP(I122,costcategory[Account Code],costcategory[Cost Category],"ERROR")</f>
        <v>Headcount Costs</v>
      </c>
      <c r="K122" s="89" t="str">
        <f t="shared" si="4"/>
        <v>R&amp;D - Team D</v>
      </c>
      <c r="L122" s="89" t="str">
        <f>_xlfn.XLOOKUP(K122,Table2[Department],Table2[Group],"ERROR")</f>
        <v>Research &amp; Development</v>
      </c>
    </row>
    <row r="123" spans="1:12" x14ac:dyDescent="0.2">
      <c r="A123" t="s">
        <v>1</v>
      </c>
      <c r="B123" s="38">
        <v>46081</v>
      </c>
      <c r="C123" s="38">
        <v>46090</v>
      </c>
      <c r="D123" t="s">
        <v>1531</v>
      </c>
      <c r="E123" t="s">
        <v>77</v>
      </c>
      <c r="G123" s="37" cm="1">
        <f t="array" ref="G123">F123*_xlfn.XLOOKUP(1,
 (FOREX!$A$2:$A$13=EOMONTH(B123,0))*
 (FOREX!$B$2:$B$13=TRIM(E123)),FOREX!$C$2:$C$13,
 100)</f>
        <v>0</v>
      </c>
      <c r="H123" t="s">
        <v>1549</v>
      </c>
      <c r="I123" s="30" t="s">
        <v>364</v>
      </c>
      <c r="J123" s="35" t="str">
        <f>_xlfn.XLOOKUP(I123,costcategory[Account Code],costcategory[Cost Category],"ERROR")</f>
        <v>Headcount Costs</v>
      </c>
      <c r="K123" s="89" t="str">
        <f t="shared" si="4"/>
        <v>R&amp;D - Team W</v>
      </c>
      <c r="L123" s="89" t="str">
        <f>_xlfn.XLOOKUP(K123,Table2[Department],Table2[Group],"ERROR")</f>
        <v>Research &amp; Development</v>
      </c>
    </row>
    <row r="124" spans="1:12" x14ac:dyDescent="0.2">
      <c r="A124" t="s">
        <v>1</v>
      </c>
      <c r="B124" s="38">
        <v>46081</v>
      </c>
      <c r="C124" s="38">
        <v>46090</v>
      </c>
      <c r="D124" t="s">
        <v>1532</v>
      </c>
      <c r="E124" t="s">
        <v>77</v>
      </c>
      <c r="G124" s="37" cm="1">
        <f t="array" ref="G124">F124*_xlfn.XLOOKUP(1,
 (FOREX!$A$2:$A$13=EOMONTH(B124,0))*
 (FOREX!$B$2:$B$13=TRIM(E124)),FOREX!$C$2:$C$13,
 100)</f>
        <v>0</v>
      </c>
      <c r="H124" t="s">
        <v>1549</v>
      </c>
      <c r="I124" s="30" t="s">
        <v>364</v>
      </c>
      <c r="J124" s="35" t="str">
        <f>_xlfn.XLOOKUP(I124,costcategory[Account Code],costcategory[Cost Category],"ERROR")</f>
        <v>Headcount Costs</v>
      </c>
      <c r="K124" s="89" t="str">
        <f t="shared" si="4"/>
        <v>R&amp;D - Team P</v>
      </c>
      <c r="L124" s="89" t="str">
        <f>_xlfn.XLOOKUP(K124,Table2[Department],Table2[Group],"ERROR")</f>
        <v>Research &amp; Development</v>
      </c>
    </row>
    <row r="125" spans="1:12" x14ac:dyDescent="0.2">
      <c r="A125" t="s">
        <v>1</v>
      </c>
      <c r="B125" s="38">
        <v>46081</v>
      </c>
      <c r="C125" s="38">
        <v>46090</v>
      </c>
      <c r="D125" t="s">
        <v>1533</v>
      </c>
      <c r="E125" t="s">
        <v>77</v>
      </c>
      <c r="F125" s="37">
        <v>1.5</v>
      </c>
      <c r="G125" s="37" cm="1">
        <f t="array" ref="G125">F125*_xlfn.XLOOKUP(1,
 (FOREX!$A$2:$A$13=EOMONTH(B125,0))*
 (FOREX!$B$2:$B$13=TRIM(E125)),FOREX!$C$2:$C$13,
 100)</f>
        <v>1.185921</v>
      </c>
      <c r="H125" t="s">
        <v>1549</v>
      </c>
      <c r="I125" s="30" t="s">
        <v>364</v>
      </c>
      <c r="J125" s="35" t="str">
        <f>_xlfn.XLOOKUP(I125,costcategory[Account Code],costcategory[Cost Category],"ERROR")</f>
        <v>Headcount Costs</v>
      </c>
      <c r="K125" s="89" t="str">
        <f t="shared" si="4"/>
        <v>R&amp;D - Team D</v>
      </c>
      <c r="L125" s="89" t="str">
        <f>_xlfn.XLOOKUP(K125,Table2[Department],Table2[Group],"ERROR")</f>
        <v>Research &amp; Development</v>
      </c>
    </row>
    <row r="126" spans="1:12" x14ac:dyDescent="0.2">
      <c r="A126" t="s">
        <v>1</v>
      </c>
      <c r="B126" s="38">
        <v>46081</v>
      </c>
      <c r="C126" s="38">
        <v>46090</v>
      </c>
      <c r="D126" t="s">
        <v>1535</v>
      </c>
      <c r="E126" t="s">
        <v>77</v>
      </c>
      <c r="F126" s="37">
        <v>-3</v>
      </c>
      <c r="G126" s="37" cm="1">
        <f t="array" ref="G126">F126*_xlfn.XLOOKUP(1,
 (FOREX!$A$2:$A$13=EOMONTH(B126,0))*
 (FOREX!$B$2:$B$13=TRIM(E126)),FOREX!$C$2:$C$13,
 100)</f>
        <v>-2.371842</v>
      </c>
      <c r="H126" t="s">
        <v>1549</v>
      </c>
      <c r="I126" s="30" t="s">
        <v>364</v>
      </c>
      <c r="J126" s="35" t="str">
        <f>_xlfn.XLOOKUP(I126,costcategory[Account Code],costcategory[Cost Category],"ERROR")</f>
        <v>Headcount Costs</v>
      </c>
      <c r="K126" s="89" t="str">
        <f t="shared" si="4"/>
        <v>HR</v>
      </c>
      <c r="L126" s="89" t="str">
        <f>_xlfn.XLOOKUP(K126,Table2[Department],Table2[Group],"ERROR")</f>
        <v>General &amp; Administrative</v>
      </c>
    </row>
    <row r="127" spans="1:12" x14ac:dyDescent="0.2">
      <c r="A127" t="s">
        <v>1</v>
      </c>
      <c r="B127" s="38">
        <v>46081</v>
      </c>
      <c r="C127" s="38">
        <v>46090</v>
      </c>
      <c r="D127" t="s">
        <v>1536</v>
      </c>
      <c r="E127" t="s">
        <v>77</v>
      </c>
      <c r="F127" s="37">
        <v>-3</v>
      </c>
      <c r="G127" s="37" cm="1">
        <f t="array" ref="G127">F127*_xlfn.XLOOKUP(1,
 (FOREX!$A$2:$A$13=EOMONTH(B127,0))*
 (FOREX!$B$2:$B$13=TRIM(E127)),FOREX!$C$2:$C$13,
 100)</f>
        <v>-2.371842</v>
      </c>
      <c r="H127" t="s">
        <v>1549</v>
      </c>
      <c r="I127" s="30" t="s">
        <v>364</v>
      </c>
      <c r="J127" s="35" t="str">
        <f>_xlfn.XLOOKUP(I127,costcategory[Account Code],costcategory[Cost Category],"ERROR")</f>
        <v>Headcount Costs</v>
      </c>
      <c r="K127" s="89" t="str">
        <f t="shared" si="4"/>
        <v>DSC</v>
      </c>
      <c r="L127" s="89" t="str">
        <f>_xlfn.XLOOKUP(K127,Table2[Department],Table2[Group],"ERROR")</f>
        <v>DSC</v>
      </c>
    </row>
    <row r="128" spans="1:12" x14ac:dyDescent="0.2">
      <c r="A128" t="s">
        <v>1</v>
      </c>
      <c r="B128" s="38">
        <v>46081</v>
      </c>
      <c r="C128" s="38">
        <v>46090</v>
      </c>
      <c r="D128" t="s">
        <v>1537</v>
      </c>
      <c r="E128" t="s">
        <v>77</v>
      </c>
      <c r="G128" s="37" cm="1">
        <f t="array" ref="G128">F128*_xlfn.XLOOKUP(1,
 (FOREX!$A$2:$A$13=EOMONTH(B128,0))*
 (FOREX!$B$2:$B$13=TRIM(E128)),FOREX!$C$2:$C$13,
 100)</f>
        <v>0</v>
      </c>
      <c r="H128" t="s">
        <v>1549</v>
      </c>
      <c r="I128" s="30" t="s">
        <v>364</v>
      </c>
      <c r="J128" s="35" t="str">
        <f>_xlfn.XLOOKUP(I128,costcategory[Account Code],costcategory[Cost Category],"ERROR")</f>
        <v>Headcount Costs</v>
      </c>
      <c r="K128" s="89" t="str">
        <f t="shared" si="4"/>
        <v>DSC</v>
      </c>
      <c r="L128" s="89" t="str">
        <f>_xlfn.XLOOKUP(K128,Table2[Department],Table2[Group],"ERROR")</f>
        <v>DSC</v>
      </c>
    </row>
    <row r="129" spans="1:12" x14ac:dyDescent="0.2">
      <c r="A129" t="s">
        <v>1</v>
      </c>
      <c r="B129" s="38">
        <v>46081</v>
      </c>
      <c r="C129" s="38">
        <v>46090</v>
      </c>
      <c r="D129" t="s">
        <v>1538</v>
      </c>
      <c r="E129" t="s">
        <v>77</v>
      </c>
      <c r="F129" s="37">
        <v>-2</v>
      </c>
      <c r="G129" s="37" cm="1">
        <f t="array" ref="G129">F129*_xlfn.XLOOKUP(1,
 (FOREX!$A$2:$A$13=EOMONTH(B129,0))*
 (FOREX!$B$2:$B$13=TRIM(E129)),FOREX!$C$2:$C$13,
 100)</f>
        <v>-1.5812280000000001</v>
      </c>
      <c r="H129" t="s">
        <v>1549</v>
      </c>
      <c r="I129" s="30" t="s">
        <v>364</v>
      </c>
      <c r="J129" s="35" t="str">
        <f>_xlfn.XLOOKUP(I129,costcategory[Account Code],costcategory[Cost Category],"ERROR")</f>
        <v>Headcount Costs</v>
      </c>
      <c r="K129" s="89" t="str">
        <f t="shared" si="4"/>
        <v>HR</v>
      </c>
      <c r="L129" s="89" t="str">
        <f>_xlfn.XLOOKUP(K129,Table2[Department],Table2[Group],"ERROR")</f>
        <v>General &amp; Administrative</v>
      </c>
    </row>
    <row r="130" spans="1:12" x14ac:dyDescent="0.2">
      <c r="A130" t="s">
        <v>1</v>
      </c>
      <c r="B130" s="38">
        <v>46081</v>
      </c>
      <c r="C130" s="38">
        <v>46090</v>
      </c>
      <c r="D130" t="s">
        <v>1539</v>
      </c>
      <c r="E130" t="s">
        <v>77</v>
      </c>
      <c r="F130" s="37">
        <v>-2</v>
      </c>
      <c r="G130" s="37" cm="1">
        <f t="array" ref="G130">F130*_xlfn.XLOOKUP(1,
 (FOREX!$A$2:$A$13=EOMONTH(B130,0))*
 (FOREX!$B$2:$B$13=TRIM(E130)),FOREX!$C$2:$C$13,
 100)</f>
        <v>-1.5812280000000001</v>
      </c>
      <c r="H130" t="s">
        <v>1549</v>
      </c>
      <c r="I130" s="30" t="s">
        <v>364</v>
      </c>
      <c r="J130" s="35" t="str">
        <f>_xlfn.XLOOKUP(I130,costcategory[Account Code],costcategory[Cost Category],"ERROR")</f>
        <v>Headcount Costs</v>
      </c>
      <c r="K130" s="89" t="str">
        <f t="shared" si="4"/>
        <v>DSC</v>
      </c>
      <c r="L130" s="89" t="str">
        <f>_xlfn.XLOOKUP(K130,Table2[Department],Table2[Group],"ERROR")</f>
        <v>DSC</v>
      </c>
    </row>
    <row r="131" spans="1:12" x14ac:dyDescent="0.2">
      <c r="A131" t="s">
        <v>1</v>
      </c>
      <c r="B131" s="38">
        <v>46081</v>
      </c>
      <c r="C131" s="38">
        <v>46090</v>
      </c>
      <c r="D131" t="s">
        <v>1521</v>
      </c>
      <c r="E131" t="s">
        <v>77</v>
      </c>
      <c r="F131" s="37">
        <v>0</v>
      </c>
      <c r="G131" s="37" cm="1">
        <f t="array" ref="G131">F131*_xlfn.XLOOKUP(1,
 (FOREX!$A$2:$A$13=EOMONTH(B131,0))*
 (FOREX!$B$2:$B$13=TRIM(E131)),FOREX!$C$2:$C$13,
 100)</f>
        <v>0</v>
      </c>
      <c r="H131" t="s">
        <v>1550</v>
      </c>
      <c r="I131" s="30" t="s">
        <v>364</v>
      </c>
      <c r="J131" s="35" t="str">
        <f>_xlfn.XLOOKUP(I131,costcategory[Account Code],costcategory[Cost Category],"ERROR")</f>
        <v>Headcount Costs</v>
      </c>
      <c r="K131" s="89" t="str">
        <f t="shared" si="4"/>
        <v>Management</v>
      </c>
      <c r="L131" s="89" t="str">
        <f>_xlfn.XLOOKUP(K131,Table2[Department],Table2[Group],"ERROR")</f>
        <v>General &amp; Administrative</v>
      </c>
    </row>
    <row r="132" spans="1:12" x14ac:dyDescent="0.2">
      <c r="A132" t="s">
        <v>1</v>
      </c>
      <c r="B132" s="38">
        <v>46081</v>
      </c>
      <c r="C132" s="38">
        <v>46090</v>
      </c>
      <c r="D132" t="s">
        <v>1522</v>
      </c>
      <c r="E132" t="s">
        <v>77</v>
      </c>
      <c r="F132" s="37">
        <v>-1600</v>
      </c>
      <c r="G132" s="37" cm="1">
        <f t="array" ref="G132">F132*_xlfn.XLOOKUP(1,
 (FOREX!$A$2:$A$13=EOMONTH(B132,0))*
 (FOREX!$B$2:$B$13=TRIM(E132)),FOREX!$C$2:$C$13,
 100)</f>
        <v>-1264.9824000000001</v>
      </c>
      <c r="H132" t="s">
        <v>1550</v>
      </c>
      <c r="I132" s="30" t="s">
        <v>364</v>
      </c>
      <c r="J132" s="35" t="str">
        <f>_xlfn.XLOOKUP(I132,costcategory[Account Code],costcategory[Cost Category],"ERROR")</f>
        <v>Headcount Costs</v>
      </c>
      <c r="K132" s="89" t="str">
        <f t="shared" si="4"/>
        <v>Marketing</v>
      </c>
      <c r="L132" s="89" t="str">
        <f>_xlfn.XLOOKUP(K132,Table2[Department],Table2[Group],"ERROR")</f>
        <v>Sales &amp; Marketing</v>
      </c>
    </row>
    <row r="133" spans="1:12" x14ac:dyDescent="0.2">
      <c r="A133" t="s">
        <v>1</v>
      </c>
      <c r="B133" s="38">
        <v>46081</v>
      </c>
      <c r="C133" s="38">
        <v>46090</v>
      </c>
      <c r="D133" t="s">
        <v>1523</v>
      </c>
      <c r="E133" t="s">
        <v>77</v>
      </c>
      <c r="F133" s="37">
        <v>0</v>
      </c>
      <c r="G133" s="37" cm="1">
        <f t="array" ref="G133">F133*_xlfn.XLOOKUP(1,
 (FOREX!$A$2:$A$13=EOMONTH(B133,0))*
 (FOREX!$B$2:$B$13=TRIM(E133)),FOREX!$C$2:$C$13,
 100)</f>
        <v>0</v>
      </c>
      <c r="H133" t="s">
        <v>1550</v>
      </c>
      <c r="I133" s="30" t="s">
        <v>364</v>
      </c>
      <c r="J133" s="35" t="str">
        <f>_xlfn.XLOOKUP(I133,costcategory[Account Code],costcategory[Cost Category],"ERROR")</f>
        <v>Headcount Costs</v>
      </c>
      <c r="K133" s="89" t="str">
        <f t="shared" si="4"/>
        <v>Management</v>
      </c>
      <c r="L133" s="89" t="str">
        <f>_xlfn.XLOOKUP(K133,Table2[Department],Table2[Group],"ERROR")</f>
        <v>General &amp; Administrative</v>
      </c>
    </row>
    <row r="134" spans="1:12" x14ac:dyDescent="0.2">
      <c r="A134" t="s">
        <v>1</v>
      </c>
      <c r="B134" s="38">
        <v>46081</v>
      </c>
      <c r="C134" s="38">
        <v>46090</v>
      </c>
      <c r="D134" t="s">
        <v>1524</v>
      </c>
      <c r="E134" t="s">
        <v>77</v>
      </c>
      <c r="F134" s="37">
        <v>-1267</v>
      </c>
      <c r="G134" s="37" cm="1">
        <f t="array" ref="G134">F134*_xlfn.XLOOKUP(1,
 (FOREX!$A$2:$A$13=EOMONTH(B134,0))*
 (FOREX!$B$2:$B$13=TRIM(E134)),FOREX!$C$2:$C$13,
 100)</f>
        <v>-1001.707938</v>
      </c>
      <c r="H134" t="s">
        <v>1550</v>
      </c>
      <c r="I134" s="30" t="s">
        <v>364</v>
      </c>
      <c r="J134" s="35" t="str">
        <f>_xlfn.XLOOKUP(I134,costcategory[Account Code],costcategory[Cost Category],"ERROR")</f>
        <v>Headcount Costs</v>
      </c>
      <c r="K134" s="89" t="str">
        <f t="shared" si="4"/>
        <v>Business Operation</v>
      </c>
      <c r="L134" s="89" t="str">
        <f>_xlfn.XLOOKUP(K134,Table2[Department],Table2[Group],"ERROR")</f>
        <v>Sales &amp; Marketing</v>
      </c>
    </row>
    <row r="135" spans="1:12" x14ac:dyDescent="0.2">
      <c r="A135" t="s">
        <v>1</v>
      </c>
      <c r="B135" s="38">
        <v>46081</v>
      </c>
      <c r="C135" s="38">
        <v>46090</v>
      </c>
      <c r="D135" t="s">
        <v>1525</v>
      </c>
      <c r="E135" t="s">
        <v>77</v>
      </c>
      <c r="F135" s="37">
        <v>-1440</v>
      </c>
      <c r="G135" s="37" cm="1">
        <f t="array" ref="G135">F135*_xlfn.XLOOKUP(1,
 (FOREX!$A$2:$A$13=EOMONTH(B135,0))*
 (FOREX!$B$2:$B$13=TRIM(E135)),FOREX!$C$2:$C$13,
 100)</f>
        <v>-1138.48416</v>
      </c>
      <c r="H135" t="s">
        <v>1550</v>
      </c>
      <c r="I135" s="30" t="s">
        <v>364</v>
      </c>
      <c r="J135" s="35" t="str">
        <f>_xlfn.XLOOKUP(I135,costcategory[Account Code],costcategory[Cost Category],"ERROR")</f>
        <v>Headcount Costs</v>
      </c>
      <c r="K135" s="89" t="str">
        <f t="shared" si="4"/>
        <v>Sales &amp; Pre-Sales</v>
      </c>
      <c r="L135" s="89" t="str">
        <f>_xlfn.XLOOKUP(K135,Table2[Department],Table2[Group],"ERROR")</f>
        <v>Sales &amp; Marketing</v>
      </c>
    </row>
    <row r="136" spans="1:12" x14ac:dyDescent="0.2">
      <c r="A136" t="s">
        <v>1</v>
      </c>
      <c r="B136" s="38">
        <v>46081</v>
      </c>
      <c r="C136" s="38">
        <v>46090</v>
      </c>
      <c r="D136" t="s">
        <v>1527</v>
      </c>
      <c r="E136" t="s">
        <v>77</v>
      </c>
      <c r="F136" s="37">
        <v>-1600</v>
      </c>
      <c r="G136" s="37" cm="1">
        <f t="array" ref="G136">F136*_xlfn.XLOOKUP(1,
 (FOREX!$A$2:$A$13=EOMONTH(B136,0))*
 (FOREX!$B$2:$B$13=TRIM(E136)),FOREX!$C$2:$C$13,
 100)</f>
        <v>-1264.9824000000001</v>
      </c>
      <c r="H136" t="s">
        <v>1550</v>
      </c>
      <c r="I136" s="30" t="s">
        <v>364</v>
      </c>
      <c r="J136" s="35" t="str">
        <f>_xlfn.XLOOKUP(I136,costcategory[Account Code],costcategory[Cost Category],"ERROR")</f>
        <v>Headcount Costs</v>
      </c>
      <c r="K136" s="89" t="str">
        <f t="shared" si="4"/>
        <v>DSC</v>
      </c>
      <c r="L136" s="89" t="str">
        <f>_xlfn.XLOOKUP(K136,Table2[Department],Table2[Group],"ERROR")</f>
        <v>DSC</v>
      </c>
    </row>
    <row r="137" spans="1:12" x14ac:dyDescent="0.2">
      <c r="A137" t="s">
        <v>1</v>
      </c>
      <c r="B137" s="38">
        <v>46081</v>
      </c>
      <c r="C137" s="38">
        <v>46090</v>
      </c>
      <c r="D137" t="s">
        <v>1528</v>
      </c>
      <c r="E137" t="s">
        <v>77</v>
      </c>
      <c r="F137" s="37">
        <v>0</v>
      </c>
      <c r="G137" s="37" cm="1">
        <f t="array" ref="G137">F137*_xlfn.XLOOKUP(1,
 (FOREX!$A$2:$A$13=EOMONTH(B137,0))*
 (FOREX!$B$2:$B$13=TRIM(E137)),FOREX!$C$2:$C$13,
 100)</f>
        <v>0</v>
      </c>
      <c r="H137" t="s">
        <v>1550</v>
      </c>
      <c r="I137" s="30" t="s">
        <v>364</v>
      </c>
      <c r="J137" s="35" t="str">
        <f>_xlfn.XLOOKUP(I137,costcategory[Account Code],costcategory[Cost Category],"ERROR")</f>
        <v>Headcount Costs</v>
      </c>
      <c r="K137" s="89" t="str">
        <f t="shared" si="4"/>
        <v>R&amp;D - Team D</v>
      </c>
      <c r="L137" s="89" t="str">
        <f>_xlfn.XLOOKUP(K137,Table2[Department],Table2[Group],"ERROR")</f>
        <v>Research &amp; Development</v>
      </c>
    </row>
    <row r="138" spans="1:12" x14ac:dyDescent="0.2">
      <c r="A138" t="s">
        <v>1</v>
      </c>
      <c r="B138" s="38">
        <v>46081</v>
      </c>
      <c r="C138" s="38">
        <v>46090</v>
      </c>
      <c r="D138" t="s">
        <v>1529</v>
      </c>
      <c r="E138" t="s">
        <v>77</v>
      </c>
      <c r="F138" s="37">
        <v>0</v>
      </c>
      <c r="G138" s="37" cm="1">
        <f t="array" ref="G138">F138*_xlfn.XLOOKUP(1,
 (FOREX!$A$2:$A$13=EOMONTH(B138,0))*
 (FOREX!$B$2:$B$13=TRIM(E138)),FOREX!$C$2:$C$13,
 100)</f>
        <v>0</v>
      </c>
      <c r="H138" t="s">
        <v>1550</v>
      </c>
      <c r="I138" s="30" t="s">
        <v>364</v>
      </c>
      <c r="J138" s="35" t="str">
        <f>_xlfn.XLOOKUP(I138,costcategory[Account Code],costcategory[Cost Category],"ERROR")</f>
        <v>Headcount Costs</v>
      </c>
      <c r="K138" s="89" t="str">
        <f t="shared" si="4"/>
        <v>R&amp;D - Team W</v>
      </c>
      <c r="L138" s="89" t="str">
        <f>_xlfn.XLOOKUP(K138,Table2[Department],Table2[Group],"ERROR")</f>
        <v>Research &amp; Development</v>
      </c>
    </row>
    <row r="139" spans="1:12" x14ac:dyDescent="0.2">
      <c r="A139" t="s">
        <v>1</v>
      </c>
      <c r="B139" s="38">
        <v>46081</v>
      </c>
      <c r="C139" s="38">
        <v>46090</v>
      </c>
      <c r="D139" t="s">
        <v>1530</v>
      </c>
      <c r="E139" t="s">
        <v>77</v>
      </c>
      <c r="F139" s="37">
        <v>-1600</v>
      </c>
      <c r="G139" s="37" cm="1">
        <f t="array" ref="G139">F139*_xlfn.XLOOKUP(1,
 (FOREX!$A$2:$A$13=EOMONTH(B139,0))*
 (FOREX!$B$2:$B$13=TRIM(E139)),FOREX!$C$2:$C$13,
 100)</f>
        <v>-1264.9824000000001</v>
      </c>
      <c r="H139" t="s">
        <v>1550</v>
      </c>
      <c r="I139" s="30" t="s">
        <v>364</v>
      </c>
      <c r="J139" s="35" t="str">
        <f>_xlfn.XLOOKUP(I139,costcategory[Account Code],costcategory[Cost Category],"ERROR")</f>
        <v>Headcount Costs</v>
      </c>
      <c r="K139" s="89" t="str">
        <f t="shared" si="4"/>
        <v>R&amp;D - Team D</v>
      </c>
      <c r="L139" s="89" t="str">
        <f>_xlfn.XLOOKUP(K139,Table2[Department],Table2[Group],"ERROR")</f>
        <v>Research &amp; Development</v>
      </c>
    </row>
    <row r="140" spans="1:12" x14ac:dyDescent="0.2">
      <c r="A140" t="s">
        <v>1</v>
      </c>
      <c r="B140" s="38">
        <v>46081</v>
      </c>
      <c r="C140" s="38">
        <v>46090</v>
      </c>
      <c r="D140" t="s">
        <v>1531</v>
      </c>
      <c r="E140" t="s">
        <v>77</v>
      </c>
      <c r="F140" s="37">
        <v>0</v>
      </c>
      <c r="G140" s="37" cm="1">
        <f t="array" ref="G140">F140*_xlfn.XLOOKUP(1,
 (FOREX!$A$2:$A$13=EOMONTH(B140,0))*
 (FOREX!$B$2:$B$13=TRIM(E140)),FOREX!$C$2:$C$13,
 100)</f>
        <v>0</v>
      </c>
      <c r="H140" t="s">
        <v>1550</v>
      </c>
      <c r="I140" s="30" t="s">
        <v>364</v>
      </c>
      <c r="J140" s="35" t="str">
        <f>_xlfn.XLOOKUP(I140,costcategory[Account Code],costcategory[Cost Category],"ERROR")</f>
        <v>Headcount Costs</v>
      </c>
      <c r="K140" s="89" t="str">
        <f t="shared" si="4"/>
        <v>R&amp;D - Team W</v>
      </c>
      <c r="L140" s="89" t="str">
        <f>_xlfn.XLOOKUP(K140,Table2[Department],Table2[Group],"ERROR")</f>
        <v>Research &amp; Development</v>
      </c>
    </row>
    <row r="141" spans="1:12" x14ac:dyDescent="0.2">
      <c r="A141" t="s">
        <v>1</v>
      </c>
      <c r="B141" s="38">
        <v>46081</v>
      </c>
      <c r="C141" s="38">
        <v>46090</v>
      </c>
      <c r="D141" t="s">
        <v>1532</v>
      </c>
      <c r="E141" t="s">
        <v>77</v>
      </c>
      <c r="F141" s="37">
        <v>0</v>
      </c>
      <c r="G141" s="37" cm="1">
        <f t="array" ref="G141">F141*_xlfn.XLOOKUP(1,
 (FOREX!$A$2:$A$13=EOMONTH(B141,0))*
 (FOREX!$B$2:$B$13=TRIM(E141)),FOREX!$C$2:$C$13,
 100)</f>
        <v>0</v>
      </c>
      <c r="H141" t="s">
        <v>1550</v>
      </c>
      <c r="I141" s="30" t="s">
        <v>364</v>
      </c>
      <c r="J141" s="35" t="str">
        <f>_xlfn.XLOOKUP(I141,costcategory[Account Code],costcategory[Cost Category],"ERROR")</f>
        <v>Headcount Costs</v>
      </c>
      <c r="K141" s="89" t="str">
        <f t="shared" si="4"/>
        <v>R&amp;D - Team P</v>
      </c>
      <c r="L141" s="89" t="str">
        <f>_xlfn.XLOOKUP(K141,Table2[Department],Table2[Group],"ERROR")</f>
        <v>Research &amp; Development</v>
      </c>
    </row>
    <row r="142" spans="1:12" x14ac:dyDescent="0.2">
      <c r="A142" t="s">
        <v>1</v>
      </c>
      <c r="B142" s="38">
        <v>46081</v>
      </c>
      <c r="C142" s="38">
        <v>46090</v>
      </c>
      <c r="D142" t="s">
        <v>1533</v>
      </c>
      <c r="E142" t="s">
        <v>77</v>
      </c>
      <c r="F142" s="37">
        <v>-967</v>
      </c>
      <c r="G142" s="37" cm="1">
        <f t="array" ref="G142">F142*_xlfn.XLOOKUP(1,
 (FOREX!$A$2:$A$13=EOMONTH(B142,0))*
 (FOREX!$B$2:$B$13=TRIM(E142)),FOREX!$C$2:$C$13,
 100)</f>
        <v>-764.52373800000009</v>
      </c>
      <c r="H142" t="s">
        <v>1550</v>
      </c>
      <c r="I142" s="30" t="s">
        <v>364</v>
      </c>
      <c r="J142" s="35" t="str">
        <f>_xlfn.XLOOKUP(I142,costcategory[Account Code],costcategory[Cost Category],"ERROR")</f>
        <v>Headcount Costs</v>
      </c>
      <c r="K142" s="89" t="str">
        <f t="shared" si="4"/>
        <v>R&amp;D - Team D</v>
      </c>
      <c r="L142" s="89" t="str">
        <f>_xlfn.XLOOKUP(K142,Table2[Department],Table2[Group],"ERROR")</f>
        <v>Research &amp; Development</v>
      </c>
    </row>
    <row r="143" spans="1:12" x14ac:dyDescent="0.2">
      <c r="A143" t="s">
        <v>1</v>
      </c>
      <c r="B143" s="38">
        <v>46081</v>
      </c>
      <c r="C143" s="38">
        <v>46090</v>
      </c>
      <c r="D143" t="s">
        <v>1535</v>
      </c>
      <c r="E143" t="s">
        <v>77</v>
      </c>
      <c r="F143" s="37">
        <v>-1600</v>
      </c>
      <c r="G143" s="37" cm="1">
        <f t="array" ref="G143">F143*_xlfn.XLOOKUP(1,
 (FOREX!$A$2:$A$13=EOMONTH(B143,0))*
 (FOREX!$B$2:$B$13=TRIM(E143)),FOREX!$C$2:$C$13,
 100)</f>
        <v>-1264.9824000000001</v>
      </c>
      <c r="H143" t="s">
        <v>1550</v>
      </c>
      <c r="I143" s="30" t="s">
        <v>364</v>
      </c>
      <c r="J143" s="35" t="str">
        <f>_xlfn.XLOOKUP(I143,costcategory[Account Code],costcategory[Cost Category],"ERROR")</f>
        <v>Headcount Costs</v>
      </c>
      <c r="K143" s="89" t="str">
        <f t="shared" si="4"/>
        <v>HR</v>
      </c>
      <c r="L143" s="89" t="str">
        <f>_xlfn.XLOOKUP(K143,Table2[Department],Table2[Group],"ERROR")</f>
        <v>General &amp; Administrative</v>
      </c>
    </row>
    <row r="144" spans="1:12" x14ac:dyDescent="0.2">
      <c r="A144" t="s">
        <v>1</v>
      </c>
      <c r="B144" s="38">
        <v>46081</v>
      </c>
      <c r="C144" s="38">
        <v>46090</v>
      </c>
      <c r="D144" t="s">
        <v>1536</v>
      </c>
      <c r="E144" t="s">
        <v>77</v>
      </c>
      <c r="F144" s="37">
        <v>-1000</v>
      </c>
      <c r="G144" s="37" cm="1">
        <f t="array" ref="G144">F144*_xlfn.XLOOKUP(1,
 (FOREX!$A$2:$A$13=EOMONTH(B144,0))*
 (FOREX!$B$2:$B$13=TRIM(E144)),FOREX!$C$2:$C$13,
 100)</f>
        <v>-790.61400000000003</v>
      </c>
      <c r="H144" t="s">
        <v>1550</v>
      </c>
      <c r="I144" s="30" t="s">
        <v>364</v>
      </c>
      <c r="J144" s="35" t="str">
        <f>_xlfn.XLOOKUP(I144,costcategory[Account Code],costcategory[Cost Category],"ERROR")</f>
        <v>Headcount Costs</v>
      </c>
      <c r="K144" s="89" t="str">
        <f t="shared" si="4"/>
        <v>DSC</v>
      </c>
      <c r="L144" s="89" t="str">
        <f>_xlfn.XLOOKUP(K144,Table2[Department],Table2[Group],"ERROR")</f>
        <v>DSC</v>
      </c>
    </row>
    <row r="145" spans="1:12" x14ac:dyDescent="0.2">
      <c r="A145" t="s">
        <v>1</v>
      </c>
      <c r="B145" s="38">
        <v>46081</v>
      </c>
      <c r="C145" s="38">
        <v>46090</v>
      </c>
      <c r="D145" t="s">
        <v>1537</v>
      </c>
      <c r="E145" t="s">
        <v>77</v>
      </c>
      <c r="F145" s="37">
        <v>0</v>
      </c>
      <c r="G145" s="37" cm="1">
        <f t="array" ref="G145">F145*_xlfn.XLOOKUP(1,
 (FOREX!$A$2:$A$13=EOMONTH(B145,0))*
 (FOREX!$B$2:$B$13=TRIM(E145)),FOREX!$C$2:$C$13,
 100)</f>
        <v>0</v>
      </c>
      <c r="H145" t="s">
        <v>1550</v>
      </c>
      <c r="I145" s="30" t="s">
        <v>364</v>
      </c>
      <c r="J145" s="35" t="str">
        <f>_xlfn.XLOOKUP(I145,costcategory[Account Code],costcategory[Cost Category],"ERROR")</f>
        <v>Headcount Costs</v>
      </c>
      <c r="K145" s="89" t="str">
        <f t="shared" si="4"/>
        <v>DSC</v>
      </c>
      <c r="L145" s="89" t="str">
        <f>_xlfn.XLOOKUP(K145,Table2[Department],Table2[Group],"ERROR")</f>
        <v>DSC</v>
      </c>
    </row>
    <row r="146" spans="1:12" x14ac:dyDescent="0.2">
      <c r="A146" t="s">
        <v>1</v>
      </c>
      <c r="B146" s="38">
        <v>46081</v>
      </c>
      <c r="C146" s="38">
        <v>46090</v>
      </c>
      <c r="D146" t="s">
        <v>1538</v>
      </c>
      <c r="E146" t="s">
        <v>77</v>
      </c>
      <c r="F146" s="37">
        <v>-1470</v>
      </c>
      <c r="G146" s="37" cm="1">
        <f t="array" ref="G146">F146*_xlfn.XLOOKUP(1,
 (FOREX!$A$2:$A$13=EOMONTH(B146,0))*
 (FOREX!$B$2:$B$13=TRIM(E146)),FOREX!$C$2:$C$13,
 100)</f>
        <v>-1162.2025800000001</v>
      </c>
      <c r="H146" t="s">
        <v>1550</v>
      </c>
      <c r="I146" s="30" t="s">
        <v>364</v>
      </c>
      <c r="J146" s="35" t="str">
        <f>_xlfn.XLOOKUP(I146,costcategory[Account Code],costcategory[Cost Category],"ERROR")</f>
        <v>Headcount Costs</v>
      </c>
      <c r="K146" s="89" t="str">
        <f t="shared" si="4"/>
        <v>HR</v>
      </c>
      <c r="L146" s="89" t="str">
        <f>_xlfn.XLOOKUP(K146,Table2[Department],Table2[Group],"ERROR")</f>
        <v>General &amp; Administrative</v>
      </c>
    </row>
    <row r="147" spans="1:12" x14ac:dyDescent="0.2">
      <c r="A147" t="s">
        <v>1</v>
      </c>
      <c r="B147" s="38">
        <v>46081</v>
      </c>
      <c r="C147" s="38">
        <v>46090</v>
      </c>
      <c r="D147" t="s">
        <v>1539</v>
      </c>
      <c r="E147" t="s">
        <v>77</v>
      </c>
      <c r="F147" s="37">
        <v>-1300</v>
      </c>
      <c r="G147" s="37" cm="1">
        <f t="array" ref="G147">F147*_xlfn.XLOOKUP(1,
 (FOREX!$A$2:$A$13=EOMONTH(B147,0))*
 (FOREX!$B$2:$B$13=TRIM(E147)),FOREX!$C$2:$C$13,
 100)</f>
        <v>-1027.7982</v>
      </c>
      <c r="H147" t="s">
        <v>1550</v>
      </c>
      <c r="I147" s="30" t="s">
        <v>364</v>
      </c>
      <c r="J147" s="35" t="str">
        <f>_xlfn.XLOOKUP(I147,costcategory[Account Code],costcategory[Cost Category],"ERROR")</f>
        <v>Headcount Costs</v>
      </c>
      <c r="K147" s="89" t="str">
        <f t="shared" si="4"/>
        <v>DSC</v>
      </c>
      <c r="L147" s="89" t="str">
        <f>_xlfn.XLOOKUP(K147,Table2[Department],Table2[Group],"ERROR")</f>
        <v>DSC</v>
      </c>
    </row>
    <row r="148" spans="1:12" x14ac:dyDescent="0.2">
      <c r="A148" t="s">
        <v>1</v>
      </c>
      <c r="B148" s="38">
        <v>46081</v>
      </c>
      <c r="C148" s="38">
        <v>46090</v>
      </c>
      <c r="D148" t="s">
        <v>1521</v>
      </c>
      <c r="E148" t="s">
        <v>77</v>
      </c>
      <c r="F148" s="37">
        <v>11.25</v>
      </c>
      <c r="G148" s="37" cm="1">
        <f t="array" ref="G148">F148*_xlfn.XLOOKUP(1,
 (FOREX!$A$2:$A$13=EOMONTH(B148,0))*
 (FOREX!$B$2:$B$13=TRIM(E148)),FOREX!$C$2:$C$13,
 100)</f>
        <v>8.8944074999999998</v>
      </c>
      <c r="H148" t="s">
        <v>1551</v>
      </c>
      <c r="I148" s="30" t="s">
        <v>364</v>
      </c>
      <c r="J148" s="35" t="str">
        <f>_xlfn.XLOOKUP(I148,costcategory[Account Code],costcategory[Cost Category],"ERROR")</f>
        <v>Headcount Costs</v>
      </c>
      <c r="K148" s="89" t="str">
        <f t="shared" si="4"/>
        <v>Management</v>
      </c>
      <c r="L148" s="89" t="str">
        <f>_xlfn.XLOOKUP(K148,Table2[Department],Table2[Group],"ERROR")</f>
        <v>General &amp; Administrative</v>
      </c>
    </row>
    <row r="149" spans="1:12" x14ac:dyDescent="0.2">
      <c r="A149" t="s">
        <v>1</v>
      </c>
      <c r="B149" s="38">
        <v>46081</v>
      </c>
      <c r="C149" s="38">
        <v>46090</v>
      </c>
      <c r="D149" t="s">
        <v>1522</v>
      </c>
      <c r="E149" t="s">
        <v>77</v>
      </c>
      <c r="F149" s="37">
        <v>11.25</v>
      </c>
      <c r="G149" s="37" cm="1">
        <f t="array" ref="G149">F149*_xlfn.XLOOKUP(1,
 (FOREX!$A$2:$A$13=EOMONTH(B149,0))*
 (FOREX!$B$2:$B$13=TRIM(E149)),FOREX!$C$2:$C$13,
 100)</f>
        <v>8.8944074999999998</v>
      </c>
      <c r="H149" t="s">
        <v>1551</v>
      </c>
      <c r="I149" s="30" t="s">
        <v>364</v>
      </c>
      <c r="J149" s="35" t="str">
        <f>_xlfn.XLOOKUP(I149,costcategory[Account Code],costcategory[Cost Category],"ERROR")</f>
        <v>Headcount Costs</v>
      </c>
      <c r="K149" s="89" t="str">
        <f t="shared" si="4"/>
        <v>Marketing</v>
      </c>
      <c r="L149" s="89" t="str">
        <f>_xlfn.XLOOKUP(K149,Table2[Department],Table2[Group],"ERROR")</f>
        <v>Sales &amp; Marketing</v>
      </c>
    </row>
    <row r="150" spans="1:12" x14ac:dyDescent="0.2">
      <c r="A150" t="s">
        <v>1</v>
      </c>
      <c r="B150" s="38">
        <v>46081</v>
      </c>
      <c r="C150" s="38">
        <v>46090</v>
      </c>
      <c r="D150" t="s">
        <v>1523</v>
      </c>
      <c r="E150" t="s">
        <v>77</v>
      </c>
      <c r="F150" s="37">
        <v>11.25</v>
      </c>
      <c r="G150" s="37" cm="1">
        <f t="array" ref="G150">F150*_xlfn.XLOOKUP(1,
 (FOREX!$A$2:$A$13=EOMONTH(B150,0))*
 (FOREX!$B$2:$B$13=TRIM(E150)),FOREX!$C$2:$C$13,
 100)</f>
        <v>8.8944074999999998</v>
      </c>
      <c r="H150" t="s">
        <v>1551</v>
      </c>
      <c r="I150" s="30" t="s">
        <v>364</v>
      </c>
      <c r="J150" s="35" t="str">
        <f>_xlfn.XLOOKUP(I150,costcategory[Account Code],costcategory[Cost Category],"ERROR")</f>
        <v>Headcount Costs</v>
      </c>
      <c r="K150" s="89" t="str">
        <f t="shared" si="4"/>
        <v>Management</v>
      </c>
      <c r="L150" s="89" t="str">
        <f>_xlfn.XLOOKUP(K150,Table2[Department],Table2[Group],"ERROR")</f>
        <v>General &amp; Administrative</v>
      </c>
    </row>
    <row r="151" spans="1:12" x14ac:dyDescent="0.2">
      <c r="A151" t="s">
        <v>1</v>
      </c>
      <c r="B151" s="38">
        <v>46081</v>
      </c>
      <c r="C151" s="38">
        <v>46090</v>
      </c>
      <c r="D151" t="s">
        <v>1524</v>
      </c>
      <c r="E151" t="s">
        <v>77</v>
      </c>
      <c r="F151" s="37">
        <v>11.25</v>
      </c>
      <c r="G151" s="37" cm="1">
        <f t="array" ref="G151">F151*_xlfn.XLOOKUP(1,
 (FOREX!$A$2:$A$13=EOMONTH(B151,0))*
 (FOREX!$B$2:$B$13=TRIM(E151)),FOREX!$C$2:$C$13,
 100)</f>
        <v>8.8944074999999998</v>
      </c>
      <c r="H151" t="s">
        <v>1551</v>
      </c>
      <c r="I151" s="30" t="s">
        <v>364</v>
      </c>
      <c r="J151" s="35" t="str">
        <f>_xlfn.XLOOKUP(I151,costcategory[Account Code],costcategory[Cost Category],"ERROR")</f>
        <v>Headcount Costs</v>
      </c>
      <c r="K151" s="89" t="str">
        <f t="shared" si="4"/>
        <v>Business Operation</v>
      </c>
      <c r="L151" s="89" t="str">
        <f>_xlfn.XLOOKUP(K151,Table2[Department],Table2[Group],"ERROR")</f>
        <v>Sales &amp; Marketing</v>
      </c>
    </row>
    <row r="152" spans="1:12" x14ac:dyDescent="0.2">
      <c r="A152" t="s">
        <v>1</v>
      </c>
      <c r="B152" s="38">
        <v>46081</v>
      </c>
      <c r="C152" s="38">
        <v>46090</v>
      </c>
      <c r="D152" t="s">
        <v>1525</v>
      </c>
      <c r="E152" t="s">
        <v>77</v>
      </c>
      <c r="F152" s="37">
        <v>11.25</v>
      </c>
      <c r="G152" s="37" cm="1">
        <f t="array" ref="G152">F152*_xlfn.XLOOKUP(1,
 (FOREX!$A$2:$A$13=EOMONTH(B152,0))*
 (FOREX!$B$2:$B$13=TRIM(E152)),FOREX!$C$2:$C$13,
 100)</f>
        <v>8.8944074999999998</v>
      </c>
      <c r="H152" t="s">
        <v>1551</v>
      </c>
      <c r="I152" s="30" t="s">
        <v>364</v>
      </c>
      <c r="J152" s="35" t="str">
        <f>_xlfn.XLOOKUP(I152,costcategory[Account Code],costcategory[Cost Category],"ERROR")</f>
        <v>Headcount Costs</v>
      </c>
      <c r="K152" s="89" t="str">
        <f t="shared" si="4"/>
        <v>Sales &amp; Pre-Sales</v>
      </c>
      <c r="L152" s="89" t="str">
        <f>_xlfn.XLOOKUP(K152,Table2[Department],Table2[Group],"ERROR")</f>
        <v>Sales &amp; Marketing</v>
      </c>
    </row>
    <row r="153" spans="1:12" x14ac:dyDescent="0.2">
      <c r="A153" t="s">
        <v>1</v>
      </c>
      <c r="B153" s="38">
        <v>46081</v>
      </c>
      <c r="C153" s="38">
        <v>46090</v>
      </c>
      <c r="D153" t="s">
        <v>1527</v>
      </c>
      <c r="E153" t="s">
        <v>77</v>
      </c>
      <c r="F153" s="37">
        <v>11.25</v>
      </c>
      <c r="G153" s="37" cm="1">
        <f t="array" ref="G153">F153*_xlfn.XLOOKUP(1,
 (FOREX!$A$2:$A$13=EOMONTH(B153,0))*
 (FOREX!$B$2:$B$13=TRIM(E153)),FOREX!$C$2:$C$13,
 100)</f>
        <v>8.8944074999999998</v>
      </c>
      <c r="H153" t="s">
        <v>1551</v>
      </c>
      <c r="I153" s="30" t="s">
        <v>364</v>
      </c>
      <c r="J153" s="35" t="str">
        <f>_xlfn.XLOOKUP(I153,costcategory[Account Code],costcategory[Cost Category],"ERROR")</f>
        <v>Headcount Costs</v>
      </c>
      <c r="K153" s="89" t="str">
        <f t="shared" si="4"/>
        <v>DSC</v>
      </c>
      <c r="L153" s="89" t="str">
        <f>_xlfn.XLOOKUP(K153,Table2[Department],Table2[Group],"ERROR")</f>
        <v>DSC</v>
      </c>
    </row>
    <row r="154" spans="1:12" x14ac:dyDescent="0.2">
      <c r="A154" t="s">
        <v>1</v>
      </c>
      <c r="B154" s="38">
        <v>46081</v>
      </c>
      <c r="C154" s="38">
        <v>46090</v>
      </c>
      <c r="D154" t="s">
        <v>1528</v>
      </c>
      <c r="E154" t="s">
        <v>77</v>
      </c>
      <c r="F154" s="37">
        <v>11.25</v>
      </c>
      <c r="G154" s="37" cm="1">
        <f t="array" ref="G154">F154*_xlfn.XLOOKUP(1,
 (FOREX!$A$2:$A$13=EOMONTH(B154,0))*
 (FOREX!$B$2:$B$13=TRIM(E154)),FOREX!$C$2:$C$13,
 100)</f>
        <v>8.8944074999999998</v>
      </c>
      <c r="H154" t="s">
        <v>1551</v>
      </c>
      <c r="I154" s="30" t="s">
        <v>364</v>
      </c>
      <c r="J154" s="35" t="str">
        <f>_xlfn.XLOOKUP(I154,costcategory[Account Code],costcategory[Cost Category],"ERROR")</f>
        <v>Headcount Costs</v>
      </c>
      <c r="K154" s="89" t="str">
        <f t="shared" si="4"/>
        <v>R&amp;D - Team D</v>
      </c>
      <c r="L154" s="89" t="str">
        <f>_xlfn.XLOOKUP(K154,Table2[Department],Table2[Group],"ERROR")</f>
        <v>Research &amp; Development</v>
      </c>
    </row>
    <row r="155" spans="1:12" x14ac:dyDescent="0.2">
      <c r="A155" t="s">
        <v>1</v>
      </c>
      <c r="B155" s="38">
        <v>46081</v>
      </c>
      <c r="C155" s="38">
        <v>46090</v>
      </c>
      <c r="D155" t="s">
        <v>1529</v>
      </c>
      <c r="E155" t="s">
        <v>77</v>
      </c>
      <c r="F155" s="37">
        <v>11.25</v>
      </c>
      <c r="G155" s="37" cm="1">
        <f t="array" ref="G155">F155*_xlfn.XLOOKUP(1,
 (FOREX!$A$2:$A$13=EOMONTH(B155,0))*
 (FOREX!$B$2:$B$13=TRIM(E155)),FOREX!$C$2:$C$13,
 100)</f>
        <v>8.8944074999999998</v>
      </c>
      <c r="H155" t="s">
        <v>1551</v>
      </c>
      <c r="I155" s="30" t="s">
        <v>364</v>
      </c>
      <c r="J155" s="35" t="str">
        <f>_xlfn.XLOOKUP(I155,costcategory[Account Code],costcategory[Cost Category],"ERROR")</f>
        <v>Headcount Costs</v>
      </c>
      <c r="K155" s="89" t="str">
        <f t="shared" si="4"/>
        <v>R&amp;D - Team W</v>
      </c>
      <c r="L155" s="89" t="str">
        <f>_xlfn.XLOOKUP(K155,Table2[Department],Table2[Group],"ERROR")</f>
        <v>Research &amp; Development</v>
      </c>
    </row>
    <row r="156" spans="1:12" x14ac:dyDescent="0.2">
      <c r="A156" t="s">
        <v>1</v>
      </c>
      <c r="B156" s="38">
        <v>46081</v>
      </c>
      <c r="C156" s="38">
        <v>46090</v>
      </c>
      <c r="D156" t="s">
        <v>1530</v>
      </c>
      <c r="E156" t="s">
        <v>77</v>
      </c>
      <c r="F156" s="37">
        <v>11.25</v>
      </c>
      <c r="G156" s="37" cm="1">
        <f t="array" ref="G156">F156*_xlfn.XLOOKUP(1,
 (FOREX!$A$2:$A$13=EOMONTH(B156,0))*
 (FOREX!$B$2:$B$13=TRIM(E156)),FOREX!$C$2:$C$13,
 100)</f>
        <v>8.8944074999999998</v>
      </c>
      <c r="H156" t="s">
        <v>1551</v>
      </c>
      <c r="I156" s="30" t="s">
        <v>364</v>
      </c>
      <c r="J156" s="35" t="str">
        <f>_xlfn.XLOOKUP(I156,costcategory[Account Code],costcategory[Cost Category],"ERROR")</f>
        <v>Headcount Costs</v>
      </c>
      <c r="K156" s="89" t="str">
        <f t="shared" si="4"/>
        <v>R&amp;D - Team D</v>
      </c>
      <c r="L156" s="89" t="str">
        <f>_xlfn.XLOOKUP(K156,Table2[Department],Table2[Group],"ERROR")</f>
        <v>Research &amp; Development</v>
      </c>
    </row>
    <row r="157" spans="1:12" x14ac:dyDescent="0.2">
      <c r="A157" t="s">
        <v>1</v>
      </c>
      <c r="B157" s="38">
        <v>46081</v>
      </c>
      <c r="C157" s="38">
        <v>46090</v>
      </c>
      <c r="D157" t="s">
        <v>1531</v>
      </c>
      <c r="E157" t="s">
        <v>77</v>
      </c>
      <c r="F157" s="37">
        <v>11.25</v>
      </c>
      <c r="G157" s="37" cm="1">
        <f t="array" ref="G157">F157*_xlfn.XLOOKUP(1,
 (FOREX!$A$2:$A$13=EOMONTH(B157,0))*
 (FOREX!$B$2:$B$13=TRIM(E157)),FOREX!$C$2:$C$13,
 100)</f>
        <v>8.8944074999999998</v>
      </c>
      <c r="H157" t="s">
        <v>1551</v>
      </c>
      <c r="I157" s="30" t="s">
        <v>364</v>
      </c>
      <c r="J157" s="35" t="str">
        <f>_xlfn.XLOOKUP(I157,costcategory[Account Code],costcategory[Cost Category],"ERROR")</f>
        <v>Headcount Costs</v>
      </c>
      <c r="K157" s="89" t="str">
        <f t="shared" si="4"/>
        <v>R&amp;D - Team W</v>
      </c>
      <c r="L157" s="89" t="str">
        <f>_xlfn.XLOOKUP(K157,Table2[Department],Table2[Group],"ERROR")</f>
        <v>Research &amp; Development</v>
      </c>
    </row>
    <row r="158" spans="1:12" x14ac:dyDescent="0.2">
      <c r="A158" t="s">
        <v>1</v>
      </c>
      <c r="B158" s="38">
        <v>46081</v>
      </c>
      <c r="C158" s="38">
        <v>46090</v>
      </c>
      <c r="D158" t="s">
        <v>1532</v>
      </c>
      <c r="E158" t="s">
        <v>77</v>
      </c>
      <c r="F158" s="37">
        <v>11.25</v>
      </c>
      <c r="G158" s="37" cm="1">
        <f t="array" ref="G158">F158*_xlfn.XLOOKUP(1,
 (FOREX!$A$2:$A$13=EOMONTH(B158,0))*
 (FOREX!$B$2:$B$13=TRIM(E158)),FOREX!$C$2:$C$13,
 100)</f>
        <v>8.8944074999999998</v>
      </c>
      <c r="H158" t="s">
        <v>1551</v>
      </c>
      <c r="I158" s="30" t="s">
        <v>364</v>
      </c>
      <c r="J158" s="35" t="str">
        <f>_xlfn.XLOOKUP(I158,costcategory[Account Code],costcategory[Cost Category],"ERROR")</f>
        <v>Headcount Costs</v>
      </c>
      <c r="K158" s="89" t="str">
        <f t="shared" si="4"/>
        <v>R&amp;D - Team P</v>
      </c>
      <c r="L158" s="89" t="str">
        <f>_xlfn.XLOOKUP(K158,Table2[Department],Table2[Group],"ERROR")</f>
        <v>Research &amp; Development</v>
      </c>
    </row>
    <row r="159" spans="1:12" x14ac:dyDescent="0.2">
      <c r="A159" t="s">
        <v>1</v>
      </c>
      <c r="B159" s="38">
        <v>46081</v>
      </c>
      <c r="C159" s="38">
        <v>46090</v>
      </c>
      <c r="D159" t="s">
        <v>1533</v>
      </c>
      <c r="E159" t="s">
        <v>77</v>
      </c>
      <c r="F159" s="37">
        <v>11.25</v>
      </c>
      <c r="G159" s="37" cm="1">
        <f t="array" ref="G159">F159*_xlfn.XLOOKUP(1,
 (FOREX!$A$2:$A$13=EOMONTH(B159,0))*
 (FOREX!$B$2:$B$13=TRIM(E159)),FOREX!$C$2:$C$13,
 100)</f>
        <v>8.8944074999999998</v>
      </c>
      <c r="H159" t="s">
        <v>1551</v>
      </c>
      <c r="I159" s="30" t="s">
        <v>364</v>
      </c>
      <c r="J159" s="35" t="str">
        <f>_xlfn.XLOOKUP(I159,costcategory[Account Code],costcategory[Cost Category],"ERROR")</f>
        <v>Headcount Costs</v>
      </c>
      <c r="K159" s="89" t="str">
        <f t="shared" si="4"/>
        <v>R&amp;D - Team D</v>
      </c>
      <c r="L159" s="89" t="str">
        <f>_xlfn.XLOOKUP(K159,Table2[Department],Table2[Group],"ERROR")</f>
        <v>Research &amp; Development</v>
      </c>
    </row>
    <row r="160" spans="1:12" x14ac:dyDescent="0.2">
      <c r="A160" t="s">
        <v>1</v>
      </c>
      <c r="B160" s="38">
        <v>46081</v>
      </c>
      <c r="C160" s="38">
        <v>46090</v>
      </c>
      <c r="D160" t="s">
        <v>1535</v>
      </c>
      <c r="E160" t="s">
        <v>77</v>
      </c>
      <c r="F160" s="37">
        <v>11.25</v>
      </c>
      <c r="G160" s="37" cm="1">
        <f t="array" ref="G160">F160*_xlfn.XLOOKUP(1,
 (FOREX!$A$2:$A$13=EOMONTH(B160,0))*
 (FOREX!$B$2:$B$13=TRIM(E160)),FOREX!$C$2:$C$13,
 100)</f>
        <v>8.8944074999999998</v>
      </c>
      <c r="H160" t="s">
        <v>1551</v>
      </c>
      <c r="I160" s="30" t="s">
        <v>364</v>
      </c>
      <c r="J160" s="35" t="str">
        <f>_xlfn.XLOOKUP(I160,costcategory[Account Code],costcategory[Cost Category],"ERROR")</f>
        <v>Headcount Costs</v>
      </c>
      <c r="K160" s="89" t="str">
        <f t="shared" si="4"/>
        <v>HR</v>
      </c>
      <c r="L160" s="89" t="str">
        <f>_xlfn.XLOOKUP(K160,Table2[Department],Table2[Group],"ERROR")</f>
        <v>General &amp; Administrative</v>
      </c>
    </row>
    <row r="161" spans="1:12" x14ac:dyDescent="0.2">
      <c r="A161" t="s">
        <v>1</v>
      </c>
      <c r="B161" s="38">
        <v>46081</v>
      </c>
      <c r="C161" s="38">
        <v>46090</v>
      </c>
      <c r="D161" t="s">
        <v>1536</v>
      </c>
      <c r="E161" t="s">
        <v>77</v>
      </c>
      <c r="F161" s="37">
        <v>11.25</v>
      </c>
      <c r="G161" s="37" cm="1">
        <f t="array" ref="G161">F161*_xlfn.XLOOKUP(1,
 (FOREX!$A$2:$A$13=EOMONTH(B161,0))*
 (FOREX!$B$2:$B$13=TRIM(E161)),FOREX!$C$2:$C$13,
 100)</f>
        <v>8.8944074999999998</v>
      </c>
      <c r="H161" t="s">
        <v>1551</v>
      </c>
      <c r="I161" s="30" t="s">
        <v>364</v>
      </c>
      <c r="J161" s="35" t="str">
        <f>_xlfn.XLOOKUP(I161,costcategory[Account Code],costcategory[Cost Category],"ERROR")</f>
        <v>Headcount Costs</v>
      </c>
      <c r="K161" s="89" t="str">
        <f t="shared" si="4"/>
        <v>DSC</v>
      </c>
      <c r="L161" s="89" t="str">
        <f>_xlfn.XLOOKUP(K161,Table2[Department],Table2[Group],"ERROR")</f>
        <v>DSC</v>
      </c>
    </row>
    <row r="162" spans="1:12" x14ac:dyDescent="0.2">
      <c r="A162" t="s">
        <v>1</v>
      </c>
      <c r="B162" s="38">
        <v>46081</v>
      </c>
      <c r="C162" s="38">
        <v>46090</v>
      </c>
      <c r="D162" t="s">
        <v>1537</v>
      </c>
      <c r="E162" t="s">
        <v>77</v>
      </c>
      <c r="F162" s="37">
        <v>11.25</v>
      </c>
      <c r="G162" s="37" cm="1">
        <f t="array" ref="G162">F162*_xlfn.XLOOKUP(1,
 (FOREX!$A$2:$A$13=EOMONTH(B162,0))*
 (FOREX!$B$2:$B$13=TRIM(E162)),FOREX!$C$2:$C$13,
 100)</f>
        <v>8.8944074999999998</v>
      </c>
      <c r="H162" t="s">
        <v>1551</v>
      </c>
      <c r="I162" s="30" t="s">
        <v>364</v>
      </c>
      <c r="J162" s="35" t="str">
        <f>_xlfn.XLOOKUP(I162,costcategory[Account Code],costcategory[Cost Category],"ERROR")</f>
        <v>Headcount Costs</v>
      </c>
      <c r="K162" s="89" t="str">
        <f t="shared" si="4"/>
        <v>DSC</v>
      </c>
      <c r="L162" s="89" t="str">
        <f>_xlfn.XLOOKUP(K162,Table2[Department],Table2[Group],"ERROR")</f>
        <v>DSC</v>
      </c>
    </row>
    <row r="163" spans="1:12" x14ac:dyDescent="0.2">
      <c r="A163" t="s">
        <v>1</v>
      </c>
      <c r="B163" s="38">
        <v>46081</v>
      </c>
      <c r="C163" s="38">
        <v>46090</v>
      </c>
      <c r="D163" t="s">
        <v>1538</v>
      </c>
      <c r="E163" t="s">
        <v>77</v>
      </c>
      <c r="F163" s="37">
        <v>11.25</v>
      </c>
      <c r="G163" s="37" cm="1">
        <f t="array" ref="G163">F163*_xlfn.XLOOKUP(1,
 (FOREX!$A$2:$A$13=EOMONTH(B163,0))*
 (FOREX!$B$2:$B$13=TRIM(E163)),FOREX!$C$2:$C$13,
 100)</f>
        <v>8.8944074999999998</v>
      </c>
      <c r="H163" t="s">
        <v>1551</v>
      </c>
      <c r="I163" s="30" t="s">
        <v>364</v>
      </c>
      <c r="J163" s="35" t="str">
        <f>_xlfn.XLOOKUP(I163,costcategory[Account Code],costcategory[Cost Category],"ERROR")</f>
        <v>Headcount Costs</v>
      </c>
      <c r="K163" s="89" t="str">
        <f t="shared" si="4"/>
        <v>HR</v>
      </c>
      <c r="L163" s="89" t="str">
        <f>_xlfn.XLOOKUP(K163,Table2[Department],Table2[Group],"ERROR")</f>
        <v>General &amp; Administrative</v>
      </c>
    </row>
    <row r="164" spans="1:12" x14ac:dyDescent="0.2">
      <c r="A164" t="s">
        <v>1</v>
      </c>
      <c r="B164" s="38">
        <v>46081</v>
      </c>
      <c r="C164" s="38">
        <v>46090</v>
      </c>
      <c r="D164" t="s">
        <v>1539</v>
      </c>
      <c r="E164" t="s">
        <v>77</v>
      </c>
      <c r="F164" s="37">
        <v>11.25</v>
      </c>
      <c r="G164" s="37" cm="1">
        <f t="array" ref="G164">F164*_xlfn.XLOOKUP(1,
 (FOREX!$A$2:$A$13=EOMONTH(B164,0))*
 (FOREX!$B$2:$B$13=TRIM(E164)),FOREX!$C$2:$C$13,
 100)</f>
        <v>8.8944074999999998</v>
      </c>
      <c r="H164" t="s">
        <v>1551</v>
      </c>
      <c r="I164" s="30" t="s">
        <v>364</v>
      </c>
      <c r="J164" s="35" t="str">
        <f>_xlfn.XLOOKUP(I164,costcategory[Account Code],costcategory[Cost Category],"ERROR")</f>
        <v>Headcount Costs</v>
      </c>
      <c r="K164" s="89" t="str">
        <f t="shared" si="4"/>
        <v>DSC</v>
      </c>
      <c r="L164" s="89" t="str">
        <f>_xlfn.XLOOKUP(K164,Table2[Department],Table2[Group],"ERROR")</f>
        <v>DSC</v>
      </c>
    </row>
    <row r="165" spans="1:12" x14ac:dyDescent="0.2">
      <c r="A165" t="s">
        <v>1</v>
      </c>
      <c r="B165" s="38">
        <v>46081</v>
      </c>
      <c r="C165" s="38">
        <v>46090</v>
      </c>
      <c r="D165" t="s">
        <v>1521</v>
      </c>
      <c r="E165" t="s">
        <v>77</v>
      </c>
      <c r="F165" s="37">
        <v>0</v>
      </c>
      <c r="G165" s="37" cm="1">
        <f t="array" ref="G165">F165*_xlfn.XLOOKUP(1,
 (FOREX!$A$2:$A$13=EOMONTH(B165,0))*
 (FOREX!$B$2:$B$13=TRIM(E165)),FOREX!$C$2:$C$13,
 100)</f>
        <v>0</v>
      </c>
      <c r="H165" t="s">
        <v>1552</v>
      </c>
      <c r="I165" s="30" t="s">
        <v>364</v>
      </c>
      <c r="J165" s="35" t="str">
        <f>_xlfn.XLOOKUP(I165,costcategory[Account Code],costcategory[Cost Category],"ERROR")</f>
        <v>Headcount Costs</v>
      </c>
      <c r="K165" s="89" t="str">
        <f t="shared" si="4"/>
        <v>Management</v>
      </c>
      <c r="L165" s="89" t="str">
        <f>_xlfn.XLOOKUP(K165,Table2[Department],Table2[Group],"ERROR")</f>
        <v>General &amp; Administrative</v>
      </c>
    </row>
    <row r="166" spans="1:12" x14ac:dyDescent="0.2">
      <c r="A166" t="s">
        <v>1</v>
      </c>
      <c r="B166" s="38">
        <v>46081</v>
      </c>
      <c r="C166" s="38">
        <v>46090</v>
      </c>
      <c r="D166" t="s">
        <v>1522</v>
      </c>
      <c r="E166" t="s">
        <v>77</v>
      </c>
      <c r="F166" s="37">
        <v>1360</v>
      </c>
      <c r="G166" s="37" cm="1">
        <f t="array" ref="G166">F166*_xlfn.XLOOKUP(1,
 (FOREX!$A$2:$A$13=EOMONTH(B166,0))*
 (FOREX!$B$2:$B$13=TRIM(E166)),FOREX!$C$2:$C$13,
 100)</f>
        <v>1075.23504</v>
      </c>
      <c r="H166" t="s">
        <v>1552</v>
      </c>
      <c r="I166" s="30" t="s">
        <v>364</v>
      </c>
      <c r="J166" s="35" t="str">
        <f>_xlfn.XLOOKUP(I166,costcategory[Account Code],costcategory[Cost Category],"ERROR")</f>
        <v>Headcount Costs</v>
      </c>
      <c r="K166" s="89" t="str">
        <f t="shared" si="4"/>
        <v>Marketing</v>
      </c>
      <c r="L166" s="89" t="str">
        <f>_xlfn.XLOOKUP(K166,Table2[Department],Table2[Group],"ERROR")</f>
        <v>Sales &amp; Marketing</v>
      </c>
    </row>
    <row r="167" spans="1:12" x14ac:dyDescent="0.2">
      <c r="A167" t="s">
        <v>1</v>
      </c>
      <c r="B167" s="38">
        <v>46081</v>
      </c>
      <c r="C167" s="38">
        <v>46090</v>
      </c>
      <c r="D167" t="s">
        <v>1523</v>
      </c>
      <c r="E167" t="s">
        <v>77</v>
      </c>
      <c r="F167" s="37">
        <v>0</v>
      </c>
      <c r="G167" s="37" cm="1">
        <f t="array" ref="G167">F167*_xlfn.XLOOKUP(1,
 (FOREX!$A$2:$A$13=EOMONTH(B167,0))*
 (FOREX!$B$2:$B$13=TRIM(E167)),FOREX!$C$2:$C$13,
 100)</f>
        <v>0</v>
      </c>
      <c r="H167" t="s">
        <v>1552</v>
      </c>
      <c r="I167" s="30" t="s">
        <v>364</v>
      </c>
      <c r="J167" s="35" t="str">
        <f>_xlfn.XLOOKUP(I167,costcategory[Account Code],costcategory[Cost Category],"ERROR")</f>
        <v>Headcount Costs</v>
      </c>
      <c r="K167" s="89" t="str">
        <f t="shared" si="4"/>
        <v>Management</v>
      </c>
      <c r="L167" s="89" t="str">
        <f>_xlfn.XLOOKUP(K167,Table2[Department],Table2[Group],"ERROR")</f>
        <v>General &amp; Administrative</v>
      </c>
    </row>
    <row r="168" spans="1:12" x14ac:dyDescent="0.2">
      <c r="A168" t="s">
        <v>1</v>
      </c>
      <c r="B168" s="38">
        <v>46081</v>
      </c>
      <c r="C168" s="38">
        <v>46090</v>
      </c>
      <c r="D168" t="s">
        <v>1524</v>
      </c>
      <c r="E168" t="s">
        <v>77</v>
      </c>
      <c r="F168" s="37">
        <v>1077</v>
      </c>
      <c r="G168" s="37" cm="1">
        <f t="array" ref="G168">F168*_xlfn.XLOOKUP(1,
 (FOREX!$A$2:$A$13=EOMONTH(B168,0))*
 (FOREX!$B$2:$B$13=TRIM(E168)),FOREX!$C$2:$C$13,
 100)</f>
        <v>851.49127800000008</v>
      </c>
      <c r="H168" t="s">
        <v>1552</v>
      </c>
      <c r="I168" s="30" t="s">
        <v>364</v>
      </c>
      <c r="J168" s="35" t="str">
        <f>_xlfn.XLOOKUP(I168,costcategory[Account Code],costcategory[Cost Category],"ERROR")</f>
        <v>Headcount Costs</v>
      </c>
      <c r="K168" s="89" t="str">
        <f t="shared" si="4"/>
        <v>Business Operation</v>
      </c>
      <c r="L168" s="89" t="str">
        <f>_xlfn.XLOOKUP(K168,Table2[Department],Table2[Group],"ERROR")</f>
        <v>Sales &amp; Marketing</v>
      </c>
    </row>
    <row r="169" spans="1:12" x14ac:dyDescent="0.2">
      <c r="A169" t="s">
        <v>1</v>
      </c>
      <c r="B169" s="38">
        <v>46081</v>
      </c>
      <c r="C169" s="38">
        <v>46090</v>
      </c>
      <c r="D169" t="s">
        <v>1525</v>
      </c>
      <c r="E169" t="s">
        <v>77</v>
      </c>
      <c r="F169" s="37">
        <v>1280</v>
      </c>
      <c r="G169" s="37" cm="1">
        <f t="array" ref="G169">F169*_xlfn.XLOOKUP(1,
 (FOREX!$A$2:$A$13=EOMONTH(B169,0))*
 (FOREX!$B$2:$B$13=TRIM(E169)),FOREX!$C$2:$C$13,
 100)</f>
        <v>1011.9859200000001</v>
      </c>
      <c r="H169" t="s">
        <v>1552</v>
      </c>
      <c r="I169" s="30" t="s">
        <v>364</v>
      </c>
      <c r="J169" s="35" t="str">
        <f>_xlfn.XLOOKUP(I169,costcategory[Account Code],costcategory[Cost Category],"ERROR")</f>
        <v>Headcount Costs</v>
      </c>
      <c r="K169" s="89" t="str">
        <f t="shared" si="4"/>
        <v>Sales &amp; Pre-Sales</v>
      </c>
      <c r="L169" s="89" t="str">
        <f>_xlfn.XLOOKUP(K169,Table2[Department],Table2[Group],"ERROR")</f>
        <v>Sales &amp; Marketing</v>
      </c>
    </row>
    <row r="170" spans="1:12" x14ac:dyDescent="0.2">
      <c r="A170" t="s">
        <v>1</v>
      </c>
      <c r="B170" s="38">
        <v>46081</v>
      </c>
      <c r="C170" s="38">
        <v>46090</v>
      </c>
      <c r="D170" t="s">
        <v>1527</v>
      </c>
      <c r="E170" t="s">
        <v>77</v>
      </c>
      <c r="F170" s="37">
        <v>1360</v>
      </c>
      <c r="G170" s="37" cm="1">
        <f t="array" ref="G170">F170*_xlfn.XLOOKUP(1,
 (FOREX!$A$2:$A$13=EOMONTH(B170,0))*
 (FOREX!$B$2:$B$13=TRIM(E170)),FOREX!$C$2:$C$13,
 100)</f>
        <v>1075.23504</v>
      </c>
      <c r="H170" t="s">
        <v>1552</v>
      </c>
      <c r="I170" s="30" t="s">
        <v>364</v>
      </c>
      <c r="J170" s="35" t="str">
        <f>_xlfn.XLOOKUP(I170,costcategory[Account Code],costcategory[Cost Category],"ERROR")</f>
        <v>Headcount Costs</v>
      </c>
      <c r="K170" s="89" t="str">
        <f t="shared" si="4"/>
        <v>DSC</v>
      </c>
      <c r="L170" s="89" t="str">
        <f>_xlfn.XLOOKUP(K170,Table2[Department],Table2[Group],"ERROR")</f>
        <v>DSC</v>
      </c>
    </row>
    <row r="171" spans="1:12" x14ac:dyDescent="0.2">
      <c r="A171" t="s">
        <v>1</v>
      </c>
      <c r="B171" s="38">
        <v>46081</v>
      </c>
      <c r="C171" s="38">
        <v>46090</v>
      </c>
      <c r="D171" t="s">
        <v>1528</v>
      </c>
      <c r="E171" t="s">
        <v>77</v>
      </c>
      <c r="F171" s="37">
        <v>0</v>
      </c>
      <c r="G171" s="37" cm="1">
        <f t="array" ref="G171">F171*_xlfn.XLOOKUP(1,
 (FOREX!$A$2:$A$13=EOMONTH(B171,0))*
 (FOREX!$B$2:$B$13=TRIM(E171)),FOREX!$C$2:$C$13,
 100)</f>
        <v>0</v>
      </c>
      <c r="H171" t="s">
        <v>1552</v>
      </c>
      <c r="I171" s="30" t="s">
        <v>364</v>
      </c>
      <c r="J171" s="35" t="str">
        <f>_xlfn.XLOOKUP(I171,costcategory[Account Code],costcategory[Cost Category],"ERROR")</f>
        <v>Headcount Costs</v>
      </c>
      <c r="K171" s="89" t="str">
        <f t="shared" si="4"/>
        <v>R&amp;D - Team D</v>
      </c>
      <c r="L171" s="89" t="str">
        <f>_xlfn.XLOOKUP(K171,Table2[Department],Table2[Group],"ERROR")</f>
        <v>Research &amp; Development</v>
      </c>
    </row>
    <row r="172" spans="1:12" x14ac:dyDescent="0.2">
      <c r="A172" t="s">
        <v>1</v>
      </c>
      <c r="B172" s="38">
        <v>46081</v>
      </c>
      <c r="C172" s="38">
        <v>46090</v>
      </c>
      <c r="D172" t="s">
        <v>1529</v>
      </c>
      <c r="E172" t="s">
        <v>77</v>
      </c>
      <c r="F172" s="37">
        <v>0</v>
      </c>
      <c r="G172" s="37" cm="1">
        <f t="array" ref="G172">F172*_xlfn.XLOOKUP(1,
 (FOREX!$A$2:$A$13=EOMONTH(B172,0))*
 (FOREX!$B$2:$B$13=TRIM(E172)),FOREX!$C$2:$C$13,
 100)</f>
        <v>0</v>
      </c>
      <c r="H172" t="s">
        <v>1552</v>
      </c>
      <c r="I172" s="30" t="s">
        <v>364</v>
      </c>
      <c r="J172" s="35" t="str">
        <f>_xlfn.XLOOKUP(I172,costcategory[Account Code],costcategory[Cost Category],"ERROR")</f>
        <v>Headcount Costs</v>
      </c>
      <c r="K172" s="89" t="str">
        <f t="shared" si="4"/>
        <v>R&amp;D - Team W</v>
      </c>
      <c r="L172" s="89" t="str">
        <f>_xlfn.XLOOKUP(K172,Table2[Department],Table2[Group],"ERROR")</f>
        <v>Research &amp; Development</v>
      </c>
    </row>
    <row r="173" spans="1:12" x14ac:dyDescent="0.2">
      <c r="A173" t="s">
        <v>1</v>
      </c>
      <c r="B173" s="38">
        <v>46081</v>
      </c>
      <c r="C173" s="38">
        <v>46090</v>
      </c>
      <c r="D173" t="s">
        <v>1530</v>
      </c>
      <c r="E173" t="s">
        <v>77</v>
      </c>
      <c r="F173" s="37">
        <v>1360</v>
      </c>
      <c r="G173" s="37" cm="1">
        <f t="array" ref="G173">F173*_xlfn.XLOOKUP(1,
 (FOREX!$A$2:$A$13=EOMONTH(B173,0))*
 (FOREX!$B$2:$B$13=TRIM(E173)),FOREX!$C$2:$C$13,
 100)</f>
        <v>1075.23504</v>
      </c>
      <c r="H173" t="s">
        <v>1552</v>
      </c>
      <c r="I173" s="30" t="s">
        <v>364</v>
      </c>
      <c r="J173" s="35" t="str">
        <f>_xlfn.XLOOKUP(I173,costcategory[Account Code],costcategory[Cost Category],"ERROR")</f>
        <v>Headcount Costs</v>
      </c>
      <c r="K173" s="89" t="str">
        <f t="shared" si="4"/>
        <v>R&amp;D - Team D</v>
      </c>
      <c r="L173" s="89" t="str">
        <f>_xlfn.XLOOKUP(K173,Table2[Department],Table2[Group],"ERROR")</f>
        <v>Research &amp; Development</v>
      </c>
    </row>
    <row r="174" spans="1:12" x14ac:dyDescent="0.2">
      <c r="A174" t="s">
        <v>1</v>
      </c>
      <c r="B174" s="38">
        <v>46081</v>
      </c>
      <c r="C174" s="38">
        <v>46090</v>
      </c>
      <c r="D174" t="s">
        <v>1531</v>
      </c>
      <c r="E174" t="s">
        <v>77</v>
      </c>
      <c r="F174" s="37">
        <v>0</v>
      </c>
      <c r="G174" s="37" cm="1">
        <f t="array" ref="G174">F174*_xlfn.XLOOKUP(1,
 (FOREX!$A$2:$A$13=EOMONTH(B174,0))*
 (FOREX!$B$2:$B$13=TRIM(E174)),FOREX!$C$2:$C$13,
 100)</f>
        <v>0</v>
      </c>
      <c r="H174" t="s">
        <v>1552</v>
      </c>
      <c r="I174" s="30" t="s">
        <v>364</v>
      </c>
      <c r="J174" s="35" t="str">
        <f>_xlfn.XLOOKUP(I174,costcategory[Account Code],costcategory[Cost Category],"ERROR")</f>
        <v>Headcount Costs</v>
      </c>
      <c r="K174" s="89" t="str">
        <f t="shared" si="4"/>
        <v>R&amp;D - Team W</v>
      </c>
      <c r="L174" s="89" t="str">
        <f>_xlfn.XLOOKUP(K174,Table2[Department],Table2[Group],"ERROR")</f>
        <v>Research &amp; Development</v>
      </c>
    </row>
    <row r="175" spans="1:12" x14ac:dyDescent="0.2">
      <c r="A175" t="s">
        <v>1</v>
      </c>
      <c r="B175" s="38">
        <v>46081</v>
      </c>
      <c r="C175" s="38">
        <v>46090</v>
      </c>
      <c r="D175" t="s">
        <v>1532</v>
      </c>
      <c r="E175" t="s">
        <v>77</v>
      </c>
      <c r="F175" s="37">
        <v>0</v>
      </c>
      <c r="G175" s="37" cm="1">
        <f t="array" ref="G175">F175*_xlfn.XLOOKUP(1,
 (FOREX!$A$2:$A$13=EOMONTH(B175,0))*
 (FOREX!$B$2:$B$13=TRIM(E175)),FOREX!$C$2:$C$13,
 100)</f>
        <v>0</v>
      </c>
      <c r="H175" t="s">
        <v>1552</v>
      </c>
      <c r="I175" s="30" t="s">
        <v>364</v>
      </c>
      <c r="J175" s="35" t="str">
        <f>_xlfn.XLOOKUP(I175,costcategory[Account Code],costcategory[Cost Category],"ERROR")</f>
        <v>Headcount Costs</v>
      </c>
      <c r="K175" s="89" t="str">
        <f t="shared" si="4"/>
        <v>R&amp;D - Team P</v>
      </c>
      <c r="L175" s="89" t="str">
        <f>_xlfn.XLOOKUP(K175,Table2[Department],Table2[Group],"ERROR")</f>
        <v>Research &amp; Development</v>
      </c>
    </row>
    <row r="176" spans="1:12" x14ac:dyDescent="0.2">
      <c r="A176" t="s">
        <v>1</v>
      </c>
      <c r="B176" s="38">
        <v>46081</v>
      </c>
      <c r="C176" s="38">
        <v>46090</v>
      </c>
      <c r="D176" t="s">
        <v>1533</v>
      </c>
      <c r="E176" t="s">
        <v>77</v>
      </c>
      <c r="F176" s="37">
        <v>822</v>
      </c>
      <c r="G176" s="37" cm="1">
        <f t="array" ref="G176">F176*_xlfn.XLOOKUP(1,
 (FOREX!$A$2:$A$13=EOMONTH(B176,0))*
 (FOREX!$B$2:$B$13=TRIM(E176)),FOREX!$C$2:$C$13,
 100)</f>
        <v>649.88470800000005</v>
      </c>
      <c r="H176" t="s">
        <v>1552</v>
      </c>
      <c r="I176" s="30" t="s">
        <v>364</v>
      </c>
      <c r="J176" s="35" t="str">
        <f>_xlfn.XLOOKUP(I176,costcategory[Account Code],costcategory[Cost Category],"ERROR")</f>
        <v>Headcount Costs</v>
      </c>
      <c r="K176" s="89" t="str">
        <f t="shared" si="4"/>
        <v>R&amp;D - Team D</v>
      </c>
      <c r="L176" s="89" t="str">
        <f>_xlfn.XLOOKUP(K176,Table2[Department],Table2[Group],"ERROR")</f>
        <v>Research &amp; Development</v>
      </c>
    </row>
    <row r="177" spans="1:12" x14ac:dyDescent="0.2">
      <c r="A177" t="s">
        <v>1</v>
      </c>
      <c r="B177" s="38">
        <v>46081</v>
      </c>
      <c r="C177" s="38">
        <v>46090</v>
      </c>
      <c r="D177" t="s">
        <v>1535</v>
      </c>
      <c r="E177" t="s">
        <v>77</v>
      </c>
      <c r="F177" s="37">
        <v>1360</v>
      </c>
      <c r="G177" s="37" cm="1">
        <f t="array" ref="G177">F177*_xlfn.XLOOKUP(1,
 (FOREX!$A$2:$A$13=EOMONTH(B177,0))*
 (FOREX!$B$2:$B$13=TRIM(E177)),FOREX!$C$2:$C$13,
 100)</f>
        <v>1075.23504</v>
      </c>
      <c r="H177" t="s">
        <v>1552</v>
      </c>
      <c r="I177" s="30" t="s">
        <v>364</v>
      </c>
      <c r="J177" s="35" t="str">
        <f>_xlfn.XLOOKUP(I177,costcategory[Account Code],costcategory[Cost Category],"ERROR")</f>
        <v>Headcount Costs</v>
      </c>
      <c r="K177" s="89" t="str">
        <f t="shared" si="4"/>
        <v>HR</v>
      </c>
      <c r="L177" s="89" t="str">
        <f>_xlfn.XLOOKUP(K177,Table2[Department],Table2[Group],"ERROR")</f>
        <v>General &amp; Administrative</v>
      </c>
    </row>
    <row r="178" spans="1:12" x14ac:dyDescent="0.2">
      <c r="A178" t="s">
        <v>1</v>
      </c>
      <c r="B178" s="38">
        <v>46081</v>
      </c>
      <c r="C178" s="38">
        <v>46090</v>
      </c>
      <c r="D178" t="s">
        <v>1536</v>
      </c>
      <c r="E178" t="s">
        <v>77</v>
      </c>
      <c r="F178" s="37">
        <v>1000</v>
      </c>
      <c r="G178" s="37" cm="1">
        <f t="array" ref="G178">F178*_xlfn.XLOOKUP(1,
 (FOREX!$A$2:$A$13=EOMONTH(B178,0))*
 (FOREX!$B$2:$B$13=TRIM(E178)),FOREX!$C$2:$C$13,
 100)</f>
        <v>790.61400000000003</v>
      </c>
      <c r="H178" t="s">
        <v>1552</v>
      </c>
      <c r="I178" s="30" t="s">
        <v>364</v>
      </c>
      <c r="J178" s="35" t="str">
        <f>_xlfn.XLOOKUP(I178,costcategory[Account Code],costcategory[Cost Category],"ERROR")</f>
        <v>Headcount Costs</v>
      </c>
      <c r="K178" s="89" t="str">
        <f t="shared" ref="K178:K181" si="5">_xlfn.XLOOKUP(D178,$AF$3:$AF$21,$AG$3:$AG$21,"ERROR")</f>
        <v>DSC</v>
      </c>
      <c r="L178" s="89" t="str">
        <f>_xlfn.XLOOKUP(K178,Table2[Department],Table2[Group],"ERROR")</f>
        <v>DSC</v>
      </c>
    </row>
    <row r="179" spans="1:12" x14ac:dyDescent="0.2">
      <c r="A179" t="s">
        <v>1</v>
      </c>
      <c r="B179" s="38">
        <v>46081</v>
      </c>
      <c r="C179" s="38">
        <v>46090</v>
      </c>
      <c r="D179" t="s">
        <v>1537</v>
      </c>
      <c r="E179" t="s">
        <v>77</v>
      </c>
      <c r="F179" s="37">
        <v>0</v>
      </c>
      <c r="G179" s="37" cm="1">
        <f t="array" ref="G179">F179*_xlfn.XLOOKUP(1,
 (FOREX!$A$2:$A$13=EOMONTH(B179,0))*
 (FOREX!$B$2:$B$13=TRIM(E179)),FOREX!$C$2:$C$13,
 100)</f>
        <v>0</v>
      </c>
      <c r="H179" t="s">
        <v>1552</v>
      </c>
      <c r="I179" s="30" t="s">
        <v>364</v>
      </c>
      <c r="J179" s="35" t="str">
        <f>_xlfn.XLOOKUP(I179,costcategory[Account Code],costcategory[Cost Category],"ERROR")</f>
        <v>Headcount Costs</v>
      </c>
      <c r="K179" s="89" t="str">
        <f t="shared" si="5"/>
        <v>DSC</v>
      </c>
      <c r="L179" s="89" t="str">
        <f>_xlfn.XLOOKUP(K179,Table2[Department],Table2[Group],"ERROR")</f>
        <v>DSC</v>
      </c>
    </row>
    <row r="180" spans="1:12" x14ac:dyDescent="0.2">
      <c r="A180" t="s">
        <v>1</v>
      </c>
      <c r="B180" s="38">
        <v>46081</v>
      </c>
      <c r="C180" s="38">
        <v>46090</v>
      </c>
      <c r="D180" t="s">
        <v>1538</v>
      </c>
      <c r="E180" t="s">
        <v>77</v>
      </c>
      <c r="F180" s="37">
        <v>1250</v>
      </c>
      <c r="G180" s="37" cm="1">
        <f t="array" ref="G180">F180*_xlfn.XLOOKUP(1,
 (FOREX!$A$2:$A$13=EOMONTH(B180,0))*
 (FOREX!$B$2:$B$13=TRIM(E180)),FOREX!$C$2:$C$13,
 100)</f>
        <v>988.26750000000004</v>
      </c>
      <c r="H180" t="s">
        <v>1552</v>
      </c>
      <c r="I180" s="30" t="s">
        <v>364</v>
      </c>
      <c r="J180" s="35" t="str">
        <f>_xlfn.XLOOKUP(I180,costcategory[Account Code],costcategory[Cost Category],"ERROR")</f>
        <v>Headcount Costs</v>
      </c>
      <c r="K180" s="89" t="str">
        <f t="shared" si="5"/>
        <v>HR</v>
      </c>
      <c r="L180" s="89" t="str">
        <f>_xlfn.XLOOKUP(K180,Table2[Department],Table2[Group],"ERROR")</f>
        <v>General &amp; Administrative</v>
      </c>
    </row>
    <row r="181" spans="1:12" x14ac:dyDescent="0.2">
      <c r="A181" t="s">
        <v>1</v>
      </c>
      <c r="B181" s="38">
        <v>46081</v>
      </c>
      <c r="C181" s="38">
        <v>46090</v>
      </c>
      <c r="D181" t="s">
        <v>1539</v>
      </c>
      <c r="E181" t="s">
        <v>77</v>
      </c>
      <c r="F181" s="37">
        <v>1105</v>
      </c>
      <c r="G181" s="37" cm="1">
        <f t="array" ref="G181">F181*_xlfn.XLOOKUP(1,
 (FOREX!$A$2:$A$13=EOMONTH(B181,0))*
 (FOREX!$B$2:$B$13=TRIM(E181)),FOREX!$C$2:$C$13,
 100)</f>
        <v>873.62846999999999</v>
      </c>
      <c r="H181" t="s">
        <v>1552</v>
      </c>
      <c r="I181" s="30" t="s">
        <v>364</v>
      </c>
      <c r="J181" s="35" t="str">
        <f>_xlfn.XLOOKUP(I181,costcategory[Account Code],costcategory[Cost Category],"ERROR")</f>
        <v>Headcount Costs</v>
      </c>
      <c r="K181" s="89" t="str">
        <f t="shared" si="5"/>
        <v>DSC</v>
      </c>
      <c r="L181" s="89" t="str">
        <f>_xlfn.XLOOKUP(K181,Table2[Department],Table2[Group],"ERROR")</f>
        <v>DSC</v>
      </c>
    </row>
    <row r="182" spans="1:12" x14ac:dyDescent="0.2">
      <c r="A182" t="s">
        <v>1</v>
      </c>
      <c r="B182" s="38">
        <v>46084</v>
      </c>
      <c r="C182" s="38">
        <v>46084</v>
      </c>
      <c r="D182" t="s">
        <v>1536</v>
      </c>
      <c r="E182" t="s">
        <v>77</v>
      </c>
      <c r="F182" s="37">
        <v>805.87</v>
      </c>
      <c r="G182" s="37" cm="1">
        <f t="array" ref="G182">F182*_xlfn.XLOOKUP(1,
 (FOREX!$A$2:$A$13=EOMONTH(B182,0))*
 (FOREX!$B$2:$B$13=TRIM(E182)),FOREX!$C$2:$C$13,
 100)</f>
        <v>624.66690702000005</v>
      </c>
      <c r="H182" t="s">
        <v>412</v>
      </c>
      <c r="I182" t="s">
        <v>387</v>
      </c>
      <c r="J182" s="35" t="str">
        <f>_xlfn.XLOOKUP(I182,costcategory[Account Code],costcategory[Cost Category],"ERROR")</f>
        <v>Headcount Costs</v>
      </c>
      <c r="K182" s="89" t="str">
        <f t="shared" ref="K182:K186" si="6">_xlfn.XLOOKUP(D182,$AF$3:$AF$21,$AG$3:$AG$21,"ERROR")</f>
        <v>DSC</v>
      </c>
      <c r="L182" s="89" t="str">
        <f>_xlfn.XLOOKUP(K182,Table2[Department],Table2[Group],"ERROR")</f>
        <v>DSC</v>
      </c>
    </row>
    <row r="183" spans="1:12" x14ac:dyDescent="0.2">
      <c r="A183" t="s">
        <v>1</v>
      </c>
      <c r="B183" s="38">
        <v>46084</v>
      </c>
      <c r="C183" s="38">
        <v>46084</v>
      </c>
      <c r="D183" t="s">
        <v>1536</v>
      </c>
      <c r="E183" t="s">
        <v>77</v>
      </c>
      <c r="F183" s="37">
        <v>0.5</v>
      </c>
      <c r="G183" s="37" cm="1">
        <f t="array" ref="G183">F183*_xlfn.XLOOKUP(1,
 (FOREX!$A$2:$A$13=EOMONTH(B183,0))*
 (FOREX!$B$2:$B$13=TRIM(E183)),FOREX!$C$2:$C$13,
 100)</f>
        <v>0.387573</v>
      </c>
      <c r="H183" t="s">
        <v>1553</v>
      </c>
      <c r="I183" t="s">
        <v>387</v>
      </c>
      <c r="J183" s="35" t="str">
        <f>_xlfn.XLOOKUP(I183,costcategory[Account Code],costcategory[Cost Category],"ERROR")</f>
        <v>Headcount Costs</v>
      </c>
      <c r="K183" s="89" t="str">
        <f t="shared" si="6"/>
        <v>DSC</v>
      </c>
      <c r="L183" s="89" t="str">
        <f>_xlfn.XLOOKUP(K183,Table2[Department],Table2[Group],"ERROR")</f>
        <v>DSC</v>
      </c>
    </row>
    <row r="184" spans="1:12" x14ac:dyDescent="0.2">
      <c r="A184" t="s">
        <v>1</v>
      </c>
      <c r="B184" s="38">
        <v>46084</v>
      </c>
      <c r="C184" s="38">
        <v>46120</v>
      </c>
      <c r="D184" t="s">
        <v>1536</v>
      </c>
      <c r="E184" t="s">
        <v>77</v>
      </c>
      <c r="F184" s="37">
        <v>115</v>
      </c>
      <c r="G184" s="37" cm="1">
        <f t="array" ref="G184">F184*_xlfn.XLOOKUP(1,
 (FOREX!$A$2:$A$13=EOMONTH(B184,0))*
 (FOREX!$B$2:$B$13=TRIM(E184)),FOREX!$C$2:$C$13,
 100)</f>
        <v>89.14179</v>
      </c>
      <c r="H184" t="s">
        <v>1554</v>
      </c>
      <c r="I184" t="s">
        <v>387</v>
      </c>
      <c r="J184" s="35" t="str">
        <f>_xlfn.XLOOKUP(I184,costcategory[Account Code],costcategory[Cost Category],"ERROR")</f>
        <v>Headcount Costs</v>
      </c>
      <c r="K184" s="89" t="str">
        <f t="shared" si="6"/>
        <v>DSC</v>
      </c>
      <c r="L184" s="89" t="str">
        <f>_xlfn.XLOOKUP(K184,Table2[Department],Table2[Group],"ERROR")</f>
        <v>DSC</v>
      </c>
    </row>
    <row r="185" spans="1:12" x14ac:dyDescent="0.2">
      <c r="A185" t="s">
        <v>1</v>
      </c>
      <c r="B185" s="38">
        <v>46084</v>
      </c>
      <c r="C185" s="38">
        <v>46120</v>
      </c>
      <c r="D185" t="s">
        <v>1536</v>
      </c>
      <c r="E185" t="s">
        <v>77</v>
      </c>
      <c r="F185" s="37">
        <v>2.2999999999999998</v>
      </c>
      <c r="G185" s="37" cm="1">
        <f t="array" ref="G185">F185*_xlfn.XLOOKUP(1,
 (FOREX!$A$2:$A$13=EOMONTH(B185,0))*
 (FOREX!$B$2:$B$13=TRIM(E185)),FOREX!$C$2:$C$13,
 100)</f>
        <v>1.7828358</v>
      </c>
      <c r="H185" t="s">
        <v>1555</v>
      </c>
      <c r="I185" s="30" t="s">
        <v>364</v>
      </c>
      <c r="J185" s="35" t="str">
        <f>_xlfn.XLOOKUP(I185,costcategory[Account Code],costcategory[Cost Category],"ERROR")</f>
        <v>Headcount Costs</v>
      </c>
      <c r="K185" s="89" t="str">
        <f t="shared" si="6"/>
        <v>DSC</v>
      </c>
      <c r="L185" s="89" t="str">
        <f>_xlfn.XLOOKUP(K185,Table2[Department],Table2[Group],"ERROR")</f>
        <v>DSC</v>
      </c>
    </row>
    <row r="186" spans="1:12" x14ac:dyDescent="0.2">
      <c r="A186" t="s">
        <v>1</v>
      </c>
      <c r="B186" s="38">
        <v>46084</v>
      </c>
      <c r="C186" s="38">
        <v>46120</v>
      </c>
      <c r="D186" t="s">
        <v>1536</v>
      </c>
      <c r="E186" t="s">
        <v>77</v>
      </c>
      <c r="F186" s="37">
        <v>115</v>
      </c>
      <c r="G186" s="37" cm="1">
        <f t="array" ref="G186">F186*_xlfn.XLOOKUP(1,
 (FOREX!$A$2:$A$13=EOMONTH(B186,0))*
 (FOREX!$B$2:$B$13=TRIM(E186)),FOREX!$C$2:$C$13,
 100)</f>
        <v>89.14179</v>
      </c>
      <c r="H186" t="s">
        <v>1556</v>
      </c>
      <c r="I186" s="30" t="s">
        <v>364</v>
      </c>
      <c r="J186" s="35" t="str">
        <f>_xlfn.XLOOKUP(I186,costcategory[Account Code],costcategory[Cost Category],"ERROR")</f>
        <v>Headcount Costs</v>
      </c>
      <c r="K186" s="89" t="str">
        <f t="shared" si="6"/>
        <v>DSC</v>
      </c>
      <c r="L186" s="89" t="str">
        <f>_xlfn.XLOOKUP(K186,Table2[Department],Table2[Group],"ERROR")</f>
        <v>DSC</v>
      </c>
    </row>
    <row r="187" spans="1:12" x14ac:dyDescent="0.2">
      <c r="A187" t="s">
        <v>1</v>
      </c>
      <c r="B187" s="38">
        <v>46098</v>
      </c>
      <c r="C187" s="38">
        <v>46098</v>
      </c>
      <c r="D187" t="s">
        <v>1532</v>
      </c>
      <c r="E187" t="s">
        <v>77</v>
      </c>
      <c r="F187" s="37">
        <v>13902.65</v>
      </c>
      <c r="G187" s="37" cm="1">
        <f t="array" ref="G187">F187*_xlfn.XLOOKUP(1,
 (FOREX!$A$2:$A$13=EOMONTH(B187,0))*
 (FOREX!$B$2:$B$13=TRIM(E187)),FOREX!$C$2:$C$13,
 100)</f>
        <v>10776.5835369</v>
      </c>
      <c r="H187" t="s">
        <v>412</v>
      </c>
      <c r="I187" t="s">
        <v>387</v>
      </c>
      <c r="J187" s="35" t="str">
        <f>_xlfn.XLOOKUP(I187,costcategory[Account Code],costcategory[Cost Category],"ERROR")</f>
        <v>Headcount Costs</v>
      </c>
      <c r="K187" s="89" t="str">
        <f t="shared" ref="K187" si="7">_xlfn.XLOOKUP(D187,$AF$3:$AF$21,$AG$3:$AG$21,"ERROR")</f>
        <v>R&amp;D - Team P</v>
      </c>
      <c r="L187" s="89" t="str">
        <f>_xlfn.XLOOKUP(K187,Table2[Department],Table2[Group],"ERROR")</f>
        <v>Research &amp; Development</v>
      </c>
    </row>
    <row r="188" spans="1:12" x14ac:dyDescent="0.2">
      <c r="A188" t="s">
        <v>1</v>
      </c>
      <c r="B188" s="38">
        <v>46098</v>
      </c>
      <c r="C188" s="38">
        <v>46084</v>
      </c>
      <c r="D188" t="s">
        <v>1532</v>
      </c>
      <c r="E188" t="s">
        <v>77</v>
      </c>
      <c r="F188" s="37">
        <v>11422.09</v>
      </c>
      <c r="G188" s="37" cm="1">
        <f t="array" ref="G188">F188*_xlfn.XLOOKUP(1,
 (FOREX!$A$2:$A$13=EOMONTH(B188,0))*
 (FOREX!$B$2:$B$13=TRIM(E188)),FOREX!$C$2:$C$13,
 100)</f>
        <v>8853.7873751400002</v>
      </c>
      <c r="H188" t="s">
        <v>1557</v>
      </c>
      <c r="I188" t="s">
        <v>387</v>
      </c>
      <c r="J188" s="35" t="str">
        <f>_xlfn.XLOOKUP(I188,costcategory[Account Code],costcategory[Cost Category],"ERROR")</f>
        <v>Headcount Costs</v>
      </c>
      <c r="K188" s="89" t="str">
        <f>_xlfn.XLOOKUP(D188,$AF$3:$AF$21,$AG$3:$AG$21,"ERROR")</f>
        <v>R&amp;D - Team P</v>
      </c>
      <c r="L188" s="89" t="str">
        <f>_xlfn.XLOOKUP(K188,Table2[Department],Table2[Group],"ERROR")</f>
        <v>Research &amp; Development</v>
      </c>
    </row>
    <row r="189" spans="1:12" x14ac:dyDescent="0.2">
      <c r="A189" t="s">
        <v>1</v>
      </c>
      <c r="B189" s="38">
        <v>46098</v>
      </c>
      <c r="C189" s="38">
        <v>46120</v>
      </c>
      <c r="D189" t="s">
        <v>1532</v>
      </c>
      <c r="E189" t="s">
        <v>77</v>
      </c>
      <c r="F189" s="37">
        <v>11.25</v>
      </c>
      <c r="G189" s="37" cm="1">
        <f t="array" ref="G189">F189*_xlfn.XLOOKUP(1,
 (FOREX!$A$2:$A$13=EOMONTH(B189,0))*
 (FOREX!$B$2:$B$13=TRIM(E189)),FOREX!$C$2:$C$13,
 100)</f>
        <v>8.7203925000000009</v>
      </c>
      <c r="H189" t="s">
        <v>1555</v>
      </c>
      <c r="I189" s="30" t="s">
        <v>364</v>
      </c>
      <c r="J189" s="35" t="str">
        <f>_xlfn.XLOOKUP(I189,costcategory[Account Code],costcategory[Cost Category],"ERROR")</f>
        <v>Headcount Costs</v>
      </c>
      <c r="K189" s="89" t="str">
        <f t="shared" ref="K189:K191" si="8">_xlfn.XLOOKUP(D189,$AF$3:$AF$21,$AG$3:$AG$21,"ERROR")</f>
        <v>R&amp;D - Team P</v>
      </c>
      <c r="L189" s="89" t="str">
        <f>_xlfn.XLOOKUP(K189,Table2[Department],Table2[Group],"ERROR")</f>
        <v>Research &amp; Development</v>
      </c>
    </row>
    <row r="190" spans="1:12" x14ac:dyDescent="0.2">
      <c r="A190" t="s">
        <v>1</v>
      </c>
      <c r="B190" s="38">
        <v>46112</v>
      </c>
      <c r="C190" s="38">
        <v>46112</v>
      </c>
      <c r="D190" t="s">
        <v>1521</v>
      </c>
      <c r="E190" t="s">
        <v>77</v>
      </c>
      <c r="F190" s="37">
        <v>32550</v>
      </c>
      <c r="G190" s="37" cm="1">
        <f t="array" ref="G190">F190*_xlfn.XLOOKUP(1,
 (FOREX!$A$2:$A$13=EOMONTH(B190,0))*
 (FOREX!$B$2:$B$13=TRIM(E190)),FOREX!$C$2:$C$13,
 100)</f>
        <v>25231.0023</v>
      </c>
      <c r="H190" t="s">
        <v>412</v>
      </c>
      <c r="I190" t="s">
        <v>387</v>
      </c>
      <c r="J190" s="35" t="str">
        <f>_xlfn.XLOOKUP(I190,costcategory[Account Code],costcategory[Cost Category],"ERROR")</f>
        <v>Headcount Costs</v>
      </c>
      <c r="K190" s="89" t="str">
        <f t="shared" si="8"/>
        <v>Management</v>
      </c>
      <c r="L190" s="89" t="str">
        <f>_xlfn.XLOOKUP(K190,Table2[Department],Table2[Group],"ERROR")</f>
        <v>General &amp; Administrative</v>
      </c>
    </row>
    <row r="191" spans="1:12" x14ac:dyDescent="0.2">
      <c r="A191" t="s">
        <v>1</v>
      </c>
      <c r="B191" s="38">
        <v>46112</v>
      </c>
      <c r="C191" s="38">
        <v>46112</v>
      </c>
      <c r="D191" t="s">
        <v>1522</v>
      </c>
      <c r="E191" t="s">
        <v>77</v>
      </c>
      <c r="F191" s="37">
        <f>10832-F192</f>
        <v>9632</v>
      </c>
      <c r="G191" s="37" cm="1">
        <f t="array" ref="G191">F191*_xlfn.XLOOKUP(1,
 (FOREX!$A$2:$A$13=EOMONTH(B191,0))*
 (FOREX!$B$2:$B$13=TRIM(E191)),FOREX!$C$2:$C$13,
 100)</f>
        <v>7466.2062720000004</v>
      </c>
      <c r="H191" t="s">
        <v>412</v>
      </c>
      <c r="I191" t="s">
        <v>387</v>
      </c>
      <c r="J191" s="35" t="str">
        <f>_xlfn.XLOOKUP(I191,costcategory[Account Code],costcategory[Cost Category],"ERROR")</f>
        <v>Headcount Costs</v>
      </c>
      <c r="K191" s="89" t="str">
        <f t="shared" si="8"/>
        <v>Marketing</v>
      </c>
      <c r="L191" s="89" t="str">
        <f>_xlfn.XLOOKUP(K191,Table2[Department],Table2[Group],"ERROR")</f>
        <v>Sales &amp; Marketing</v>
      </c>
    </row>
    <row r="192" spans="1:12" x14ac:dyDescent="0.2">
      <c r="A192" t="s">
        <v>1</v>
      </c>
      <c r="B192" s="38">
        <v>46112</v>
      </c>
      <c r="C192" s="38">
        <v>46112</v>
      </c>
      <c r="D192" t="s">
        <v>1522</v>
      </c>
      <c r="E192" t="s">
        <v>77</v>
      </c>
      <c r="F192" s="37">
        <v>1200</v>
      </c>
      <c r="G192" s="37" cm="1">
        <f t="array" ref="G192">F192*_xlfn.XLOOKUP(1,
 (FOREX!$A$2:$A$13=EOMONTH(B192,0))*
 (FOREX!$B$2:$B$13=TRIM(E192)),FOREX!$C$2:$C$13,
 100)</f>
        <v>930.17520000000002</v>
      </c>
      <c r="H192" t="s">
        <v>1492</v>
      </c>
      <c r="I192" t="s">
        <v>1160</v>
      </c>
      <c r="J192" s="35" t="str">
        <f>_xlfn.XLOOKUP(I192,costcategory[Account Code],costcategory[Cost Category],"ERROR")</f>
        <v>Headcount Costs</v>
      </c>
      <c r="K192" s="89" t="str">
        <f t="shared" ref="K192" si="9">_xlfn.XLOOKUP(D192,$AF$3:$AF$21,$AG$3:$AG$21,"ERROR")</f>
        <v>Marketing</v>
      </c>
      <c r="L192" s="89" t="str">
        <f>_xlfn.XLOOKUP(K192,Table2[Department],Table2[Group],"ERROR")</f>
        <v>Sales &amp; Marketing</v>
      </c>
    </row>
    <row r="193" spans="1:12" x14ac:dyDescent="0.2">
      <c r="A193" t="s">
        <v>1</v>
      </c>
      <c r="B193" s="38">
        <v>46112</v>
      </c>
      <c r="C193" s="38">
        <v>46112</v>
      </c>
      <c r="D193" t="s">
        <v>1523</v>
      </c>
      <c r="E193" t="s">
        <v>77</v>
      </c>
      <c r="F193" s="37">
        <v>23550</v>
      </c>
      <c r="G193" s="37" cm="1">
        <f t="array" ref="G193">F193*_xlfn.XLOOKUP(1,
 (FOREX!$A$2:$A$13=EOMONTH(B193,0))*
 (FOREX!$B$2:$B$13=TRIM(E193)),FOREX!$C$2:$C$13,
 100)</f>
        <v>18254.688300000002</v>
      </c>
      <c r="H193" t="s">
        <v>412</v>
      </c>
      <c r="I193" t="s">
        <v>387</v>
      </c>
      <c r="J193" s="35" t="str">
        <f>_xlfn.XLOOKUP(I193,costcategory[Account Code],costcategory[Cost Category],"ERROR")</f>
        <v>Headcount Costs</v>
      </c>
      <c r="K193" s="89" t="str">
        <f t="shared" ref="K193:K208" si="10">_xlfn.XLOOKUP(D193,$AF$3:$AF$21,$AG$3:$AG$21,"ERROR")</f>
        <v>Management</v>
      </c>
      <c r="L193" s="89" t="str">
        <f>_xlfn.XLOOKUP(K193,Table2[Department],Table2[Group],"ERROR")</f>
        <v>General &amp; Administrative</v>
      </c>
    </row>
    <row r="194" spans="1:12" x14ac:dyDescent="0.2">
      <c r="A194" t="s">
        <v>1</v>
      </c>
      <c r="B194" s="38">
        <v>46112</v>
      </c>
      <c r="C194" s="38">
        <v>46112</v>
      </c>
      <c r="D194" t="s">
        <v>1524</v>
      </c>
      <c r="E194" t="s">
        <v>77</v>
      </c>
      <c r="F194" s="37">
        <v>7345</v>
      </c>
      <c r="G194" s="37" cm="1">
        <f t="array" ref="G194">F194*_xlfn.XLOOKUP(1,
 (FOREX!$A$2:$A$13=EOMONTH(B194,0))*
 (FOREX!$B$2:$B$13=TRIM(E194)),FOREX!$C$2:$C$13,
 100)</f>
        <v>5693.4473699999999</v>
      </c>
      <c r="H194" t="s">
        <v>412</v>
      </c>
      <c r="I194" t="s">
        <v>387</v>
      </c>
      <c r="J194" s="35" t="str">
        <f>_xlfn.XLOOKUP(I194,costcategory[Account Code],costcategory[Cost Category],"ERROR")</f>
        <v>Headcount Costs</v>
      </c>
      <c r="K194" s="89" t="str">
        <f t="shared" si="10"/>
        <v>Business Operation</v>
      </c>
      <c r="L194" s="89" t="str">
        <f>_xlfn.XLOOKUP(K194,Table2[Department],Table2[Group],"ERROR")</f>
        <v>Sales &amp; Marketing</v>
      </c>
    </row>
    <row r="195" spans="1:12" x14ac:dyDescent="0.2">
      <c r="A195" t="s">
        <v>1</v>
      </c>
      <c r="B195" s="38">
        <v>46112</v>
      </c>
      <c r="C195" s="38">
        <v>46112</v>
      </c>
      <c r="D195" t="s">
        <v>1525</v>
      </c>
      <c r="E195" t="s">
        <v>77</v>
      </c>
      <c r="F195" s="37">
        <v>12207</v>
      </c>
      <c r="G195" s="37" cm="1">
        <f t="array" ref="G195">F195*_xlfn.XLOOKUP(1,
 (FOREX!$A$2:$A$13=EOMONTH(B195,0))*
 (FOREX!$B$2:$B$13=TRIM(E195)),FOREX!$C$2:$C$13,
 100)</f>
        <v>9462.2072220000009</v>
      </c>
      <c r="H195" t="s">
        <v>412</v>
      </c>
      <c r="I195" t="s">
        <v>387</v>
      </c>
      <c r="J195" s="35" t="str">
        <f>_xlfn.XLOOKUP(I195,costcategory[Account Code],costcategory[Cost Category],"ERROR")</f>
        <v>Headcount Costs</v>
      </c>
      <c r="K195" s="89" t="str">
        <f t="shared" si="10"/>
        <v>Sales &amp; Pre-Sales</v>
      </c>
      <c r="L195" s="89" t="str">
        <f>_xlfn.XLOOKUP(K195,Table2[Department],Table2[Group],"ERROR")</f>
        <v>Sales &amp; Marketing</v>
      </c>
    </row>
    <row r="196" spans="1:12" x14ac:dyDescent="0.2">
      <c r="A196" t="s">
        <v>1</v>
      </c>
      <c r="B196" s="38">
        <v>46112</v>
      </c>
      <c r="C196" s="38">
        <v>46112</v>
      </c>
      <c r="D196" t="s">
        <v>1527</v>
      </c>
      <c r="E196" t="s">
        <v>77</v>
      </c>
      <c r="F196" s="37">
        <v>6782</v>
      </c>
      <c r="G196" s="37" cm="1">
        <f t="array" ref="G196">F196*_xlfn.XLOOKUP(1,
 (FOREX!$A$2:$A$13=EOMONTH(B196,0))*
 (FOREX!$B$2:$B$13=TRIM(E196)),FOREX!$C$2:$C$13,
 100)</f>
        <v>5257.040172</v>
      </c>
      <c r="H196" t="s">
        <v>412</v>
      </c>
      <c r="I196" t="s">
        <v>387</v>
      </c>
      <c r="J196" s="35" t="str">
        <f>_xlfn.XLOOKUP(I196,costcategory[Account Code],costcategory[Cost Category],"ERROR")</f>
        <v>Headcount Costs</v>
      </c>
      <c r="K196" s="89" t="str">
        <f t="shared" si="10"/>
        <v>DSC</v>
      </c>
      <c r="L196" s="89" t="str">
        <f>_xlfn.XLOOKUP(K196,Table2[Department],Table2[Group],"ERROR")</f>
        <v>DSC</v>
      </c>
    </row>
    <row r="197" spans="1:12" x14ac:dyDescent="0.2">
      <c r="A197" t="s">
        <v>1</v>
      </c>
      <c r="B197" s="38">
        <v>46112</v>
      </c>
      <c r="C197" s="38">
        <v>46112</v>
      </c>
      <c r="D197" t="s">
        <v>1528</v>
      </c>
      <c r="E197" t="s">
        <v>77</v>
      </c>
      <c r="F197" s="37">
        <v>7865</v>
      </c>
      <c r="G197" s="37" cm="1">
        <f t="array" ref="G197">F197*_xlfn.XLOOKUP(1,
 (FOREX!$A$2:$A$13=EOMONTH(B197,0))*
 (FOREX!$B$2:$B$13=TRIM(E197)),FOREX!$C$2:$C$13,
 100)</f>
        <v>6096.5232900000001</v>
      </c>
      <c r="H197" t="s">
        <v>412</v>
      </c>
      <c r="I197" t="s">
        <v>387</v>
      </c>
      <c r="J197" s="35" t="str">
        <f>_xlfn.XLOOKUP(I197,costcategory[Account Code],costcategory[Cost Category],"ERROR")</f>
        <v>Headcount Costs</v>
      </c>
      <c r="K197" s="89" t="str">
        <f t="shared" si="10"/>
        <v>R&amp;D - Team D</v>
      </c>
      <c r="L197" s="89" t="str">
        <f>_xlfn.XLOOKUP(K197,Table2[Department],Table2[Group],"ERROR")</f>
        <v>Research &amp; Development</v>
      </c>
    </row>
    <row r="198" spans="1:12" x14ac:dyDescent="0.2">
      <c r="A198" t="s">
        <v>1</v>
      </c>
      <c r="B198" s="38">
        <v>46112</v>
      </c>
      <c r="C198" s="38">
        <v>46112</v>
      </c>
      <c r="D198" t="s">
        <v>1529</v>
      </c>
      <c r="E198" t="s">
        <v>77</v>
      </c>
      <c r="F198" s="37">
        <v>15340</v>
      </c>
      <c r="G198" s="37" cm="1">
        <f t="array" ref="G198">F198*_xlfn.XLOOKUP(1,
 (FOREX!$A$2:$A$13=EOMONTH(B198,0))*
 (FOREX!$B$2:$B$13=TRIM(E198)),FOREX!$C$2:$C$13,
 100)</f>
        <v>11890.73964</v>
      </c>
      <c r="H198" t="s">
        <v>412</v>
      </c>
      <c r="I198" t="s">
        <v>387</v>
      </c>
      <c r="J198" s="35" t="str">
        <f>_xlfn.XLOOKUP(I198,costcategory[Account Code],costcategory[Cost Category],"ERROR")</f>
        <v>Headcount Costs</v>
      </c>
      <c r="K198" s="89" t="str">
        <f t="shared" si="10"/>
        <v>R&amp;D - Team W</v>
      </c>
      <c r="L198" s="89" t="str">
        <f>_xlfn.XLOOKUP(K198,Table2[Department],Table2[Group],"ERROR")</f>
        <v>Research &amp; Development</v>
      </c>
    </row>
    <row r="199" spans="1:12" x14ac:dyDescent="0.2">
      <c r="A199" t="s">
        <v>1</v>
      </c>
      <c r="B199" s="38">
        <v>46112</v>
      </c>
      <c r="C199" s="38">
        <v>46112</v>
      </c>
      <c r="D199" t="s">
        <v>1530</v>
      </c>
      <c r="E199" t="s">
        <v>77</v>
      </c>
      <c r="F199" s="37">
        <f>23324-F200</f>
        <v>21324</v>
      </c>
      <c r="G199" s="37" cm="1">
        <f t="array" ref="G199">F199*_xlfn.XLOOKUP(1,
 (FOREX!$A$2:$A$13=EOMONTH(B199,0))*
 (FOREX!$B$2:$B$13=TRIM(E199)),FOREX!$C$2:$C$13,
 100)</f>
        <v>16529.213304000001</v>
      </c>
      <c r="H199" t="s">
        <v>412</v>
      </c>
      <c r="I199" t="s">
        <v>387</v>
      </c>
      <c r="J199" s="35" t="str">
        <f>_xlfn.XLOOKUP(I199,costcategory[Account Code],costcategory[Cost Category],"ERROR")</f>
        <v>Headcount Costs</v>
      </c>
      <c r="K199" s="89" t="str">
        <f t="shared" si="10"/>
        <v>R&amp;D - Team D</v>
      </c>
      <c r="L199" s="89" t="str">
        <f>_xlfn.XLOOKUP(K199,Table2[Department],Table2[Group],"ERROR")</f>
        <v>Research &amp; Development</v>
      </c>
    </row>
    <row r="200" spans="1:12" x14ac:dyDescent="0.2">
      <c r="A200" t="s">
        <v>1</v>
      </c>
      <c r="B200" s="38">
        <v>46112</v>
      </c>
      <c r="C200" s="38">
        <v>46112</v>
      </c>
      <c r="D200" t="s">
        <v>1530</v>
      </c>
      <c r="E200" t="s">
        <v>77</v>
      </c>
      <c r="F200" s="37">
        <v>2000</v>
      </c>
      <c r="G200" s="37" cm="1">
        <f t="array" ref="G200">F200*_xlfn.XLOOKUP(1,
 (FOREX!$A$2:$A$13=EOMONTH(B200,0))*
 (FOREX!$B$2:$B$13=TRIM(E200)),FOREX!$C$2:$C$13,
 100)</f>
        <v>1550.2919999999999</v>
      </c>
      <c r="H200" t="s">
        <v>1492</v>
      </c>
      <c r="I200" t="s">
        <v>1160</v>
      </c>
      <c r="J200" s="35" t="str">
        <f>_xlfn.XLOOKUP(I200,costcategory[Account Code],costcategory[Cost Category],"ERROR")</f>
        <v>Headcount Costs</v>
      </c>
      <c r="K200" s="89" t="str">
        <f t="shared" ref="K200" si="11">_xlfn.XLOOKUP(D200,$AF$3:$AF$21,$AG$3:$AG$21,"ERROR")</f>
        <v>R&amp;D - Team D</v>
      </c>
      <c r="L200" s="89" t="str">
        <f>_xlfn.XLOOKUP(K200,Table2[Department],Table2[Group],"ERROR")</f>
        <v>Research &amp; Development</v>
      </c>
    </row>
    <row r="201" spans="1:12" x14ac:dyDescent="0.2">
      <c r="A201" t="s">
        <v>1</v>
      </c>
      <c r="B201" s="38">
        <v>46112</v>
      </c>
      <c r="C201" s="38">
        <v>46112</v>
      </c>
      <c r="D201" t="s">
        <v>1531</v>
      </c>
      <c r="E201" t="s">
        <v>77</v>
      </c>
      <c r="F201" s="37">
        <v>27339</v>
      </c>
      <c r="G201" s="37" cm="1">
        <f t="array" ref="G201">F201*_xlfn.XLOOKUP(1,
 (FOREX!$A$2:$A$13=EOMONTH(B201,0))*
 (FOREX!$B$2:$B$13=TRIM(E201)),FOREX!$C$2:$C$13,
 100)</f>
        <v>21191.716494</v>
      </c>
      <c r="H201" t="s">
        <v>412</v>
      </c>
      <c r="I201" t="s">
        <v>387</v>
      </c>
      <c r="J201" s="35" t="str">
        <f>_xlfn.XLOOKUP(I201,costcategory[Account Code],costcategory[Cost Category],"ERROR")</f>
        <v>Headcount Costs</v>
      </c>
      <c r="K201" s="89" t="str">
        <f t="shared" si="10"/>
        <v>R&amp;D - Team W</v>
      </c>
      <c r="L201" s="89" t="str">
        <f>_xlfn.XLOOKUP(K201,Table2[Department],Table2[Group],"ERROR")</f>
        <v>Research &amp; Development</v>
      </c>
    </row>
    <row r="202" spans="1:12" x14ac:dyDescent="0.2">
      <c r="A202" t="s">
        <v>1</v>
      </c>
      <c r="B202" s="38">
        <v>46112</v>
      </c>
      <c r="C202" s="38">
        <v>46112</v>
      </c>
      <c r="D202" t="s">
        <v>1533</v>
      </c>
      <c r="E202" t="s">
        <v>77</v>
      </c>
      <c r="F202" s="37">
        <v>2636.59</v>
      </c>
      <c r="G202" s="37" cm="1">
        <f t="array" ref="G202">F202*_xlfn.XLOOKUP(1,
 (FOREX!$A$2:$A$13=EOMONTH(B202,0))*
 (FOREX!$B$2:$B$13=TRIM(E202)),FOREX!$C$2:$C$13,
 100)</f>
        <v>2043.74219214</v>
      </c>
      <c r="H202" t="s">
        <v>412</v>
      </c>
      <c r="I202" t="s">
        <v>387</v>
      </c>
      <c r="J202" s="35" t="str">
        <f>_xlfn.XLOOKUP(I202,costcategory[Account Code],costcategory[Cost Category],"ERROR")</f>
        <v>Headcount Costs</v>
      </c>
      <c r="K202" s="89" t="str">
        <f t="shared" si="10"/>
        <v>R&amp;D - Team D</v>
      </c>
      <c r="L202" s="89" t="str">
        <f>_xlfn.XLOOKUP(K202,Table2[Department],Table2[Group],"ERROR")</f>
        <v>Research &amp; Development</v>
      </c>
    </row>
    <row r="203" spans="1:12" x14ac:dyDescent="0.2">
      <c r="A203" t="s">
        <v>1</v>
      </c>
      <c r="B203" s="38">
        <v>46112</v>
      </c>
      <c r="C203" s="38">
        <v>46112</v>
      </c>
      <c r="D203" t="s">
        <v>1535</v>
      </c>
      <c r="E203" t="s">
        <v>77</v>
      </c>
      <c r="F203" s="37">
        <f>14164-F204</f>
        <v>13164</v>
      </c>
      <c r="G203" s="37" cm="1">
        <f t="array" ref="G203">F203*_xlfn.XLOOKUP(1,
 (FOREX!$A$2:$A$13=EOMONTH(B203,0))*
 (FOREX!$B$2:$B$13=TRIM(E203)),FOREX!$C$2:$C$13,
 100)</f>
        <v>10204.021944</v>
      </c>
      <c r="H203" t="s">
        <v>412</v>
      </c>
      <c r="I203" t="s">
        <v>387</v>
      </c>
      <c r="J203" s="35" t="str">
        <f>_xlfn.XLOOKUP(I203,costcategory[Account Code],costcategory[Cost Category],"ERROR")</f>
        <v>Headcount Costs</v>
      </c>
      <c r="K203" s="89" t="str">
        <f t="shared" si="10"/>
        <v>HR</v>
      </c>
      <c r="L203" s="89" t="str">
        <f>_xlfn.XLOOKUP(K203,Table2[Department],Table2[Group],"ERROR")</f>
        <v>General &amp; Administrative</v>
      </c>
    </row>
    <row r="204" spans="1:12" x14ac:dyDescent="0.2">
      <c r="A204" t="s">
        <v>1</v>
      </c>
      <c r="B204" s="38">
        <v>46112</v>
      </c>
      <c r="C204" s="38">
        <v>46112</v>
      </c>
      <c r="D204" t="s">
        <v>1535</v>
      </c>
      <c r="E204" t="s">
        <v>77</v>
      </c>
      <c r="F204" s="37">
        <v>1000</v>
      </c>
      <c r="G204" s="37" cm="1">
        <f t="array" ref="G204">F204*_xlfn.XLOOKUP(1,
 (FOREX!$A$2:$A$13=EOMONTH(B204,0))*
 (FOREX!$B$2:$B$13=TRIM(E204)),FOREX!$C$2:$C$13,
 100)</f>
        <v>775.14599999999996</v>
      </c>
      <c r="H204" t="s">
        <v>1492</v>
      </c>
      <c r="I204" t="s">
        <v>1160</v>
      </c>
      <c r="J204" s="35" t="str">
        <f>_xlfn.XLOOKUP(I204,costcategory[Account Code],costcategory[Cost Category],"ERROR")</f>
        <v>Headcount Costs</v>
      </c>
      <c r="K204" s="89" t="str">
        <f t="shared" ref="K204" si="12">_xlfn.XLOOKUP(D204,$AF$3:$AF$21,$AG$3:$AG$21,"ERROR")</f>
        <v>HR</v>
      </c>
      <c r="L204" s="89" t="str">
        <f>_xlfn.XLOOKUP(K204,Table2[Department],Table2[Group],"ERROR")</f>
        <v>General &amp; Administrative</v>
      </c>
    </row>
    <row r="205" spans="1:12" x14ac:dyDescent="0.2">
      <c r="A205" t="s">
        <v>1</v>
      </c>
      <c r="B205" s="38">
        <v>46112</v>
      </c>
      <c r="C205" s="38">
        <v>46112</v>
      </c>
      <c r="D205" t="s">
        <v>1537</v>
      </c>
      <c r="E205" t="s">
        <v>77</v>
      </c>
      <c r="F205" s="37">
        <v>5085</v>
      </c>
      <c r="G205" s="37" cm="1">
        <f t="array" ref="G205">F205*_xlfn.XLOOKUP(1,
 (FOREX!$A$2:$A$13=EOMONTH(B205,0))*
 (FOREX!$B$2:$B$13=TRIM(E205)),FOREX!$C$2:$C$13,
 100)</f>
        <v>3941.6174099999998</v>
      </c>
      <c r="H205" t="s">
        <v>412</v>
      </c>
      <c r="I205" t="s">
        <v>387</v>
      </c>
      <c r="J205" s="35" t="str">
        <f>_xlfn.XLOOKUP(I205,costcategory[Account Code],costcategory[Cost Category],"ERROR")</f>
        <v>Headcount Costs</v>
      </c>
      <c r="K205" s="89" t="str">
        <f t="shared" si="10"/>
        <v>DSC</v>
      </c>
      <c r="L205" s="89" t="str">
        <f>_xlfn.XLOOKUP(K205,Table2[Department],Table2[Group],"ERROR")</f>
        <v>DSC</v>
      </c>
    </row>
    <row r="206" spans="1:12" x14ac:dyDescent="0.2">
      <c r="A206" t="s">
        <v>1</v>
      </c>
      <c r="B206" s="38">
        <v>46112</v>
      </c>
      <c r="C206" s="38">
        <v>46112</v>
      </c>
      <c r="D206" t="s">
        <v>1538</v>
      </c>
      <c r="E206" t="s">
        <v>77</v>
      </c>
      <c r="F206" s="37">
        <f>6677-F207</f>
        <v>5677</v>
      </c>
      <c r="G206" s="37" cm="1">
        <f t="array" ref="G206">F206*_xlfn.XLOOKUP(1,
 (FOREX!$A$2:$A$13=EOMONTH(B206,0))*
 (FOREX!$B$2:$B$13=TRIM(E206)),FOREX!$C$2:$C$13,
 100)</f>
        <v>4400.5038420000001</v>
      </c>
      <c r="H206" t="s">
        <v>412</v>
      </c>
      <c r="I206" t="s">
        <v>387</v>
      </c>
      <c r="J206" s="35" t="str">
        <f>_xlfn.XLOOKUP(I206,costcategory[Account Code],costcategory[Cost Category],"ERROR")</f>
        <v>Headcount Costs</v>
      </c>
      <c r="K206" s="89" t="str">
        <f t="shared" si="10"/>
        <v>HR</v>
      </c>
      <c r="L206" s="89" t="str">
        <f>_xlfn.XLOOKUP(K206,Table2[Department],Table2[Group],"ERROR")</f>
        <v>General &amp; Administrative</v>
      </c>
    </row>
    <row r="207" spans="1:12" x14ac:dyDescent="0.2">
      <c r="A207" t="s">
        <v>1</v>
      </c>
      <c r="B207" s="38">
        <v>46112</v>
      </c>
      <c r="C207" s="38">
        <v>46112</v>
      </c>
      <c r="D207" t="s">
        <v>1538</v>
      </c>
      <c r="E207" t="s">
        <v>77</v>
      </c>
      <c r="F207" s="37">
        <v>1000</v>
      </c>
      <c r="G207" s="37" cm="1">
        <f t="array" ref="G207">F207*_xlfn.XLOOKUP(1,
 (FOREX!$A$2:$A$13=EOMONTH(B207,0))*
 (FOREX!$B$2:$B$13=TRIM(E207)),FOREX!$C$2:$C$13,
 100)</f>
        <v>775.14599999999996</v>
      </c>
      <c r="H207" t="s">
        <v>1492</v>
      </c>
      <c r="I207" t="s">
        <v>1160</v>
      </c>
      <c r="J207" s="35" t="str">
        <f>_xlfn.XLOOKUP(I207,costcategory[Account Code],costcategory[Cost Category],"ERROR")</f>
        <v>Headcount Costs</v>
      </c>
      <c r="K207" s="89" t="str">
        <f t="shared" ref="K207" si="13">_xlfn.XLOOKUP(D207,$AF$3:$AF$21,$AG$3:$AG$21,"ERROR")</f>
        <v>HR</v>
      </c>
      <c r="L207" s="89" t="str">
        <f>_xlfn.XLOOKUP(K207,Table2[Department],Table2[Group],"ERROR")</f>
        <v>General &amp; Administrative</v>
      </c>
    </row>
    <row r="208" spans="1:12" x14ac:dyDescent="0.2">
      <c r="A208" t="s">
        <v>1</v>
      </c>
      <c r="B208" s="38">
        <v>46112</v>
      </c>
      <c r="C208" s="38">
        <v>46112</v>
      </c>
      <c r="D208" t="s">
        <v>1539</v>
      </c>
      <c r="E208" t="s">
        <v>77</v>
      </c>
      <c r="F208" s="37">
        <v>5198</v>
      </c>
      <c r="G208" s="37" cm="1">
        <f t="array" ref="G208">F208*_xlfn.XLOOKUP(1,
 (FOREX!$A$2:$A$13=EOMONTH(B208,0))*
 (FOREX!$B$2:$B$13=TRIM(E208)),FOREX!$C$2:$C$13,
 100)</f>
        <v>4029.2089080000001</v>
      </c>
      <c r="H208" t="s">
        <v>412</v>
      </c>
      <c r="I208" t="s">
        <v>387</v>
      </c>
      <c r="J208" s="35" t="str">
        <f>_xlfn.XLOOKUP(I208,costcategory[Account Code],costcategory[Cost Category],"ERROR")</f>
        <v>Headcount Costs</v>
      </c>
      <c r="K208" s="89" t="str">
        <f t="shared" si="10"/>
        <v>DSC</v>
      </c>
      <c r="L208" s="89" t="str">
        <f>_xlfn.XLOOKUP(K208,Table2[Department],Table2[Group],"ERROR")</f>
        <v>DSC</v>
      </c>
    </row>
    <row r="209" spans="1:12" x14ac:dyDescent="0.2">
      <c r="A209" t="s">
        <v>1</v>
      </c>
      <c r="B209" s="38">
        <v>46112</v>
      </c>
      <c r="C209" s="38">
        <v>46112</v>
      </c>
      <c r="D209" t="s">
        <v>1543</v>
      </c>
      <c r="E209" t="s">
        <v>77</v>
      </c>
      <c r="F209" s="37">
        <v>3307.86</v>
      </c>
      <c r="G209" s="37" cm="1">
        <f t="array" ref="G209">F209*_xlfn.XLOOKUP(1,
 (FOREX!$A$2:$A$13=EOMONTH(B209,0))*
 (FOREX!$B$2:$B$13=TRIM(E209)),FOREX!$C$2:$C$13,
 100)</f>
        <v>2564.07444756</v>
      </c>
      <c r="H209" t="s">
        <v>412</v>
      </c>
      <c r="I209" t="s">
        <v>387</v>
      </c>
      <c r="J209" s="35" t="str">
        <f>_xlfn.XLOOKUP(I209,costcategory[Account Code],costcategory[Cost Category],"ERROR")</f>
        <v>Headcount Costs</v>
      </c>
      <c r="K209" s="89" t="str">
        <f>_xlfn.XLOOKUP(D209,$AF$3:$AF$24,$AG$3:$AG$24,"ERROR")</f>
        <v>Sales &amp; Pre-Sales</v>
      </c>
      <c r="L209" s="89" t="str">
        <f>_xlfn.XLOOKUP(K209,Table2[Department],Table2[Group],"ERROR")</f>
        <v>Sales &amp; Marketing</v>
      </c>
    </row>
    <row r="210" spans="1:12" x14ac:dyDescent="0.2">
      <c r="A210" t="s">
        <v>1</v>
      </c>
      <c r="B210" s="38">
        <v>46112</v>
      </c>
      <c r="C210" s="38">
        <v>46112</v>
      </c>
      <c r="D210" t="s">
        <v>1541</v>
      </c>
      <c r="E210" t="s">
        <v>77</v>
      </c>
      <c r="F210" s="37">
        <v>3566.58</v>
      </c>
      <c r="G210" s="37" cm="1">
        <f t="array" ref="G210">F210*_xlfn.XLOOKUP(1,
 (FOREX!$A$2:$A$13=EOMONTH(B210,0))*
 (FOREX!$B$2:$B$13=TRIM(E210)),FOREX!$C$2:$C$13,
 100)</f>
        <v>2764.6202206799999</v>
      </c>
      <c r="H210" t="s">
        <v>412</v>
      </c>
      <c r="I210" t="s">
        <v>387</v>
      </c>
      <c r="J210" s="35" t="str">
        <f>_xlfn.XLOOKUP(I210,costcategory[Account Code],costcategory[Cost Category],"ERROR")</f>
        <v>Headcount Costs</v>
      </c>
      <c r="K210" s="89" t="str">
        <f t="shared" ref="K210:K211" si="14">_xlfn.XLOOKUP(D210,$AF$3:$AF$24,$AG$3:$AG$24,"ERROR")</f>
        <v>DSC</v>
      </c>
      <c r="L210" s="89" t="str">
        <f>_xlfn.XLOOKUP(K210,Table2[Department],Table2[Group],"ERROR")</f>
        <v>DSC</v>
      </c>
    </row>
    <row r="211" spans="1:12" x14ac:dyDescent="0.2">
      <c r="A211" t="s">
        <v>1</v>
      </c>
      <c r="B211" s="38">
        <v>46112</v>
      </c>
      <c r="C211" s="38">
        <v>46112</v>
      </c>
      <c r="D211" t="s">
        <v>1542</v>
      </c>
      <c r="E211" t="s">
        <v>77</v>
      </c>
      <c r="F211" s="37">
        <v>1272.4100000000001</v>
      </c>
      <c r="G211" s="37" cm="1">
        <f t="array" ref="G211">F211*_xlfn.XLOOKUP(1,
 (FOREX!$A$2:$A$13=EOMONTH(B211,0))*
 (FOREX!$B$2:$B$13=TRIM(E211)),FOREX!$C$2:$C$13,
 100)</f>
        <v>986.30352186000005</v>
      </c>
      <c r="H211" t="s">
        <v>412</v>
      </c>
      <c r="I211" t="s">
        <v>387</v>
      </c>
      <c r="J211" s="35" t="str">
        <f>_xlfn.XLOOKUP(I211,costcategory[Account Code],costcategory[Cost Category],"ERROR")</f>
        <v>Headcount Costs</v>
      </c>
      <c r="K211" s="89" t="str">
        <f t="shared" si="14"/>
        <v>IT</v>
      </c>
      <c r="L211" s="89" t="str">
        <f>_xlfn.XLOOKUP(K211,Table2[Department],Table2[Group],"ERROR")</f>
        <v>General &amp; Administrative</v>
      </c>
    </row>
    <row r="212" spans="1:12" x14ac:dyDescent="0.2">
      <c r="A212" t="s">
        <v>1</v>
      </c>
      <c r="B212" s="38">
        <v>46112</v>
      </c>
      <c r="C212" s="38">
        <v>46120</v>
      </c>
      <c r="D212" t="s">
        <v>1521</v>
      </c>
      <c r="E212" t="s">
        <v>77</v>
      </c>
      <c r="G212" s="37" cm="1">
        <f t="array" ref="G212">F212*_xlfn.XLOOKUP(1,
 (FOREX!$A$2:$A$13=EOMONTH(B212,0))*
 (FOREX!$B$2:$B$13=TRIM(E212)),FOREX!$C$2:$C$13,
 100)</f>
        <v>0</v>
      </c>
      <c r="H212" t="s">
        <v>1553</v>
      </c>
      <c r="I212" t="s">
        <v>387</v>
      </c>
      <c r="J212" s="35" t="str">
        <f>_xlfn.XLOOKUP(I212,costcategory[Account Code],costcategory[Cost Category],"ERROR")</f>
        <v>Headcount Costs</v>
      </c>
      <c r="K212" s="89" t="str">
        <f t="shared" ref="K212:K214" si="15">_xlfn.XLOOKUP(D212,$AF$3:$AF$21,$AG$3:$AG$21,"ERROR")</f>
        <v>Management</v>
      </c>
      <c r="L212" s="89" t="str">
        <f>_xlfn.XLOOKUP(K212,Table2[Department],Table2[Group],"ERROR")</f>
        <v>General &amp; Administrative</v>
      </c>
    </row>
    <row r="213" spans="1:12" x14ac:dyDescent="0.2">
      <c r="A213" t="s">
        <v>1</v>
      </c>
      <c r="B213" s="38">
        <v>46112</v>
      </c>
      <c r="C213" s="38">
        <v>46120</v>
      </c>
      <c r="D213" t="s">
        <v>1522</v>
      </c>
      <c r="E213" t="s">
        <v>77</v>
      </c>
      <c r="F213" s="37">
        <v>3</v>
      </c>
      <c r="G213" s="37" cm="1">
        <f t="array" ref="G213">F213*_xlfn.XLOOKUP(1,
 (FOREX!$A$2:$A$13=EOMONTH(B213,0))*
 (FOREX!$B$2:$B$13=TRIM(E213)),FOREX!$C$2:$C$13,
 100)</f>
        <v>2.3254380000000001</v>
      </c>
      <c r="H213" t="s">
        <v>1553</v>
      </c>
      <c r="I213" t="s">
        <v>387</v>
      </c>
      <c r="J213" s="35" t="str">
        <f>_xlfn.XLOOKUP(I213,costcategory[Account Code],costcategory[Cost Category],"ERROR")</f>
        <v>Headcount Costs</v>
      </c>
      <c r="K213" s="89" t="str">
        <f t="shared" si="15"/>
        <v>Marketing</v>
      </c>
      <c r="L213" s="89" t="str">
        <f>_xlfn.XLOOKUP(K213,Table2[Department],Table2[Group],"ERROR")</f>
        <v>Sales &amp; Marketing</v>
      </c>
    </row>
    <row r="214" spans="1:12" x14ac:dyDescent="0.2">
      <c r="A214" t="s">
        <v>1</v>
      </c>
      <c r="B214" s="38">
        <v>46112</v>
      </c>
      <c r="C214" s="38">
        <v>46120</v>
      </c>
      <c r="D214" t="s">
        <v>1523</v>
      </c>
      <c r="E214" t="s">
        <v>77</v>
      </c>
      <c r="G214" s="37" cm="1">
        <f t="array" ref="G214">F214*_xlfn.XLOOKUP(1,
 (FOREX!$A$2:$A$13=EOMONTH(B214,0))*
 (FOREX!$B$2:$B$13=TRIM(E214)),FOREX!$C$2:$C$13,
 100)</f>
        <v>0</v>
      </c>
      <c r="H214" t="s">
        <v>1553</v>
      </c>
      <c r="I214" t="s">
        <v>387</v>
      </c>
      <c r="J214" s="35" t="str">
        <f>_xlfn.XLOOKUP(I214,costcategory[Account Code],costcategory[Cost Category],"ERROR")</f>
        <v>Headcount Costs</v>
      </c>
      <c r="K214" s="89" t="str">
        <f t="shared" si="15"/>
        <v>Management</v>
      </c>
      <c r="L214" s="89" t="str">
        <f>_xlfn.XLOOKUP(K214,Table2[Department],Table2[Group],"ERROR")</f>
        <v>General &amp; Administrative</v>
      </c>
    </row>
    <row r="215" spans="1:12" x14ac:dyDescent="0.2">
      <c r="A215" t="s">
        <v>1</v>
      </c>
      <c r="B215" s="38">
        <v>46112</v>
      </c>
      <c r="C215" s="38">
        <v>46120</v>
      </c>
      <c r="D215" t="s">
        <v>1524</v>
      </c>
      <c r="E215" t="s">
        <v>77</v>
      </c>
      <c r="F215" s="37">
        <v>3</v>
      </c>
      <c r="G215" s="37" cm="1">
        <f t="array" ref="G215">F215*_xlfn.XLOOKUP(1,
 (FOREX!$A$2:$A$13=EOMONTH(B215,0))*
 (FOREX!$B$2:$B$13=TRIM(E215)),FOREX!$C$2:$C$13,
 100)</f>
        <v>2.3254380000000001</v>
      </c>
      <c r="H215" t="s">
        <v>1553</v>
      </c>
      <c r="I215" t="s">
        <v>387</v>
      </c>
      <c r="J215" s="35" t="str">
        <f>_xlfn.XLOOKUP(I215,costcategory[Account Code],costcategory[Cost Category],"ERROR")</f>
        <v>Headcount Costs</v>
      </c>
      <c r="K215" s="89" t="str">
        <f t="shared" ref="K215:K217" si="16">_xlfn.XLOOKUP(D215,$AF$3:$AF$24,$AG$3:$AG$24,"ERROR")</f>
        <v>Business Operation</v>
      </c>
      <c r="L215" s="89" t="str">
        <f>_xlfn.XLOOKUP(K215,Table2[Department],Table2[Group],"ERROR")</f>
        <v>Sales &amp; Marketing</v>
      </c>
    </row>
    <row r="216" spans="1:12" x14ac:dyDescent="0.2">
      <c r="A216" t="s">
        <v>1</v>
      </c>
      <c r="B216" s="38">
        <v>46112</v>
      </c>
      <c r="C216" s="38">
        <v>46120</v>
      </c>
      <c r="D216" t="s">
        <v>1525</v>
      </c>
      <c r="E216" t="s">
        <v>77</v>
      </c>
      <c r="F216" s="37">
        <v>3</v>
      </c>
      <c r="G216" s="37" cm="1">
        <f t="array" ref="G216">F216*_xlfn.XLOOKUP(1,
 (FOREX!$A$2:$A$13=EOMONTH(B216,0))*
 (FOREX!$B$2:$B$13=TRIM(E216)),FOREX!$C$2:$C$13,
 100)</f>
        <v>2.3254380000000001</v>
      </c>
      <c r="H216" t="s">
        <v>1553</v>
      </c>
      <c r="I216" t="s">
        <v>387</v>
      </c>
      <c r="J216" s="35" t="str">
        <f>_xlfn.XLOOKUP(I216,costcategory[Account Code],costcategory[Cost Category],"ERROR")</f>
        <v>Headcount Costs</v>
      </c>
      <c r="K216" s="89" t="str">
        <f t="shared" si="16"/>
        <v>Sales &amp; Pre-Sales</v>
      </c>
      <c r="L216" s="89" t="str">
        <f>_xlfn.XLOOKUP(K216,Table2[Department],Table2[Group],"ERROR")</f>
        <v>Sales &amp; Marketing</v>
      </c>
    </row>
    <row r="217" spans="1:12" x14ac:dyDescent="0.2">
      <c r="A217" t="s">
        <v>1</v>
      </c>
      <c r="B217" s="38">
        <v>46112</v>
      </c>
      <c r="C217" s="38">
        <v>46120</v>
      </c>
      <c r="D217" t="s">
        <v>1527</v>
      </c>
      <c r="E217" t="s">
        <v>77</v>
      </c>
      <c r="F217" s="37">
        <v>3</v>
      </c>
      <c r="G217" s="37" cm="1">
        <f t="array" ref="G217">F217*_xlfn.XLOOKUP(1,
 (FOREX!$A$2:$A$13=EOMONTH(B217,0))*
 (FOREX!$B$2:$B$13=TRIM(E217)),FOREX!$C$2:$C$13,
 100)</f>
        <v>2.3254380000000001</v>
      </c>
      <c r="H217" t="s">
        <v>1553</v>
      </c>
      <c r="I217" t="s">
        <v>387</v>
      </c>
      <c r="J217" s="35" t="str">
        <f>_xlfn.XLOOKUP(I217,costcategory[Account Code],costcategory[Cost Category],"ERROR")</f>
        <v>Headcount Costs</v>
      </c>
      <c r="K217" s="89" t="str">
        <f t="shared" si="16"/>
        <v>DSC</v>
      </c>
      <c r="L217" s="89" t="str">
        <f>_xlfn.XLOOKUP(K217,Table2[Department],Table2[Group],"ERROR")</f>
        <v>DSC</v>
      </c>
    </row>
    <row r="218" spans="1:12" x14ac:dyDescent="0.2">
      <c r="A218" t="s">
        <v>1</v>
      </c>
      <c r="B218" s="38">
        <v>46112</v>
      </c>
      <c r="C218" s="38">
        <v>46120</v>
      </c>
      <c r="D218" t="s">
        <v>1528</v>
      </c>
      <c r="E218" t="s">
        <v>77</v>
      </c>
      <c r="G218" s="37" cm="1">
        <f t="array" ref="G218">F218*_xlfn.XLOOKUP(1,
 (FOREX!$A$2:$A$13=EOMONTH(B218,0))*
 (FOREX!$B$2:$B$13=TRIM(E218)),FOREX!$C$2:$C$13,
 100)</f>
        <v>0</v>
      </c>
      <c r="H218" t="s">
        <v>1553</v>
      </c>
      <c r="I218" t="s">
        <v>387</v>
      </c>
      <c r="J218" s="35" t="str">
        <f>_xlfn.XLOOKUP(I218,costcategory[Account Code],costcategory[Cost Category],"ERROR")</f>
        <v>Headcount Costs</v>
      </c>
      <c r="K218" s="89" t="str">
        <f t="shared" ref="K218:K220" si="17">_xlfn.XLOOKUP(D218,$AF$3:$AF$21,$AG$3:$AG$21,"ERROR")</f>
        <v>R&amp;D - Team D</v>
      </c>
      <c r="L218" s="89" t="str">
        <f>_xlfn.XLOOKUP(K218,Table2[Department],Table2[Group],"ERROR")</f>
        <v>Research &amp; Development</v>
      </c>
    </row>
    <row r="219" spans="1:12" x14ac:dyDescent="0.2">
      <c r="A219" t="s">
        <v>1</v>
      </c>
      <c r="B219" s="38">
        <v>46112</v>
      </c>
      <c r="C219" s="38">
        <v>46120</v>
      </c>
      <c r="D219" t="s">
        <v>1529</v>
      </c>
      <c r="E219" t="s">
        <v>77</v>
      </c>
      <c r="G219" s="37" cm="1">
        <f t="array" ref="G219">F219*_xlfn.XLOOKUP(1,
 (FOREX!$A$2:$A$13=EOMONTH(B219,0))*
 (FOREX!$B$2:$B$13=TRIM(E219)),FOREX!$C$2:$C$13,
 100)</f>
        <v>0</v>
      </c>
      <c r="H219" t="s">
        <v>1553</v>
      </c>
      <c r="I219" t="s">
        <v>387</v>
      </c>
      <c r="J219" s="35" t="str">
        <f>_xlfn.XLOOKUP(I219,costcategory[Account Code],costcategory[Cost Category],"ERROR")</f>
        <v>Headcount Costs</v>
      </c>
      <c r="K219" s="89" t="str">
        <f t="shared" si="17"/>
        <v>R&amp;D - Team W</v>
      </c>
      <c r="L219" s="89" t="str">
        <f>_xlfn.XLOOKUP(K219,Table2[Department],Table2[Group],"ERROR")</f>
        <v>Research &amp; Development</v>
      </c>
    </row>
    <row r="220" spans="1:12" x14ac:dyDescent="0.2">
      <c r="A220" t="s">
        <v>1</v>
      </c>
      <c r="B220" s="38">
        <v>46112</v>
      </c>
      <c r="C220" s="38">
        <v>46120</v>
      </c>
      <c r="D220" t="s">
        <v>1530</v>
      </c>
      <c r="E220" t="s">
        <v>77</v>
      </c>
      <c r="F220" s="37">
        <v>3</v>
      </c>
      <c r="G220" s="37" cm="1">
        <f t="array" ref="G220">F220*_xlfn.XLOOKUP(1,
 (FOREX!$A$2:$A$13=EOMONTH(B220,0))*
 (FOREX!$B$2:$B$13=TRIM(E220)),FOREX!$C$2:$C$13,
 100)</f>
        <v>2.3254380000000001</v>
      </c>
      <c r="H220" t="s">
        <v>1553</v>
      </c>
      <c r="I220" t="s">
        <v>387</v>
      </c>
      <c r="J220" s="35" t="str">
        <f>_xlfn.XLOOKUP(I220,costcategory[Account Code],costcategory[Cost Category],"ERROR")</f>
        <v>Headcount Costs</v>
      </c>
      <c r="K220" s="89" t="str">
        <f t="shared" si="17"/>
        <v>R&amp;D - Team D</v>
      </c>
      <c r="L220" s="89" t="str">
        <f>_xlfn.XLOOKUP(K220,Table2[Department],Table2[Group],"ERROR")</f>
        <v>Research &amp; Development</v>
      </c>
    </row>
    <row r="221" spans="1:12" x14ac:dyDescent="0.2">
      <c r="A221" t="s">
        <v>1</v>
      </c>
      <c r="B221" s="38">
        <v>46112</v>
      </c>
      <c r="C221" s="38">
        <v>46120</v>
      </c>
      <c r="D221" t="s">
        <v>1531</v>
      </c>
      <c r="E221" t="s">
        <v>77</v>
      </c>
      <c r="G221" s="37" cm="1">
        <f t="array" ref="G221">F221*_xlfn.XLOOKUP(1,
 (FOREX!$A$2:$A$13=EOMONTH(B221,0))*
 (FOREX!$B$2:$B$13=TRIM(E221)),FOREX!$C$2:$C$13,
 100)</f>
        <v>0</v>
      </c>
      <c r="H221" t="s">
        <v>1553</v>
      </c>
      <c r="I221" t="s">
        <v>387</v>
      </c>
      <c r="J221" s="35" t="str">
        <f>_xlfn.XLOOKUP(I221,costcategory[Account Code],costcategory[Cost Category],"ERROR")</f>
        <v>Headcount Costs</v>
      </c>
      <c r="K221" s="89" t="str">
        <f t="shared" ref="K221:K223" si="18">_xlfn.XLOOKUP(D221,$AF$3:$AF$24,$AG$3:$AG$24,"ERROR")</f>
        <v>R&amp;D - Team W</v>
      </c>
      <c r="L221" s="89" t="str">
        <f>_xlfn.XLOOKUP(K221,Table2[Department],Table2[Group],"ERROR")</f>
        <v>Research &amp; Development</v>
      </c>
    </row>
    <row r="222" spans="1:12" x14ac:dyDescent="0.2">
      <c r="A222" t="s">
        <v>1</v>
      </c>
      <c r="B222" s="38">
        <v>46112</v>
      </c>
      <c r="C222" s="38">
        <v>46120</v>
      </c>
      <c r="D222" t="s">
        <v>1533</v>
      </c>
      <c r="E222" t="s">
        <v>77</v>
      </c>
      <c r="F222" s="37">
        <v>1</v>
      </c>
      <c r="G222" s="37" cm="1">
        <f t="array" ref="G222">F222*_xlfn.XLOOKUP(1,
 (FOREX!$A$2:$A$13=EOMONTH(B222,0))*
 (FOREX!$B$2:$B$13=TRIM(E222)),FOREX!$C$2:$C$13,
 100)</f>
        <v>0.775146</v>
      </c>
      <c r="H222" t="s">
        <v>1553</v>
      </c>
      <c r="I222" t="s">
        <v>387</v>
      </c>
      <c r="J222" s="35" t="str">
        <f>_xlfn.XLOOKUP(I222,costcategory[Account Code],costcategory[Cost Category],"ERROR")</f>
        <v>Headcount Costs</v>
      </c>
      <c r="K222" s="89" t="str">
        <f t="shared" si="18"/>
        <v>R&amp;D - Team D</v>
      </c>
      <c r="L222" s="89" t="str">
        <f>_xlfn.XLOOKUP(K222,Table2[Department],Table2[Group],"ERROR")</f>
        <v>Research &amp; Development</v>
      </c>
    </row>
    <row r="223" spans="1:12" x14ac:dyDescent="0.2">
      <c r="A223" t="s">
        <v>1</v>
      </c>
      <c r="B223" s="38">
        <v>46112</v>
      </c>
      <c r="C223" s="38">
        <v>46120</v>
      </c>
      <c r="D223" t="s">
        <v>1535</v>
      </c>
      <c r="E223" t="s">
        <v>77</v>
      </c>
      <c r="F223" s="37">
        <v>3</v>
      </c>
      <c r="G223" s="37" cm="1">
        <f t="array" ref="G223">F223*_xlfn.XLOOKUP(1,
 (FOREX!$A$2:$A$13=EOMONTH(B223,0))*
 (FOREX!$B$2:$B$13=TRIM(E223)),FOREX!$C$2:$C$13,
 100)</f>
        <v>2.3254380000000001</v>
      </c>
      <c r="H223" t="s">
        <v>1553</v>
      </c>
      <c r="I223" t="s">
        <v>387</v>
      </c>
      <c r="J223" s="35" t="str">
        <f>_xlfn.XLOOKUP(I223,costcategory[Account Code],costcategory[Cost Category],"ERROR")</f>
        <v>Headcount Costs</v>
      </c>
      <c r="K223" s="89" t="str">
        <f t="shared" si="18"/>
        <v>HR</v>
      </c>
      <c r="L223" s="89" t="str">
        <f>_xlfn.XLOOKUP(K223,Table2[Department],Table2[Group],"ERROR")</f>
        <v>General &amp; Administrative</v>
      </c>
    </row>
    <row r="224" spans="1:12" x14ac:dyDescent="0.2">
      <c r="A224" t="s">
        <v>1</v>
      </c>
      <c r="B224" s="38">
        <v>46112</v>
      </c>
      <c r="C224" s="38">
        <v>46120</v>
      </c>
      <c r="D224" t="s">
        <v>1537</v>
      </c>
      <c r="E224" t="s">
        <v>77</v>
      </c>
      <c r="G224" s="37" cm="1">
        <f t="array" ref="G224">F224*_xlfn.XLOOKUP(1,
 (FOREX!$A$2:$A$13=EOMONTH(B224,0))*
 (FOREX!$B$2:$B$13=TRIM(E224)),FOREX!$C$2:$C$13,
 100)</f>
        <v>0</v>
      </c>
      <c r="H224" t="s">
        <v>1553</v>
      </c>
      <c r="I224" t="s">
        <v>387</v>
      </c>
      <c r="J224" s="35" t="str">
        <f>_xlfn.XLOOKUP(I224,costcategory[Account Code],costcategory[Cost Category],"ERROR")</f>
        <v>Headcount Costs</v>
      </c>
      <c r="K224" s="89" t="str">
        <f t="shared" ref="K224:K226" si="19">_xlfn.XLOOKUP(D224,$AF$3:$AF$21,$AG$3:$AG$21,"ERROR")</f>
        <v>DSC</v>
      </c>
      <c r="L224" s="89" t="str">
        <f>_xlfn.XLOOKUP(K224,Table2[Department],Table2[Group],"ERROR")</f>
        <v>DSC</v>
      </c>
    </row>
    <row r="225" spans="1:12" x14ac:dyDescent="0.2">
      <c r="A225" t="s">
        <v>1</v>
      </c>
      <c r="B225" s="38">
        <v>46112</v>
      </c>
      <c r="C225" s="38">
        <v>46120</v>
      </c>
      <c r="D225" t="s">
        <v>1538</v>
      </c>
      <c r="E225" t="s">
        <v>77</v>
      </c>
      <c r="F225" s="37">
        <v>3</v>
      </c>
      <c r="G225" s="37" cm="1">
        <f t="array" ref="G225">F225*_xlfn.XLOOKUP(1,
 (FOREX!$A$2:$A$13=EOMONTH(B225,0))*
 (FOREX!$B$2:$B$13=TRIM(E225)),FOREX!$C$2:$C$13,
 100)</f>
        <v>2.3254380000000001</v>
      </c>
      <c r="H225" t="s">
        <v>1553</v>
      </c>
      <c r="I225" t="s">
        <v>387</v>
      </c>
      <c r="J225" s="35" t="str">
        <f>_xlfn.XLOOKUP(I225,costcategory[Account Code],costcategory[Cost Category],"ERROR")</f>
        <v>Headcount Costs</v>
      </c>
      <c r="K225" s="89" t="str">
        <f t="shared" si="19"/>
        <v>HR</v>
      </c>
      <c r="L225" s="89" t="str">
        <f>_xlfn.XLOOKUP(K225,Table2[Department],Table2[Group],"ERROR")</f>
        <v>General &amp; Administrative</v>
      </c>
    </row>
    <row r="226" spans="1:12" x14ac:dyDescent="0.2">
      <c r="A226" t="s">
        <v>1</v>
      </c>
      <c r="B226" s="38">
        <v>46112</v>
      </c>
      <c r="C226" s="38">
        <v>46120</v>
      </c>
      <c r="D226" t="s">
        <v>1539</v>
      </c>
      <c r="E226" t="s">
        <v>77</v>
      </c>
      <c r="F226" s="37">
        <v>2</v>
      </c>
      <c r="G226" s="37" cm="1">
        <f t="array" ref="G226">F226*_xlfn.XLOOKUP(1,
 (FOREX!$A$2:$A$13=EOMONTH(B226,0))*
 (FOREX!$B$2:$B$13=TRIM(E226)),FOREX!$C$2:$C$13,
 100)</f>
        <v>1.550292</v>
      </c>
      <c r="H226" t="s">
        <v>1553</v>
      </c>
      <c r="I226" t="s">
        <v>387</v>
      </c>
      <c r="J226" s="35" t="str">
        <f>_xlfn.XLOOKUP(I226,costcategory[Account Code],costcategory[Cost Category],"ERROR")</f>
        <v>Headcount Costs</v>
      </c>
      <c r="K226" s="89" t="str">
        <f t="shared" si="19"/>
        <v>DSC</v>
      </c>
      <c r="L226" s="89" t="str">
        <f>_xlfn.XLOOKUP(K226,Table2[Department],Table2[Group],"ERROR")</f>
        <v>DSC</v>
      </c>
    </row>
    <row r="227" spans="1:12" x14ac:dyDescent="0.2">
      <c r="A227" t="s">
        <v>1</v>
      </c>
      <c r="B227" s="38">
        <v>46112</v>
      </c>
      <c r="C227" s="38">
        <v>46120</v>
      </c>
      <c r="D227" t="s">
        <v>1543</v>
      </c>
      <c r="E227" t="s">
        <v>77</v>
      </c>
      <c r="F227" s="37">
        <v>1.5</v>
      </c>
      <c r="G227" s="37" cm="1">
        <f t="array" ref="G227">F227*_xlfn.XLOOKUP(1,
 (FOREX!$A$2:$A$13=EOMONTH(B227,0))*
 (FOREX!$B$2:$B$13=TRIM(E227)),FOREX!$C$2:$C$13,
 100)</f>
        <v>1.1627190000000001</v>
      </c>
      <c r="H227" t="s">
        <v>1553</v>
      </c>
      <c r="I227" t="s">
        <v>387</v>
      </c>
      <c r="J227" s="35" t="str">
        <f>_xlfn.XLOOKUP(I227,costcategory[Account Code],costcategory[Cost Category],"ERROR")</f>
        <v>Headcount Costs</v>
      </c>
      <c r="K227" s="89" t="str">
        <f t="shared" ref="K227:K231" si="20">_xlfn.XLOOKUP(D227,$AF$3:$AF$24,$AG$3:$AG$24,"ERROR")</f>
        <v>Sales &amp; Pre-Sales</v>
      </c>
      <c r="L227" s="89" t="str">
        <f>_xlfn.XLOOKUP(K227,Table2[Department],Table2[Group],"ERROR")</f>
        <v>Sales &amp; Marketing</v>
      </c>
    </row>
    <row r="228" spans="1:12" x14ac:dyDescent="0.2">
      <c r="A228" t="s">
        <v>1</v>
      </c>
      <c r="B228" s="38">
        <v>46112</v>
      </c>
      <c r="C228" s="38">
        <v>46120</v>
      </c>
      <c r="D228" t="s">
        <v>1541</v>
      </c>
      <c r="E228" t="s">
        <v>77</v>
      </c>
      <c r="F228" s="37">
        <v>1.5</v>
      </c>
      <c r="G228" s="37" cm="1">
        <f t="array" ref="G228">F228*_xlfn.XLOOKUP(1,
 (FOREX!$A$2:$A$13=EOMONTH(B228,0))*
 (FOREX!$B$2:$B$13=TRIM(E228)),FOREX!$C$2:$C$13,
 100)</f>
        <v>1.1627190000000001</v>
      </c>
      <c r="H228" t="s">
        <v>1553</v>
      </c>
      <c r="I228" t="s">
        <v>387</v>
      </c>
      <c r="J228" s="35" t="str">
        <f>_xlfn.XLOOKUP(I228,costcategory[Account Code],costcategory[Cost Category],"ERROR")</f>
        <v>Headcount Costs</v>
      </c>
      <c r="K228" s="89" t="str">
        <f t="shared" si="20"/>
        <v>DSC</v>
      </c>
      <c r="L228" s="89" t="str">
        <f>_xlfn.XLOOKUP(K228,Table2[Department],Table2[Group],"ERROR")</f>
        <v>DSC</v>
      </c>
    </row>
    <row r="229" spans="1:12" x14ac:dyDescent="0.2">
      <c r="A229" t="s">
        <v>1</v>
      </c>
      <c r="B229" s="38">
        <v>46112</v>
      </c>
      <c r="C229" s="38">
        <v>46120</v>
      </c>
      <c r="D229" t="s">
        <v>1542</v>
      </c>
      <c r="E229" t="s">
        <v>77</v>
      </c>
      <c r="F229" s="37">
        <v>0.5</v>
      </c>
      <c r="G229" s="37" cm="1">
        <f t="array" ref="G229">F229*_xlfn.XLOOKUP(1,
 (FOREX!$A$2:$A$13=EOMONTH(B229,0))*
 (FOREX!$B$2:$B$13=TRIM(E229)),FOREX!$C$2:$C$13,
 100)</f>
        <v>0.387573</v>
      </c>
      <c r="H229" t="s">
        <v>1553</v>
      </c>
      <c r="I229" t="s">
        <v>387</v>
      </c>
      <c r="J229" s="35" t="str">
        <f>_xlfn.XLOOKUP(I229,costcategory[Account Code],costcategory[Cost Category],"ERROR")</f>
        <v>Headcount Costs</v>
      </c>
      <c r="K229" s="89" t="str">
        <f t="shared" si="20"/>
        <v>IT</v>
      </c>
      <c r="L229" s="89" t="str">
        <f>_xlfn.XLOOKUP(K229,Table2[Department],Table2[Group],"ERROR")</f>
        <v>General &amp; Administrative</v>
      </c>
    </row>
    <row r="230" spans="1:12" x14ac:dyDescent="0.2">
      <c r="A230" t="s">
        <v>1</v>
      </c>
      <c r="B230" s="38">
        <v>46112</v>
      </c>
      <c r="C230" s="38">
        <v>46120</v>
      </c>
      <c r="D230" t="s">
        <v>1521</v>
      </c>
      <c r="E230" t="s">
        <v>77</v>
      </c>
      <c r="F230" s="37">
        <v>0</v>
      </c>
      <c r="G230" s="37" cm="1">
        <f t="array" ref="G230">F230*_xlfn.XLOOKUP(1,
 (FOREX!$A$2:$A$13=EOMONTH(B230,0))*
 (FOREX!$B$2:$B$13=TRIM(E230)),FOREX!$C$2:$C$13,
 100)</f>
        <v>0</v>
      </c>
      <c r="H230" t="s">
        <v>1554</v>
      </c>
      <c r="I230" s="30" t="s">
        <v>364</v>
      </c>
      <c r="J230" s="35" t="str">
        <f>_xlfn.XLOOKUP(I230,costcategory[Account Code],costcategory[Cost Category],"ERROR")</f>
        <v>Headcount Costs</v>
      </c>
      <c r="K230" s="89" t="str">
        <f t="shared" si="20"/>
        <v>Management</v>
      </c>
      <c r="L230" s="89" t="str">
        <f>_xlfn.XLOOKUP(K230,Table2[Department],Table2[Group],"ERROR")</f>
        <v>General &amp; Administrative</v>
      </c>
    </row>
    <row r="231" spans="1:12" x14ac:dyDescent="0.2">
      <c r="A231" t="s">
        <v>1</v>
      </c>
      <c r="B231" s="38">
        <v>46112</v>
      </c>
      <c r="C231" s="38">
        <v>46120</v>
      </c>
      <c r="D231" t="s">
        <v>1522</v>
      </c>
      <c r="E231" t="s">
        <v>77</v>
      </c>
      <c r="F231" s="37">
        <v>2650</v>
      </c>
      <c r="G231" s="37" cm="1">
        <f t="array" ref="G231">F231*_xlfn.XLOOKUP(1,
 (FOREX!$A$2:$A$13=EOMONTH(B231,0))*
 (FOREX!$B$2:$B$13=TRIM(E231)),FOREX!$C$2:$C$13,
 100)</f>
        <v>2054.1369</v>
      </c>
      <c r="H231" t="s">
        <v>1554</v>
      </c>
      <c r="I231" s="30" t="s">
        <v>364</v>
      </c>
      <c r="J231" s="35" t="str">
        <f>_xlfn.XLOOKUP(I231,costcategory[Account Code],costcategory[Cost Category],"ERROR")</f>
        <v>Headcount Costs</v>
      </c>
      <c r="K231" s="89" t="str">
        <f t="shared" si="20"/>
        <v>Marketing</v>
      </c>
      <c r="L231" s="89" t="str">
        <f>_xlfn.XLOOKUP(K231,Table2[Department],Table2[Group],"ERROR")</f>
        <v>Sales &amp; Marketing</v>
      </c>
    </row>
    <row r="232" spans="1:12" x14ac:dyDescent="0.2">
      <c r="A232" t="s">
        <v>1</v>
      </c>
      <c r="B232" s="38">
        <v>46112</v>
      </c>
      <c r="C232" s="38">
        <v>46120</v>
      </c>
      <c r="D232" t="s">
        <v>1523</v>
      </c>
      <c r="E232" t="s">
        <v>77</v>
      </c>
      <c r="F232" s="37">
        <v>0</v>
      </c>
      <c r="G232" s="37" cm="1">
        <f t="array" ref="G232">F232*_xlfn.XLOOKUP(1,
 (FOREX!$A$2:$A$13=EOMONTH(B232,0))*
 (FOREX!$B$2:$B$13=TRIM(E232)),FOREX!$C$2:$C$13,
 100)</f>
        <v>0</v>
      </c>
      <c r="H232" t="s">
        <v>1554</v>
      </c>
      <c r="I232" s="30" t="s">
        <v>364</v>
      </c>
      <c r="J232" s="35" t="str">
        <f>_xlfn.XLOOKUP(I232,costcategory[Account Code],costcategory[Cost Category],"ERROR")</f>
        <v>Headcount Costs</v>
      </c>
      <c r="K232" s="89" t="str">
        <f t="shared" ref="K232:K234" si="21">_xlfn.XLOOKUP(D232,$AF$3:$AF$21,$AG$3:$AG$21,"ERROR")</f>
        <v>Management</v>
      </c>
      <c r="L232" s="89" t="str">
        <f>_xlfn.XLOOKUP(K232,Table2[Department],Table2[Group],"ERROR")</f>
        <v>General &amp; Administrative</v>
      </c>
    </row>
    <row r="233" spans="1:12" x14ac:dyDescent="0.2">
      <c r="A233" t="s">
        <v>1</v>
      </c>
      <c r="B233" s="38">
        <v>46112</v>
      </c>
      <c r="C233" s="38">
        <v>46120</v>
      </c>
      <c r="D233" t="s">
        <v>1524</v>
      </c>
      <c r="E233" t="s">
        <v>77</v>
      </c>
      <c r="F233" s="37">
        <v>1837</v>
      </c>
      <c r="G233" s="37" cm="1">
        <f t="array" ref="G233">F233*_xlfn.XLOOKUP(1,
 (FOREX!$A$2:$A$13=EOMONTH(B233,0))*
 (FOREX!$B$2:$B$13=TRIM(E233)),FOREX!$C$2:$C$13,
 100)</f>
        <v>1423.9432019999999</v>
      </c>
      <c r="H233" t="s">
        <v>1554</v>
      </c>
      <c r="I233" s="30" t="s">
        <v>364</v>
      </c>
      <c r="J233" s="35" t="str">
        <f>_xlfn.XLOOKUP(I233,costcategory[Account Code],costcategory[Cost Category],"ERROR")</f>
        <v>Headcount Costs</v>
      </c>
      <c r="K233" s="89" t="str">
        <f t="shared" si="21"/>
        <v>Business Operation</v>
      </c>
      <c r="L233" s="89" t="str">
        <f>_xlfn.XLOOKUP(K233,Table2[Department],Table2[Group],"ERROR")</f>
        <v>Sales &amp; Marketing</v>
      </c>
    </row>
    <row r="234" spans="1:12" x14ac:dyDescent="0.2">
      <c r="A234" t="s">
        <v>1</v>
      </c>
      <c r="B234" s="38">
        <v>46112</v>
      </c>
      <c r="C234" s="38">
        <v>46120</v>
      </c>
      <c r="D234" t="s">
        <v>1525</v>
      </c>
      <c r="E234" t="s">
        <v>77</v>
      </c>
      <c r="F234" s="37">
        <v>1440</v>
      </c>
      <c r="G234" s="37" cm="1">
        <f t="array" ref="G234">F234*_xlfn.XLOOKUP(1,
 (FOREX!$A$2:$A$13=EOMONTH(B234,0))*
 (FOREX!$B$2:$B$13=TRIM(E234)),FOREX!$C$2:$C$13,
 100)</f>
        <v>1116.2102400000001</v>
      </c>
      <c r="H234" t="s">
        <v>1554</v>
      </c>
      <c r="I234" s="30" t="s">
        <v>364</v>
      </c>
      <c r="J234" s="35" t="str">
        <f>_xlfn.XLOOKUP(I234,costcategory[Account Code],costcategory[Cost Category],"ERROR")</f>
        <v>Headcount Costs</v>
      </c>
      <c r="K234" s="89" t="str">
        <f t="shared" si="21"/>
        <v>Sales &amp; Pre-Sales</v>
      </c>
      <c r="L234" s="89" t="str">
        <f>_xlfn.XLOOKUP(K234,Table2[Department],Table2[Group],"ERROR")</f>
        <v>Sales &amp; Marketing</v>
      </c>
    </row>
    <row r="235" spans="1:12" x14ac:dyDescent="0.2">
      <c r="A235" t="s">
        <v>1</v>
      </c>
      <c r="B235" s="38">
        <v>46112</v>
      </c>
      <c r="C235" s="38">
        <v>46120</v>
      </c>
      <c r="D235" t="s">
        <v>1527</v>
      </c>
      <c r="E235" t="s">
        <v>77</v>
      </c>
      <c r="F235" s="37">
        <v>1600</v>
      </c>
      <c r="G235" s="37" cm="1">
        <f t="array" ref="G235">F235*_xlfn.XLOOKUP(1,
 (FOREX!$A$2:$A$13=EOMONTH(B235,0))*
 (FOREX!$B$2:$B$13=TRIM(E235)),FOREX!$C$2:$C$13,
 100)</f>
        <v>1240.2336</v>
      </c>
      <c r="H235" t="s">
        <v>1554</v>
      </c>
      <c r="I235" s="30" t="s">
        <v>364</v>
      </c>
      <c r="J235" s="35" t="str">
        <f>_xlfn.XLOOKUP(I235,costcategory[Account Code],costcategory[Cost Category],"ERROR")</f>
        <v>Headcount Costs</v>
      </c>
      <c r="K235" s="89" t="str">
        <f t="shared" ref="K235:K237" si="22">_xlfn.XLOOKUP(D235,$AF$3:$AF$24,$AG$3:$AG$24,"ERROR")</f>
        <v>DSC</v>
      </c>
      <c r="L235" s="89" t="str">
        <f>_xlfn.XLOOKUP(K235,Table2[Department],Table2[Group],"ERROR")</f>
        <v>DSC</v>
      </c>
    </row>
    <row r="236" spans="1:12" x14ac:dyDescent="0.2">
      <c r="A236" t="s">
        <v>1</v>
      </c>
      <c r="B236" s="38">
        <v>46112</v>
      </c>
      <c r="C236" s="38">
        <v>46120</v>
      </c>
      <c r="D236" t="s">
        <v>1528</v>
      </c>
      <c r="E236" t="s">
        <v>77</v>
      </c>
      <c r="F236" s="37">
        <v>0</v>
      </c>
      <c r="G236" s="37" cm="1">
        <f t="array" ref="G236">F236*_xlfn.XLOOKUP(1,
 (FOREX!$A$2:$A$13=EOMONTH(B236,0))*
 (FOREX!$B$2:$B$13=TRIM(E236)),FOREX!$C$2:$C$13,
 100)</f>
        <v>0</v>
      </c>
      <c r="H236" t="s">
        <v>1554</v>
      </c>
      <c r="I236" s="30" t="s">
        <v>364</v>
      </c>
      <c r="J236" s="35" t="str">
        <f>_xlfn.XLOOKUP(I236,costcategory[Account Code],costcategory[Cost Category],"ERROR")</f>
        <v>Headcount Costs</v>
      </c>
      <c r="K236" s="89" t="str">
        <f t="shared" si="22"/>
        <v>R&amp;D - Team D</v>
      </c>
      <c r="L236" s="89" t="str">
        <f>_xlfn.XLOOKUP(K236,Table2[Department],Table2[Group],"ERROR")</f>
        <v>Research &amp; Development</v>
      </c>
    </row>
    <row r="237" spans="1:12" x14ac:dyDescent="0.2">
      <c r="A237" t="s">
        <v>1</v>
      </c>
      <c r="B237" s="38">
        <v>46112</v>
      </c>
      <c r="C237" s="38">
        <v>46120</v>
      </c>
      <c r="D237" t="s">
        <v>1529</v>
      </c>
      <c r="E237" t="s">
        <v>77</v>
      </c>
      <c r="F237" s="37">
        <v>0</v>
      </c>
      <c r="G237" s="37" cm="1">
        <f t="array" ref="G237">F237*_xlfn.XLOOKUP(1,
 (FOREX!$A$2:$A$13=EOMONTH(B237,0))*
 (FOREX!$B$2:$B$13=TRIM(E237)),FOREX!$C$2:$C$13,
 100)</f>
        <v>0</v>
      </c>
      <c r="H237" t="s">
        <v>1554</v>
      </c>
      <c r="I237" s="30" t="s">
        <v>364</v>
      </c>
      <c r="J237" s="35" t="str">
        <f>_xlfn.XLOOKUP(I237,costcategory[Account Code],costcategory[Cost Category],"ERROR")</f>
        <v>Headcount Costs</v>
      </c>
      <c r="K237" s="89" t="str">
        <f t="shared" si="22"/>
        <v>R&amp;D - Team W</v>
      </c>
      <c r="L237" s="89" t="str">
        <f>_xlfn.XLOOKUP(K237,Table2[Department],Table2[Group],"ERROR")</f>
        <v>Research &amp; Development</v>
      </c>
    </row>
    <row r="238" spans="1:12" x14ac:dyDescent="0.2">
      <c r="A238" t="s">
        <v>1</v>
      </c>
      <c r="B238" s="38">
        <v>46112</v>
      </c>
      <c r="C238" s="38">
        <v>46120</v>
      </c>
      <c r="D238" t="s">
        <v>1530</v>
      </c>
      <c r="E238" t="s">
        <v>77</v>
      </c>
      <c r="F238" s="37">
        <v>2800</v>
      </c>
      <c r="G238" s="37" cm="1">
        <f t="array" ref="G238">F238*_xlfn.XLOOKUP(1,
 (FOREX!$A$2:$A$13=EOMONTH(B238,0))*
 (FOREX!$B$2:$B$13=TRIM(E238)),FOREX!$C$2:$C$13,
 100)</f>
        <v>2170.4088000000002</v>
      </c>
      <c r="H238" t="s">
        <v>1554</v>
      </c>
      <c r="I238" s="30" t="s">
        <v>364</v>
      </c>
      <c r="J238" s="35" t="str">
        <f>_xlfn.XLOOKUP(I238,costcategory[Account Code],costcategory[Cost Category],"ERROR")</f>
        <v>Headcount Costs</v>
      </c>
      <c r="K238" s="89" t="str">
        <f t="shared" ref="K238:K240" si="23">_xlfn.XLOOKUP(D238,$AF$3:$AF$21,$AG$3:$AG$21,"ERROR")</f>
        <v>R&amp;D - Team D</v>
      </c>
      <c r="L238" s="89" t="str">
        <f>_xlfn.XLOOKUP(K238,Table2[Department],Table2[Group],"ERROR")</f>
        <v>Research &amp; Development</v>
      </c>
    </row>
    <row r="239" spans="1:12" x14ac:dyDescent="0.2">
      <c r="A239" t="s">
        <v>1</v>
      </c>
      <c r="B239" s="38">
        <v>46112</v>
      </c>
      <c r="C239" s="38">
        <v>46120</v>
      </c>
      <c r="D239" t="s">
        <v>1531</v>
      </c>
      <c r="E239" t="s">
        <v>77</v>
      </c>
      <c r="F239" s="37">
        <v>0</v>
      </c>
      <c r="G239" s="37" cm="1">
        <f t="array" ref="G239">F239*_xlfn.XLOOKUP(1,
 (FOREX!$A$2:$A$13=EOMONTH(B239,0))*
 (FOREX!$B$2:$B$13=TRIM(E239)),FOREX!$C$2:$C$13,
 100)</f>
        <v>0</v>
      </c>
      <c r="H239" t="s">
        <v>1554</v>
      </c>
      <c r="I239" s="30" t="s">
        <v>364</v>
      </c>
      <c r="J239" s="35" t="str">
        <f>_xlfn.XLOOKUP(I239,costcategory[Account Code],costcategory[Cost Category],"ERROR")</f>
        <v>Headcount Costs</v>
      </c>
      <c r="K239" s="89" t="str">
        <f t="shared" si="23"/>
        <v>R&amp;D - Team W</v>
      </c>
      <c r="L239" s="89" t="str">
        <f>_xlfn.XLOOKUP(K239,Table2[Department],Table2[Group],"ERROR")</f>
        <v>Research &amp; Development</v>
      </c>
    </row>
    <row r="240" spans="1:12" x14ac:dyDescent="0.2">
      <c r="A240" t="s">
        <v>1</v>
      </c>
      <c r="B240" s="38">
        <v>46112</v>
      </c>
      <c r="C240" s="38">
        <v>46120</v>
      </c>
      <c r="D240" t="s">
        <v>1533</v>
      </c>
      <c r="E240" t="s">
        <v>77</v>
      </c>
      <c r="F240" s="37">
        <v>659</v>
      </c>
      <c r="G240" s="37" cm="1">
        <f t="array" ref="G240">F240*_xlfn.XLOOKUP(1,
 (FOREX!$A$2:$A$13=EOMONTH(B240,0))*
 (FOREX!$B$2:$B$13=TRIM(E240)),FOREX!$C$2:$C$13,
 100)</f>
        <v>510.821214</v>
      </c>
      <c r="H240" t="s">
        <v>1554</v>
      </c>
      <c r="I240" s="30" t="s">
        <v>364</v>
      </c>
      <c r="J240" s="35" t="str">
        <f>_xlfn.XLOOKUP(I240,costcategory[Account Code],costcategory[Cost Category],"ERROR")</f>
        <v>Headcount Costs</v>
      </c>
      <c r="K240" s="89" t="str">
        <f t="shared" si="23"/>
        <v>R&amp;D - Team D</v>
      </c>
      <c r="L240" s="89" t="str">
        <f>_xlfn.XLOOKUP(K240,Table2[Department],Table2[Group],"ERROR")</f>
        <v>Research &amp; Development</v>
      </c>
    </row>
    <row r="241" spans="1:12" x14ac:dyDescent="0.2">
      <c r="A241" t="s">
        <v>1</v>
      </c>
      <c r="B241" s="38">
        <v>46112</v>
      </c>
      <c r="C241" s="38">
        <v>46120</v>
      </c>
      <c r="D241" t="s">
        <v>1535</v>
      </c>
      <c r="E241" t="s">
        <v>77</v>
      </c>
      <c r="F241" s="37">
        <v>1800</v>
      </c>
      <c r="G241" s="37" cm="1">
        <f t="array" ref="G241">F241*_xlfn.XLOOKUP(1,
 (FOREX!$A$2:$A$13=EOMONTH(B241,0))*
 (FOREX!$B$2:$B$13=TRIM(E241)),FOREX!$C$2:$C$13,
 100)</f>
        <v>1395.2628</v>
      </c>
      <c r="H241" t="s">
        <v>1554</v>
      </c>
      <c r="I241" s="30" t="s">
        <v>364</v>
      </c>
      <c r="J241" s="35" t="str">
        <f>_xlfn.XLOOKUP(I241,costcategory[Account Code],costcategory[Cost Category],"ERROR")</f>
        <v>Headcount Costs</v>
      </c>
      <c r="K241" s="89" t="str">
        <f t="shared" ref="K241:K245" si="24">_xlfn.XLOOKUP(D241,$AF$3:$AF$24,$AG$3:$AG$24,"ERROR")</f>
        <v>HR</v>
      </c>
      <c r="L241" s="89" t="str">
        <f>_xlfn.XLOOKUP(K241,Table2[Department],Table2[Group],"ERROR")</f>
        <v>General &amp; Administrative</v>
      </c>
    </row>
    <row r="242" spans="1:12" x14ac:dyDescent="0.2">
      <c r="A242" t="s">
        <v>1</v>
      </c>
      <c r="B242" s="38">
        <v>46112</v>
      </c>
      <c r="C242" s="38">
        <v>46120</v>
      </c>
      <c r="D242" t="s">
        <v>1537</v>
      </c>
      <c r="E242" t="s">
        <v>77</v>
      </c>
      <c r="F242" s="37">
        <v>0</v>
      </c>
      <c r="G242" s="37" cm="1">
        <f t="array" ref="G242">F242*_xlfn.XLOOKUP(1,
 (FOREX!$A$2:$A$13=EOMONTH(B242,0))*
 (FOREX!$B$2:$B$13=TRIM(E242)),FOREX!$C$2:$C$13,
 100)</f>
        <v>0</v>
      </c>
      <c r="H242" t="s">
        <v>1554</v>
      </c>
      <c r="I242" s="30" t="s">
        <v>364</v>
      </c>
      <c r="J242" s="35" t="str">
        <f>_xlfn.XLOOKUP(I242,costcategory[Account Code],costcategory[Cost Category],"ERROR")</f>
        <v>Headcount Costs</v>
      </c>
      <c r="K242" s="89" t="str">
        <f t="shared" si="24"/>
        <v>DSC</v>
      </c>
      <c r="L242" s="89" t="str">
        <f>_xlfn.XLOOKUP(K242,Table2[Department],Table2[Group],"ERROR")</f>
        <v>DSC</v>
      </c>
    </row>
    <row r="243" spans="1:12" x14ac:dyDescent="0.2">
      <c r="A243" t="s">
        <v>1</v>
      </c>
      <c r="B243" s="38">
        <v>46112</v>
      </c>
      <c r="C243" s="38">
        <v>46120</v>
      </c>
      <c r="D243" t="s">
        <v>1538</v>
      </c>
      <c r="E243" t="s">
        <v>77</v>
      </c>
      <c r="F243" s="37">
        <v>1670</v>
      </c>
      <c r="G243" s="37" cm="1">
        <f t="array" ref="G243">F243*_xlfn.XLOOKUP(1,
 (FOREX!$A$2:$A$13=EOMONTH(B243,0))*
 (FOREX!$B$2:$B$13=TRIM(E243)),FOREX!$C$2:$C$13,
 100)</f>
        <v>1294.4938199999999</v>
      </c>
      <c r="H243" t="s">
        <v>1554</v>
      </c>
      <c r="I243" s="30" t="s">
        <v>364</v>
      </c>
      <c r="J243" s="35" t="str">
        <f>_xlfn.XLOOKUP(I243,costcategory[Account Code],costcategory[Cost Category],"ERROR")</f>
        <v>Headcount Costs</v>
      </c>
      <c r="K243" s="89" t="str">
        <f t="shared" si="24"/>
        <v>HR</v>
      </c>
      <c r="L243" s="89" t="str">
        <f>_xlfn.XLOOKUP(K243,Table2[Department],Table2[Group],"ERROR")</f>
        <v>General &amp; Administrative</v>
      </c>
    </row>
    <row r="244" spans="1:12" x14ac:dyDescent="0.2">
      <c r="A244" t="s">
        <v>1</v>
      </c>
      <c r="B244" s="38">
        <v>46112</v>
      </c>
      <c r="C244" s="38">
        <v>46120</v>
      </c>
      <c r="D244" t="s">
        <v>1539</v>
      </c>
      <c r="E244" t="s">
        <v>77</v>
      </c>
      <c r="F244" s="37">
        <v>1300</v>
      </c>
      <c r="G244" s="37" cm="1">
        <f t="array" ref="G244">F244*_xlfn.XLOOKUP(1,
 (FOREX!$A$2:$A$13=EOMONTH(B244,0))*
 (FOREX!$B$2:$B$13=TRIM(E244)),FOREX!$C$2:$C$13,
 100)</f>
        <v>1007.6898</v>
      </c>
      <c r="H244" t="s">
        <v>1554</v>
      </c>
      <c r="I244" s="30" t="s">
        <v>364</v>
      </c>
      <c r="J244" s="35" t="str">
        <f>_xlfn.XLOOKUP(I244,costcategory[Account Code],costcategory[Cost Category],"ERROR")</f>
        <v>Headcount Costs</v>
      </c>
      <c r="K244" s="89" t="str">
        <f t="shared" si="24"/>
        <v>DSC</v>
      </c>
      <c r="L244" s="89" t="str">
        <f>_xlfn.XLOOKUP(K244,Table2[Department],Table2[Group],"ERROR")</f>
        <v>DSC</v>
      </c>
    </row>
    <row r="245" spans="1:12" x14ac:dyDescent="0.2">
      <c r="A245" t="s">
        <v>1</v>
      </c>
      <c r="B245" s="38">
        <v>46112</v>
      </c>
      <c r="C245" s="38">
        <v>46120</v>
      </c>
      <c r="D245" t="s">
        <v>1543</v>
      </c>
      <c r="E245" t="s">
        <v>77</v>
      </c>
      <c r="F245" s="37">
        <v>827</v>
      </c>
      <c r="G245" s="37" cm="1">
        <f t="array" ref="G245">F245*_xlfn.XLOOKUP(1,
 (FOREX!$A$2:$A$13=EOMONTH(B245,0))*
 (FOREX!$B$2:$B$13=TRIM(E245)),FOREX!$C$2:$C$13,
 100)</f>
        <v>641.04574200000002</v>
      </c>
      <c r="H245" t="s">
        <v>1554</v>
      </c>
      <c r="I245" s="30" t="s">
        <v>364</v>
      </c>
      <c r="J245" s="35" t="str">
        <f>_xlfn.XLOOKUP(I245,costcategory[Account Code],costcategory[Cost Category],"ERROR")</f>
        <v>Headcount Costs</v>
      </c>
      <c r="K245" s="89" t="str">
        <f t="shared" si="24"/>
        <v>Sales &amp; Pre-Sales</v>
      </c>
      <c r="L245" s="89" t="str">
        <f>_xlfn.XLOOKUP(K245,Table2[Department],Table2[Group],"ERROR")</f>
        <v>Sales &amp; Marketing</v>
      </c>
    </row>
    <row r="246" spans="1:12" x14ac:dyDescent="0.2">
      <c r="A246" t="s">
        <v>1</v>
      </c>
      <c r="B246" s="38">
        <v>46112</v>
      </c>
      <c r="C246" s="38">
        <v>46120</v>
      </c>
      <c r="D246" t="s">
        <v>1541</v>
      </c>
      <c r="E246" t="s">
        <v>77</v>
      </c>
      <c r="F246" s="37">
        <v>891</v>
      </c>
      <c r="G246" s="37" cm="1">
        <f t="array" ref="G246">F246*_xlfn.XLOOKUP(1,
 (FOREX!$A$2:$A$13=EOMONTH(B246,0))*
 (FOREX!$B$2:$B$13=TRIM(E246)),FOREX!$C$2:$C$13,
 100)</f>
        <v>690.65508599999998</v>
      </c>
      <c r="H246" t="s">
        <v>1554</v>
      </c>
      <c r="I246" s="30" t="s">
        <v>364</v>
      </c>
      <c r="J246" s="35" t="str">
        <f>_xlfn.XLOOKUP(I246,costcategory[Account Code],costcategory[Cost Category],"ERROR")</f>
        <v>Headcount Costs</v>
      </c>
      <c r="K246" s="89" t="str">
        <f t="shared" ref="K246:K247" si="25">_xlfn.XLOOKUP(D246,$AF$3:$AF$26,$AG$3:$AG$26,"ERROR")</f>
        <v>DSC</v>
      </c>
      <c r="L246" s="89" t="str">
        <f>_xlfn.XLOOKUP(K246,Table2[Department],Table2[Group],"ERROR")</f>
        <v>DSC</v>
      </c>
    </row>
    <row r="247" spans="1:12" x14ac:dyDescent="0.2">
      <c r="A247" t="s">
        <v>1</v>
      </c>
      <c r="B247" s="38">
        <v>46112</v>
      </c>
      <c r="C247" s="38">
        <v>46120</v>
      </c>
      <c r="D247" t="s">
        <v>1542</v>
      </c>
      <c r="E247" t="s">
        <v>77</v>
      </c>
      <c r="F247" s="37">
        <v>318</v>
      </c>
      <c r="G247" s="37" cm="1">
        <f t="array" ref="G247">F247*_xlfn.XLOOKUP(1,
 (FOREX!$A$2:$A$13=EOMONTH(B247,0))*
 (FOREX!$B$2:$B$13=TRIM(E247)),FOREX!$C$2:$C$13,
 100)</f>
        <v>246.49642800000001</v>
      </c>
      <c r="H247" t="s">
        <v>1554</v>
      </c>
      <c r="I247" s="30" t="s">
        <v>364</v>
      </c>
      <c r="J247" s="35" t="str">
        <f>_xlfn.XLOOKUP(I247,costcategory[Account Code],costcategory[Cost Category],"ERROR")</f>
        <v>Headcount Costs</v>
      </c>
      <c r="K247" s="89" t="str">
        <f t="shared" si="25"/>
        <v>IT</v>
      </c>
      <c r="L247" s="89" t="str">
        <f>_xlfn.XLOOKUP(K247,Table2[Department],Table2[Group],"ERROR")</f>
        <v>General &amp; Administrative</v>
      </c>
    </row>
    <row r="248" spans="1:12" x14ac:dyDescent="0.2">
      <c r="A248" t="s">
        <v>1</v>
      </c>
      <c r="B248" s="38">
        <v>46112</v>
      </c>
      <c r="C248" s="38">
        <v>46120</v>
      </c>
      <c r="D248" t="s">
        <v>1521</v>
      </c>
      <c r="E248" t="s">
        <v>77</v>
      </c>
      <c r="F248" s="37">
        <v>11.25</v>
      </c>
      <c r="G248" s="37" cm="1">
        <f t="array" ref="G248">F248*_xlfn.XLOOKUP(1,
 (FOREX!$A$2:$A$13=EOMONTH(B248,0))*
 (FOREX!$B$2:$B$13=TRIM(E248)),FOREX!$C$2:$C$13,
 100)</f>
        <v>8.7203925000000009</v>
      </c>
      <c r="H248" t="s">
        <v>1555</v>
      </c>
      <c r="I248" s="30" t="s">
        <v>364</v>
      </c>
      <c r="J248" s="35" t="str">
        <f>_xlfn.XLOOKUP(I248,costcategory[Account Code],costcategory[Cost Category],"ERROR")</f>
        <v>Headcount Costs</v>
      </c>
      <c r="K248" s="89" t="str">
        <f t="shared" ref="K248" si="26">_xlfn.XLOOKUP(D248,$AF$3:$AF$21,$AG$3:$AG$21,"ERROR")</f>
        <v>Management</v>
      </c>
      <c r="L248" s="89" t="str">
        <f>_xlfn.XLOOKUP(K248,Table2[Department],Table2[Group],"ERROR")</f>
        <v>General &amp; Administrative</v>
      </c>
    </row>
    <row r="249" spans="1:12" x14ac:dyDescent="0.2">
      <c r="A249" t="s">
        <v>1</v>
      </c>
      <c r="B249" s="38">
        <v>46112</v>
      </c>
      <c r="C249" s="38">
        <v>46120</v>
      </c>
      <c r="D249" t="s">
        <v>1522</v>
      </c>
      <c r="E249" t="s">
        <v>77</v>
      </c>
      <c r="F249" s="37">
        <v>11.25</v>
      </c>
      <c r="G249" s="37" cm="1">
        <f t="array" ref="G249">F249*_xlfn.XLOOKUP(1,
 (FOREX!$A$2:$A$13=EOMONTH(B249,0))*
 (FOREX!$B$2:$B$13=TRIM(E249)),FOREX!$C$2:$C$13,
 100)</f>
        <v>8.7203925000000009</v>
      </c>
      <c r="H249" t="s">
        <v>1555</v>
      </c>
      <c r="I249" s="30" t="s">
        <v>364</v>
      </c>
      <c r="J249" s="35" t="str">
        <f>_xlfn.XLOOKUP(I249,costcategory[Account Code],costcategory[Cost Category],"ERROR")</f>
        <v>Headcount Costs</v>
      </c>
      <c r="K249" s="89" t="str">
        <f t="shared" ref="K249:K251" si="27">_xlfn.XLOOKUP(D249,$AF$3:$AF$24,$AG$3:$AG$24,"ERROR")</f>
        <v>Marketing</v>
      </c>
      <c r="L249" s="89" t="str">
        <f>_xlfn.XLOOKUP(K249,Table2[Department],Table2[Group],"ERROR")</f>
        <v>Sales &amp; Marketing</v>
      </c>
    </row>
    <row r="250" spans="1:12" x14ac:dyDescent="0.2">
      <c r="A250" t="s">
        <v>1</v>
      </c>
      <c r="B250" s="38">
        <v>46112</v>
      </c>
      <c r="C250" s="38">
        <v>46120</v>
      </c>
      <c r="D250" t="s">
        <v>1523</v>
      </c>
      <c r="E250" t="s">
        <v>77</v>
      </c>
      <c r="F250" s="37">
        <v>11.25</v>
      </c>
      <c r="G250" s="37" cm="1">
        <f t="array" ref="G250">F250*_xlfn.XLOOKUP(1,
 (FOREX!$A$2:$A$13=EOMONTH(B250,0))*
 (FOREX!$B$2:$B$13=TRIM(E250)),FOREX!$C$2:$C$13,
 100)</f>
        <v>8.7203925000000009</v>
      </c>
      <c r="H250" t="s">
        <v>1555</v>
      </c>
      <c r="I250" s="30" t="s">
        <v>364</v>
      </c>
      <c r="J250" s="35" t="str">
        <f>_xlfn.XLOOKUP(I250,costcategory[Account Code],costcategory[Cost Category],"ERROR")</f>
        <v>Headcount Costs</v>
      </c>
      <c r="K250" s="89" t="str">
        <f t="shared" si="27"/>
        <v>Management</v>
      </c>
      <c r="L250" s="89" t="str">
        <f>_xlfn.XLOOKUP(K250,Table2[Department],Table2[Group],"ERROR")</f>
        <v>General &amp; Administrative</v>
      </c>
    </row>
    <row r="251" spans="1:12" x14ac:dyDescent="0.2">
      <c r="A251" t="s">
        <v>1</v>
      </c>
      <c r="B251" s="38">
        <v>46112</v>
      </c>
      <c r="C251" s="38">
        <v>46120</v>
      </c>
      <c r="D251" t="s">
        <v>1524</v>
      </c>
      <c r="E251" t="s">
        <v>77</v>
      </c>
      <c r="F251" s="37">
        <v>11.25</v>
      </c>
      <c r="G251" s="37" cm="1">
        <f t="array" ref="G251">F251*_xlfn.XLOOKUP(1,
 (FOREX!$A$2:$A$13=EOMONTH(B251,0))*
 (FOREX!$B$2:$B$13=TRIM(E251)),FOREX!$C$2:$C$13,
 100)</f>
        <v>8.7203925000000009</v>
      </c>
      <c r="H251" t="s">
        <v>1555</v>
      </c>
      <c r="I251" s="30" t="s">
        <v>364</v>
      </c>
      <c r="J251" s="35" t="str">
        <f>_xlfn.XLOOKUP(I251,costcategory[Account Code],costcategory[Cost Category],"ERROR")</f>
        <v>Headcount Costs</v>
      </c>
      <c r="K251" s="89" t="str">
        <f t="shared" si="27"/>
        <v>Business Operation</v>
      </c>
      <c r="L251" s="89" t="str">
        <f>_xlfn.XLOOKUP(K251,Table2[Department],Table2[Group],"ERROR")</f>
        <v>Sales &amp; Marketing</v>
      </c>
    </row>
    <row r="252" spans="1:12" x14ac:dyDescent="0.2">
      <c r="A252" t="s">
        <v>1</v>
      </c>
      <c r="B252" s="38">
        <v>46112</v>
      </c>
      <c r="C252" s="38">
        <v>46120</v>
      </c>
      <c r="D252" t="s">
        <v>1525</v>
      </c>
      <c r="E252" t="s">
        <v>77</v>
      </c>
      <c r="F252" s="37">
        <v>11.25</v>
      </c>
      <c r="G252" s="37" cm="1">
        <f t="array" ref="G252">F252*_xlfn.XLOOKUP(1,
 (FOREX!$A$2:$A$13=EOMONTH(B252,0))*
 (FOREX!$B$2:$B$13=TRIM(E252)),FOREX!$C$2:$C$13,
 100)</f>
        <v>8.7203925000000009</v>
      </c>
      <c r="H252" t="s">
        <v>1555</v>
      </c>
      <c r="I252" s="30" t="s">
        <v>364</v>
      </c>
      <c r="J252" s="35" t="str">
        <f>_xlfn.XLOOKUP(I252,costcategory[Account Code],costcategory[Cost Category],"ERROR")</f>
        <v>Headcount Costs</v>
      </c>
      <c r="K252" s="89" t="str">
        <f t="shared" ref="K252:K254" si="28">_xlfn.XLOOKUP(D252,$AF$3:$AF$21,$AG$3:$AG$21,"ERROR")</f>
        <v>Sales &amp; Pre-Sales</v>
      </c>
      <c r="L252" s="89" t="str">
        <f>_xlfn.XLOOKUP(K252,Table2[Department],Table2[Group],"ERROR")</f>
        <v>Sales &amp; Marketing</v>
      </c>
    </row>
    <row r="253" spans="1:12" x14ac:dyDescent="0.2">
      <c r="A253" t="s">
        <v>1</v>
      </c>
      <c r="B253" s="38">
        <v>46112</v>
      </c>
      <c r="C253" s="38">
        <v>46120</v>
      </c>
      <c r="D253" t="s">
        <v>1527</v>
      </c>
      <c r="E253" t="s">
        <v>77</v>
      </c>
      <c r="F253" s="37">
        <v>11.25</v>
      </c>
      <c r="G253" s="37" cm="1">
        <f t="array" ref="G253">F253*_xlfn.XLOOKUP(1,
 (FOREX!$A$2:$A$13=EOMONTH(B253,0))*
 (FOREX!$B$2:$B$13=TRIM(E253)),FOREX!$C$2:$C$13,
 100)</f>
        <v>8.7203925000000009</v>
      </c>
      <c r="H253" t="s">
        <v>1555</v>
      </c>
      <c r="I253" s="30" t="s">
        <v>364</v>
      </c>
      <c r="J253" s="35" t="str">
        <f>_xlfn.XLOOKUP(I253,costcategory[Account Code],costcategory[Cost Category],"ERROR")</f>
        <v>Headcount Costs</v>
      </c>
      <c r="K253" s="89" t="str">
        <f t="shared" si="28"/>
        <v>DSC</v>
      </c>
      <c r="L253" s="89" t="str">
        <f>_xlfn.XLOOKUP(K253,Table2[Department],Table2[Group],"ERROR")</f>
        <v>DSC</v>
      </c>
    </row>
    <row r="254" spans="1:12" x14ac:dyDescent="0.2">
      <c r="A254" t="s">
        <v>1</v>
      </c>
      <c r="B254" s="38">
        <v>46112</v>
      </c>
      <c r="C254" s="38">
        <v>46120</v>
      </c>
      <c r="D254" t="s">
        <v>1528</v>
      </c>
      <c r="E254" t="s">
        <v>77</v>
      </c>
      <c r="F254" s="37">
        <v>11.25</v>
      </c>
      <c r="G254" s="37" cm="1">
        <f t="array" ref="G254">F254*_xlfn.XLOOKUP(1,
 (FOREX!$A$2:$A$13=EOMONTH(B254,0))*
 (FOREX!$B$2:$B$13=TRIM(E254)),FOREX!$C$2:$C$13,
 100)</f>
        <v>8.7203925000000009</v>
      </c>
      <c r="H254" t="s">
        <v>1555</v>
      </c>
      <c r="I254" s="30" t="s">
        <v>364</v>
      </c>
      <c r="J254" s="35" t="str">
        <f>_xlfn.XLOOKUP(I254,costcategory[Account Code],costcategory[Cost Category],"ERROR")</f>
        <v>Headcount Costs</v>
      </c>
      <c r="K254" s="89" t="str">
        <f t="shared" si="28"/>
        <v>R&amp;D - Team D</v>
      </c>
      <c r="L254" s="89" t="str">
        <f>_xlfn.XLOOKUP(K254,Table2[Department],Table2[Group],"ERROR")</f>
        <v>Research &amp; Development</v>
      </c>
    </row>
    <row r="255" spans="1:12" x14ac:dyDescent="0.2">
      <c r="A255" t="s">
        <v>1</v>
      </c>
      <c r="B255" s="38">
        <v>46112</v>
      </c>
      <c r="C255" s="38">
        <v>46120</v>
      </c>
      <c r="D255" t="s">
        <v>1529</v>
      </c>
      <c r="E255" t="s">
        <v>77</v>
      </c>
      <c r="F255" s="37">
        <v>11.25</v>
      </c>
      <c r="G255" s="37" cm="1">
        <f t="array" ref="G255">F255*_xlfn.XLOOKUP(1,
 (FOREX!$A$2:$A$13=EOMONTH(B255,0))*
 (FOREX!$B$2:$B$13=TRIM(E255)),FOREX!$C$2:$C$13,
 100)</f>
        <v>8.7203925000000009</v>
      </c>
      <c r="H255" t="s">
        <v>1555</v>
      </c>
      <c r="I255" s="30" t="s">
        <v>364</v>
      </c>
      <c r="J255" s="35" t="str">
        <f>_xlfn.XLOOKUP(I255,costcategory[Account Code],costcategory[Cost Category],"ERROR")</f>
        <v>Headcount Costs</v>
      </c>
      <c r="K255" s="89" t="str">
        <f t="shared" ref="K255:K259" si="29">_xlfn.XLOOKUP(D255,$AF$3:$AF$24,$AG$3:$AG$24,"ERROR")</f>
        <v>R&amp;D - Team W</v>
      </c>
      <c r="L255" s="89" t="str">
        <f>_xlfn.XLOOKUP(K255,Table2[Department],Table2[Group],"ERROR")</f>
        <v>Research &amp; Development</v>
      </c>
    </row>
    <row r="256" spans="1:12" x14ac:dyDescent="0.2">
      <c r="A256" t="s">
        <v>1</v>
      </c>
      <c r="B256" s="38">
        <v>46112</v>
      </c>
      <c r="C256" s="38">
        <v>46120</v>
      </c>
      <c r="D256" t="s">
        <v>1530</v>
      </c>
      <c r="E256" t="s">
        <v>77</v>
      </c>
      <c r="F256" s="37">
        <v>11.25</v>
      </c>
      <c r="G256" s="37" cm="1">
        <f t="array" ref="G256">F256*_xlfn.XLOOKUP(1,
 (FOREX!$A$2:$A$13=EOMONTH(B256,0))*
 (FOREX!$B$2:$B$13=TRIM(E256)),FOREX!$C$2:$C$13,
 100)</f>
        <v>8.7203925000000009</v>
      </c>
      <c r="H256" t="s">
        <v>1555</v>
      </c>
      <c r="I256" s="30" t="s">
        <v>364</v>
      </c>
      <c r="J256" s="35" t="str">
        <f>_xlfn.XLOOKUP(I256,costcategory[Account Code],costcategory[Cost Category],"ERROR")</f>
        <v>Headcount Costs</v>
      </c>
      <c r="K256" s="89" t="str">
        <f t="shared" si="29"/>
        <v>R&amp;D - Team D</v>
      </c>
      <c r="L256" s="89" t="str">
        <f>_xlfn.XLOOKUP(K256,Table2[Department],Table2[Group],"ERROR")</f>
        <v>Research &amp; Development</v>
      </c>
    </row>
    <row r="257" spans="1:12" x14ac:dyDescent="0.2">
      <c r="A257" t="s">
        <v>1</v>
      </c>
      <c r="B257" s="38">
        <v>46112</v>
      </c>
      <c r="C257" s="38">
        <v>46120</v>
      </c>
      <c r="D257" t="s">
        <v>1531</v>
      </c>
      <c r="E257" t="s">
        <v>77</v>
      </c>
      <c r="F257" s="37">
        <v>11.25</v>
      </c>
      <c r="G257" s="37" cm="1">
        <f t="array" ref="G257">F257*_xlfn.XLOOKUP(1,
 (FOREX!$A$2:$A$13=EOMONTH(B257,0))*
 (FOREX!$B$2:$B$13=TRIM(E257)),FOREX!$C$2:$C$13,
 100)</f>
        <v>8.7203925000000009</v>
      </c>
      <c r="H257" t="s">
        <v>1555</v>
      </c>
      <c r="I257" s="30" t="s">
        <v>364</v>
      </c>
      <c r="J257" s="35" t="str">
        <f>_xlfn.XLOOKUP(I257,costcategory[Account Code],costcategory[Cost Category],"ERROR")</f>
        <v>Headcount Costs</v>
      </c>
      <c r="K257" s="89" t="str">
        <f t="shared" si="29"/>
        <v>R&amp;D - Team W</v>
      </c>
      <c r="L257" s="89" t="str">
        <f>_xlfn.XLOOKUP(K257,Table2[Department],Table2[Group],"ERROR")</f>
        <v>Research &amp; Development</v>
      </c>
    </row>
    <row r="258" spans="1:12" x14ac:dyDescent="0.2">
      <c r="A258" t="s">
        <v>1</v>
      </c>
      <c r="B258" s="38">
        <v>46112</v>
      </c>
      <c r="C258" s="38">
        <v>46120</v>
      </c>
      <c r="D258" t="s">
        <v>1533</v>
      </c>
      <c r="E258" t="s">
        <v>77</v>
      </c>
      <c r="F258" s="37">
        <v>8.24</v>
      </c>
      <c r="G258" s="37" cm="1">
        <f t="array" ref="G258">F258*_xlfn.XLOOKUP(1,
 (FOREX!$A$2:$A$13=EOMONTH(B258,0))*
 (FOREX!$B$2:$B$13=TRIM(E258)),FOREX!$C$2:$C$13,
 100)</f>
        <v>6.3872030400000002</v>
      </c>
      <c r="H258" t="s">
        <v>1555</v>
      </c>
      <c r="I258" s="30" t="s">
        <v>364</v>
      </c>
      <c r="J258" s="35" t="str">
        <f>_xlfn.XLOOKUP(I258,costcategory[Account Code],costcategory[Cost Category],"ERROR")</f>
        <v>Headcount Costs</v>
      </c>
      <c r="K258" s="89" t="str">
        <f t="shared" si="29"/>
        <v>R&amp;D - Team D</v>
      </c>
      <c r="L258" s="89" t="str">
        <f>_xlfn.XLOOKUP(K258,Table2[Department],Table2[Group],"ERROR")</f>
        <v>Research &amp; Development</v>
      </c>
    </row>
    <row r="259" spans="1:12" x14ac:dyDescent="0.2">
      <c r="A259" t="s">
        <v>1</v>
      </c>
      <c r="B259" s="38">
        <v>46112</v>
      </c>
      <c r="C259" s="38">
        <v>46120</v>
      </c>
      <c r="D259" t="s">
        <v>1535</v>
      </c>
      <c r="E259" t="s">
        <v>77</v>
      </c>
      <c r="F259" s="37">
        <v>11.25</v>
      </c>
      <c r="G259" s="37" cm="1">
        <f t="array" ref="G259">F259*_xlfn.XLOOKUP(1,
 (FOREX!$A$2:$A$13=EOMONTH(B259,0))*
 (FOREX!$B$2:$B$13=TRIM(E259)),FOREX!$C$2:$C$13,
 100)</f>
        <v>8.7203925000000009</v>
      </c>
      <c r="H259" t="s">
        <v>1555</v>
      </c>
      <c r="I259" s="30" t="s">
        <v>364</v>
      </c>
      <c r="J259" s="35" t="str">
        <f>_xlfn.XLOOKUP(I259,costcategory[Account Code],costcategory[Cost Category],"ERROR")</f>
        <v>Headcount Costs</v>
      </c>
      <c r="K259" s="89" t="str">
        <f t="shared" si="29"/>
        <v>HR</v>
      </c>
      <c r="L259" s="89" t="str">
        <f>_xlfn.XLOOKUP(K259,Table2[Department],Table2[Group],"ERROR")</f>
        <v>General &amp; Administrative</v>
      </c>
    </row>
    <row r="260" spans="1:12" x14ac:dyDescent="0.2">
      <c r="A260" t="s">
        <v>1</v>
      </c>
      <c r="B260" s="38">
        <v>46112</v>
      </c>
      <c r="C260" s="38">
        <v>46120</v>
      </c>
      <c r="D260" t="s">
        <v>1537</v>
      </c>
      <c r="E260" t="s">
        <v>77</v>
      </c>
      <c r="F260" s="37">
        <v>11.25</v>
      </c>
      <c r="G260" s="37" cm="1">
        <f t="array" ref="G260">F260*_xlfn.XLOOKUP(1,
 (FOREX!$A$2:$A$13=EOMONTH(B260,0))*
 (FOREX!$B$2:$B$13=TRIM(E260)),FOREX!$C$2:$C$13,
 100)</f>
        <v>8.7203925000000009</v>
      </c>
      <c r="H260" t="s">
        <v>1555</v>
      </c>
      <c r="I260" s="30" t="s">
        <v>364</v>
      </c>
      <c r="J260" s="35" t="str">
        <f>_xlfn.XLOOKUP(I260,costcategory[Account Code],costcategory[Cost Category],"ERROR")</f>
        <v>Headcount Costs</v>
      </c>
      <c r="K260" s="89" t="str">
        <f t="shared" ref="K260:K262" si="30">_xlfn.XLOOKUP(D260,$AF$3:$AF$21,$AG$3:$AG$21,"ERROR")</f>
        <v>DSC</v>
      </c>
      <c r="L260" s="89" t="str">
        <f>_xlfn.XLOOKUP(K260,Table2[Department],Table2[Group],"ERROR")</f>
        <v>DSC</v>
      </c>
    </row>
    <row r="261" spans="1:12" x14ac:dyDescent="0.2">
      <c r="A261" t="s">
        <v>1</v>
      </c>
      <c r="B261" s="38">
        <v>46112</v>
      </c>
      <c r="C261" s="38">
        <v>46120</v>
      </c>
      <c r="D261" t="s">
        <v>1538</v>
      </c>
      <c r="E261" t="s">
        <v>77</v>
      </c>
      <c r="F261" s="37">
        <v>11.25</v>
      </c>
      <c r="G261" s="37" cm="1">
        <f t="array" ref="G261">F261*_xlfn.XLOOKUP(1,
 (FOREX!$A$2:$A$13=EOMONTH(B261,0))*
 (FOREX!$B$2:$B$13=TRIM(E261)),FOREX!$C$2:$C$13,
 100)</f>
        <v>8.7203925000000009</v>
      </c>
      <c r="H261" t="s">
        <v>1555</v>
      </c>
      <c r="I261" s="30" t="s">
        <v>364</v>
      </c>
      <c r="J261" s="35" t="str">
        <f>_xlfn.XLOOKUP(I261,costcategory[Account Code],costcategory[Cost Category],"ERROR")</f>
        <v>Headcount Costs</v>
      </c>
      <c r="K261" s="89" t="str">
        <f t="shared" si="30"/>
        <v>HR</v>
      </c>
      <c r="L261" s="89" t="str">
        <f>_xlfn.XLOOKUP(K261,Table2[Department],Table2[Group],"ERROR")</f>
        <v>General &amp; Administrative</v>
      </c>
    </row>
    <row r="262" spans="1:12" x14ac:dyDescent="0.2">
      <c r="A262" t="s">
        <v>1</v>
      </c>
      <c r="B262" s="38">
        <v>46112</v>
      </c>
      <c r="C262" s="38">
        <v>46120</v>
      </c>
      <c r="D262" t="s">
        <v>1539</v>
      </c>
      <c r="E262" t="s">
        <v>77</v>
      </c>
      <c r="F262" s="37">
        <v>11.25</v>
      </c>
      <c r="G262" s="37" cm="1">
        <f t="array" ref="G262">F262*_xlfn.XLOOKUP(1,
 (FOREX!$A$2:$A$13=EOMONTH(B262,0))*
 (FOREX!$B$2:$B$13=TRIM(E262)),FOREX!$C$2:$C$13,
 100)</f>
        <v>8.7203925000000009</v>
      </c>
      <c r="H262" t="s">
        <v>1555</v>
      </c>
      <c r="I262" s="30" t="s">
        <v>364</v>
      </c>
      <c r="J262" s="35" t="str">
        <f>_xlfn.XLOOKUP(I262,costcategory[Account Code],costcategory[Cost Category],"ERROR")</f>
        <v>Headcount Costs</v>
      </c>
      <c r="K262" s="89" t="str">
        <f t="shared" si="30"/>
        <v>DSC</v>
      </c>
      <c r="L262" s="89" t="str">
        <f>_xlfn.XLOOKUP(K262,Table2[Department],Table2[Group],"ERROR")</f>
        <v>DSC</v>
      </c>
    </row>
    <row r="263" spans="1:12" x14ac:dyDescent="0.2">
      <c r="A263" t="s">
        <v>1</v>
      </c>
      <c r="B263" s="38">
        <v>46112</v>
      </c>
      <c r="C263" s="38">
        <v>46120</v>
      </c>
      <c r="D263" t="s">
        <v>1543</v>
      </c>
      <c r="E263" t="s">
        <v>77</v>
      </c>
      <c r="F263" s="37">
        <v>10.34</v>
      </c>
      <c r="G263" s="37" cm="1">
        <f t="array" ref="G263">F263*_xlfn.XLOOKUP(1,
 (FOREX!$A$2:$A$13=EOMONTH(B263,0))*
 (FOREX!$B$2:$B$13=TRIM(E263)),FOREX!$C$2:$C$13,
 100)</f>
        <v>8.0150096400000006</v>
      </c>
      <c r="H263" t="s">
        <v>1555</v>
      </c>
      <c r="I263" s="30" t="s">
        <v>364</v>
      </c>
      <c r="J263" s="35" t="str">
        <f>_xlfn.XLOOKUP(I263,costcategory[Account Code],costcategory[Cost Category],"ERROR")</f>
        <v>Headcount Costs</v>
      </c>
      <c r="K263" s="89" t="str">
        <f t="shared" ref="K263:K265" si="31">_xlfn.XLOOKUP(D263,$AF$3:$AF$24,$AG$3:$AG$24,"ERROR")</f>
        <v>Sales &amp; Pre-Sales</v>
      </c>
      <c r="L263" s="89" t="str">
        <f>_xlfn.XLOOKUP(K263,Table2[Department],Table2[Group],"ERROR")</f>
        <v>Sales &amp; Marketing</v>
      </c>
    </row>
    <row r="264" spans="1:12" x14ac:dyDescent="0.2">
      <c r="A264" t="s">
        <v>1</v>
      </c>
      <c r="B264" s="38">
        <v>46112</v>
      </c>
      <c r="C264" s="38">
        <v>46120</v>
      </c>
      <c r="D264" t="s">
        <v>1541</v>
      </c>
      <c r="E264" t="s">
        <v>77</v>
      </c>
      <c r="F264" s="37">
        <v>11.15</v>
      </c>
      <c r="G264" s="37" cm="1">
        <f t="array" ref="G264">F264*_xlfn.XLOOKUP(1,
 (FOREX!$A$2:$A$13=EOMONTH(B264,0))*
 (FOREX!$B$2:$B$13=TRIM(E264)),FOREX!$C$2:$C$13,
 100)</f>
        <v>8.6428779000000002</v>
      </c>
      <c r="H264" t="s">
        <v>1555</v>
      </c>
      <c r="I264" s="30" t="s">
        <v>364</v>
      </c>
      <c r="J264" s="35" t="str">
        <f>_xlfn.XLOOKUP(I264,costcategory[Account Code],costcategory[Cost Category],"ERROR")</f>
        <v>Headcount Costs</v>
      </c>
      <c r="K264" s="89" t="str">
        <f t="shared" si="31"/>
        <v>DSC</v>
      </c>
      <c r="L264" s="89" t="str">
        <f>_xlfn.XLOOKUP(K264,Table2[Department],Table2[Group],"ERROR")</f>
        <v>DSC</v>
      </c>
    </row>
    <row r="265" spans="1:12" x14ac:dyDescent="0.2">
      <c r="A265" t="s">
        <v>1</v>
      </c>
      <c r="B265" s="38">
        <v>46112</v>
      </c>
      <c r="C265" s="38">
        <v>46120</v>
      </c>
      <c r="D265" t="s">
        <v>1542</v>
      </c>
      <c r="E265" t="s">
        <v>77</v>
      </c>
      <c r="F265" s="37">
        <v>3.98</v>
      </c>
      <c r="G265" s="37" cm="1">
        <f t="array" ref="G265">F265*_xlfn.XLOOKUP(1,
 (FOREX!$A$2:$A$13=EOMONTH(B265,0))*
 (FOREX!$B$2:$B$13=TRIM(E265)),FOREX!$C$2:$C$13,
 100)</f>
        <v>3.0850810800000001</v>
      </c>
      <c r="H265" t="s">
        <v>1555</v>
      </c>
      <c r="I265" s="30" t="s">
        <v>364</v>
      </c>
      <c r="J265" s="35" t="str">
        <f>_xlfn.XLOOKUP(I265,costcategory[Account Code],costcategory[Cost Category],"ERROR")</f>
        <v>Headcount Costs</v>
      </c>
      <c r="K265" s="89" t="str">
        <f t="shared" si="31"/>
        <v>IT</v>
      </c>
      <c r="L265" s="89" t="str">
        <f>_xlfn.XLOOKUP(K265,Table2[Department],Table2[Group],"ERROR")</f>
        <v>General &amp; Administrative</v>
      </c>
    </row>
    <row r="266" spans="1:12" x14ac:dyDescent="0.2">
      <c r="A266" t="s">
        <v>1</v>
      </c>
      <c r="B266" s="38">
        <v>46112</v>
      </c>
      <c r="C266" s="38">
        <v>46120</v>
      </c>
      <c r="D266" t="s">
        <v>1521</v>
      </c>
      <c r="E266" t="s">
        <v>77</v>
      </c>
      <c r="F266" s="37">
        <v>0</v>
      </c>
      <c r="G266" s="37" cm="1">
        <f t="array" ref="G266">F266*_xlfn.XLOOKUP(1,
 (FOREX!$A$2:$A$13=EOMONTH(B266,0))*
 (FOREX!$B$2:$B$13=TRIM(E266)),FOREX!$C$2:$C$13,
 100)</f>
        <v>0</v>
      </c>
      <c r="H266" t="s">
        <v>1556</v>
      </c>
      <c r="I266" s="30" t="s">
        <v>364</v>
      </c>
      <c r="J266" s="35" t="str">
        <f>_xlfn.XLOOKUP(I266,costcategory[Account Code],costcategory[Cost Category],"ERROR")</f>
        <v>Headcount Costs</v>
      </c>
      <c r="K266" s="89" t="str">
        <f t="shared" ref="K266:K268" si="32">_xlfn.XLOOKUP(D266,$AF$3:$AF$21,$AG$3:$AG$21,"ERROR")</f>
        <v>Management</v>
      </c>
      <c r="L266" s="89" t="str">
        <f>_xlfn.XLOOKUP(K266,Table2[Department],Table2[Group],"ERROR")</f>
        <v>General &amp; Administrative</v>
      </c>
    </row>
    <row r="267" spans="1:12" x14ac:dyDescent="0.2">
      <c r="A267" t="s">
        <v>1</v>
      </c>
      <c r="B267" s="38">
        <v>46112</v>
      </c>
      <c r="C267" s="38">
        <v>46120</v>
      </c>
      <c r="D267" t="s">
        <v>1522</v>
      </c>
      <c r="E267" t="s">
        <v>77</v>
      </c>
      <c r="F267" s="37">
        <v>2253</v>
      </c>
      <c r="G267" s="37" cm="1">
        <f t="array" ref="G267">F267*_xlfn.XLOOKUP(1,
 (FOREX!$A$2:$A$13=EOMONTH(B267,0))*
 (FOREX!$B$2:$B$13=TRIM(E267)),FOREX!$C$2:$C$13,
 100)</f>
        <v>1746.4039379999999</v>
      </c>
      <c r="H267" t="s">
        <v>1556</v>
      </c>
      <c r="I267" s="30" t="s">
        <v>364</v>
      </c>
      <c r="J267" s="35" t="str">
        <f>_xlfn.XLOOKUP(I267,costcategory[Account Code],costcategory[Cost Category],"ERROR")</f>
        <v>Headcount Costs</v>
      </c>
      <c r="K267" s="89" t="str">
        <f t="shared" si="32"/>
        <v>Marketing</v>
      </c>
      <c r="L267" s="89" t="str">
        <f>_xlfn.XLOOKUP(K267,Table2[Department],Table2[Group],"ERROR")</f>
        <v>Sales &amp; Marketing</v>
      </c>
    </row>
    <row r="268" spans="1:12" x14ac:dyDescent="0.2">
      <c r="A268" t="s">
        <v>1</v>
      </c>
      <c r="B268" s="38">
        <v>46112</v>
      </c>
      <c r="C268" s="38">
        <v>46120</v>
      </c>
      <c r="D268" t="s">
        <v>1523</v>
      </c>
      <c r="E268" t="s">
        <v>77</v>
      </c>
      <c r="F268" s="37">
        <v>0</v>
      </c>
      <c r="G268" s="37" cm="1">
        <f t="array" ref="G268">F268*_xlfn.XLOOKUP(1,
 (FOREX!$A$2:$A$13=EOMONTH(B268,0))*
 (FOREX!$B$2:$B$13=TRIM(E268)),FOREX!$C$2:$C$13,
 100)</f>
        <v>0</v>
      </c>
      <c r="H268" t="s">
        <v>1556</v>
      </c>
      <c r="I268" s="30" t="s">
        <v>364</v>
      </c>
      <c r="J268" s="35" t="str">
        <f>_xlfn.XLOOKUP(I268,costcategory[Account Code],costcategory[Cost Category],"ERROR")</f>
        <v>Headcount Costs</v>
      </c>
      <c r="K268" s="89" t="str">
        <f t="shared" si="32"/>
        <v>Management</v>
      </c>
      <c r="L268" s="89" t="str">
        <f>_xlfn.XLOOKUP(K268,Table2[Department],Table2[Group],"ERROR")</f>
        <v>General &amp; Administrative</v>
      </c>
    </row>
    <row r="269" spans="1:12" x14ac:dyDescent="0.2">
      <c r="A269" t="s">
        <v>1</v>
      </c>
      <c r="B269" s="38">
        <v>46112</v>
      </c>
      <c r="C269" s="38">
        <v>46120</v>
      </c>
      <c r="D269" t="s">
        <v>1524</v>
      </c>
      <c r="E269" t="s">
        <v>77</v>
      </c>
      <c r="F269" s="37">
        <v>1561</v>
      </c>
      <c r="G269" s="37" cm="1">
        <f t="array" ref="G269">F269*_xlfn.XLOOKUP(1,
 (FOREX!$A$2:$A$13=EOMONTH(B269,0))*
 (FOREX!$B$2:$B$13=TRIM(E269)),FOREX!$C$2:$C$13,
 100)</f>
        <v>1210.0029059999999</v>
      </c>
      <c r="H269" t="s">
        <v>1556</v>
      </c>
      <c r="I269" s="30" t="s">
        <v>364</v>
      </c>
      <c r="J269" s="35" t="str">
        <f>_xlfn.XLOOKUP(I269,costcategory[Account Code],costcategory[Cost Category],"ERROR")</f>
        <v>Headcount Costs</v>
      </c>
      <c r="K269" s="89" t="str">
        <f t="shared" ref="K269:K273" si="33">_xlfn.XLOOKUP(D269,$AF$3:$AF$24,$AG$3:$AG$24,"ERROR")</f>
        <v>Business Operation</v>
      </c>
      <c r="L269" s="89" t="str">
        <f>_xlfn.XLOOKUP(K269,Table2[Department],Table2[Group],"ERROR")</f>
        <v>Sales &amp; Marketing</v>
      </c>
    </row>
    <row r="270" spans="1:12" x14ac:dyDescent="0.2">
      <c r="A270" t="s">
        <v>1</v>
      </c>
      <c r="B270" s="38">
        <v>46112</v>
      </c>
      <c r="C270" s="38">
        <v>46120</v>
      </c>
      <c r="D270" t="s">
        <v>1525</v>
      </c>
      <c r="E270" t="s">
        <v>77</v>
      </c>
      <c r="F270" s="37">
        <v>1280</v>
      </c>
      <c r="G270" s="37" cm="1">
        <f t="array" ref="G270">F270*_xlfn.XLOOKUP(1,
 (FOREX!$A$2:$A$13=EOMONTH(B270,0))*
 (FOREX!$B$2:$B$13=TRIM(E270)),FOREX!$C$2:$C$13,
 100)</f>
        <v>992.18687999999997</v>
      </c>
      <c r="H270" t="s">
        <v>1556</v>
      </c>
      <c r="I270" s="30" t="s">
        <v>364</v>
      </c>
      <c r="J270" s="35" t="str">
        <f>_xlfn.XLOOKUP(I270,costcategory[Account Code],costcategory[Cost Category],"ERROR")</f>
        <v>Headcount Costs</v>
      </c>
      <c r="K270" s="89" t="str">
        <f t="shared" si="33"/>
        <v>Sales &amp; Pre-Sales</v>
      </c>
      <c r="L270" s="89" t="str">
        <f>_xlfn.XLOOKUP(K270,Table2[Department],Table2[Group],"ERROR")</f>
        <v>Sales &amp; Marketing</v>
      </c>
    </row>
    <row r="271" spans="1:12" x14ac:dyDescent="0.2">
      <c r="A271" t="s">
        <v>1</v>
      </c>
      <c r="B271" s="38">
        <v>46112</v>
      </c>
      <c r="C271" s="38">
        <v>46120</v>
      </c>
      <c r="D271" t="s">
        <v>1527</v>
      </c>
      <c r="E271" t="s">
        <v>77</v>
      </c>
      <c r="F271" s="37">
        <v>1360</v>
      </c>
      <c r="G271" s="37" cm="1">
        <f t="array" ref="G271">F271*_xlfn.XLOOKUP(1,
 (FOREX!$A$2:$A$13=EOMONTH(B271,0))*
 (FOREX!$B$2:$B$13=TRIM(E271)),FOREX!$C$2:$C$13,
 100)</f>
        <v>1054.19856</v>
      </c>
      <c r="H271" t="s">
        <v>1556</v>
      </c>
      <c r="I271" s="30" t="s">
        <v>364</v>
      </c>
      <c r="J271" s="35" t="str">
        <f>_xlfn.XLOOKUP(I271,costcategory[Account Code],costcategory[Cost Category],"ERROR")</f>
        <v>Headcount Costs</v>
      </c>
      <c r="K271" s="89" t="str">
        <f t="shared" si="33"/>
        <v>DSC</v>
      </c>
      <c r="L271" s="89" t="str">
        <f>_xlfn.XLOOKUP(K271,Table2[Department],Table2[Group],"ERROR")</f>
        <v>DSC</v>
      </c>
    </row>
    <row r="272" spans="1:12" x14ac:dyDescent="0.2">
      <c r="A272" t="s">
        <v>1</v>
      </c>
      <c r="B272" s="38">
        <v>46112</v>
      </c>
      <c r="C272" s="38">
        <v>46120</v>
      </c>
      <c r="D272" t="s">
        <v>1528</v>
      </c>
      <c r="E272" t="s">
        <v>77</v>
      </c>
      <c r="F272" s="37">
        <v>0</v>
      </c>
      <c r="G272" s="37" cm="1">
        <f t="array" ref="G272">F272*_xlfn.XLOOKUP(1,
 (FOREX!$A$2:$A$13=EOMONTH(B272,0))*
 (FOREX!$B$2:$B$13=TRIM(E272)),FOREX!$C$2:$C$13,
 100)</f>
        <v>0</v>
      </c>
      <c r="H272" t="s">
        <v>1556</v>
      </c>
      <c r="I272" s="30" t="s">
        <v>364</v>
      </c>
      <c r="J272" s="35" t="str">
        <f>_xlfn.XLOOKUP(I272,costcategory[Account Code],costcategory[Cost Category],"ERROR")</f>
        <v>Headcount Costs</v>
      </c>
      <c r="K272" s="89" t="str">
        <f t="shared" si="33"/>
        <v>R&amp;D - Team D</v>
      </c>
      <c r="L272" s="89" t="str">
        <f>_xlfn.XLOOKUP(K272,Table2[Department],Table2[Group],"ERROR")</f>
        <v>Research &amp; Development</v>
      </c>
    </row>
    <row r="273" spans="1:12" x14ac:dyDescent="0.2">
      <c r="A273" t="s">
        <v>1</v>
      </c>
      <c r="B273" s="38">
        <v>46112</v>
      </c>
      <c r="C273" s="38">
        <v>46120</v>
      </c>
      <c r="D273" t="s">
        <v>1529</v>
      </c>
      <c r="E273" t="s">
        <v>77</v>
      </c>
      <c r="F273" s="37">
        <v>0</v>
      </c>
      <c r="G273" s="37" cm="1">
        <f t="array" ref="G273">F273*_xlfn.XLOOKUP(1,
 (FOREX!$A$2:$A$13=EOMONTH(B273,0))*
 (FOREX!$B$2:$B$13=TRIM(E273)),FOREX!$C$2:$C$13,
 100)</f>
        <v>0</v>
      </c>
      <c r="H273" t="s">
        <v>1556</v>
      </c>
      <c r="I273" s="30" t="s">
        <v>364</v>
      </c>
      <c r="J273" s="35" t="str">
        <f>_xlfn.XLOOKUP(I273,costcategory[Account Code],costcategory[Cost Category],"ERROR")</f>
        <v>Headcount Costs</v>
      </c>
      <c r="K273" s="89" t="str">
        <f t="shared" si="33"/>
        <v>R&amp;D - Team W</v>
      </c>
      <c r="L273" s="89" t="str">
        <f>_xlfn.XLOOKUP(K273,Table2[Department],Table2[Group],"ERROR")</f>
        <v>Research &amp; Development</v>
      </c>
    </row>
    <row r="274" spans="1:12" x14ac:dyDescent="0.2">
      <c r="A274" t="s">
        <v>1</v>
      </c>
      <c r="B274" s="38">
        <v>46112</v>
      </c>
      <c r="C274" s="38">
        <v>46120</v>
      </c>
      <c r="D274" t="s">
        <v>1530</v>
      </c>
      <c r="E274" t="s">
        <v>77</v>
      </c>
      <c r="F274" s="37">
        <v>2380</v>
      </c>
      <c r="G274" s="37" cm="1">
        <f t="array" ref="G274">F274*_xlfn.XLOOKUP(1,
 (FOREX!$A$2:$A$13=EOMONTH(B274,0))*
 (FOREX!$B$2:$B$13=TRIM(E274)),FOREX!$C$2:$C$13,
 100)</f>
        <v>1844.8474799999999</v>
      </c>
      <c r="H274" t="s">
        <v>1556</v>
      </c>
      <c r="I274" s="30" t="s">
        <v>364</v>
      </c>
      <c r="J274" s="35" t="str">
        <f>_xlfn.XLOOKUP(I274,costcategory[Account Code],costcategory[Cost Category],"ERROR")</f>
        <v>Headcount Costs</v>
      </c>
      <c r="K274" s="89" t="str">
        <f t="shared" ref="K274:K276" si="34">_xlfn.XLOOKUP(D274,$AF$3:$AF$21,$AG$3:$AG$21,"ERROR")</f>
        <v>R&amp;D - Team D</v>
      </c>
      <c r="L274" s="89" t="str">
        <f>_xlfn.XLOOKUP(K274,Table2[Department],Table2[Group],"ERROR")</f>
        <v>Research &amp; Development</v>
      </c>
    </row>
    <row r="275" spans="1:12" x14ac:dyDescent="0.2">
      <c r="A275" t="s">
        <v>1</v>
      </c>
      <c r="B275" s="38">
        <v>46112</v>
      </c>
      <c r="C275" s="38">
        <v>46120</v>
      </c>
      <c r="D275" t="s">
        <v>1531</v>
      </c>
      <c r="E275" t="s">
        <v>77</v>
      </c>
      <c r="F275" s="37">
        <v>0</v>
      </c>
      <c r="G275" s="37" cm="1">
        <f t="array" ref="G275">F275*_xlfn.XLOOKUP(1,
 (FOREX!$A$2:$A$13=EOMONTH(B275,0))*
 (FOREX!$B$2:$B$13=TRIM(E275)),FOREX!$C$2:$C$13,
 100)</f>
        <v>0</v>
      </c>
      <c r="H275" t="s">
        <v>1556</v>
      </c>
      <c r="I275" s="30" t="s">
        <v>364</v>
      </c>
      <c r="J275" s="35" t="str">
        <f>_xlfn.XLOOKUP(I275,costcategory[Account Code],costcategory[Cost Category],"ERROR")</f>
        <v>Headcount Costs</v>
      </c>
      <c r="K275" s="89" t="str">
        <f t="shared" si="34"/>
        <v>R&amp;D - Team W</v>
      </c>
      <c r="L275" s="89" t="str">
        <f>_xlfn.XLOOKUP(K275,Table2[Department],Table2[Group],"ERROR")</f>
        <v>Research &amp; Development</v>
      </c>
    </row>
    <row r="276" spans="1:12" x14ac:dyDescent="0.2">
      <c r="A276" t="s">
        <v>1</v>
      </c>
      <c r="B276" s="38">
        <v>46112</v>
      </c>
      <c r="C276" s="38">
        <v>46120</v>
      </c>
      <c r="D276" t="s">
        <v>1533</v>
      </c>
      <c r="E276" t="s">
        <v>77</v>
      </c>
      <c r="F276" s="37">
        <v>561</v>
      </c>
      <c r="G276" s="37" cm="1">
        <f t="array" ref="G276">F276*_xlfn.XLOOKUP(1,
 (FOREX!$A$2:$A$13=EOMONTH(B276,0))*
 (FOREX!$B$2:$B$13=TRIM(E276)),FOREX!$C$2:$C$13,
 100)</f>
        <v>434.85690599999998</v>
      </c>
      <c r="H276" t="s">
        <v>1556</v>
      </c>
      <c r="I276" s="30" t="s">
        <v>364</v>
      </c>
      <c r="J276" s="35" t="str">
        <f>_xlfn.XLOOKUP(I276,costcategory[Account Code],costcategory[Cost Category],"ERROR")</f>
        <v>Headcount Costs</v>
      </c>
      <c r="K276" s="89" t="str">
        <f t="shared" si="34"/>
        <v>R&amp;D - Team D</v>
      </c>
      <c r="L276" s="89" t="str">
        <f>_xlfn.XLOOKUP(K276,Table2[Department],Table2[Group],"ERROR")</f>
        <v>Research &amp; Development</v>
      </c>
    </row>
    <row r="277" spans="1:12" x14ac:dyDescent="0.2">
      <c r="A277" t="s">
        <v>1</v>
      </c>
      <c r="B277" s="38">
        <v>46112</v>
      </c>
      <c r="C277" s="38">
        <v>46120</v>
      </c>
      <c r="D277" t="s">
        <v>1535</v>
      </c>
      <c r="E277" t="s">
        <v>77</v>
      </c>
      <c r="F277" s="37">
        <v>1530</v>
      </c>
      <c r="G277" s="37" cm="1">
        <f t="array" ref="G277">F277*_xlfn.XLOOKUP(1,
 (FOREX!$A$2:$A$13=EOMONTH(B277,0))*
 (FOREX!$B$2:$B$13=TRIM(E277)),FOREX!$C$2:$C$13,
 100)</f>
        <v>1185.9733799999999</v>
      </c>
      <c r="H277" t="s">
        <v>1556</v>
      </c>
      <c r="I277" s="30" t="s">
        <v>364</v>
      </c>
      <c r="J277" s="35" t="str">
        <f>_xlfn.XLOOKUP(I277,costcategory[Account Code],costcategory[Cost Category],"ERROR")</f>
        <v>Headcount Costs</v>
      </c>
      <c r="K277" s="89" t="str">
        <f t="shared" ref="K277:K279" si="35">_xlfn.XLOOKUP(D277,$AF$3:$AF$24,$AG$3:$AG$24,"ERROR")</f>
        <v>HR</v>
      </c>
      <c r="L277" s="89" t="str">
        <f>_xlfn.XLOOKUP(K277,Table2[Department],Table2[Group],"ERROR")</f>
        <v>General &amp; Administrative</v>
      </c>
    </row>
    <row r="278" spans="1:12" x14ac:dyDescent="0.2">
      <c r="A278" t="s">
        <v>1</v>
      </c>
      <c r="B278" s="38">
        <v>46112</v>
      </c>
      <c r="C278" s="38">
        <v>46120</v>
      </c>
      <c r="D278" t="s">
        <v>1537</v>
      </c>
      <c r="E278" t="s">
        <v>77</v>
      </c>
      <c r="F278" s="37">
        <v>0</v>
      </c>
      <c r="G278" s="37" cm="1">
        <f t="array" ref="G278">F278*_xlfn.XLOOKUP(1,
 (FOREX!$A$2:$A$13=EOMONTH(B278,0))*
 (FOREX!$B$2:$B$13=TRIM(E278)),FOREX!$C$2:$C$13,
 100)</f>
        <v>0</v>
      </c>
      <c r="H278" t="s">
        <v>1556</v>
      </c>
      <c r="I278" s="30" t="s">
        <v>364</v>
      </c>
      <c r="J278" s="35" t="str">
        <f>_xlfn.XLOOKUP(I278,costcategory[Account Code],costcategory[Cost Category],"ERROR")</f>
        <v>Headcount Costs</v>
      </c>
      <c r="K278" s="89" t="str">
        <f t="shared" si="35"/>
        <v>DSC</v>
      </c>
      <c r="L278" s="89" t="str">
        <f>_xlfn.XLOOKUP(K278,Table2[Department],Table2[Group],"ERROR")</f>
        <v>DSC</v>
      </c>
    </row>
    <row r="279" spans="1:12" x14ac:dyDescent="0.2">
      <c r="A279" t="s">
        <v>1</v>
      </c>
      <c r="B279" s="38">
        <v>46112</v>
      </c>
      <c r="C279" s="38">
        <v>46120</v>
      </c>
      <c r="D279" t="s">
        <v>1538</v>
      </c>
      <c r="E279" t="s">
        <v>77</v>
      </c>
      <c r="F279" s="37">
        <v>1420</v>
      </c>
      <c r="G279" s="37" cm="1">
        <f t="array" ref="G279">F279*_xlfn.XLOOKUP(1,
 (FOREX!$A$2:$A$13=EOMONTH(B279,0))*
 (FOREX!$B$2:$B$13=TRIM(E279)),FOREX!$C$2:$C$13,
 100)</f>
        <v>1100.70732</v>
      </c>
      <c r="H279" t="s">
        <v>1556</v>
      </c>
      <c r="I279" s="30" t="s">
        <v>364</v>
      </c>
      <c r="J279" s="35" t="str">
        <f>_xlfn.XLOOKUP(I279,costcategory[Account Code],costcategory[Cost Category],"ERROR")</f>
        <v>Headcount Costs</v>
      </c>
      <c r="K279" s="89" t="str">
        <f t="shared" si="35"/>
        <v>HR</v>
      </c>
      <c r="L279" s="89" t="str">
        <f>_xlfn.XLOOKUP(K279,Table2[Department],Table2[Group],"ERROR")</f>
        <v>General &amp; Administrative</v>
      </c>
    </row>
    <row r="280" spans="1:12" x14ac:dyDescent="0.2">
      <c r="A280" t="s">
        <v>1</v>
      </c>
      <c r="B280" s="38">
        <v>46112</v>
      </c>
      <c r="C280" s="38">
        <v>46120</v>
      </c>
      <c r="D280" t="s">
        <v>1539</v>
      </c>
      <c r="E280" t="s">
        <v>77</v>
      </c>
      <c r="F280" s="37">
        <v>1105</v>
      </c>
      <c r="G280" s="37" cm="1">
        <f t="array" ref="G280">F280*_xlfn.XLOOKUP(1,
 (FOREX!$A$2:$A$13=EOMONTH(B280,0))*
 (FOREX!$B$2:$B$13=TRIM(E280)),FOREX!$C$2:$C$13,
 100)</f>
        <v>856.53633000000002</v>
      </c>
      <c r="H280" t="s">
        <v>1556</v>
      </c>
      <c r="I280" s="30" t="s">
        <v>364</v>
      </c>
      <c r="J280" s="35" t="str">
        <f>_xlfn.XLOOKUP(I280,costcategory[Account Code],costcategory[Cost Category],"ERROR")</f>
        <v>Headcount Costs</v>
      </c>
      <c r="K280" s="89" t="str">
        <f>_xlfn.XLOOKUP(D280,$AF$3:$AF$24,$AG$3:$AG$24,"ERROR")</f>
        <v>DSC</v>
      </c>
      <c r="L280" s="89" t="str">
        <f>_xlfn.XLOOKUP(K280,Table2[Department],Table2[Group],"ERROR")</f>
        <v>DSC</v>
      </c>
    </row>
    <row r="281" spans="1:12" x14ac:dyDescent="0.2">
      <c r="A281" t="s">
        <v>1</v>
      </c>
      <c r="B281" s="38">
        <v>46112</v>
      </c>
      <c r="C281" s="38">
        <v>46120</v>
      </c>
      <c r="D281" t="s">
        <v>1543</v>
      </c>
      <c r="E281" t="s">
        <v>77</v>
      </c>
      <c r="F281" s="37">
        <v>703</v>
      </c>
      <c r="G281" s="37" cm="1">
        <f t="array" ref="G281">F281*_xlfn.XLOOKUP(1,
 (FOREX!$A$2:$A$13=EOMONTH(B281,0))*
 (FOREX!$B$2:$B$13=TRIM(E281)),FOREX!$C$2:$C$13,
 100)</f>
        <v>544.927638</v>
      </c>
      <c r="H281" t="s">
        <v>1556</v>
      </c>
      <c r="I281" s="30" t="s">
        <v>364</v>
      </c>
      <c r="J281" s="35" t="str">
        <f>_xlfn.XLOOKUP(I281,costcategory[Account Code],costcategory[Cost Category],"ERROR")</f>
        <v>Headcount Costs</v>
      </c>
      <c r="K281" s="89" t="str">
        <f>_xlfn.XLOOKUP(D281,$AF$3:$AF$24,$AG$3:$AG$24,"ERROR")</f>
        <v>Sales &amp; Pre-Sales</v>
      </c>
      <c r="L281" s="89" t="str">
        <f>_xlfn.XLOOKUP(K281,Table2[Department],Table2[Group],"ERROR")</f>
        <v>Sales &amp; Marketing</v>
      </c>
    </row>
    <row r="282" spans="1:12" x14ac:dyDescent="0.2">
      <c r="A282" t="s">
        <v>1</v>
      </c>
      <c r="B282" s="38">
        <v>46112</v>
      </c>
      <c r="C282" s="38">
        <v>46120</v>
      </c>
      <c r="D282" t="s">
        <v>1541</v>
      </c>
      <c r="E282" t="s">
        <v>77</v>
      </c>
      <c r="F282" s="37">
        <v>759</v>
      </c>
      <c r="G282" s="37" cm="1">
        <f t="array" ref="G282">F282*_xlfn.XLOOKUP(1,
 (FOREX!$A$2:$A$13=EOMONTH(B282,0))*
 (FOREX!$B$2:$B$13=TRIM(E282)),FOREX!$C$2:$C$13,
 100)</f>
        <v>588.33581400000003</v>
      </c>
      <c r="H282" t="s">
        <v>1556</v>
      </c>
      <c r="I282" s="30" t="s">
        <v>364</v>
      </c>
      <c r="J282" s="35" t="str">
        <f>_xlfn.XLOOKUP(I282,costcategory[Account Code],costcategory[Cost Category],"ERROR")</f>
        <v>Headcount Costs</v>
      </c>
      <c r="K282" s="89" t="str">
        <f>_xlfn.XLOOKUP(D282,$AF$3:$AF$24,$AG$3:$AG$24,"ERROR")</f>
        <v>DSC</v>
      </c>
      <c r="L282" s="89" t="str">
        <f>_xlfn.XLOOKUP(K282,Table2[Department],Table2[Group],"ERROR")</f>
        <v>DSC</v>
      </c>
    </row>
    <row r="283" spans="1:12" x14ac:dyDescent="0.2">
      <c r="A283" t="s">
        <v>1</v>
      </c>
      <c r="B283" s="38">
        <v>46112</v>
      </c>
      <c r="C283" s="38">
        <v>46120</v>
      </c>
      <c r="D283" t="s">
        <v>1542</v>
      </c>
      <c r="E283" t="s">
        <v>77</v>
      </c>
      <c r="F283" s="37">
        <v>271</v>
      </c>
      <c r="G283" s="37" cm="1">
        <f t="array" ref="G283">F283*_xlfn.XLOOKUP(1,
 (FOREX!$A$2:$A$13=EOMONTH(B283,0))*
 (FOREX!$B$2:$B$13=TRIM(E283)),FOREX!$C$2:$C$13,
 100)</f>
        <v>210.06456600000001</v>
      </c>
      <c r="H283" t="s">
        <v>1556</v>
      </c>
      <c r="I283" s="30" t="s">
        <v>364</v>
      </c>
      <c r="J283" s="35" t="str">
        <f>_xlfn.XLOOKUP(I283,costcategory[Account Code],costcategory[Cost Category],"ERROR")</f>
        <v>Headcount Costs</v>
      </c>
      <c r="K283" s="89" t="str">
        <f>_xlfn.XLOOKUP(D283,$AF$3:$AF$24,$AG$3:$AG$24,"ERROR")</f>
        <v>IT</v>
      </c>
      <c r="L283" s="89" t="str">
        <f>_xlfn.XLOOKUP(K283,Table2[Department],Table2[Group],"ERROR")</f>
        <v>General &amp; Administrative</v>
      </c>
    </row>
    <row r="284" spans="1:12" x14ac:dyDescent="0.2">
      <c r="A284" t="s">
        <v>1</v>
      </c>
      <c r="B284" s="38">
        <v>46142</v>
      </c>
      <c r="C284" s="38">
        <v>46142</v>
      </c>
      <c r="D284" t="s">
        <v>1521</v>
      </c>
      <c r="E284" t="s">
        <v>77</v>
      </c>
      <c r="F284" s="37">
        <v>32825</v>
      </c>
      <c r="G284" s="37" cm="1">
        <f t="array" ref="G284">F284*_xlfn.XLOOKUP(1,
 (FOREX!$A$2:$A$13=EOMONTH(B284,0))*
 (FOREX!$B$2:$B$13=TRIM(E284)),FOREX!$C$2:$C$13,
 100)</f>
        <v>25763.546128833492</v>
      </c>
      <c r="H284" t="s">
        <v>420</v>
      </c>
      <c r="I284" t="s">
        <v>387</v>
      </c>
      <c r="J284" s="35" t="str">
        <f>_xlfn.XLOOKUP(I284,costcategory[Account Code],costcategory[Cost Category],"ERROR")</f>
        <v>Headcount Costs</v>
      </c>
      <c r="K284" s="89" t="str">
        <f t="shared" ref="K284:K300" si="36">_xlfn.XLOOKUP(D284,$AF$3:$AF$24,$AG$3:$AG$24,"ERROR")</f>
        <v>Management</v>
      </c>
      <c r="L284" s="89" t="str">
        <f>_xlfn.XLOOKUP(K284,Table2[Department],Table2[Group],"ERROR")</f>
        <v>General &amp; Administrative</v>
      </c>
    </row>
    <row r="285" spans="1:12" x14ac:dyDescent="0.2">
      <c r="A285" t="s">
        <v>1</v>
      </c>
      <c r="B285" s="38">
        <v>46142</v>
      </c>
      <c r="C285" s="38">
        <v>46142</v>
      </c>
      <c r="D285" t="s">
        <v>1522</v>
      </c>
      <c r="E285" t="s">
        <v>77</v>
      </c>
      <c r="F285" s="37">
        <v>6713</v>
      </c>
      <c r="G285" s="37" cm="1">
        <f t="array" ref="G285">F285*_xlfn.XLOOKUP(1,
 (FOREX!$A$2:$A$13=EOMONTH(B285,0))*
 (FOREX!$B$2:$B$13=TRIM(E285)),FOREX!$C$2:$C$13,
 100)</f>
        <v>5268.8708351213781</v>
      </c>
      <c r="H285" t="s">
        <v>420</v>
      </c>
      <c r="I285" t="s">
        <v>387</v>
      </c>
      <c r="J285" s="35" t="str">
        <f>_xlfn.XLOOKUP(I285,costcategory[Account Code],costcategory[Cost Category],"ERROR")</f>
        <v>Headcount Costs</v>
      </c>
      <c r="K285" s="89" t="str">
        <f t="shared" si="36"/>
        <v>Marketing</v>
      </c>
      <c r="L285" s="89" t="str">
        <f>_xlfn.XLOOKUP(K285,Table2[Department],Table2[Group],"ERROR")</f>
        <v>Sales &amp; Marketing</v>
      </c>
    </row>
    <row r="286" spans="1:12" x14ac:dyDescent="0.2">
      <c r="A286" t="s">
        <v>1</v>
      </c>
      <c r="B286" s="38">
        <v>46142</v>
      </c>
      <c r="C286" s="38">
        <v>46142</v>
      </c>
      <c r="D286" t="s">
        <v>1523</v>
      </c>
      <c r="E286" t="s">
        <v>77</v>
      </c>
      <c r="F286" s="37">
        <v>23750</v>
      </c>
      <c r="G286" s="37" cm="1">
        <f t="array" ref="G286">F286*_xlfn.XLOOKUP(1,
 (FOREX!$A$2:$A$13=EOMONTH(B286,0))*
 (FOREX!$B$2:$B$13=TRIM(E286)),FOREX!$C$2:$C$13,
 100)</f>
        <v>18640.79879847054</v>
      </c>
      <c r="H286" t="s">
        <v>420</v>
      </c>
      <c r="I286" t="s">
        <v>387</v>
      </c>
      <c r="J286" s="35" t="str">
        <f>_xlfn.XLOOKUP(I286,costcategory[Account Code],costcategory[Cost Category],"ERROR")</f>
        <v>Headcount Costs</v>
      </c>
      <c r="K286" s="89" t="str">
        <f t="shared" si="36"/>
        <v>Management</v>
      </c>
      <c r="L286" s="89" t="str">
        <f>_xlfn.XLOOKUP(K286,Table2[Department],Table2[Group],"ERROR")</f>
        <v>General &amp; Administrative</v>
      </c>
    </row>
    <row r="287" spans="1:12" x14ac:dyDescent="0.2">
      <c r="A287" t="s">
        <v>1</v>
      </c>
      <c r="B287" s="38">
        <v>46142</v>
      </c>
      <c r="C287" s="38">
        <v>46142</v>
      </c>
      <c r="D287" t="s">
        <v>1524</v>
      </c>
      <c r="E287" t="s">
        <v>77</v>
      </c>
      <c r="F287" s="37">
        <v>5112</v>
      </c>
      <c r="G287" s="37" cm="1">
        <f t="array" ref="G287">F287*_xlfn.XLOOKUP(1,
 (FOREX!$A$2:$A$13=EOMONTH(B287,0))*
 (FOREX!$B$2:$B$13=TRIM(E287)),FOREX!$C$2:$C$13,
 100)</f>
        <v>4012.2847771697429</v>
      </c>
      <c r="H287" t="s">
        <v>420</v>
      </c>
      <c r="I287" t="s">
        <v>387</v>
      </c>
      <c r="J287" s="35" t="str">
        <f>_xlfn.XLOOKUP(I287,costcategory[Account Code],costcategory[Cost Category],"ERROR")</f>
        <v>Headcount Costs</v>
      </c>
      <c r="K287" s="89" t="str">
        <f t="shared" si="36"/>
        <v>Business Operation</v>
      </c>
      <c r="L287" s="89" t="str">
        <f>_xlfn.XLOOKUP(K287,Table2[Department],Table2[Group],"ERROR")</f>
        <v>Sales &amp; Marketing</v>
      </c>
    </row>
    <row r="288" spans="1:12" x14ac:dyDescent="0.2">
      <c r="A288" t="s">
        <v>1</v>
      </c>
      <c r="B288" s="38">
        <v>46142</v>
      </c>
      <c r="C288" s="38">
        <v>46142</v>
      </c>
      <c r="D288" t="s">
        <v>1525</v>
      </c>
      <c r="E288" t="s">
        <v>77</v>
      </c>
      <c r="F288" s="37">
        <v>12207</v>
      </c>
      <c r="G288" s="37" cm="1">
        <f t="array" ref="G288">F288*_xlfn.XLOOKUP(1,
 (FOREX!$A$2:$A$13=EOMONTH(B288,0))*
 (FOREX!$B$2:$B$13=TRIM(E288)),FOREX!$C$2:$C$13,
 100)</f>
        <v>9580.978144544415</v>
      </c>
      <c r="H288" t="s">
        <v>420</v>
      </c>
      <c r="I288" t="s">
        <v>387</v>
      </c>
      <c r="J288" s="35" t="str">
        <f>_xlfn.XLOOKUP(I288,costcategory[Account Code],costcategory[Cost Category],"ERROR")</f>
        <v>Headcount Costs</v>
      </c>
      <c r="K288" s="89" t="str">
        <f t="shared" si="36"/>
        <v>Sales &amp; Pre-Sales</v>
      </c>
      <c r="L288" s="89" t="str">
        <f>_xlfn.XLOOKUP(K288,Table2[Department],Table2[Group],"ERROR")</f>
        <v>Sales &amp; Marketing</v>
      </c>
    </row>
    <row r="289" spans="1:12" x14ac:dyDescent="0.2">
      <c r="A289" t="s">
        <v>1</v>
      </c>
      <c r="B289" s="38">
        <v>46142</v>
      </c>
      <c r="C289" s="38">
        <v>46142</v>
      </c>
      <c r="D289" t="s">
        <v>1527</v>
      </c>
      <c r="E289" t="s">
        <v>77</v>
      </c>
      <c r="F289" s="37">
        <v>6782</v>
      </c>
      <c r="G289" s="37" cm="1">
        <f t="array" ref="G289">F289*_xlfn.XLOOKUP(1,
 (FOREX!$A$2:$A$13=EOMONTH(B289,0))*
 (FOREX!$B$2:$B$13=TRIM(E289)),FOREX!$C$2:$C$13,
 100)</f>
        <v>5323.0272611043029</v>
      </c>
      <c r="H289" t="s">
        <v>420</v>
      </c>
      <c r="I289" t="s">
        <v>387</v>
      </c>
      <c r="J289" s="35" t="str">
        <f>_xlfn.XLOOKUP(I289,costcategory[Account Code],costcategory[Cost Category],"ERROR")</f>
        <v>Headcount Costs</v>
      </c>
      <c r="K289" s="89" t="str">
        <f t="shared" si="36"/>
        <v>DSC</v>
      </c>
      <c r="L289" s="89" t="str">
        <f>_xlfn.XLOOKUP(K289,Table2[Department],Table2[Group],"ERROR")</f>
        <v>DSC</v>
      </c>
    </row>
    <row r="290" spans="1:12" x14ac:dyDescent="0.2">
      <c r="A290" t="s">
        <v>1</v>
      </c>
      <c r="B290" s="38">
        <v>46142</v>
      </c>
      <c r="C290" s="38">
        <v>46142</v>
      </c>
      <c r="D290" t="s">
        <v>1528</v>
      </c>
      <c r="E290" t="s">
        <v>77</v>
      </c>
      <c r="F290" s="37">
        <v>5745</v>
      </c>
      <c r="G290" s="37" cm="1">
        <f t="array" ref="G290">F290*_xlfn.XLOOKUP(1,
 (FOREX!$A$2:$A$13=EOMONTH(B290,0))*
 (FOREX!$B$2:$B$13=TRIM(E290)),FOREX!$C$2:$C$13,
 100)</f>
        <v>4509.1111198826629</v>
      </c>
      <c r="H290" t="s">
        <v>420</v>
      </c>
      <c r="I290" t="s">
        <v>387</v>
      </c>
      <c r="J290" s="35" t="str">
        <f>_xlfn.XLOOKUP(I290,costcategory[Account Code],costcategory[Cost Category],"ERROR")</f>
        <v>Headcount Costs</v>
      </c>
      <c r="K290" s="89" t="str">
        <f t="shared" si="36"/>
        <v>R&amp;D - Team D</v>
      </c>
      <c r="L290" s="89" t="str">
        <f>_xlfn.XLOOKUP(K290,Table2[Department],Table2[Group],"ERROR")</f>
        <v>Research &amp; Development</v>
      </c>
    </row>
    <row r="291" spans="1:12" x14ac:dyDescent="0.2">
      <c r="A291" t="s">
        <v>1</v>
      </c>
      <c r="B291" s="38">
        <v>46142</v>
      </c>
      <c r="C291" s="38">
        <v>46142</v>
      </c>
      <c r="D291" t="s">
        <v>1529</v>
      </c>
      <c r="E291" t="s">
        <v>77</v>
      </c>
      <c r="F291" s="37">
        <v>15340</v>
      </c>
      <c r="G291" s="37" cm="1">
        <f t="array" ref="G291">F291*_xlfn.XLOOKUP(1,
 (FOREX!$A$2:$A$13=EOMONTH(B291,0))*
 (FOREX!$B$2:$B$13=TRIM(E291)),FOREX!$C$2:$C$13,
 100)</f>
        <v>12039.99383446476</v>
      </c>
      <c r="H291" t="s">
        <v>420</v>
      </c>
      <c r="I291" t="s">
        <v>387</v>
      </c>
      <c r="J291" s="35" t="str">
        <f>_xlfn.XLOOKUP(I291,costcategory[Account Code],costcategory[Cost Category],"ERROR")</f>
        <v>Headcount Costs</v>
      </c>
      <c r="K291" s="89" t="str">
        <f t="shared" si="36"/>
        <v>R&amp;D - Team W</v>
      </c>
      <c r="L291" s="89" t="str">
        <f>_xlfn.XLOOKUP(K291,Table2[Department],Table2[Group],"ERROR")</f>
        <v>Research &amp; Development</v>
      </c>
    </row>
    <row r="292" spans="1:12" x14ac:dyDescent="0.2">
      <c r="A292" t="s">
        <v>1</v>
      </c>
      <c r="B292" s="38">
        <v>46142</v>
      </c>
      <c r="C292" s="38">
        <v>46142</v>
      </c>
      <c r="D292" t="s">
        <v>1530</v>
      </c>
      <c r="E292" t="s">
        <v>77</v>
      </c>
      <c r="F292" s="37">
        <v>11321</v>
      </c>
      <c r="G292" s="37" cm="1">
        <f t="array" ref="G292">F292*_xlfn.XLOOKUP(1,
 (FOREX!$A$2:$A$13=EOMONTH(B292,0))*
 (FOREX!$B$2:$B$13=TRIM(E292)),FOREX!$C$2:$C$13,
 100)</f>
        <v>8885.5782398941028</v>
      </c>
      <c r="H292" t="s">
        <v>420</v>
      </c>
      <c r="I292" t="s">
        <v>387</v>
      </c>
      <c r="J292" s="35" t="str">
        <f>_xlfn.XLOOKUP(I292,costcategory[Account Code],costcategory[Cost Category],"ERROR")</f>
        <v>Headcount Costs</v>
      </c>
      <c r="K292" s="89" t="str">
        <f t="shared" si="36"/>
        <v>R&amp;D - Team D</v>
      </c>
      <c r="L292" s="89" t="str">
        <f>_xlfn.XLOOKUP(K292,Table2[Department],Table2[Group],"ERROR")</f>
        <v>Research &amp; Development</v>
      </c>
    </row>
    <row r="293" spans="1:12" x14ac:dyDescent="0.2">
      <c r="A293" t="s">
        <v>1</v>
      </c>
      <c r="B293" s="38">
        <v>46142</v>
      </c>
      <c r="C293" s="38">
        <v>46142</v>
      </c>
      <c r="D293" t="s">
        <v>1531</v>
      </c>
      <c r="E293" t="s">
        <v>77</v>
      </c>
      <c r="F293" s="37">
        <v>14925</v>
      </c>
      <c r="G293" s="37" cm="1">
        <f t="array" ref="G293">F293*_xlfn.XLOOKUP(1,
 (FOREX!$A$2:$A$13=EOMONTH(B293,0))*
 (FOREX!$B$2:$B$13=TRIM(E293)),FOREX!$C$2:$C$13,
 100)</f>
        <v>11714.270402828328</v>
      </c>
      <c r="H293" t="s">
        <v>420</v>
      </c>
      <c r="I293" t="s">
        <v>387</v>
      </c>
      <c r="J293" s="35" t="str">
        <f>_xlfn.XLOOKUP(I293,costcategory[Account Code],costcategory[Cost Category],"ERROR")</f>
        <v>Headcount Costs</v>
      </c>
      <c r="K293" s="89" t="str">
        <f t="shared" si="36"/>
        <v>R&amp;D - Team W</v>
      </c>
      <c r="L293" s="89" t="str">
        <f>_xlfn.XLOOKUP(K293,Table2[Department],Table2[Group],"ERROR")</f>
        <v>Research &amp; Development</v>
      </c>
    </row>
    <row r="294" spans="1:12" x14ac:dyDescent="0.2">
      <c r="A294" t="s">
        <v>1</v>
      </c>
      <c r="B294" s="38">
        <v>46142</v>
      </c>
      <c r="C294" s="38">
        <v>46142</v>
      </c>
      <c r="D294" t="s">
        <v>1535</v>
      </c>
      <c r="E294" t="s">
        <v>77</v>
      </c>
      <c r="F294" s="37">
        <v>24724</v>
      </c>
      <c r="G294" s="37" cm="1">
        <f t="array" ref="G294">F294*_xlfn.XLOOKUP(1,
 (FOREX!$A$2:$A$13=EOMONTH(B294,0))*
 (FOREX!$B$2:$B$13=TRIM(E294)),FOREX!$C$2:$C$13,
 100)</f>
        <v>19405.267768142552</v>
      </c>
      <c r="H294" t="s">
        <v>420</v>
      </c>
      <c r="I294" t="s">
        <v>387</v>
      </c>
      <c r="J294" s="35" t="str">
        <f>_xlfn.XLOOKUP(I294,costcategory[Account Code],costcategory[Cost Category],"ERROR")</f>
        <v>Headcount Costs</v>
      </c>
      <c r="K294" s="89" t="str">
        <f t="shared" si="36"/>
        <v>HR</v>
      </c>
      <c r="L294" s="89" t="str">
        <f>_xlfn.XLOOKUP(K294,Table2[Department],Table2[Group],"ERROR")</f>
        <v>General &amp; Administrative</v>
      </c>
    </row>
    <row r="295" spans="1:12" x14ac:dyDescent="0.2">
      <c r="A295" t="s">
        <v>1</v>
      </c>
      <c r="B295" s="38">
        <v>46142</v>
      </c>
      <c r="C295" s="38">
        <v>46142</v>
      </c>
      <c r="D295" t="s">
        <v>1537</v>
      </c>
      <c r="E295" t="s">
        <v>77</v>
      </c>
      <c r="F295" s="37">
        <v>5085</v>
      </c>
      <c r="G295" s="37" cm="1">
        <f t="array" ref="G295">F295*_xlfn.XLOOKUP(1,
 (FOREX!$A$2:$A$13=EOMONTH(B295,0))*
 (FOREX!$B$2:$B$13=TRIM(E295)),FOREX!$C$2:$C$13,
 100)</f>
        <v>3991.0931322199026</v>
      </c>
      <c r="H295" t="s">
        <v>420</v>
      </c>
      <c r="I295" t="s">
        <v>387</v>
      </c>
      <c r="J295" s="35" t="str">
        <f>_xlfn.XLOOKUP(I295,costcategory[Account Code],costcategory[Cost Category],"ERROR")</f>
        <v>Headcount Costs</v>
      </c>
      <c r="K295" s="89" t="str">
        <f t="shared" si="36"/>
        <v>DSC</v>
      </c>
      <c r="L295" s="89" t="str">
        <f>_xlfn.XLOOKUP(K295,Table2[Department],Table2[Group],"ERROR")</f>
        <v>DSC</v>
      </c>
    </row>
    <row r="296" spans="1:12" x14ac:dyDescent="0.2">
      <c r="A296" t="s">
        <v>1</v>
      </c>
      <c r="B296" s="38">
        <v>46142</v>
      </c>
      <c r="C296" s="38">
        <v>46142</v>
      </c>
      <c r="D296" t="s">
        <v>1538</v>
      </c>
      <c r="E296" t="s">
        <v>77</v>
      </c>
      <c r="F296" s="37">
        <v>5878</v>
      </c>
      <c r="G296" s="37" cm="1">
        <f t="array" ref="G296">F296*_xlfn.XLOOKUP(1,
 (FOREX!$A$2:$A$13=EOMONTH(B296,0))*
 (FOREX!$B$2:$B$13=TRIM(E296)),FOREX!$C$2:$C$13,
 100)</f>
        <v>4613.499593154098</v>
      </c>
      <c r="H296" t="s">
        <v>420</v>
      </c>
      <c r="I296" t="s">
        <v>387</v>
      </c>
      <c r="J296" s="35" t="str">
        <f>_xlfn.XLOOKUP(I296,costcategory[Account Code],costcategory[Cost Category],"ERROR")</f>
        <v>Headcount Costs</v>
      </c>
      <c r="K296" s="89" t="str">
        <f t="shared" si="36"/>
        <v>HR</v>
      </c>
      <c r="L296" s="89" t="str">
        <f>_xlfn.XLOOKUP(K296,Table2[Department],Table2[Group],"ERROR")</f>
        <v>General &amp; Administrative</v>
      </c>
    </row>
    <row r="297" spans="1:12" x14ac:dyDescent="0.2">
      <c r="A297" t="s">
        <v>1</v>
      </c>
      <c r="B297" s="38">
        <v>46142</v>
      </c>
      <c r="C297" s="38">
        <v>46142</v>
      </c>
      <c r="D297" t="s">
        <v>1539</v>
      </c>
      <c r="E297" t="s">
        <v>77</v>
      </c>
      <c r="F297" s="37">
        <v>5198</v>
      </c>
      <c r="G297" s="37" cm="1">
        <f t="array" ref="G297">F297*_xlfn.XLOOKUP(1,
 (FOREX!$A$2:$A$13=EOMONTH(B297,0))*
 (FOREX!$B$2:$B$13=TRIM(E297)),FOREX!$C$2:$C$13,
 100)</f>
        <v>4079.7840907136783</v>
      </c>
      <c r="H297" t="s">
        <v>420</v>
      </c>
      <c r="I297" t="s">
        <v>387</v>
      </c>
      <c r="J297" s="35" t="str">
        <f>_xlfn.XLOOKUP(I297,costcategory[Account Code],costcategory[Cost Category],"ERROR")</f>
        <v>Headcount Costs</v>
      </c>
      <c r="K297" s="89" t="str">
        <f t="shared" si="36"/>
        <v>DSC</v>
      </c>
      <c r="L297" s="89" t="str">
        <f>_xlfn.XLOOKUP(K297,Table2[Department],Table2[Group],"ERROR")</f>
        <v>DSC</v>
      </c>
    </row>
    <row r="298" spans="1:12" x14ac:dyDescent="0.2">
      <c r="A298" t="s">
        <v>1</v>
      </c>
      <c r="B298" s="38">
        <v>46142</v>
      </c>
      <c r="C298" s="38">
        <v>46142</v>
      </c>
      <c r="D298" t="s">
        <v>1543</v>
      </c>
      <c r="E298" t="s">
        <v>77</v>
      </c>
      <c r="F298" s="37">
        <v>2481.2600000000002</v>
      </c>
      <c r="G298" s="37" cm="1">
        <f t="array" ref="G298">F298*_xlfn.XLOOKUP(1,
 (FOREX!$A$2:$A$13=EOMONTH(B298,0))*
 (FOREX!$B$2:$B$13=TRIM(E298)),FOREX!$C$2:$C$13,
 100)</f>
        <v>1947.4807758607583</v>
      </c>
      <c r="H298" t="s">
        <v>420</v>
      </c>
      <c r="I298" t="s">
        <v>387</v>
      </c>
      <c r="J298" s="35" t="str">
        <f>_xlfn.XLOOKUP(I298,costcategory[Account Code],costcategory[Cost Category],"ERROR")</f>
        <v>Headcount Costs</v>
      </c>
      <c r="K298" s="89" t="str">
        <f t="shared" si="36"/>
        <v>Sales &amp; Pre-Sales</v>
      </c>
      <c r="L298" s="89" t="str">
        <f>_xlfn.XLOOKUP(K298,Table2[Department],Table2[Group],"ERROR")</f>
        <v>Sales &amp; Marketing</v>
      </c>
    </row>
    <row r="299" spans="1:12" x14ac:dyDescent="0.2">
      <c r="A299" t="s">
        <v>1</v>
      </c>
      <c r="B299" s="38">
        <v>46142</v>
      </c>
      <c r="C299" s="38">
        <v>46142</v>
      </c>
      <c r="D299" t="s">
        <v>1541</v>
      </c>
      <c r="E299" t="s">
        <v>77</v>
      </c>
      <c r="F299" s="37">
        <v>4358</v>
      </c>
      <c r="G299" s="37" cm="1">
        <f t="array" ref="G299">F299*_xlfn.XLOOKUP(1,
 (FOREX!$A$2:$A$13=EOMONTH(B299,0))*
 (FOREX!$B$2:$B$13=TRIM(E299)),FOREX!$C$2:$C$13,
 100)</f>
        <v>3420.4884700519833</v>
      </c>
      <c r="H299" t="s">
        <v>420</v>
      </c>
      <c r="I299" t="s">
        <v>387</v>
      </c>
      <c r="J299" s="35" t="str">
        <f>_xlfn.XLOOKUP(I299,costcategory[Account Code],costcategory[Cost Category],"ERROR")</f>
        <v>Headcount Costs</v>
      </c>
      <c r="K299" s="89" t="str">
        <f t="shared" si="36"/>
        <v>DSC</v>
      </c>
      <c r="L299" s="89" t="str">
        <f>_xlfn.XLOOKUP(K299,Table2[Department],Table2[Group],"ERROR")</f>
        <v>DSC</v>
      </c>
    </row>
    <row r="300" spans="1:12" x14ac:dyDescent="0.2">
      <c r="A300" t="s">
        <v>1</v>
      </c>
      <c r="B300" s="38">
        <v>46142</v>
      </c>
      <c r="C300" s="38">
        <v>46142</v>
      </c>
      <c r="D300" t="s">
        <v>1542</v>
      </c>
      <c r="E300" t="s">
        <v>77</v>
      </c>
      <c r="F300" s="37">
        <v>3817.23</v>
      </c>
      <c r="G300" s="37" cm="1">
        <f t="array" ref="G300">F300*_xlfn.XLOOKUP(1,
 (FOREX!$A$2:$A$13=EOMONTH(B300,0))*
 (FOREX!$B$2:$B$13=TRIM(E300)),FOREX!$C$2:$C$13,
 100)</f>
        <v>2996.0512167362394</v>
      </c>
      <c r="H300" t="s">
        <v>420</v>
      </c>
      <c r="I300" t="s">
        <v>387</v>
      </c>
      <c r="J300" s="35" t="str">
        <f>_xlfn.XLOOKUP(I300,costcategory[Account Code],costcategory[Cost Category],"ERROR")</f>
        <v>Headcount Costs</v>
      </c>
      <c r="K300" s="89" t="str">
        <f t="shared" si="36"/>
        <v>IT</v>
      </c>
      <c r="L300" s="89" t="str">
        <f>_xlfn.XLOOKUP(K300,Table2[Department],Table2[Group],"ERROR")</f>
        <v>General &amp; Administrative</v>
      </c>
    </row>
    <row r="301" spans="1:12" x14ac:dyDescent="0.2">
      <c r="A301" t="s">
        <v>1</v>
      </c>
      <c r="B301" s="38">
        <v>46142</v>
      </c>
      <c r="C301" s="38">
        <v>46142</v>
      </c>
      <c r="D301" t="s">
        <v>1544</v>
      </c>
      <c r="E301" t="s">
        <v>77</v>
      </c>
      <c r="F301" s="37">
        <v>2417.46</v>
      </c>
      <c r="G301" s="37" cm="1">
        <f t="array" ref="G301">F301*_xlfn.XLOOKUP(1,
 (FOREX!$A$2:$A$13=EOMONTH(B301,0))*
 (FOREX!$B$2:$B$13=TRIM(E301)),FOREX!$C$2:$C$13,
 100)</f>
        <v>1897.4057037200248</v>
      </c>
      <c r="H301" t="s">
        <v>420</v>
      </c>
      <c r="I301" t="s">
        <v>387</v>
      </c>
      <c r="J301" s="35" t="str">
        <f>_xlfn.XLOOKUP(I301,costcategory[Account Code],costcategory[Cost Category],"ERROR")</f>
        <v>Headcount Costs</v>
      </c>
      <c r="K301" s="89" t="str">
        <f>_xlfn.XLOOKUP(D301,$AF$3:$AF$26,$AG$3:$AG$26,"ERROR")</f>
        <v>Finance</v>
      </c>
      <c r="L301" s="89" t="str">
        <f>_xlfn.XLOOKUP(K301,Table2[Department],Table2[Group],"ERROR")</f>
        <v>General &amp; Administrative</v>
      </c>
    </row>
    <row r="302" spans="1:12" x14ac:dyDescent="0.2">
      <c r="A302" t="s">
        <v>1</v>
      </c>
      <c r="B302" s="38">
        <v>46142</v>
      </c>
      <c r="C302" s="38">
        <v>46142</v>
      </c>
      <c r="D302" t="s">
        <v>1545</v>
      </c>
      <c r="E302" t="s">
        <v>77</v>
      </c>
      <c r="F302" s="37">
        <v>2061.2800000000002</v>
      </c>
      <c r="G302" s="37" cm="1">
        <f t="array" ref="G302">F302*_xlfn.XLOOKUP(1,
 (FOREX!$A$2:$A$13=EOMONTH(B302,0))*
 (FOREX!$B$2:$B$13=TRIM(E302)),FOREX!$C$2:$C$13,
 100)</f>
        <v>1617.8486630446887</v>
      </c>
      <c r="H302" t="s">
        <v>420</v>
      </c>
      <c r="I302" t="s">
        <v>387</v>
      </c>
      <c r="J302" s="35" t="str">
        <f>_xlfn.XLOOKUP(I302,costcategory[Account Code],costcategory[Cost Category],"ERROR")</f>
        <v>Headcount Costs</v>
      </c>
      <c r="K302" s="89" t="str">
        <f>_xlfn.XLOOKUP(D302,$AF$3:$AF$26,$AG$3:$AG$26,"ERROR")</f>
        <v>Sales &amp; Pre-Sales</v>
      </c>
      <c r="L302" s="89" t="str">
        <f>_xlfn.XLOOKUP(K302,Table2[Department],Table2[Group],"ERROR")</f>
        <v>Sales &amp; Marketing</v>
      </c>
    </row>
    <row r="303" spans="1:12" x14ac:dyDescent="0.2">
      <c r="A303" t="s">
        <v>1</v>
      </c>
      <c r="B303" s="38">
        <v>46142</v>
      </c>
      <c r="C303" s="38">
        <v>46148</v>
      </c>
      <c r="D303" t="s">
        <v>1521</v>
      </c>
      <c r="E303" t="s">
        <v>77</v>
      </c>
      <c r="G303" s="37" cm="1">
        <f t="array" ref="G303">F303*_xlfn.XLOOKUP(1,
 (FOREX!$A$2:$A$13=EOMONTH(B303,0))*
 (FOREX!$B$2:$B$13=TRIM(E303)),FOREX!$C$2:$C$13,
 100)</f>
        <v>0</v>
      </c>
      <c r="H303" t="s">
        <v>1558</v>
      </c>
      <c r="I303" t="s">
        <v>387</v>
      </c>
      <c r="J303" s="35" t="str">
        <f>_xlfn.XLOOKUP(I303,costcategory[Account Code],costcategory[Cost Category],"ERROR")</f>
        <v>Headcount Costs</v>
      </c>
      <c r="K303" s="89" t="str">
        <f t="shared" ref="K303:K321" si="37">_xlfn.XLOOKUP(D303,$AF$3:$AF$26,$AG$3:$AG$26,"ERROR")</f>
        <v>Management</v>
      </c>
      <c r="L303" s="89" t="str">
        <f>_xlfn.XLOOKUP(K303,Table2[Department],Table2[Group],"ERROR")</f>
        <v>General &amp; Administrative</v>
      </c>
    </row>
    <row r="304" spans="1:12" x14ac:dyDescent="0.2">
      <c r="A304" t="s">
        <v>1</v>
      </c>
      <c r="B304" s="38">
        <v>46142</v>
      </c>
      <c r="C304" s="38">
        <v>46148</v>
      </c>
      <c r="D304" t="s">
        <v>1522</v>
      </c>
      <c r="E304" t="s">
        <v>77</v>
      </c>
      <c r="F304" s="37">
        <v>3</v>
      </c>
      <c r="G304" s="37" cm="1">
        <f t="array" ref="G304">F304*_xlfn.XLOOKUP(1,
 (FOREX!$A$2:$A$13=EOMONTH(B304,0))*
 (FOREX!$B$2:$B$13=TRIM(E304)),FOREX!$C$2:$C$13,
 100)</f>
        <v>2.3546272166489102</v>
      </c>
      <c r="H304" t="s">
        <v>1558</v>
      </c>
      <c r="I304" t="s">
        <v>387</v>
      </c>
      <c r="J304" s="35" t="str">
        <f>_xlfn.XLOOKUP(I304,costcategory[Account Code],costcategory[Cost Category],"ERROR")</f>
        <v>Headcount Costs</v>
      </c>
      <c r="K304" s="89" t="str">
        <f t="shared" si="37"/>
        <v>Marketing</v>
      </c>
      <c r="L304" s="89" t="str">
        <f>_xlfn.XLOOKUP(K304,Table2[Department],Table2[Group],"ERROR")</f>
        <v>Sales &amp; Marketing</v>
      </c>
    </row>
    <row r="305" spans="1:12" x14ac:dyDescent="0.2">
      <c r="A305" t="s">
        <v>1</v>
      </c>
      <c r="B305" s="38">
        <v>46142</v>
      </c>
      <c r="C305" s="38">
        <v>46148</v>
      </c>
      <c r="D305" t="s">
        <v>1523</v>
      </c>
      <c r="E305" t="s">
        <v>77</v>
      </c>
      <c r="G305" s="37" cm="1">
        <f t="array" ref="G305">F305*_xlfn.XLOOKUP(1,
 (FOREX!$A$2:$A$13=EOMONTH(B305,0))*
 (FOREX!$B$2:$B$13=TRIM(E305)),FOREX!$C$2:$C$13,
 100)</f>
        <v>0</v>
      </c>
      <c r="H305" t="s">
        <v>1558</v>
      </c>
      <c r="I305" t="s">
        <v>387</v>
      </c>
      <c r="J305" s="35" t="str">
        <f>_xlfn.XLOOKUP(I305,costcategory[Account Code],costcategory[Cost Category],"ERROR")</f>
        <v>Headcount Costs</v>
      </c>
      <c r="K305" s="89" t="str">
        <f t="shared" si="37"/>
        <v>Management</v>
      </c>
      <c r="L305" s="89" t="str">
        <f>_xlfn.XLOOKUP(K305,Table2[Department],Table2[Group],"ERROR")</f>
        <v>General &amp; Administrative</v>
      </c>
    </row>
    <row r="306" spans="1:12" x14ac:dyDescent="0.2">
      <c r="A306" t="s">
        <v>1</v>
      </c>
      <c r="B306" s="38">
        <v>46142</v>
      </c>
      <c r="C306" s="38">
        <v>46148</v>
      </c>
      <c r="D306" t="s">
        <v>1524</v>
      </c>
      <c r="E306" t="s">
        <v>77</v>
      </c>
      <c r="F306" s="37">
        <v>2</v>
      </c>
      <c r="G306" s="37" cm="1">
        <f t="array" ref="G306">F306*_xlfn.XLOOKUP(1,
 (FOREX!$A$2:$A$13=EOMONTH(B306,0))*
 (FOREX!$B$2:$B$13=TRIM(E306)),FOREX!$C$2:$C$13,
 100)</f>
        <v>1.56975147776594</v>
      </c>
      <c r="H306" t="s">
        <v>1558</v>
      </c>
      <c r="I306" t="s">
        <v>387</v>
      </c>
      <c r="J306" s="35" t="str">
        <f>_xlfn.XLOOKUP(I306,costcategory[Account Code],costcategory[Cost Category],"ERROR")</f>
        <v>Headcount Costs</v>
      </c>
      <c r="K306" s="89" t="str">
        <f t="shared" si="37"/>
        <v>Business Operation</v>
      </c>
      <c r="L306" s="89" t="str">
        <f>_xlfn.XLOOKUP(K306,Table2[Department],Table2[Group],"ERROR")</f>
        <v>Sales &amp; Marketing</v>
      </c>
    </row>
    <row r="307" spans="1:12" x14ac:dyDescent="0.2">
      <c r="A307" t="s">
        <v>1</v>
      </c>
      <c r="B307" s="38">
        <v>46142</v>
      </c>
      <c r="C307" s="38">
        <v>46148</v>
      </c>
      <c r="D307" t="s">
        <v>1525</v>
      </c>
      <c r="E307" t="s">
        <v>77</v>
      </c>
      <c r="F307" s="37">
        <v>3</v>
      </c>
      <c r="G307" s="37" cm="1">
        <f t="array" ref="G307">F307*_xlfn.XLOOKUP(1,
 (FOREX!$A$2:$A$13=EOMONTH(B307,0))*
 (FOREX!$B$2:$B$13=TRIM(E307)),FOREX!$C$2:$C$13,
 100)</f>
        <v>2.3546272166489102</v>
      </c>
      <c r="H307" t="s">
        <v>1558</v>
      </c>
      <c r="I307" t="s">
        <v>387</v>
      </c>
      <c r="J307" s="35" t="str">
        <f>_xlfn.XLOOKUP(I307,costcategory[Account Code],costcategory[Cost Category],"ERROR")</f>
        <v>Headcount Costs</v>
      </c>
      <c r="K307" s="89" t="str">
        <f t="shared" si="37"/>
        <v>Sales &amp; Pre-Sales</v>
      </c>
      <c r="L307" s="89" t="str">
        <f>_xlfn.XLOOKUP(K307,Table2[Department],Table2[Group],"ERROR")</f>
        <v>Sales &amp; Marketing</v>
      </c>
    </row>
    <row r="308" spans="1:12" x14ac:dyDescent="0.2">
      <c r="A308" t="s">
        <v>1</v>
      </c>
      <c r="B308" s="38">
        <v>46142</v>
      </c>
      <c r="C308" s="38">
        <v>46148</v>
      </c>
      <c r="D308" t="s">
        <v>1527</v>
      </c>
      <c r="E308" t="s">
        <v>77</v>
      </c>
      <c r="F308" s="37">
        <v>3</v>
      </c>
      <c r="G308" s="37" cm="1">
        <f t="array" ref="G308">F308*_xlfn.XLOOKUP(1,
 (FOREX!$A$2:$A$13=EOMONTH(B308,0))*
 (FOREX!$B$2:$B$13=TRIM(E308)),FOREX!$C$2:$C$13,
 100)</f>
        <v>2.3546272166489102</v>
      </c>
      <c r="H308" t="s">
        <v>1558</v>
      </c>
      <c r="I308" t="s">
        <v>387</v>
      </c>
      <c r="J308" s="35" t="str">
        <f>_xlfn.XLOOKUP(I308,costcategory[Account Code],costcategory[Cost Category],"ERROR")</f>
        <v>Headcount Costs</v>
      </c>
      <c r="K308" s="89" t="str">
        <f t="shared" si="37"/>
        <v>DSC</v>
      </c>
      <c r="L308" s="89" t="str">
        <f>_xlfn.XLOOKUP(K308,Table2[Department],Table2[Group],"ERROR")</f>
        <v>DSC</v>
      </c>
    </row>
    <row r="309" spans="1:12" x14ac:dyDescent="0.2">
      <c r="A309" t="s">
        <v>1</v>
      </c>
      <c r="B309" s="38">
        <v>46142</v>
      </c>
      <c r="C309" s="38">
        <v>46148</v>
      </c>
      <c r="D309" t="s">
        <v>1528</v>
      </c>
      <c r="E309" t="s">
        <v>77</v>
      </c>
      <c r="G309" s="37" cm="1">
        <f t="array" ref="G309">F309*_xlfn.XLOOKUP(1,
 (FOREX!$A$2:$A$13=EOMONTH(B309,0))*
 (FOREX!$B$2:$B$13=TRIM(E309)),FOREX!$C$2:$C$13,
 100)</f>
        <v>0</v>
      </c>
      <c r="H309" t="s">
        <v>1558</v>
      </c>
      <c r="I309" t="s">
        <v>387</v>
      </c>
      <c r="J309" s="35" t="str">
        <f>_xlfn.XLOOKUP(I309,costcategory[Account Code],costcategory[Cost Category],"ERROR")</f>
        <v>Headcount Costs</v>
      </c>
      <c r="K309" s="89" t="str">
        <f t="shared" si="37"/>
        <v>R&amp;D - Team D</v>
      </c>
      <c r="L309" s="89" t="str">
        <f>_xlfn.XLOOKUP(K309,Table2[Department],Table2[Group],"ERROR")</f>
        <v>Research &amp; Development</v>
      </c>
    </row>
    <row r="310" spans="1:12" x14ac:dyDescent="0.2">
      <c r="A310" t="s">
        <v>1</v>
      </c>
      <c r="B310" s="38">
        <v>46142</v>
      </c>
      <c r="C310" s="38">
        <v>46148</v>
      </c>
      <c r="D310" t="s">
        <v>1529</v>
      </c>
      <c r="E310" t="s">
        <v>77</v>
      </c>
      <c r="G310" s="37" cm="1">
        <f t="array" ref="G310">F310*_xlfn.XLOOKUP(1,
 (FOREX!$A$2:$A$13=EOMONTH(B310,0))*
 (FOREX!$B$2:$B$13=TRIM(E310)),FOREX!$C$2:$C$13,
 100)</f>
        <v>0</v>
      </c>
      <c r="H310" t="s">
        <v>1558</v>
      </c>
      <c r="I310" t="s">
        <v>387</v>
      </c>
      <c r="J310" s="35" t="str">
        <f>_xlfn.XLOOKUP(I310,costcategory[Account Code],costcategory[Cost Category],"ERROR")</f>
        <v>Headcount Costs</v>
      </c>
      <c r="K310" s="89" t="str">
        <f t="shared" si="37"/>
        <v>R&amp;D - Team W</v>
      </c>
      <c r="L310" s="89" t="str">
        <f>_xlfn.XLOOKUP(K310,Table2[Department],Table2[Group],"ERROR")</f>
        <v>Research &amp; Development</v>
      </c>
    </row>
    <row r="311" spans="1:12" x14ac:dyDescent="0.2">
      <c r="A311" t="s">
        <v>1</v>
      </c>
      <c r="B311" s="38">
        <v>46142</v>
      </c>
      <c r="C311" s="38">
        <v>46148</v>
      </c>
      <c r="D311" t="s">
        <v>1530</v>
      </c>
      <c r="E311" t="s">
        <v>77</v>
      </c>
      <c r="F311" s="37">
        <v>3</v>
      </c>
      <c r="G311" s="37" cm="1">
        <f t="array" ref="G311">F311*_xlfn.XLOOKUP(1,
 (FOREX!$A$2:$A$13=EOMONTH(B311,0))*
 (FOREX!$B$2:$B$13=TRIM(E311)),FOREX!$C$2:$C$13,
 100)</f>
        <v>2.3546272166489102</v>
      </c>
      <c r="H311" t="s">
        <v>1558</v>
      </c>
      <c r="I311" t="s">
        <v>387</v>
      </c>
      <c r="J311" s="35" t="str">
        <f>_xlfn.XLOOKUP(I311,costcategory[Account Code],costcategory[Cost Category],"ERROR")</f>
        <v>Headcount Costs</v>
      </c>
      <c r="K311" s="89" t="str">
        <f t="shared" si="37"/>
        <v>R&amp;D - Team D</v>
      </c>
      <c r="L311" s="89" t="str">
        <f>_xlfn.XLOOKUP(K311,Table2[Department],Table2[Group],"ERROR")</f>
        <v>Research &amp; Development</v>
      </c>
    </row>
    <row r="312" spans="1:12" x14ac:dyDescent="0.2">
      <c r="A312" t="s">
        <v>1</v>
      </c>
      <c r="B312" s="38">
        <v>46142</v>
      </c>
      <c r="C312" s="38">
        <v>46148</v>
      </c>
      <c r="D312" t="s">
        <v>1531</v>
      </c>
      <c r="E312" t="s">
        <v>77</v>
      </c>
      <c r="G312" s="37" cm="1">
        <f t="array" ref="G312">F312*_xlfn.XLOOKUP(1,
 (FOREX!$A$2:$A$13=EOMONTH(B312,0))*
 (FOREX!$B$2:$B$13=TRIM(E312)),FOREX!$C$2:$C$13,
 100)</f>
        <v>0</v>
      </c>
      <c r="H312" t="s">
        <v>1558</v>
      </c>
      <c r="I312" t="s">
        <v>387</v>
      </c>
      <c r="J312" s="35" t="str">
        <f>_xlfn.XLOOKUP(I312,costcategory[Account Code],costcategory[Cost Category],"ERROR")</f>
        <v>Headcount Costs</v>
      </c>
      <c r="K312" s="89" t="str">
        <f t="shared" si="37"/>
        <v>R&amp;D - Team W</v>
      </c>
      <c r="L312" s="89" t="str">
        <f>_xlfn.XLOOKUP(K312,Table2[Department],Table2[Group],"ERROR")</f>
        <v>Research &amp; Development</v>
      </c>
    </row>
    <row r="313" spans="1:12" x14ac:dyDescent="0.2">
      <c r="A313" t="s">
        <v>1</v>
      </c>
      <c r="B313" s="38">
        <v>46142</v>
      </c>
      <c r="C313" s="38">
        <v>46148</v>
      </c>
      <c r="D313" t="s">
        <v>1535</v>
      </c>
      <c r="E313" t="s">
        <v>77</v>
      </c>
      <c r="F313" s="37">
        <v>3</v>
      </c>
      <c r="G313" s="37" cm="1">
        <f t="array" ref="G313">F313*_xlfn.XLOOKUP(1,
 (FOREX!$A$2:$A$13=EOMONTH(B313,0))*
 (FOREX!$B$2:$B$13=TRIM(E313)),FOREX!$C$2:$C$13,
 100)</f>
        <v>2.3546272166489102</v>
      </c>
      <c r="H313" t="s">
        <v>1558</v>
      </c>
      <c r="I313" t="s">
        <v>387</v>
      </c>
      <c r="J313" s="35" t="str">
        <f>_xlfn.XLOOKUP(I313,costcategory[Account Code],costcategory[Cost Category],"ERROR")</f>
        <v>Headcount Costs</v>
      </c>
      <c r="K313" s="89" t="str">
        <f t="shared" si="37"/>
        <v>HR</v>
      </c>
      <c r="L313" s="89" t="str">
        <f>_xlfn.XLOOKUP(K313,Table2[Department],Table2[Group],"ERROR")</f>
        <v>General &amp; Administrative</v>
      </c>
    </row>
    <row r="314" spans="1:12" x14ac:dyDescent="0.2">
      <c r="A314" t="s">
        <v>1</v>
      </c>
      <c r="B314" s="38">
        <v>46142</v>
      </c>
      <c r="C314" s="38">
        <v>46148</v>
      </c>
      <c r="D314" t="s">
        <v>1537</v>
      </c>
      <c r="E314" t="s">
        <v>77</v>
      </c>
      <c r="G314" s="37" cm="1">
        <f t="array" ref="G314">F314*_xlfn.XLOOKUP(1,
 (FOREX!$A$2:$A$13=EOMONTH(B314,0))*
 (FOREX!$B$2:$B$13=TRIM(E314)),FOREX!$C$2:$C$13,
 100)</f>
        <v>0</v>
      </c>
      <c r="H314" t="s">
        <v>1558</v>
      </c>
      <c r="I314" t="s">
        <v>387</v>
      </c>
      <c r="J314" s="35" t="str">
        <f>_xlfn.XLOOKUP(I314,costcategory[Account Code],costcategory[Cost Category],"ERROR")</f>
        <v>Headcount Costs</v>
      </c>
      <c r="K314" s="89" t="str">
        <f t="shared" si="37"/>
        <v>DSC</v>
      </c>
      <c r="L314" s="89" t="str">
        <f>_xlfn.XLOOKUP(K314,Table2[Department],Table2[Group],"ERROR")</f>
        <v>DSC</v>
      </c>
    </row>
    <row r="315" spans="1:12" x14ac:dyDescent="0.2">
      <c r="A315" t="s">
        <v>1</v>
      </c>
      <c r="B315" s="38">
        <v>46142</v>
      </c>
      <c r="C315" s="38">
        <v>46148</v>
      </c>
      <c r="D315" t="s">
        <v>1538</v>
      </c>
      <c r="E315" t="s">
        <v>77</v>
      </c>
      <c r="F315" s="37">
        <v>2</v>
      </c>
      <c r="G315" s="37" cm="1">
        <f t="array" ref="G315">F315*_xlfn.XLOOKUP(1,
 (FOREX!$A$2:$A$13=EOMONTH(B315,0))*
 (FOREX!$B$2:$B$13=TRIM(E315)),FOREX!$C$2:$C$13,
 100)</f>
        <v>1.56975147776594</v>
      </c>
      <c r="H315" t="s">
        <v>1558</v>
      </c>
      <c r="I315" t="s">
        <v>387</v>
      </c>
      <c r="J315" s="35" t="str">
        <f>_xlfn.XLOOKUP(I315,costcategory[Account Code],costcategory[Cost Category],"ERROR")</f>
        <v>Headcount Costs</v>
      </c>
      <c r="K315" s="89" t="str">
        <f t="shared" si="37"/>
        <v>HR</v>
      </c>
      <c r="L315" s="89" t="str">
        <f>_xlfn.XLOOKUP(K315,Table2[Department],Table2[Group],"ERROR")</f>
        <v>General &amp; Administrative</v>
      </c>
    </row>
    <row r="316" spans="1:12" x14ac:dyDescent="0.2">
      <c r="A316" t="s">
        <v>1</v>
      </c>
      <c r="B316" s="38">
        <v>46142</v>
      </c>
      <c r="C316" s="38">
        <v>46148</v>
      </c>
      <c r="D316" t="s">
        <v>1539</v>
      </c>
      <c r="E316" t="s">
        <v>77</v>
      </c>
      <c r="F316" s="37">
        <v>2</v>
      </c>
      <c r="G316" s="37" cm="1">
        <f t="array" ref="G316">F316*_xlfn.XLOOKUP(1,
 (FOREX!$A$2:$A$13=EOMONTH(B316,0))*
 (FOREX!$B$2:$B$13=TRIM(E316)),FOREX!$C$2:$C$13,
 100)</f>
        <v>1.56975147776594</v>
      </c>
      <c r="H316" t="s">
        <v>1558</v>
      </c>
      <c r="I316" t="s">
        <v>387</v>
      </c>
      <c r="J316" s="35" t="str">
        <f>_xlfn.XLOOKUP(I316,costcategory[Account Code],costcategory[Cost Category],"ERROR")</f>
        <v>Headcount Costs</v>
      </c>
      <c r="K316" s="89" t="str">
        <f t="shared" si="37"/>
        <v>DSC</v>
      </c>
      <c r="L316" s="89" t="str">
        <f>_xlfn.XLOOKUP(K316,Table2[Department],Table2[Group],"ERROR")</f>
        <v>DSC</v>
      </c>
    </row>
    <row r="317" spans="1:12" x14ac:dyDescent="0.2">
      <c r="A317" t="s">
        <v>1</v>
      </c>
      <c r="B317" s="38">
        <v>46142</v>
      </c>
      <c r="C317" s="38">
        <v>46148</v>
      </c>
      <c r="D317" t="s">
        <v>1543</v>
      </c>
      <c r="E317" t="s">
        <v>77</v>
      </c>
      <c r="F317" s="37">
        <v>1</v>
      </c>
      <c r="G317" s="37" cm="1">
        <f t="array" ref="G317">F317*_xlfn.XLOOKUP(1,
 (FOREX!$A$2:$A$13=EOMONTH(B317,0))*
 (FOREX!$B$2:$B$13=TRIM(E317)),FOREX!$C$2:$C$13,
 100)</f>
        <v>0.78487573888297002</v>
      </c>
      <c r="H317" t="s">
        <v>1558</v>
      </c>
      <c r="I317" t="s">
        <v>387</v>
      </c>
      <c r="J317" s="35" t="str">
        <f>_xlfn.XLOOKUP(I317,costcategory[Account Code],costcategory[Cost Category],"ERROR")</f>
        <v>Headcount Costs</v>
      </c>
      <c r="K317" s="89" t="str">
        <f t="shared" si="37"/>
        <v>Sales &amp; Pre-Sales</v>
      </c>
      <c r="L317" s="89" t="str">
        <f>_xlfn.XLOOKUP(K317,Table2[Department],Table2[Group],"ERROR")</f>
        <v>Sales &amp; Marketing</v>
      </c>
    </row>
    <row r="318" spans="1:12" x14ac:dyDescent="0.2">
      <c r="A318" t="s">
        <v>1</v>
      </c>
      <c r="B318" s="38">
        <v>46142</v>
      </c>
      <c r="C318" s="38">
        <v>46148</v>
      </c>
      <c r="D318" t="s">
        <v>1541</v>
      </c>
      <c r="E318" t="s">
        <v>77</v>
      </c>
      <c r="F318" s="37">
        <v>2</v>
      </c>
      <c r="G318" s="37" cm="1">
        <f t="array" ref="G318">F318*_xlfn.XLOOKUP(1,
 (FOREX!$A$2:$A$13=EOMONTH(B318,0))*
 (FOREX!$B$2:$B$13=TRIM(E318)),FOREX!$C$2:$C$13,
 100)</f>
        <v>1.56975147776594</v>
      </c>
      <c r="H318" t="s">
        <v>1558</v>
      </c>
      <c r="I318" t="s">
        <v>387</v>
      </c>
      <c r="J318" s="35" t="str">
        <f>_xlfn.XLOOKUP(I318,costcategory[Account Code],costcategory[Cost Category],"ERROR")</f>
        <v>Headcount Costs</v>
      </c>
      <c r="K318" s="89" t="str">
        <f t="shared" si="37"/>
        <v>DSC</v>
      </c>
      <c r="L318" s="89" t="str">
        <f>_xlfn.XLOOKUP(K318,Table2[Department],Table2[Group],"ERROR")</f>
        <v>DSC</v>
      </c>
    </row>
    <row r="319" spans="1:12" x14ac:dyDescent="0.2">
      <c r="A319" t="s">
        <v>1</v>
      </c>
      <c r="B319" s="38">
        <v>46142</v>
      </c>
      <c r="C319" s="38">
        <v>46148</v>
      </c>
      <c r="D319" t="s">
        <v>1542</v>
      </c>
      <c r="E319" t="s">
        <v>77</v>
      </c>
      <c r="F319" s="37">
        <v>1.5</v>
      </c>
      <c r="G319" s="37" cm="1">
        <f t="array" ref="G319">F319*_xlfn.XLOOKUP(1,
 (FOREX!$A$2:$A$13=EOMONTH(B319,0))*
 (FOREX!$B$2:$B$13=TRIM(E319)),FOREX!$C$2:$C$13,
 100)</f>
        <v>1.1773136083244551</v>
      </c>
      <c r="H319" t="s">
        <v>1558</v>
      </c>
      <c r="I319" t="s">
        <v>387</v>
      </c>
      <c r="J319" s="35" t="str">
        <f>_xlfn.XLOOKUP(I319,costcategory[Account Code],costcategory[Cost Category],"ERROR")</f>
        <v>Headcount Costs</v>
      </c>
      <c r="K319" s="89" t="str">
        <f t="shared" si="37"/>
        <v>IT</v>
      </c>
      <c r="L319" s="89" t="str">
        <f>_xlfn.XLOOKUP(K319,Table2[Department],Table2[Group],"ERROR")</f>
        <v>General &amp; Administrative</v>
      </c>
    </row>
    <row r="320" spans="1:12" x14ac:dyDescent="0.2">
      <c r="A320" t="s">
        <v>1</v>
      </c>
      <c r="B320" s="38">
        <v>46142</v>
      </c>
      <c r="C320" s="38">
        <v>46148</v>
      </c>
      <c r="D320" t="s">
        <v>1544</v>
      </c>
      <c r="E320" t="s">
        <v>77</v>
      </c>
      <c r="F320" s="37">
        <v>1</v>
      </c>
      <c r="G320" s="37" cm="1">
        <f t="array" ref="G320">F320*_xlfn.XLOOKUP(1,
 (FOREX!$A$2:$A$13=EOMONTH(B320,0))*
 (FOREX!$B$2:$B$13=TRIM(E320)),FOREX!$C$2:$C$13,
 100)</f>
        <v>0.78487573888297002</v>
      </c>
      <c r="H320" t="s">
        <v>1558</v>
      </c>
      <c r="I320" t="s">
        <v>387</v>
      </c>
      <c r="J320" s="35" t="str">
        <f>_xlfn.XLOOKUP(I320,costcategory[Account Code],costcategory[Cost Category],"ERROR")</f>
        <v>Headcount Costs</v>
      </c>
      <c r="K320" s="89" t="str">
        <f t="shared" si="37"/>
        <v>Finance</v>
      </c>
      <c r="L320" s="89" t="str">
        <f>_xlfn.XLOOKUP(K320,Table2[Department],Table2[Group],"ERROR")</f>
        <v>General &amp; Administrative</v>
      </c>
    </row>
    <row r="321" spans="1:12" x14ac:dyDescent="0.2">
      <c r="A321" t="s">
        <v>1</v>
      </c>
      <c r="B321" s="38">
        <v>46142</v>
      </c>
      <c r="C321" s="38">
        <v>46148</v>
      </c>
      <c r="D321" t="s">
        <v>1545</v>
      </c>
      <c r="E321" t="s">
        <v>77</v>
      </c>
      <c r="F321" s="37">
        <v>1</v>
      </c>
      <c r="G321" s="37" cm="1">
        <f t="array" ref="G321">F321*_xlfn.XLOOKUP(1,
 (FOREX!$A$2:$A$13=EOMONTH(B321,0))*
 (FOREX!$B$2:$B$13=TRIM(E321)),FOREX!$C$2:$C$13,
 100)</f>
        <v>0.78487573888297002</v>
      </c>
      <c r="H321" t="s">
        <v>1558</v>
      </c>
      <c r="I321" t="s">
        <v>387</v>
      </c>
      <c r="J321" s="35" t="str">
        <f>_xlfn.XLOOKUP(I321,costcategory[Account Code],costcategory[Cost Category],"ERROR")</f>
        <v>Headcount Costs</v>
      </c>
      <c r="K321" s="89" t="str">
        <f t="shared" si="37"/>
        <v>Sales &amp; Pre-Sales</v>
      </c>
      <c r="L321" s="89" t="str">
        <f>_xlfn.XLOOKUP(K321,Table2[Department],Table2[Group],"ERROR")</f>
        <v>Sales &amp; Marketing</v>
      </c>
    </row>
    <row r="322" spans="1:12" x14ac:dyDescent="0.2">
      <c r="A322" t="s">
        <v>1</v>
      </c>
      <c r="B322" s="38">
        <v>46142</v>
      </c>
      <c r="C322" s="38">
        <v>46148</v>
      </c>
      <c r="D322" t="s">
        <v>1521</v>
      </c>
      <c r="E322" t="s">
        <v>77</v>
      </c>
      <c r="F322" s="37">
        <v>0</v>
      </c>
      <c r="G322" s="37" cm="1">
        <f t="array" ref="G322">F322*_xlfn.XLOOKUP(1,
 (FOREX!$A$2:$A$13=EOMONTH(B322,0))*
 (FOREX!$B$2:$B$13=TRIM(E322)),FOREX!$C$2:$C$13,
 100)</f>
        <v>0</v>
      </c>
      <c r="H322" t="s">
        <v>1559</v>
      </c>
      <c r="I322" s="30" t="s">
        <v>364</v>
      </c>
      <c r="J322" s="35" t="str">
        <f>_xlfn.XLOOKUP(I322,costcategory[Account Code],costcategory[Cost Category],"ERROR")</f>
        <v>Headcount Costs</v>
      </c>
      <c r="K322" s="89" t="str">
        <f t="shared" ref="K322:K340" si="38">_xlfn.XLOOKUP(D322,$AF$3:$AF$26,$AG$3:$AG$26,"ERROR")</f>
        <v>Management</v>
      </c>
      <c r="L322" s="89" t="str">
        <f>_xlfn.XLOOKUP(K322,Table2[Department],Table2[Group],"ERROR")</f>
        <v>General &amp; Administrative</v>
      </c>
    </row>
    <row r="323" spans="1:12" x14ac:dyDescent="0.2">
      <c r="A323" t="s">
        <v>1</v>
      </c>
      <c r="B323" s="38">
        <v>46142</v>
      </c>
      <c r="C323" s="38">
        <v>46148</v>
      </c>
      <c r="D323" t="s">
        <v>1522</v>
      </c>
      <c r="E323" t="s">
        <v>77</v>
      </c>
      <c r="F323" s="37">
        <v>1600</v>
      </c>
      <c r="G323" s="37" cm="1">
        <f t="array" ref="G323">F323*_xlfn.XLOOKUP(1,
 (FOREX!$A$2:$A$13=EOMONTH(B323,0))*
 (FOREX!$B$2:$B$13=TRIM(E323)),FOREX!$C$2:$C$13,
 100)</f>
        <v>1255.8011822127521</v>
      </c>
      <c r="H323" t="s">
        <v>1559</v>
      </c>
      <c r="I323" s="30" t="s">
        <v>364</v>
      </c>
      <c r="J323" s="35" t="str">
        <f>_xlfn.XLOOKUP(I323,costcategory[Account Code],costcategory[Cost Category],"ERROR")</f>
        <v>Headcount Costs</v>
      </c>
      <c r="K323" s="89" t="str">
        <f t="shared" si="38"/>
        <v>Marketing</v>
      </c>
      <c r="L323" s="89" t="str">
        <f>_xlfn.XLOOKUP(K323,Table2[Department],Table2[Group],"ERROR")</f>
        <v>Sales &amp; Marketing</v>
      </c>
    </row>
    <row r="324" spans="1:12" x14ac:dyDescent="0.2">
      <c r="A324" t="s">
        <v>1</v>
      </c>
      <c r="B324" s="38">
        <v>46142</v>
      </c>
      <c r="C324" s="38">
        <v>46148</v>
      </c>
      <c r="D324" t="s">
        <v>1523</v>
      </c>
      <c r="E324" t="s">
        <v>77</v>
      </c>
      <c r="F324" s="37">
        <v>0</v>
      </c>
      <c r="G324" s="37" cm="1">
        <f t="array" ref="G324">F324*_xlfn.XLOOKUP(1,
 (FOREX!$A$2:$A$13=EOMONTH(B324,0))*
 (FOREX!$B$2:$B$13=TRIM(E324)),FOREX!$C$2:$C$13,
 100)</f>
        <v>0</v>
      </c>
      <c r="H324" t="s">
        <v>1559</v>
      </c>
      <c r="I324" s="30" t="s">
        <v>364</v>
      </c>
      <c r="J324" s="35" t="str">
        <f>_xlfn.XLOOKUP(I324,costcategory[Account Code],costcategory[Cost Category],"ERROR")</f>
        <v>Headcount Costs</v>
      </c>
      <c r="K324" s="89" t="str">
        <f t="shared" si="38"/>
        <v>Management</v>
      </c>
      <c r="L324" s="89" t="str">
        <f>_xlfn.XLOOKUP(K324,Table2[Department],Table2[Group],"ERROR")</f>
        <v>General &amp; Administrative</v>
      </c>
    </row>
    <row r="325" spans="1:12" x14ac:dyDescent="0.2">
      <c r="A325" t="s">
        <v>1</v>
      </c>
      <c r="B325" s="38">
        <v>46142</v>
      </c>
      <c r="C325" s="38">
        <v>46148</v>
      </c>
      <c r="D325" t="s">
        <v>1524</v>
      </c>
      <c r="E325" t="s">
        <v>77</v>
      </c>
      <c r="F325" s="37">
        <v>1278</v>
      </c>
      <c r="G325" s="37" cm="1">
        <f t="array" ref="G325">F325*_xlfn.XLOOKUP(1,
 (FOREX!$A$2:$A$13=EOMONTH(B325,0))*
 (FOREX!$B$2:$B$13=TRIM(E325)),FOREX!$C$2:$C$13,
 100)</f>
        <v>1003.0711942924357</v>
      </c>
      <c r="H325" t="s">
        <v>1559</v>
      </c>
      <c r="I325" s="30" t="s">
        <v>364</v>
      </c>
      <c r="J325" s="35" t="str">
        <f>_xlfn.XLOOKUP(I325,costcategory[Account Code],costcategory[Cost Category],"ERROR")</f>
        <v>Headcount Costs</v>
      </c>
      <c r="K325" s="89" t="str">
        <f t="shared" si="38"/>
        <v>Business Operation</v>
      </c>
      <c r="L325" s="89" t="str">
        <f>_xlfn.XLOOKUP(K325,Table2[Department],Table2[Group],"ERROR")</f>
        <v>Sales &amp; Marketing</v>
      </c>
    </row>
    <row r="326" spans="1:12" x14ac:dyDescent="0.2">
      <c r="A326" t="s">
        <v>1</v>
      </c>
      <c r="B326" s="38">
        <v>46142</v>
      </c>
      <c r="C326" s="38">
        <v>46148</v>
      </c>
      <c r="D326" t="s">
        <v>1525</v>
      </c>
      <c r="E326" t="s">
        <v>77</v>
      </c>
      <c r="F326" s="37">
        <v>1440</v>
      </c>
      <c r="G326" s="37" cm="1">
        <f t="array" ref="G326">F326*_xlfn.XLOOKUP(1,
 (FOREX!$A$2:$A$13=EOMONTH(B326,0))*
 (FOREX!$B$2:$B$13=TRIM(E326)),FOREX!$C$2:$C$13,
 100)</f>
        <v>1130.2210639914767</v>
      </c>
      <c r="H326" t="s">
        <v>1559</v>
      </c>
      <c r="I326" s="30" t="s">
        <v>364</v>
      </c>
      <c r="J326" s="35" t="str">
        <f>_xlfn.XLOOKUP(I326,costcategory[Account Code],costcategory[Cost Category],"ERROR")</f>
        <v>Headcount Costs</v>
      </c>
      <c r="K326" s="89" t="str">
        <f t="shared" si="38"/>
        <v>Sales &amp; Pre-Sales</v>
      </c>
      <c r="L326" s="89" t="str">
        <f>_xlfn.XLOOKUP(K326,Table2[Department],Table2[Group],"ERROR")</f>
        <v>Sales &amp; Marketing</v>
      </c>
    </row>
    <row r="327" spans="1:12" x14ac:dyDescent="0.2">
      <c r="A327" t="s">
        <v>1</v>
      </c>
      <c r="B327" s="38">
        <v>46142</v>
      </c>
      <c r="C327" s="38">
        <v>46148</v>
      </c>
      <c r="D327" t="s">
        <v>1527</v>
      </c>
      <c r="E327" t="s">
        <v>77</v>
      </c>
      <c r="F327" s="37">
        <v>1600</v>
      </c>
      <c r="G327" s="37" cm="1">
        <f t="array" ref="G327">F327*_xlfn.XLOOKUP(1,
 (FOREX!$A$2:$A$13=EOMONTH(B327,0))*
 (FOREX!$B$2:$B$13=TRIM(E327)),FOREX!$C$2:$C$13,
 100)</f>
        <v>1255.8011822127521</v>
      </c>
      <c r="H327" t="s">
        <v>1559</v>
      </c>
      <c r="I327" s="30" t="s">
        <v>364</v>
      </c>
      <c r="J327" s="35" t="str">
        <f>_xlfn.XLOOKUP(I327,costcategory[Account Code],costcategory[Cost Category],"ERROR")</f>
        <v>Headcount Costs</v>
      </c>
      <c r="K327" s="89" t="str">
        <f t="shared" si="38"/>
        <v>DSC</v>
      </c>
      <c r="L327" s="89" t="str">
        <f>_xlfn.XLOOKUP(K327,Table2[Department],Table2[Group],"ERROR")</f>
        <v>DSC</v>
      </c>
    </row>
    <row r="328" spans="1:12" x14ac:dyDescent="0.2">
      <c r="A328" t="s">
        <v>1</v>
      </c>
      <c r="B328" s="38">
        <v>46142</v>
      </c>
      <c r="C328" s="38">
        <v>46148</v>
      </c>
      <c r="D328" t="s">
        <v>1528</v>
      </c>
      <c r="E328" t="s">
        <v>77</v>
      </c>
      <c r="F328" s="37">
        <v>0</v>
      </c>
      <c r="G328" s="37" cm="1">
        <f t="array" ref="G328">F328*_xlfn.XLOOKUP(1,
 (FOREX!$A$2:$A$13=EOMONTH(B328,0))*
 (FOREX!$B$2:$B$13=TRIM(E328)),FOREX!$C$2:$C$13,
 100)</f>
        <v>0</v>
      </c>
      <c r="H328" t="s">
        <v>1559</v>
      </c>
      <c r="I328" s="30" t="s">
        <v>364</v>
      </c>
      <c r="J328" s="35" t="str">
        <f>_xlfn.XLOOKUP(I328,costcategory[Account Code],costcategory[Cost Category],"ERROR")</f>
        <v>Headcount Costs</v>
      </c>
      <c r="K328" s="89" t="str">
        <f t="shared" si="38"/>
        <v>R&amp;D - Team D</v>
      </c>
      <c r="L328" s="89" t="str">
        <f>_xlfn.XLOOKUP(K328,Table2[Department],Table2[Group],"ERROR")</f>
        <v>Research &amp; Development</v>
      </c>
    </row>
    <row r="329" spans="1:12" x14ac:dyDescent="0.2">
      <c r="A329" t="s">
        <v>1</v>
      </c>
      <c r="B329" s="38">
        <v>46142</v>
      </c>
      <c r="C329" s="38">
        <v>46148</v>
      </c>
      <c r="D329" t="s">
        <v>1529</v>
      </c>
      <c r="E329" t="s">
        <v>77</v>
      </c>
      <c r="F329" s="37">
        <v>0</v>
      </c>
      <c r="G329" s="37" cm="1">
        <f t="array" ref="G329">F329*_xlfn.XLOOKUP(1,
 (FOREX!$A$2:$A$13=EOMONTH(B329,0))*
 (FOREX!$B$2:$B$13=TRIM(E329)),FOREX!$C$2:$C$13,
 100)</f>
        <v>0</v>
      </c>
      <c r="H329" t="s">
        <v>1559</v>
      </c>
      <c r="I329" s="30" t="s">
        <v>364</v>
      </c>
      <c r="J329" s="35" t="str">
        <f>_xlfn.XLOOKUP(I329,costcategory[Account Code],costcategory[Cost Category],"ERROR")</f>
        <v>Headcount Costs</v>
      </c>
      <c r="K329" s="89" t="str">
        <f t="shared" si="38"/>
        <v>R&amp;D - Team W</v>
      </c>
      <c r="L329" s="89" t="str">
        <f>_xlfn.XLOOKUP(K329,Table2[Department],Table2[Group],"ERROR")</f>
        <v>Research &amp; Development</v>
      </c>
    </row>
    <row r="330" spans="1:12" x14ac:dyDescent="0.2">
      <c r="A330" t="s">
        <v>1</v>
      </c>
      <c r="B330" s="38">
        <v>46142</v>
      </c>
      <c r="C330" s="38">
        <v>46148</v>
      </c>
      <c r="D330" t="s">
        <v>1530</v>
      </c>
      <c r="E330" t="s">
        <v>77</v>
      </c>
      <c r="F330" s="37">
        <v>1600</v>
      </c>
      <c r="G330" s="37" cm="1">
        <f t="array" ref="G330">F330*_xlfn.XLOOKUP(1,
 (FOREX!$A$2:$A$13=EOMONTH(B330,0))*
 (FOREX!$B$2:$B$13=TRIM(E330)),FOREX!$C$2:$C$13,
 100)</f>
        <v>1255.8011822127521</v>
      </c>
      <c r="H330" t="s">
        <v>1559</v>
      </c>
      <c r="I330" s="30" t="s">
        <v>364</v>
      </c>
      <c r="J330" s="35" t="str">
        <f>_xlfn.XLOOKUP(I330,costcategory[Account Code],costcategory[Cost Category],"ERROR")</f>
        <v>Headcount Costs</v>
      </c>
      <c r="K330" s="89" t="str">
        <f t="shared" si="38"/>
        <v>R&amp;D - Team D</v>
      </c>
      <c r="L330" s="89" t="str">
        <f>_xlfn.XLOOKUP(K330,Table2[Department],Table2[Group],"ERROR")</f>
        <v>Research &amp; Development</v>
      </c>
    </row>
    <row r="331" spans="1:12" x14ac:dyDescent="0.2">
      <c r="A331" t="s">
        <v>1</v>
      </c>
      <c r="B331" s="38">
        <v>46142</v>
      </c>
      <c r="C331" s="38">
        <v>46148</v>
      </c>
      <c r="D331" t="s">
        <v>1531</v>
      </c>
      <c r="E331" t="s">
        <v>77</v>
      </c>
      <c r="F331" s="37">
        <v>0</v>
      </c>
      <c r="G331" s="37" cm="1">
        <f t="array" ref="G331">F331*_xlfn.XLOOKUP(1,
 (FOREX!$A$2:$A$13=EOMONTH(B331,0))*
 (FOREX!$B$2:$B$13=TRIM(E331)),FOREX!$C$2:$C$13,
 100)</f>
        <v>0</v>
      </c>
      <c r="H331" t="s">
        <v>1559</v>
      </c>
      <c r="I331" s="30" t="s">
        <v>364</v>
      </c>
      <c r="J331" s="35" t="str">
        <f>_xlfn.XLOOKUP(I331,costcategory[Account Code],costcategory[Cost Category],"ERROR")</f>
        <v>Headcount Costs</v>
      </c>
      <c r="K331" s="89" t="str">
        <f t="shared" si="38"/>
        <v>R&amp;D - Team W</v>
      </c>
      <c r="L331" s="89" t="str">
        <f>_xlfn.XLOOKUP(K331,Table2[Department],Table2[Group],"ERROR")</f>
        <v>Research &amp; Development</v>
      </c>
    </row>
    <row r="332" spans="1:12" x14ac:dyDescent="0.2">
      <c r="A332" t="s">
        <v>1</v>
      </c>
      <c r="B332" s="38">
        <v>46142</v>
      </c>
      <c r="C332" s="38">
        <v>46148</v>
      </c>
      <c r="D332" t="s">
        <v>1535</v>
      </c>
      <c r="E332" t="s">
        <v>77</v>
      </c>
      <c r="F332" s="37">
        <v>2600</v>
      </c>
      <c r="G332" s="37" cm="1">
        <f t="array" ref="G332">F332*_xlfn.XLOOKUP(1,
 (FOREX!$A$2:$A$13=EOMONTH(B332,0))*
 (FOREX!$B$2:$B$13=TRIM(E332)),FOREX!$C$2:$C$13,
 100)</f>
        <v>2040.676921095722</v>
      </c>
      <c r="H332" t="s">
        <v>1559</v>
      </c>
      <c r="I332" s="30" t="s">
        <v>364</v>
      </c>
      <c r="J332" s="35" t="str">
        <f>_xlfn.XLOOKUP(I332,costcategory[Account Code],costcategory[Cost Category],"ERROR")</f>
        <v>Headcount Costs</v>
      </c>
      <c r="K332" s="89" t="str">
        <f t="shared" si="38"/>
        <v>HR</v>
      </c>
      <c r="L332" s="89" t="str">
        <f>_xlfn.XLOOKUP(K332,Table2[Department],Table2[Group],"ERROR")</f>
        <v>General &amp; Administrative</v>
      </c>
    </row>
    <row r="333" spans="1:12" x14ac:dyDescent="0.2">
      <c r="A333" t="s">
        <v>1</v>
      </c>
      <c r="B333" s="38">
        <v>46142</v>
      </c>
      <c r="C333" s="38">
        <v>46148</v>
      </c>
      <c r="D333" t="s">
        <v>1537</v>
      </c>
      <c r="E333" t="s">
        <v>77</v>
      </c>
      <c r="F333" s="37">
        <v>0</v>
      </c>
      <c r="G333" s="37" cm="1">
        <f t="array" ref="G333">F333*_xlfn.XLOOKUP(1,
 (FOREX!$A$2:$A$13=EOMONTH(B333,0))*
 (FOREX!$B$2:$B$13=TRIM(E333)),FOREX!$C$2:$C$13,
 100)</f>
        <v>0</v>
      </c>
      <c r="H333" t="s">
        <v>1559</v>
      </c>
      <c r="I333" s="30" t="s">
        <v>364</v>
      </c>
      <c r="J333" s="35" t="str">
        <f>_xlfn.XLOOKUP(I333,costcategory[Account Code],costcategory[Cost Category],"ERROR")</f>
        <v>Headcount Costs</v>
      </c>
      <c r="K333" s="89" t="str">
        <f t="shared" si="38"/>
        <v>DSC</v>
      </c>
      <c r="L333" s="89" t="str">
        <f>_xlfn.XLOOKUP(K333,Table2[Department],Table2[Group],"ERROR")</f>
        <v>DSC</v>
      </c>
    </row>
    <row r="334" spans="1:12" x14ac:dyDescent="0.2">
      <c r="A334" t="s">
        <v>1</v>
      </c>
      <c r="B334" s="38">
        <v>46142</v>
      </c>
      <c r="C334" s="38">
        <v>46148</v>
      </c>
      <c r="D334" t="s">
        <v>1538</v>
      </c>
      <c r="E334" t="s">
        <v>77</v>
      </c>
      <c r="F334" s="37">
        <v>1470</v>
      </c>
      <c r="G334" s="37" cm="1">
        <f t="array" ref="G334">F334*_xlfn.XLOOKUP(1,
 (FOREX!$A$2:$A$13=EOMONTH(B334,0))*
 (FOREX!$B$2:$B$13=TRIM(E334)),FOREX!$C$2:$C$13,
 100)</f>
        <v>1153.7673361579659</v>
      </c>
      <c r="H334" t="s">
        <v>1559</v>
      </c>
      <c r="I334" s="30" t="s">
        <v>364</v>
      </c>
      <c r="J334" s="35" t="str">
        <f>_xlfn.XLOOKUP(I334,costcategory[Account Code],costcategory[Cost Category],"ERROR")</f>
        <v>Headcount Costs</v>
      </c>
      <c r="K334" s="89" t="str">
        <f t="shared" si="38"/>
        <v>HR</v>
      </c>
      <c r="L334" s="89" t="str">
        <f>_xlfn.XLOOKUP(K334,Table2[Department],Table2[Group],"ERROR")</f>
        <v>General &amp; Administrative</v>
      </c>
    </row>
    <row r="335" spans="1:12" x14ac:dyDescent="0.2">
      <c r="A335" t="s">
        <v>1</v>
      </c>
      <c r="B335" s="38">
        <v>46142</v>
      </c>
      <c r="C335" s="38">
        <v>46148</v>
      </c>
      <c r="D335" t="s">
        <v>1539</v>
      </c>
      <c r="E335" t="s">
        <v>77</v>
      </c>
      <c r="F335" s="37">
        <v>1300</v>
      </c>
      <c r="G335" s="37" cm="1">
        <f t="array" ref="G335">F335*_xlfn.XLOOKUP(1,
 (FOREX!$A$2:$A$13=EOMONTH(B335,0))*
 (FOREX!$B$2:$B$13=TRIM(E335)),FOREX!$C$2:$C$13,
 100)</f>
        <v>1020.338460547861</v>
      </c>
      <c r="H335" t="s">
        <v>1559</v>
      </c>
      <c r="I335" s="30" t="s">
        <v>364</v>
      </c>
      <c r="J335" s="35" t="str">
        <f>_xlfn.XLOOKUP(I335,costcategory[Account Code],costcategory[Cost Category],"ERROR")</f>
        <v>Headcount Costs</v>
      </c>
      <c r="K335" s="89" t="str">
        <f t="shared" si="38"/>
        <v>DSC</v>
      </c>
      <c r="L335" s="89" t="str">
        <f>_xlfn.XLOOKUP(K335,Table2[Department],Table2[Group],"ERROR")</f>
        <v>DSC</v>
      </c>
    </row>
    <row r="336" spans="1:12" x14ac:dyDescent="0.2">
      <c r="A336" t="s">
        <v>1</v>
      </c>
      <c r="B336" s="38">
        <v>46142</v>
      </c>
      <c r="C336" s="38">
        <v>46148</v>
      </c>
      <c r="D336" t="s">
        <v>1543</v>
      </c>
      <c r="E336" t="s">
        <v>77</v>
      </c>
      <c r="F336" s="37">
        <v>620</v>
      </c>
      <c r="G336" s="37" cm="1">
        <f t="array" ref="G336">F336*_xlfn.XLOOKUP(1,
 (FOREX!$A$2:$A$13=EOMONTH(B336,0))*
 (FOREX!$B$2:$B$13=TRIM(E336)),FOREX!$C$2:$C$13,
 100)</f>
        <v>486.62295810744143</v>
      </c>
      <c r="H336" t="s">
        <v>1559</v>
      </c>
      <c r="I336" s="30" t="s">
        <v>364</v>
      </c>
      <c r="J336" s="35" t="str">
        <f>_xlfn.XLOOKUP(I336,costcategory[Account Code],costcategory[Cost Category],"ERROR")</f>
        <v>Headcount Costs</v>
      </c>
      <c r="K336" s="89" t="str">
        <f t="shared" si="38"/>
        <v>Sales &amp; Pre-Sales</v>
      </c>
      <c r="L336" s="89" t="str">
        <f>_xlfn.XLOOKUP(K336,Table2[Department],Table2[Group],"ERROR")</f>
        <v>Sales &amp; Marketing</v>
      </c>
    </row>
    <row r="337" spans="1:12" x14ac:dyDescent="0.2">
      <c r="A337" t="s">
        <v>1</v>
      </c>
      <c r="B337" s="38">
        <v>46142</v>
      </c>
      <c r="C337" s="38">
        <v>46148</v>
      </c>
      <c r="D337" t="s">
        <v>1541</v>
      </c>
      <c r="E337" t="s">
        <v>77</v>
      </c>
      <c r="F337" s="37">
        <v>1090</v>
      </c>
      <c r="G337" s="37" cm="1">
        <f t="array" ref="G337">F337*_xlfn.XLOOKUP(1,
 (FOREX!$A$2:$A$13=EOMONTH(B337,0))*
 (FOREX!$B$2:$B$13=TRIM(E337)),FOREX!$C$2:$C$13,
 100)</f>
        <v>855.51455538243727</v>
      </c>
      <c r="H337" t="s">
        <v>1559</v>
      </c>
      <c r="I337" s="30" t="s">
        <v>364</v>
      </c>
      <c r="J337" s="35" t="str">
        <f>_xlfn.XLOOKUP(I337,costcategory[Account Code],costcategory[Cost Category],"ERROR")</f>
        <v>Headcount Costs</v>
      </c>
      <c r="K337" s="89" t="str">
        <f t="shared" si="38"/>
        <v>DSC</v>
      </c>
      <c r="L337" s="89" t="str">
        <f>_xlfn.XLOOKUP(K337,Table2[Department],Table2[Group],"ERROR")</f>
        <v>DSC</v>
      </c>
    </row>
    <row r="338" spans="1:12" x14ac:dyDescent="0.2">
      <c r="A338" t="s">
        <v>1</v>
      </c>
      <c r="B338" s="38">
        <v>46142</v>
      </c>
      <c r="C338" s="38">
        <v>46148</v>
      </c>
      <c r="D338" t="s">
        <v>1542</v>
      </c>
      <c r="E338" t="s">
        <v>77</v>
      </c>
      <c r="F338" s="37">
        <v>954</v>
      </c>
      <c r="G338" s="37" cm="1">
        <f t="array" ref="G338">F338*_xlfn.XLOOKUP(1,
 (FOREX!$A$2:$A$13=EOMONTH(B338,0))*
 (FOREX!$B$2:$B$13=TRIM(E338)),FOREX!$C$2:$C$13,
 100)</f>
        <v>748.77145489435338</v>
      </c>
      <c r="H338" t="s">
        <v>1559</v>
      </c>
      <c r="I338" s="30" t="s">
        <v>364</v>
      </c>
      <c r="J338" s="35" t="str">
        <f>_xlfn.XLOOKUP(I338,costcategory[Account Code],costcategory[Cost Category],"ERROR")</f>
        <v>Headcount Costs</v>
      </c>
      <c r="K338" s="89" t="str">
        <f t="shared" si="38"/>
        <v>IT</v>
      </c>
      <c r="L338" s="89" t="str">
        <f>_xlfn.XLOOKUP(K338,Table2[Department],Table2[Group],"ERROR")</f>
        <v>General &amp; Administrative</v>
      </c>
    </row>
    <row r="339" spans="1:12" x14ac:dyDescent="0.2">
      <c r="A339" t="s">
        <v>1</v>
      </c>
      <c r="B339" s="38">
        <v>46142</v>
      </c>
      <c r="C339" s="38">
        <v>46148</v>
      </c>
      <c r="D339" t="s">
        <v>1544</v>
      </c>
      <c r="E339" t="s">
        <v>77</v>
      </c>
      <c r="F339" s="37">
        <v>127</v>
      </c>
      <c r="G339" s="37" cm="1">
        <f t="array" ref="G339">F339*_xlfn.XLOOKUP(1,
 (FOREX!$A$2:$A$13=EOMONTH(B339,0))*
 (FOREX!$B$2:$B$13=TRIM(E339)),FOREX!$C$2:$C$13,
 100)</f>
        <v>99.679218838137189</v>
      </c>
      <c r="H339" t="s">
        <v>1559</v>
      </c>
      <c r="I339" s="30" t="s">
        <v>364</v>
      </c>
      <c r="J339" s="35" t="str">
        <f>_xlfn.XLOOKUP(I339,costcategory[Account Code],costcategory[Cost Category],"ERROR")</f>
        <v>Headcount Costs</v>
      </c>
      <c r="K339" s="89" t="str">
        <f t="shared" si="38"/>
        <v>Finance</v>
      </c>
      <c r="L339" s="89" t="str">
        <f>_xlfn.XLOOKUP(K339,Table2[Department],Table2[Group],"ERROR")</f>
        <v>General &amp; Administrative</v>
      </c>
    </row>
    <row r="340" spans="1:12" x14ac:dyDescent="0.2">
      <c r="A340" t="s">
        <v>1</v>
      </c>
      <c r="B340" s="38">
        <v>46142</v>
      </c>
      <c r="C340" s="38">
        <v>46148</v>
      </c>
      <c r="D340" t="s">
        <v>1545</v>
      </c>
      <c r="E340" t="s">
        <v>77</v>
      </c>
      <c r="F340" s="37">
        <v>515</v>
      </c>
      <c r="G340" s="37" cm="1">
        <f t="array" ref="G340">F340*_xlfn.XLOOKUP(1,
 (FOREX!$A$2:$A$13=EOMONTH(B340,0))*
 (FOREX!$B$2:$B$13=TRIM(E340)),FOREX!$C$2:$C$13,
 100)</f>
        <v>404.21100552472956</v>
      </c>
      <c r="H340" t="s">
        <v>1559</v>
      </c>
      <c r="I340" s="30" t="s">
        <v>364</v>
      </c>
      <c r="J340" s="35" t="str">
        <f>_xlfn.XLOOKUP(I340,costcategory[Account Code],costcategory[Cost Category],"ERROR")</f>
        <v>Headcount Costs</v>
      </c>
      <c r="K340" s="89" t="str">
        <f t="shared" si="38"/>
        <v>Sales &amp; Pre-Sales</v>
      </c>
      <c r="L340" s="89" t="str">
        <f>_xlfn.XLOOKUP(K340,Table2[Department],Table2[Group],"ERROR")</f>
        <v>Sales &amp; Marketing</v>
      </c>
    </row>
    <row r="341" spans="1:12" x14ac:dyDescent="0.2">
      <c r="A341" t="s">
        <v>1</v>
      </c>
      <c r="B341" s="38">
        <v>46142</v>
      </c>
      <c r="C341" s="38">
        <v>46148</v>
      </c>
      <c r="D341" t="s">
        <v>1521</v>
      </c>
      <c r="E341" t="s">
        <v>77</v>
      </c>
      <c r="F341" s="37">
        <v>11.25</v>
      </c>
      <c r="G341" s="37" cm="1">
        <f t="array" ref="G341">F341*_xlfn.XLOOKUP(1,
 (FOREX!$A$2:$A$13=EOMONTH(B341,0))*
 (FOREX!$B$2:$B$13=TRIM(E341)),FOREX!$C$2:$C$13,
 100)</f>
        <v>8.829852062433412</v>
      </c>
      <c r="H341" t="s">
        <v>1560</v>
      </c>
      <c r="I341" s="30" t="s">
        <v>364</v>
      </c>
      <c r="J341" s="35" t="str">
        <f>_xlfn.XLOOKUP(I341,costcategory[Account Code],costcategory[Cost Category],"ERROR")</f>
        <v>Headcount Costs</v>
      </c>
      <c r="K341" s="89" t="str">
        <f t="shared" ref="K341:K378" si="39">_xlfn.XLOOKUP(D341,$AF$3:$AF$26,$AG$3:$AG$26,"ERROR")</f>
        <v>Management</v>
      </c>
      <c r="L341" s="89" t="str">
        <f>_xlfn.XLOOKUP(K341,Table2[Department],Table2[Group],"ERROR")</f>
        <v>General &amp; Administrative</v>
      </c>
    </row>
    <row r="342" spans="1:12" x14ac:dyDescent="0.2">
      <c r="A342" t="s">
        <v>1</v>
      </c>
      <c r="B342" s="38">
        <v>46142</v>
      </c>
      <c r="C342" s="38">
        <v>46148</v>
      </c>
      <c r="D342" t="s">
        <v>1522</v>
      </c>
      <c r="E342" t="s">
        <v>77</v>
      </c>
      <c r="F342" s="37">
        <v>11.25</v>
      </c>
      <c r="G342" s="37" cm="1">
        <f t="array" ref="G342">F342*_xlfn.XLOOKUP(1,
 (FOREX!$A$2:$A$13=EOMONTH(B342,0))*
 (FOREX!$B$2:$B$13=TRIM(E342)),FOREX!$C$2:$C$13,
 100)</f>
        <v>8.829852062433412</v>
      </c>
      <c r="H342" t="s">
        <v>1560</v>
      </c>
      <c r="I342" s="30" t="s">
        <v>364</v>
      </c>
      <c r="J342" s="35" t="str">
        <f>_xlfn.XLOOKUP(I342,costcategory[Account Code],costcategory[Cost Category],"ERROR")</f>
        <v>Headcount Costs</v>
      </c>
      <c r="K342" s="89" t="str">
        <f t="shared" si="39"/>
        <v>Marketing</v>
      </c>
      <c r="L342" s="89" t="str">
        <f>_xlfn.XLOOKUP(K342,Table2[Department],Table2[Group],"ERROR")</f>
        <v>Sales &amp; Marketing</v>
      </c>
    </row>
    <row r="343" spans="1:12" x14ac:dyDescent="0.2">
      <c r="A343" t="s">
        <v>1</v>
      </c>
      <c r="B343" s="38">
        <v>46142</v>
      </c>
      <c r="C343" s="38">
        <v>46148</v>
      </c>
      <c r="D343" t="s">
        <v>1523</v>
      </c>
      <c r="E343" t="s">
        <v>77</v>
      </c>
      <c r="F343" s="37">
        <v>11.25</v>
      </c>
      <c r="G343" s="37" cm="1">
        <f t="array" ref="G343">F343*_xlfn.XLOOKUP(1,
 (FOREX!$A$2:$A$13=EOMONTH(B343,0))*
 (FOREX!$B$2:$B$13=TRIM(E343)),FOREX!$C$2:$C$13,
 100)</f>
        <v>8.829852062433412</v>
      </c>
      <c r="H343" t="s">
        <v>1560</v>
      </c>
      <c r="I343" s="30" t="s">
        <v>364</v>
      </c>
      <c r="J343" s="35" t="str">
        <f>_xlfn.XLOOKUP(I343,costcategory[Account Code],costcategory[Cost Category],"ERROR")</f>
        <v>Headcount Costs</v>
      </c>
      <c r="K343" s="89" t="str">
        <f t="shared" si="39"/>
        <v>Management</v>
      </c>
      <c r="L343" s="89" t="str">
        <f>_xlfn.XLOOKUP(K343,Table2[Department],Table2[Group],"ERROR")</f>
        <v>General &amp; Administrative</v>
      </c>
    </row>
    <row r="344" spans="1:12" x14ac:dyDescent="0.2">
      <c r="A344" t="s">
        <v>1</v>
      </c>
      <c r="B344" s="38">
        <v>46142</v>
      </c>
      <c r="C344" s="38">
        <v>46148</v>
      </c>
      <c r="D344" t="s">
        <v>1524</v>
      </c>
      <c r="E344" t="s">
        <v>77</v>
      </c>
      <c r="F344" s="37">
        <v>11.25</v>
      </c>
      <c r="G344" s="37" cm="1">
        <f t="array" ref="G344">F344*_xlfn.XLOOKUP(1,
 (FOREX!$A$2:$A$13=EOMONTH(B344,0))*
 (FOREX!$B$2:$B$13=TRIM(E344)),FOREX!$C$2:$C$13,
 100)</f>
        <v>8.829852062433412</v>
      </c>
      <c r="H344" t="s">
        <v>1560</v>
      </c>
      <c r="I344" s="30" t="s">
        <v>364</v>
      </c>
      <c r="J344" s="35" t="str">
        <f>_xlfn.XLOOKUP(I344,costcategory[Account Code],costcategory[Cost Category],"ERROR")</f>
        <v>Headcount Costs</v>
      </c>
      <c r="K344" s="89" t="str">
        <f t="shared" si="39"/>
        <v>Business Operation</v>
      </c>
      <c r="L344" s="89" t="str">
        <f>_xlfn.XLOOKUP(K344,Table2[Department],Table2[Group],"ERROR")</f>
        <v>Sales &amp; Marketing</v>
      </c>
    </row>
    <row r="345" spans="1:12" x14ac:dyDescent="0.2">
      <c r="A345" t="s">
        <v>1</v>
      </c>
      <c r="B345" s="38">
        <v>46142</v>
      </c>
      <c r="C345" s="38">
        <v>46148</v>
      </c>
      <c r="D345" t="s">
        <v>1525</v>
      </c>
      <c r="E345" t="s">
        <v>77</v>
      </c>
      <c r="F345" s="37">
        <v>11.25</v>
      </c>
      <c r="G345" s="37" cm="1">
        <f t="array" ref="G345">F345*_xlfn.XLOOKUP(1,
 (FOREX!$A$2:$A$13=EOMONTH(B345,0))*
 (FOREX!$B$2:$B$13=TRIM(E345)),FOREX!$C$2:$C$13,
 100)</f>
        <v>8.829852062433412</v>
      </c>
      <c r="H345" t="s">
        <v>1560</v>
      </c>
      <c r="I345" s="30" t="s">
        <v>364</v>
      </c>
      <c r="J345" s="35" t="str">
        <f>_xlfn.XLOOKUP(I345,costcategory[Account Code],costcategory[Cost Category],"ERROR")</f>
        <v>Headcount Costs</v>
      </c>
      <c r="K345" s="89" t="str">
        <f t="shared" si="39"/>
        <v>Sales &amp; Pre-Sales</v>
      </c>
      <c r="L345" s="89" t="str">
        <f>_xlfn.XLOOKUP(K345,Table2[Department],Table2[Group],"ERROR")</f>
        <v>Sales &amp; Marketing</v>
      </c>
    </row>
    <row r="346" spans="1:12" x14ac:dyDescent="0.2">
      <c r="A346" t="s">
        <v>1</v>
      </c>
      <c r="B346" s="38">
        <v>46142</v>
      </c>
      <c r="C346" s="38">
        <v>46148</v>
      </c>
      <c r="D346" t="s">
        <v>1527</v>
      </c>
      <c r="E346" t="s">
        <v>77</v>
      </c>
      <c r="F346" s="37">
        <v>11.25</v>
      </c>
      <c r="G346" s="37" cm="1">
        <f t="array" ref="G346">F346*_xlfn.XLOOKUP(1,
 (FOREX!$A$2:$A$13=EOMONTH(B346,0))*
 (FOREX!$B$2:$B$13=TRIM(E346)),FOREX!$C$2:$C$13,
 100)</f>
        <v>8.829852062433412</v>
      </c>
      <c r="H346" t="s">
        <v>1560</v>
      </c>
      <c r="I346" s="30" t="s">
        <v>364</v>
      </c>
      <c r="J346" s="35" t="str">
        <f>_xlfn.XLOOKUP(I346,costcategory[Account Code],costcategory[Cost Category],"ERROR")</f>
        <v>Headcount Costs</v>
      </c>
      <c r="K346" s="89" t="str">
        <f t="shared" si="39"/>
        <v>DSC</v>
      </c>
      <c r="L346" s="89" t="str">
        <f>_xlfn.XLOOKUP(K346,Table2[Department],Table2[Group],"ERROR")</f>
        <v>DSC</v>
      </c>
    </row>
    <row r="347" spans="1:12" x14ac:dyDescent="0.2">
      <c r="A347" t="s">
        <v>1</v>
      </c>
      <c r="B347" s="38">
        <v>46142</v>
      </c>
      <c r="C347" s="38">
        <v>46148</v>
      </c>
      <c r="D347" t="s">
        <v>1528</v>
      </c>
      <c r="E347" t="s">
        <v>77</v>
      </c>
      <c r="F347" s="37">
        <v>11.25</v>
      </c>
      <c r="G347" s="37" cm="1">
        <f t="array" ref="G347">F347*_xlfn.XLOOKUP(1,
 (FOREX!$A$2:$A$13=EOMONTH(B347,0))*
 (FOREX!$B$2:$B$13=TRIM(E347)),FOREX!$C$2:$C$13,
 100)</f>
        <v>8.829852062433412</v>
      </c>
      <c r="H347" t="s">
        <v>1560</v>
      </c>
      <c r="I347" s="30" t="s">
        <v>364</v>
      </c>
      <c r="J347" s="35" t="str">
        <f>_xlfn.XLOOKUP(I347,costcategory[Account Code],costcategory[Cost Category],"ERROR")</f>
        <v>Headcount Costs</v>
      </c>
      <c r="K347" s="89" t="str">
        <f t="shared" si="39"/>
        <v>R&amp;D - Team D</v>
      </c>
      <c r="L347" s="89" t="str">
        <f>_xlfn.XLOOKUP(K347,Table2[Department],Table2[Group],"ERROR")</f>
        <v>Research &amp; Development</v>
      </c>
    </row>
    <row r="348" spans="1:12" x14ac:dyDescent="0.2">
      <c r="A348" t="s">
        <v>1</v>
      </c>
      <c r="B348" s="38">
        <v>46142</v>
      </c>
      <c r="C348" s="38">
        <v>46148</v>
      </c>
      <c r="D348" t="s">
        <v>1529</v>
      </c>
      <c r="E348" t="s">
        <v>77</v>
      </c>
      <c r="F348" s="37">
        <v>11.25</v>
      </c>
      <c r="G348" s="37" cm="1">
        <f t="array" ref="G348">F348*_xlfn.XLOOKUP(1,
 (FOREX!$A$2:$A$13=EOMONTH(B348,0))*
 (FOREX!$B$2:$B$13=TRIM(E348)),FOREX!$C$2:$C$13,
 100)</f>
        <v>8.829852062433412</v>
      </c>
      <c r="H348" t="s">
        <v>1560</v>
      </c>
      <c r="I348" s="30" t="s">
        <v>364</v>
      </c>
      <c r="J348" s="35" t="str">
        <f>_xlfn.XLOOKUP(I348,costcategory[Account Code],costcategory[Cost Category],"ERROR")</f>
        <v>Headcount Costs</v>
      </c>
      <c r="K348" s="89" t="str">
        <f t="shared" si="39"/>
        <v>R&amp;D - Team W</v>
      </c>
      <c r="L348" s="89" t="str">
        <f>_xlfn.XLOOKUP(K348,Table2[Department],Table2[Group],"ERROR")</f>
        <v>Research &amp; Development</v>
      </c>
    </row>
    <row r="349" spans="1:12" x14ac:dyDescent="0.2">
      <c r="A349" t="s">
        <v>1</v>
      </c>
      <c r="B349" s="38">
        <v>46142</v>
      </c>
      <c r="C349" s="38">
        <v>46148</v>
      </c>
      <c r="D349" t="s">
        <v>1530</v>
      </c>
      <c r="E349" t="s">
        <v>77</v>
      </c>
      <c r="F349" s="37">
        <v>11.25</v>
      </c>
      <c r="G349" s="37" cm="1">
        <f t="array" ref="G349">F349*_xlfn.XLOOKUP(1,
 (FOREX!$A$2:$A$13=EOMONTH(B349,0))*
 (FOREX!$B$2:$B$13=TRIM(E349)),FOREX!$C$2:$C$13,
 100)</f>
        <v>8.829852062433412</v>
      </c>
      <c r="H349" t="s">
        <v>1560</v>
      </c>
      <c r="I349" s="30" t="s">
        <v>364</v>
      </c>
      <c r="J349" s="35" t="str">
        <f>_xlfn.XLOOKUP(I349,costcategory[Account Code],costcategory[Cost Category],"ERROR")</f>
        <v>Headcount Costs</v>
      </c>
      <c r="K349" s="89" t="str">
        <f t="shared" si="39"/>
        <v>R&amp;D - Team D</v>
      </c>
      <c r="L349" s="89" t="str">
        <f>_xlfn.XLOOKUP(K349,Table2[Department],Table2[Group],"ERROR")</f>
        <v>Research &amp; Development</v>
      </c>
    </row>
    <row r="350" spans="1:12" x14ac:dyDescent="0.2">
      <c r="A350" t="s">
        <v>1</v>
      </c>
      <c r="B350" s="38">
        <v>46142</v>
      </c>
      <c r="C350" s="38">
        <v>46148</v>
      </c>
      <c r="D350" t="s">
        <v>1531</v>
      </c>
      <c r="E350" t="s">
        <v>77</v>
      </c>
      <c r="F350" s="37">
        <v>11.25</v>
      </c>
      <c r="G350" s="37" cm="1">
        <f t="array" ref="G350">F350*_xlfn.XLOOKUP(1,
 (FOREX!$A$2:$A$13=EOMONTH(B350,0))*
 (FOREX!$B$2:$B$13=TRIM(E350)),FOREX!$C$2:$C$13,
 100)</f>
        <v>8.829852062433412</v>
      </c>
      <c r="H350" t="s">
        <v>1560</v>
      </c>
      <c r="I350" s="30" t="s">
        <v>364</v>
      </c>
      <c r="J350" s="35" t="str">
        <f>_xlfn.XLOOKUP(I350,costcategory[Account Code],costcategory[Cost Category],"ERROR")</f>
        <v>Headcount Costs</v>
      </c>
      <c r="K350" s="89" t="str">
        <f t="shared" si="39"/>
        <v>R&amp;D - Team W</v>
      </c>
      <c r="L350" s="89" t="str">
        <f>_xlfn.XLOOKUP(K350,Table2[Department],Table2[Group],"ERROR")</f>
        <v>Research &amp; Development</v>
      </c>
    </row>
    <row r="351" spans="1:12" x14ac:dyDescent="0.2">
      <c r="A351" t="s">
        <v>1</v>
      </c>
      <c r="B351" s="38">
        <v>46142</v>
      </c>
      <c r="C351" s="38">
        <v>46148</v>
      </c>
      <c r="D351" t="s">
        <v>1535</v>
      </c>
      <c r="E351" t="s">
        <v>77</v>
      </c>
      <c r="F351" s="37">
        <v>11.25</v>
      </c>
      <c r="G351" s="37" cm="1">
        <f t="array" ref="G351">F351*_xlfn.XLOOKUP(1,
 (FOREX!$A$2:$A$13=EOMONTH(B351,0))*
 (FOREX!$B$2:$B$13=TRIM(E351)),FOREX!$C$2:$C$13,
 100)</f>
        <v>8.829852062433412</v>
      </c>
      <c r="H351" t="s">
        <v>1560</v>
      </c>
      <c r="I351" s="30" t="s">
        <v>364</v>
      </c>
      <c r="J351" s="35" t="str">
        <f>_xlfn.XLOOKUP(I351,costcategory[Account Code],costcategory[Cost Category],"ERROR")</f>
        <v>Headcount Costs</v>
      </c>
      <c r="K351" s="89" t="str">
        <f t="shared" si="39"/>
        <v>HR</v>
      </c>
      <c r="L351" s="89" t="str">
        <f>_xlfn.XLOOKUP(K351,Table2[Department],Table2[Group],"ERROR")</f>
        <v>General &amp; Administrative</v>
      </c>
    </row>
    <row r="352" spans="1:12" x14ac:dyDescent="0.2">
      <c r="A352" t="s">
        <v>1</v>
      </c>
      <c r="B352" s="38">
        <v>46142</v>
      </c>
      <c r="C352" s="38">
        <v>46148</v>
      </c>
      <c r="D352" t="s">
        <v>1537</v>
      </c>
      <c r="E352" t="s">
        <v>77</v>
      </c>
      <c r="F352" s="37">
        <v>11.25</v>
      </c>
      <c r="G352" s="37" cm="1">
        <f t="array" ref="G352">F352*_xlfn.XLOOKUP(1,
 (FOREX!$A$2:$A$13=EOMONTH(B352,0))*
 (FOREX!$B$2:$B$13=TRIM(E352)),FOREX!$C$2:$C$13,
 100)</f>
        <v>8.829852062433412</v>
      </c>
      <c r="H352" t="s">
        <v>1560</v>
      </c>
      <c r="I352" s="30" t="s">
        <v>364</v>
      </c>
      <c r="J352" s="35" t="str">
        <f>_xlfn.XLOOKUP(I352,costcategory[Account Code],costcategory[Cost Category],"ERROR")</f>
        <v>Headcount Costs</v>
      </c>
      <c r="K352" s="89" t="str">
        <f t="shared" si="39"/>
        <v>DSC</v>
      </c>
      <c r="L352" s="89" t="str">
        <f>_xlfn.XLOOKUP(K352,Table2[Department],Table2[Group],"ERROR")</f>
        <v>DSC</v>
      </c>
    </row>
    <row r="353" spans="1:12" x14ac:dyDescent="0.2">
      <c r="A353" t="s">
        <v>1</v>
      </c>
      <c r="B353" s="38">
        <v>46142</v>
      </c>
      <c r="C353" s="38">
        <v>46148</v>
      </c>
      <c r="D353" t="s">
        <v>1538</v>
      </c>
      <c r="E353" t="s">
        <v>77</v>
      </c>
      <c r="F353" s="37">
        <v>11.25</v>
      </c>
      <c r="G353" s="37" cm="1">
        <f t="array" ref="G353">F353*_xlfn.XLOOKUP(1,
 (FOREX!$A$2:$A$13=EOMONTH(B353,0))*
 (FOREX!$B$2:$B$13=TRIM(E353)),FOREX!$C$2:$C$13,
 100)</f>
        <v>8.829852062433412</v>
      </c>
      <c r="H353" t="s">
        <v>1560</v>
      </c>
      <c r="I353" s="30" t="s">
        <v>364</v>
      </c>
      <c r="J353" s="35" t="str">
        <f>_xlfn.XLOOKUP(I353,costcategory[Account Code],costcategory[Cost Category],"ERROR")</f>
        <v>Headcount Costs</v>
      </c>
      <c r="K353" s="89" t="str">
        <f t="shared" si="39"/>
        <v>HR</v>
      </c>
      <c r="L353" s="89" t="str">
        <f>_xlfn.XLOOKUP(K353,Table2[Department],Table2[Group],"ERROR")</f>
        <v>General &amp; Administrative</v>
      </c>
    </row>
    <row r="354" spans="1:12" x14ac:dyDescent="0.2">
      <c r="A354" t="s">
        <v>1</v>
      </c>
      <c r="B354" s="38">
        <v>46142</v>
      </c>
      <c r="C354" s="38">
        <v>46148</v>
      </c>
      <c r="D354" t="s">
        <v>1539</v>
      </c>
      <c r="E354" t="s">
        <v>77</v>
      </c>
      <c r="F354" s="37">
        <v>11.25</v>
      </c>
      <c r="G354" s="37" cm="1">
        <f t="array" ref="G354">F354*_xlfn.XLOOKUP(1,
 (FOREX!$A$2:$A$13=EOMONTH(B354,0))*
 (FOREX!$B$2:$B$13=TRIM(E354)),FOREX!$C$2:$C$13,
 100)</f>
        <v>8.829852062433412</v>
      </c>
      <c r="H354" t="s">
        <v>1560</v>
      </c>
      <c r="I354" s="30" t="s">
        <v>364</v>
      </c>
      <c r="J354" s="35" t="str">
        <f>_xlfn.XLOOKUP(I354,costcategory[Account Code],costcategory[Cost Category],"ERROR")</f>
        <v>Headcount Costs</v>
      </c>
      <c r="K354" s="89" t="str">
        <f t="shared" si="39"/>
        <v>DSC</v>
      </c>
      <c r="L354" s="89" t="str">
        <f>_xlfn.XLOOKUP(K354,Table2[Department],Table2[Group],"ERROR")</f>
        <v>DSC</v>
      </c>
    </row>
    <row r="355" spans="1:12" x14ac:dyDescent="0.2">
      <c r="A355" t="s">
        <v>1</v>
      </c>
      <c r="B355" s="38">
        <v>46142</v>
      </c>
      <c r="C355" s="38">
        <v>46148</v>
      </c>
      <c r="D355" t="s">
        <v>1543</v>
      </c>
      <c r="E355" t="s">
        <v>77</v>
      </c>
      <c r="F355" s="37">
        <v>7.76</v>
      </c>
      <c r="G355" s="37" cm="1">
        <f t="array" ref="G355">F355*_xlfn.XLOOKUP(1,
 (FOREX!$A$2:$A$13=EOMONTH(B355,0))*
 (FOREX!$B$2:$B$13=TRIM(E355)),FOREX!$C$2:$C$13,
 100)</f>
        <v>6.0906357337318475</v>
      </c>
      <c r="H355" t="s">
        <v>1560</v>
      </c>
      <c r="I355" s="30" t="s">
        <v>364</v>
      </c>
      <c r="J355" s="35" t="str">
        <f>_xlfn.XLOOKUP(I355,costcategory[Account Code],costcategory[Cost Category],"ERROR")</f>
        <v>Headcount Costs</v>
      </c>
      <c r="K355" s="89" t="str">
        <f t="shared" si="39"/>
        <v>Sales &amp; Pre-Sales</v>
      </c>
      <c r="L355" s="89" t="str">
        <f>_xlfn.XLOOKUP(K355,Table2[Department],Table2[Group],"ERROR")</f>
        <v>Sales &amp; Marketing</v>
      </c>
    </row>
    <row r="356" spans="1:12" x14ac:dyDescent="0.2">
      <c r="A356" t="s">
        <v>1</v>
      </c>
      <c r="B356" s="38">
        <v>46142</v>
      </c>
      <c r="C356" s="38">
        <v>46148</v>
      </c>
      <c r="D356" t="s">
        <v>1541</v>
      </c>
      <c r="E356" t="s">
        <v>77</v>
      </c>
      <c r="F356" s="37">
        <v>11.25</v>
      </c>
      <c r="G356" s="37" cm="1">
        <f t="array" ref="G356">F356*_xlfn.XLOOKUP(1,
 (FOREX!$A$2:$A$13=EOMONTH(B356,0))*
 (FOREX!$B$2:$B$13=TRIM(E356)),FOREX!$C$2:$C$13,
 100)</f>
        <v>8.829852062433412</v>
      </c>
      <c r="H356" t="s">
        <v>1560</v>
      </c>
      <c r="I356" s="30" t="s">
        <v>364</v>
      </c>
      <c r="J356" s="35" t="str">
        <f>_xlfn.XLOOKUP(I356,costcategory[Account Code],costcategory[Cost Category],"ERROR")</f>
        <v>Headcount Costs</v>
      </c>
      <c r="K356" s="89" t="str">
        <f t="shared" si="39"/>
        <v>DSC</v>
      </c>
      <c r="L356" s="89" t="str">
        <f>_xlfn.XLOOKUP(K356,Table2[Department],Table2[Group],"ERROR")</f>
        <v>DSC</v>
      </c>
    </row>
    <row r="357" spans="1:12" x14ac:dyDescent="0.2">
      <c r="A357" t="s">
        <v>1</v>
      </c>
      <c r="B357" s="38">
        <v>46142</v>
      </c>
      <c r="C357" s="38">
        <v>46148</v>
      </c>
      <c r="D357" t="s">
        <v>1542</v>
      </c>
      <c r="E357" t="s">
        <v>77</v>
      </c>
      <c r="F357" s="37">
        <v>11.25</v>
      </c>
      <c r="G357" s="37" cm="1">
        <f t="array" ref="G357">F357*_xlfn.XLOOKUP(1,
 (FOREX!$A$2:$A$13=EOMONTH(B357,0))*
 (FOREX!$B$2:$B$13=TRIM(E357)),FOREX!$C$2:$C$13,
 100)</f>
        <v>8.829852062433412</v>
      </c>
      <c r="H357" t="s">
        <v>1560</v>
      </c>
      <c r="I357" s="30" t="s">
        <v>364</v>
      </c>
      <c r="J357" s="35" t="str">
        <f>_xlfn.XLOOKUP(I357,costcategory[Account Code],costcategory[Cost Category],"ERROR")</f>
        <v>Headcount Costs</v>
      </c>
      <c r="K357" s="89" t="str">
        <f t="shared" si="39"/>
        <v>IT</v>
      </c>
      <c r="L357" s="89" t="str">
        <f>_xlfn.XLOOKUP(K357,Table2[Department],Table2[Group],"ERROR")</f>
        <v>General &amp; Administrative</v>
      </c>
    </row>
    <row r="358" spans="1:12" x14ac:dyDescent="0.2">
      <c r="A358" t="s">
        <v>1</v>
      </c>
      <c r="B358" s="38">
        <v>46142</v>
      </c>
      <c r="C358" s="38">
        <v>46148</v>
      </c>
      <c r="D358" t="s">
        <v>1544</v>
      </c>
      <c r="E358" t="s">
        <v>77</v>
      </c>
      <c r="F358" s="37">
        <v>6.36</v>
      </c>
      <c r="G358" s="37" cm="1">
        <f t="array" ref="G358">F358*_xlfn.XLOOKUP(1,
 (FOREX!$A$2:$A$13=EOMONTH(B358,0))*
 (FOREX!$B$2:$B$13=TRIM(E358)),FOREX!$C$2:$C$13,
 100)</f>
        <v>4.9918096992956897</v>
      </c>
      <c r="H358" t="s">
        <v>1560</v>
      </c>
      <c r="I358" s="30" t="s">
        <v>364</v>
      </c>
      <c r="J358" s="35" t="str">
        <f>_xlfn.XLOOKUP(I358,costcategory[Account Code],costcategory[Cost Category],"ERROR")</f>
        <v>Headcount Costs</v>
      </c>
      <c r="K358" s="89" t="str">
        <f t="shared" si="39"/>
        <v>Finance</v>
      </c>
      <c r="L358" s="89" t="str">
        <f>_xlfn.XLOOKUP(K358,Table2[Department],Table2[Group],"ERROR")</f>
        <v>General &amp; Administrative</v>
      </c>
    </row>
    <row r="359" spans="1:12" x14ac:dyDescent="0.2">
      <c r="A359" t="s">
        <v>1</v>
      </c>
      <c r="B359" s="38">
        <v>46142</v>
      </c>
      <c r="C359" s="38">
        <v>46148</v>
      </c>
      <c r="D359" t="s">
        <v>1545</v>
      </c>
      <c r="E359" t="s">
        <v>77</v>
      </c>
      <c r="F359" s="37">
        <v>6.44</v>
      </c>
      <c r="G359" s="37" cm="1">
        <f t="array" ref="G359">F359*_xlfn.XLOOKUP(1,
 (FOREX!$A$2:$A$13=EOMONTH(B359,0))*
 (FOREX!$B$2:$B$13=TRIM(E359)),FOREX!$C$2:$C$13,
 100)</f>
        <v>5.0545997584063276</v>
      </c>
      <c r="H359" t="s">
        <v>1560</v>
      </c>
      <c r="I359" s="30" t="s">
        <v>364</v>
      </c>
      <c r="J359" s="35" t="str">
        <f>_xlfn.XLOOKUP(I359,costcategory[Account Code],costcategory[Cost Category],"ERROR")</f>
        <v>Headcount Costs</v>
      </c>
      <c r="K359" s="89" t="str">
        <f t="shared" si="39"/>
        <v>Sales &amp; Pre-Sales</v>
      </c>
      <c r="L359" s="89" t="str">
        <f>_xlfn.XLOOKUP(K359,Table2[Department],Table2[Group],"ERROR")</f>
        <v>Sales &amp; Marketing</v>
      </c>
    </row>
    <row r="360" spans="1:12" x14ac:dyDescent="0.2">
      <c r="A360" t="s">
        <v>1</v>
      </c>
      <c r="B360" s="38">
        <v>46142</v>
      </c>
      <c r="C360" s="38">
        <v>46148</v>
      </c>
      <c r="D360" t="s">
        <v>1521</v>
      </c>
      <c r="E360" t="s">
        <v>77</v>
      </c>
      <c r="F360" s="37">
        <v>0</v>
      </c>
      <c r="G360" s="37" cm="1">
        <f t="array" ref="G360">F360*_xlfn.XLOOKUP(1,
 (FOREX!$A$2:$A$13=EOMONTH(B360,0))*
 (FOREX!$B$2:$B$13=TRIM(E360)),FOREX!$C$2:$C$13,
 100)</f>
        <v>0</v>
      </c>
      <c r="H360" t="s">
        <v>1561</v>
      </c>
      <c r="I360" s="30" t="s">
        <v>364</v>
      </c>
      <c r="J360" s="35" t="str">
        <f>_xlfn.XLOOKUP(I360,costcategory[Account Code],costcategory[Cost Category],"ERROR")</f>
        <v>Headcount Costs</v>
      </c>
      <c r="K360" s="89" t="str">
        <f t="shared" si="39"/>
        <v>Management</v>
      </c>
      <c r="L360" s="89" t="str">
        <f>_xlfn.XLOOKUP(K360,Table2[Department],Table2[Group],"ERROR")</f>
        <v>General &amp; Administrative</v>
      </c>
    </row>
    <row r="361" spans="1:12" x14ac:dyDescent="0.2">
      <c r="A361" t="s">
        <v>1</v>
      </c>
      <c r="B361" s="38">
        <v>46142</v>
      </c>
      <c r="C361" s="38">
        <v>46148</v>
      </c>
      <c r="D361" t="s">
        <v>1522</v>
      </c>
      <c r="E361" t="s">
        <v>77</v>
      </c>
      <c r="F361" s="37">
        <v>1360</v>
      </c>
      <c r="G361" s="37" cm="1">
        <f t="array" ref="G361">F361*_xlfn.XLOOKUP(1,
 (FOREX!$A$2:$A$13=EOMONTH(B361,0))*
 (FOREX!$B$2:$B$13=TRIM(E361)),FOREX!$C$2:$C$13,
 100)</f>
        <v>1067.4310048808393</v>
      </c>
      <c r="H361" t="s">
        <v>1561</v>
      </c>
      <c r="I361" s="30" t="s">
        <v>364</v>
      </c>
      <c r="J361" s="35" t="str">
        <f>_xlfn.XLOOKUP(I361,costcategory[Account Code],costcategory[Cost Category],"ERROR")</f>
        <v>Headcount Costs</v>
      </c>
      <c r="K361" s="89" t="str">
        <f t="shared" si="39"/>
        <v>Marketing</v>
      </c>
      <c r="L361" s="89" t="str">
        <f>_xlfn.XLOOKUP(K361,Table2[Department],Table2[Group],"ERROR")</f>
        <v>Sales &amp; Marketing</v>
      </c>
    </row>
    <row r="362" spans="1:12" x14ac:dyDescent="0.2">
      <c r="A362" t="s">
        <v>1</v>
      </c>
      <c r="B362" s="38">
        <v>46142</v>
      </c>
      <c r="C362" s="38">
        <v>46148</v>
      </c>
      <c r="D362" t="s">
        <v>1523</v>
      </c>
      <c r="E362" t="s">
        <v>77</v>
      </c>
      <c r="F362" s="37">
        <v>0</v>
      </c>
      <c r="G362" s="37" cm="1">
        <f t="array" ref="G362">F362*_xlfn.XLOOKUP(1,
 (FOREX!$A$2:$A$13=EOMONTH(B362,0))*
 (FOREX!$B$2:$B$13=TRIM(E362)),FOREX!$C$2:$C$13,
 100)</f>
        <v>0</v>
      </c>
      <c r="H362" t="s">
        <v>1561</v>
      </c>
      <c r="I362" s="30" t="s">
        <v>364</v>
      </c>
      <c r="J362" s="35" t="str">
        <f>_xlfn.XLOOKUP(I362,costcategory[Account Code],costcategory[Cost Category],"ERROR")</f>
        <v>Headcount Costs</v>
      </c>
      <c r="K362" s="89" t="str">
        <f t="shared" si="39"/>
        <v>Management</v>
      </c>
      <c r="L362" s="89" t="str">
        <f>_xlfn.XLOOKUP(K362,Table2[Department],Table2[Group],"ERROR")</f>
        <v>General &amp; Administrative</v>
      </c>
    </row>
    <row r="363" spans="1:12" x14ac:dyDescent="0.2">
      <c r="A363" t="s">
        <v>1</v>
      </c>
      <c r="B363" s="38">
        <v>46142</v>
      </c>
      <c r="C363" s="38">
        <v>46148</v>
      </c>
      <c r="D363" t="s">
        <v>1524</v>
      </c>
      <c r="E363" t="s">
        <v>77</v>
      </c>
      <c r="F363" s="37">
        <v>1087</v>
      </c>
      <c r="G363" s="37" cm="1">
        <f t="array" ref="G363">F363*_xlfn.XLOOKUP(1,
 (FOREX!$A$2:$A$13=EOMONTH(B363,0))*
 (FOREX!$B$2:$B$13=TRIM(E363)),FOREX!$C$2:$C$13,
 100)</f>
        <v>853.15992816578841</v>
      </c>
      <c r="H363" t="s">
        <v>1561</v>
      </c>
      <c r="I363" s="30" t="s">
        <v>364</v>
      </c>
      <c r="J363" s="35" t="str">
        <f>_xlfn.XLOOKUP(I363,costcategory[Account Code],costcategory[Cost Category],"ERROR")</f>
        <v>Headcount Costs</v>
      </c>
      <c r="K363" s="89" t="str">
        <f t="shared" si="39"/>
        <v>Business Operation</v>
      </c>
      <c r="L363" s="89" t="str">
        <f>_xlfn.XLOOKUP(K363,Table2[Department],Table2[Group],"ERROR")</f>
        <v>Sales &amp; Marketing</v>
      </c>
    </row>
    <row r="364" spans="1:12" x14ac:dyDescent="0.2">
      <c r="A364" t="s">
        <v>1</v>
      </c>
      <c r="B364" s="38">
        <v>46142</v>
      </c>
      <c r="C364" s="38">
        <v>46148</v>
      </c>
      <c r="D364" t="s">
        <v>1525</v>
      </c>
      <c r="E364" t="s">
        <v>77</v>
      </c>
      <c r="F364" s="37">
        <v>1280</v>
      </c>
      <c r="G364" s="37" cm="1">
        <f t="array" ref="G364">F364*_xlfn.XLOOKUP(1,
 (FOREX!$A$2:$A$13=EOMONTH(B364,0))*
 (FOREX!$B$2:$B$13=TRIM(E364)),FOREX!$C$2:$C$13,
 100)</f>
        <v>1004.6409457702016</v>
      </c>
      <c r="H364" t="s">
        <v>1561</v>
      </c>
      <c r="I364" s="30" t="s">
        <v>364</v>
      </c>
      <c r="J364" s="35" t="str">
        <f>_xlfn.XLOOKUP(I364,costcategory[Account Code],costcategory[Cost Category],"ERROR")</f>
        <v>Headcount Costs</v>
      </c>
      <c r="K364" s="89" t="str">
        <f t="shared" si="39"/>
        <v>Sales &amp; Pre-Sales</v>
      </c>
      <c r="L364" s="89" t="str">
        <f>_xlfn.XLOOKUP(K364,Table2[Department],Table2[Group],"ERROR")</f>
        <v>Sales &amp; Marketing</v>
      </c>
    </row>
    <row r="365" spans="1:12" x14ac:dyDescent="0.2">
      <c r="A365" t="s">
        <v>1</v>
      </c>
      <c r="B365" s="38">
        <v>46142</v>
      </c>
      <c r="C365" s="38">
        <v>46148</v>
      </c>
      <c r="D365" t="s">
        <v>1527</v>
      </c>
      <c r="E365" t="s">
        <v>77</v>
      </c>
      <c r="F365" s="37">
        <v>1360</v>
      </c>
      <c r="G365" s="37" cm="1">
        <f t="array" ref="G365">F365*_xlfn.XLOOKUP(1,
 (FOREX!$A$2:$A$13=EOMONTH(B365,0))*
 (FOREX!$B$2:$B$13=TRIM(E365)),FOREX!$C$2:$C$13,
 100)</f>
        <v>1067.4310048808393</v>
      </c>
      <c r="H365" t="s">
        <v>1561</v>
      </c>
      <c r="I365" s="30" t="s">
        <v>364</v>
      </c>
      <c r="J365" s="35" t="str">
        <f>_xlfn.XLOOKUP(I365,costcategory[Account Code],costcategory[Cost Category],"ERROR")</f>
        <v>Headcount Costs</v>
      </c>
      <c r="K365" s="89" t="str">
        <f t="shared" si="39"/>
        <v>DSC</v>
      </c>
      <c r="L365" s="89" t="str">
        <f>_xlfn.XLOOKUP(K365,Table2[Department],Table2[Group],"ERROR")</f>
        <v>DSC</v>
      </c>
    </row>
    <row r="366" spans="1:12" x14ac:dyDescent="0.2">
      <c r="A366" t="s">
        <v>1</v>
      </c>
      <c r="B366" s="38">
        <v>46142</v>
      </c>
      <c r="C366" s="38">
        <v>46148</v>
      </c>
      <c r="D366" t="s">
        <v>1528</v>
      </c>
      <c r="E366" t="s">
        <v>77</v>
      </c>
      <c r="F366" s="37">
        <v>0</v>
      </c>
      <c r="G366" s="37" cm="1">
        <f t="array" ref="G366">F366*_xlfn.XLOOKUP(1,
 (FOREX!$A$2:$A$13=EOMONTH(B366,0))*
 (FOREX!$B$2:$B$13=TRIM(E366)),FOREX!$C$2:$C$13,
 100)</f>
        <v>0</v>
      </c>
      <c r="H366" t="s">
        <v>1561</v>
      </c>
      <c r="I366" s="30" t="s">
        <v>364</v>
      </c>
      <c r="J366" s="35" t="str">
        <f>_xlfn.XLOOKUP(I366,costcategory[Account Code],costcategory[Cost Category],"ERROR")</f>
        <v>Headcount Costs</v>
      </c>
      <c r="K366" s="89" t="str">
        <f t="shared" si="39"/>
        <v>R&amp;D - Team D</v>
      </c>
      <c r="L366" s="89" t="str">
        <f>_xlfn.XLOOKUP(K366,Table2[Department],Table2[Group],"ERROR")</f>
        <v>Research &amp; Development</v>
      </c>
    </row>
    <row r="367" spans="1:12" x14ac:dyDescent="0.2">
      <c r="A367" t="s">
        <v>1</v>
      </c>
      <c r="B367" s="38">
        <v>46142</v>
      </c>
      <c r="C367" s="38">
        <v>46148</v>
      </c>
      <c r="D367" t="s">
        <v>1529</v>
      </c>
      <c r="E367" t="s">
        <v>77</v>
      </c>
      <c r="F367" s="37">
        <v>0</v>
      </c>
      <c r="G367" s="37" cm="1">
        <f t="array" ref="G367">F367*_xlfn.XLOOKUP(1,
 (FOREX!$A$2:$A$13=EOMONTH(B367,0))*
 (FOREX!$B$2:$B$13=TRIM(E367)),FOREX!$C$2:$C$13,
 100)</f>
        <v>0</v>
      </c>
      <c r="H367" t="s">
        <v>1561</v>
      </c>
      <c r="I367" s="30" t="s">
        <v>364</v>
      </c>
      <c r="J367" s="35" t="str">
        <f>_xlfn.XLOOKUP(I367,costcategory[Account Code],costcategory[Cost Category],"ERROR")</f>
        <v>Headcount Costs</v>
      </c>
      <c r="K367" s="89" t="str">
        <f t="shared" si="39"/>
        <v>R&amp;D - Team W</v>
      </c>
      <c r="L367" s="89" t="str">
        <f>_xlfn.XLOOKUP(K367,Table2[Department],Table2[Group],"ERROR")</f>
        <v>Research &amp; Development</v>
      </c>
    </row>
    <row r="368" spans="1:12" x14ac:dyDescent="0.2">
      <c r="A368" t="s">
        <v>1</v>
      </c>
      <c r="B368" s="38">
        <v>46142</v>
      </c>
      <c r="C368" s="38">
        <v>46148</v>
      </c>
      <c r="D368" t="s">
        <v>1530</v>
      </c>
      <c r="E368" t="s">
        <v>77</v>
      </c>
      <c r="F368" s="37">
        <v>1360</v>
      </c>
      <c r="G368" s="37" cm="1">
        <f t="array" ref="G368">F368*_xlfn.XLOOKUP(1,
 (FOREX!$A$2:$A$13=EOMONTH(B368,0))*
 (FOREX!$B$2:$B$13=TRIM(E368)),FOREX!$C$2:$C$13,
 100)</f>
        <v>1067.4310048808393</v>
      </c>
      <c r="H368" t="s">
        <v>1561</v>
      </c>
      <c r="I368" s="30" t="s">
        <v>364</v>
      </c>
      <c r="J368" s="35" t="str">
        <f>_xlfn.XLOOKUP(I368,costcategory[Account Code],costcategory[Cost Category],"ERROR")</f>
        <v>Headcount Costs</v>
      </c>
      <c r="K368" s="89" t="str">
        <f t="shared" si="39"/>
        <v>R&amp;D - Team D</v>
      </c>
      <c r="L368" s="89" t="str">
        <f>_xlfn.XLOOKUP(K368,Table2[Department],Table2[Group],"ERROR")</f>
        <v>Research &amp; Development</v>
      </c>
    </row>
    <row r="369" spans="1:12" x14ac:dyDescent="0.2">
      <c r="A369" t="s">
        <v>1</v>
      </c>
      <c r="B369" s="38">
        <v>46142</v>
      </c>
      <c r="C369" s="38">
        <v>46148</v>
      </c>
      <c r="D369" t="s">
        <v>1531</v>
      </c>
      <c r="E369" t="s">
        <v>77</v>
      </c>
      <c r="F369" s="37">
        <v>0</v>
      </c>
      <c r="G369" s="37" cm="1">
        <f t="array" ref="G369">F369*_xlfn.XLOOKUP(1,
 (FOREX!$A$2:$A$13=EOMONTH(B369,0))*
 (FOREX!$B$2:$B$13=TRIM(E369)),FOREX!$C$2:$C$13,
 100)</f>
        <v>0</v>
      </c>
      <c r="H369" t="s">
        <v>1561</v>
      </c>
      <c r="I369" s="30" t="s">
        <v>364</v>
      </c>
      <c r="J369" s="35" t="str">
        <f>_xlfn.XLOOKUP(I369,costcategory[Account Code],costcategory[Cost Category],"ERROR")</f>
        <v>Headcount Costs</v>
      </c>
      <c r="K369" s="89" t="str">
        <f t="shared" si="39"/>
        <v>R&amp;D - Team W</v>
      </c>
      <c r="L369" s="89" t="str">
        <f>_xlfn.XLOOKUP(K369,Table2[Department],Table2[Group],"ERROR")</f>
        <v>Research &amp; Development</v>
      </c>
    </row>
    <row r="370" spans="1:12" x14ac:dyDescent="0.2">
      <c r="A370" t="s">
        <v>1</v>
      </c>
      <c r="B370" s="38">
        <v>46142</v>
      </c>
      <c r="C370" s="38">
        <v>46148</v>
      </c>
      <c r="D370" t="s">
        <v>1535</v>
      </c>
      <c r="E370" t="s">
        <v>77</v>
      </c>
      <c r="F370" s="37">
        <v>2210</v>
      </c>
      <c r="G370" s="37" cm="1">
        <f t="array" ref="G370">F370*_xlfn.XLOOKUP(1,
 (FOREX!$A$2:$A$13=EOMONTH(B370,0))*
 (FOREX!$B$2:$B$13=TRIM(E370)),FOREX!$C$2:$C$13,
 100)</f>
        <v>1734.5753829313637</v>
      </c>
      <c r="H370" t="s">
        <v>1561</v>
      </c>
      <c r="I370" s="30" t="s">
        <v>364</v>
      </c>
      <c r="J370" s="35" t="str">
        <f>_xlfn.XLOOKUP(I370,costcategory[Account Code],costcategory[Cost Category],"ERROR")</f>
        <v>Headcount Costs</v>
      </c>
      <c r="K370" s="89" t="str">
        <f t="shared" si="39"/>
        <v>HR</v>
      </c>
      <c r="L370" s="89" t="str">
        <f>_xlfn.XLOOKUP(K370,Table2[Department],Table2[Group],"ERROR")</f>
        <v>General &amp; Administrative</v>
      </c>
    </row>
    <row r="371" spans="1:12" x14ac:dyDescent="0.2">
      <c r="A371" t="s">
        <v>1</v>
      </c>
      <c r="B371" s="38">
        <v>46142</v>
      </c>
      <c r="C371" s="38">
        <v>46148</v>
      </c>
      <c r="D371" t="s">
        <v>1537</v>
      </c>
      <c r="E371" t="s">
        <v>77</v>
      </c>
      <c r="F371" s="37">
        <v>0</v>
      </c>
      <c r="G371" s="37" cm="1">
        <f t="array" ref="G371">F371*_xlfn.XLOOKUP(1,
 (FOREX!$A$2:$A$13=EOMONTH(B371,0))*
 (FOREX!$B$2:$B$13=TRIM(E371)),FOREX!$C$2:$C$13,
 100)</f>
        <v>0</v>
      </c>
      <c r="H371" t="s">
        <v>1561</v>
      </c>
      <c r="I371" s="30" t="s">
        <v>364</v>
      </c>
      <c r="J371" s="35" t="str">
        <f>_xlfn.XLOOKUP(I371,costcategory[Account Code],costcategory[Cost Category],"ERROR")</f>
        <v>Headcount Costs</v>
      </c>
      <c r="K371" s="89" t="str">
        <f t="shared" si="39"/>
        <v>DSC</v>
      </c>
      <c r="L371" s="89" t="str">
        <f>_xlfn.XLOOKUP(K371,Table2[Department],Table2[Group],"ERROR")</f>
        <v>DSC</v>
      </c>
    </row>
    <row r="372" spans="1:12" x14ac:dyDescent="0.2">
      <c r="A372" t="s">
        <v>1</v>
      </c>
      <c r="B372" s="38">
        <v>46142</v>
      </c>
      <c r="C372" s="38">
        <v>46148</v>
      </c>
      <c r="D372" t="s">
        <v>1538</v>
      </c>
      <c r="E372" t="s">
        <v>77</v>
      </c>
      <c r="F372" s="37">
        <v>1250</v>
      </c>
      <c r="G372" s="37" cm="1">
        <f t="array" ref="G372">F372*_xlfn.XLOOKUP(1,
 (FOREX!$A$2:$A$13=EOMONTH(B372,0))*
 (FOREX!$B$2:$B$13=TRIM(E372)),FOREX!$C$2:$C$13,
 100)</f>
        <v>981.09467360371252</v>
      </c>
      <c r="H372" t="s">
        <v>1561</v>
      </c>
      <c r="I372" s="30" t="s">
        <v>364</v>
      </c>
      <c r="J372" s="35" t="str">
        <f>_xlfn.XLOOKUP(I372,costcategory[Account Code],costcategory[Cost Category],"ERROR")</f>
        <v>Headcount Costs</v>
      </c>
      <c r="K372" s="89" t="str">
        <f t="shared" si="39"/>
        <v>HR</v>
      </c>
      <c r="L372" s="89" t="str">
        <f>_xlfn.XLOOKUP(K372,Table2[Department],Table2[Group],"ERROR")</f>
        <v>General &amp; Administrative</v>
      </c>
    </row>
    <row r="373" spans="1:12" x14ac:dyDescent="0.2">
      <c r="A373" t="s">
        <v>1</v>
      </c>
      <c r="B373" s="38">
        <v>46142</v>
      </c>
      <c r="C373" s="38">
        <v>46148</v>
      </c>
      <c r="D373" t="s">
        <v>1539</v>
      </c>
      <c r="E373" t="s">
        <v>77</v>
      </c>
      <c r="F373" s="37">
        <v>1105</v>
      </c>
      <c r="G373" s="37" cm="1">
        <f t="array" ref="G373">F373*_xlfn.XLOOKUP(1,
 (FOREX!$A$2:$A$13=EOMONTH(B373,0))*
 (FOREX!$B$2:$B$13=TRIM(E373)),FOREX!$C$2:$C$13,
 100)</f>
        <v>867.28769146568186</v>
      </c>
      <c r="H373" t="s">
        <v>1561</v>
      </c>
      <c r="I373" s="30" t="s">
        <v>364</v>
      </c>
      <c r="J373" s="35" t="str">
        <f>_xlfn.XLOOKUP(I373,costcategory[Account Code],costcategory[Cost Category],"ERROR")</f>
        <v>Headcount Costs</v>
      </c>
      <c r="K373" s="89" t="str">
        <f t="shared" si="39"/>
        <v>DSC</v>
      </c>
      <c r="L373" s="89" t="str">
        <f>_xlfn.XLOOKUP(K373,Table2[Department],Table2[Group],"ERROR")</f>
        <v>DSC</v>
      </c>
    </row>
    <row r="374" spans="1:12" x14ac:dyDescent="0.2">
      <c r="A374" t="s">
        <v>1</v>
      </c>
      <c r="B374" s="38">
        <v>46142</v>
      </c>
      <c r="C374" s="38">
        <v>46148</v>
      </c>
      <c r="D374" t="s">
        <v>1543</v>
      </c>
      <c r="E374" t="s">
        <v>77</v>
      </c>
      <c r="F374" s="37">
        <v>528</v>
      </c>
      <c r="G374" s="37" cm="1">
        <f t="array" ref="G374">F374*_xlfn.XLOOKUP(1,
 (FOREX!$A$2:$A$13=EOMONTH(B374,0))*
 (FOREX!$B$2:$B$13=TRIM(E374)),FOREX!$C$2:$C$13,
 100)</f>
        <v>414.41439013020818</v>
      </c>
      <c r="H374" t="s">
        <v>1561</v>
      </c>
      <c r="I374" s="30" t="s">
        <v>364</v>
      </c>
      <c r="J374" s="35" t="str">
        <f>_xlfn.XLOOKUP(I374,costcategory[Account Code],costcategory[Cost Category],"ERROR")</f>
        <v>Headcount Costs</v>
      </c>
      <c r="K374" s="89" t="str">
        <f t="shared" si="39"/>
        <v>Sales &amp; Pre-Sales</v>
      </c>
      <c r="L374" s="89" t="str">
        <f>_xlfn.XLOOKUP(K374,Table2[Department],Table2[Group],"ERROR")</f>
        <v>Sales &amp; Marketing</v>
      </c>
    </row>
    <row r="375" spans="1:12" x14ac:dyDescent="0.2">
      <c r="A375" t="s">
        <v>1</v>
      </c>
      <c r="B375" s="38">
        <v>46142</v>
      </c>
      <c r="C375" s="38">
        <v>46148</v>
      </c>
      <c r="D375" t="s">
        <v>1541</v>
      </c>
      <c r="E375" t="s">
        <v>77</v>
      </c>
      <c r="F375" s="37">
        <v>927</v>
      </c>
      <c r="G375" s="37" cm="1">
        <f t="array" ref="G375">F375*_xlfn.XLOOKUP(1,
 (FOREX!$A$2:$A$13=EOMONTH(B375,0))*
 (FOREX!$B$2:$B$13=TRIM(E375)),FOREX!$C$2:$C$13,
 100)</f>
        <v>727.57980994451316</v>
      </c>
      <c r="H375" t="s">
        <v>1561</v>
      </c>
      <c r="I375" s="30" t="s">
        <v>364</v>
      </c>
      <c r="J375" s="35" t="str">
        <f>_xlfn.XLOOKUP(I375,costcategory[Account Code],costcategory[Cost Category],"ERROR")</f>
        <v>Headcount Costs</v>
      </c>
      <c r="K375" s="89" t="str">
        <f t="shared" si="39"/>
        <v>DSC</v>
      </c>
      <c r="L375" s="89" t="str">
        <f>_xlfn.XLOOKUP(K375,Table2[Department],Table2[Group],"ERROR")</f>
        <v>DSC</v>
      </c>
    </row>
    <row r="376" spans="1:12" x14ac:dyDescent="0.2">
      <c r="A376" t="s">
        <v>1</v>
      </c>
      <c r="B376" s="38">
        <v>46142</v>
      </c>
      <c r="C376" s="38">
        <v>46148</v>
      </c>
      <c r="D376" t="s">
        <v>1542</v>
      </c>
      <c r="E376" t="s">
        <v>77</v>
      </c>
      <c r="F376" s="37">
        <v>812</v>
      </c>
      <c r="G376" s="37" cm="1">
        <f t="array" ref="G376">F376*_xlfn.XLOOKUP(1,
 (FOREX!$A$2:$A$13=EOMONTH(B376,0))*
 (FOREX!$B$2:$B$13=TRIM(E376)),FOREX!$C$2:$C$13,
 100)</f>
        <v>637.31909997297169</v>
      </c>
      <c r="H376" t="s">
        <v>1561</v>
      </c>
      <c r="I376" s="30" t="s">
        <v>364</v>
      </c>
      <c r="J376" s="35" t="str">
        <f>_xlfn.XLOOKUP(I376,costcategory[Account Code],costcategory[Cost Category],"ERROR")</f>
        <v>Headcount Costs</v>
      </c>
      <c r="K376" s="89" t="str">
        <f t="shared" si="39"/>
        <v>IT</v>
      </c>
      <c r="L376" s="89" t="str">
        <f>_xlfn.XLOOKUP(K376,Table2[Department],Table2[Group],"ERROR")</f>
        <v>General &amp; Administrative</v>
      </c>
    </row>
    <row r="377" spans="1:12" x14ac:dyDescent="0.2">
      <c r="A377" t="s">
        <v>1</v>
      </c>
      <c r="B377" s="38">
        <v>46142</v>
      </c>
      <c r="C377" s="38">
        <v>46148</v>
      </c>
      <c r="D377" t="s">
        <v>1544</v>
      </c>
      <c r="E377" t="s">
        <v>77</v>
      </c>
      <c r="F377" s="37">
        <v>102</v>
      </c>
      <c r="G377" s="37" cm="1">
        <f t="array" ref="G377">F377*_xlfn.XLOOKUP(1,
 (FOREX!$A$2:$A$13=EOMONTH(B377,0))*
 (FOREX!$B$2:$B$13=TRIM(E377)),FOREX!$C$2:$C$13,
 100)</f>
        <v>80.05732536606294</v>
      </c>
      <c r="H377" t="s">
        <v>1561</v>
      </c>
      <c r="I377" s="30" t="s">
        <v>364</v>
      </c>
      <c r="J377" s="35" t="str">
        <f>_xlfn.XLOOKUP(I377,costcategory[Account Code],costcategory[Cost Category],"ERROR")</f>
        <v>Headcount Costs</v>
      </c>
      <c r="K377" s="89" t="str">
        <f t="shared" si="39"/>
        <v>Finance</v>
      </c>
      <c r="L377" s="89" t="str">
        <f>_xlfn.XLOOKUP(K377,Table2[Department],Table2[Group],"ERROR")</f>
        <v>General &amp; Administrative</v>
      </c>
    </row>
    <row r="378" spans="1:12" x14ac:dyDescent="0.2">
      <c r="A378" t="s">
        <v>1</v>
      </c>
      <c r="B378" s="38">
        <v>46142</v>
      </c>
      <c r="C378" s="38">
        <v>46148</v>
      </c>
      <c r="D378" t="s">
        <v>1545</v>
      </c>
      <c r="E378" t="s">
        <v>77</v>
      </c>
      <c r="F378" s="37">
        <v>439</v>
      </c>
      <c r="G378" s="37" cm="1">
        <f t="array" ref="G378">F378*_xlfn.XLOOKUP(1,
 (FOREX!$A$2:$A$13=EOMONTH(B378,0))*
 (FOREX!$B$2:$B$13=TRIM(E378)),FOREX!$C$2:$C$13,
 100)</f>
        <v>344.56044936962383</v>
      </c>
      <c r="H378" t="s">
        <v>1561</v>
      </c>
      <c r="I378" s="30" t="s">
        <v>364</v>
      </c>
      <c r="J378" s="35" t="str">
        <f>_xlfn.XLOOKUP(I378,costcategory[Account Code],costcategory[Cost Category],"ERROR")</f>
        <v>Headcount Costs</v>
      </c>
      <c r="K378" s="89" t="str">
        <f t="shared" si="39"/>
        <v>Sales &amp; Pre-Sales</v>
      </c>
      <c r="L378" s="89" t="str">
        <f>_xlfn.XLOOKUP(K378,Table2[Department],Table2[Group],"ERROR")</f>
        <v>Sales &amp; Marketing</v>
      </c>
    </row>
    <row r="379" spans="1:12" x14ac:dyDescent="0.2">
      <c r="A379" t="s">
        <v>1</v>
      </c>
      <c r="B379" s="38">
        <v>46150</v>
      </c>
      <c r="C379" s="38">
        <v>46150</v>
      </c>
      <c r="D379" t="s">
        <v>1543</v>
      </c>
      <c r="E379" t="s">
        <v>77</v>
      </c>
      <c r="F379" s="37">
        <v>2532.83</v>
      </c>
      <c r="G379" s="37" cm="1">
        <f t="array" ref="G379">F379*_xlfn.XLOOKUP(1,
 (FOREX!$A$2:$A$13=EOMONTH(B379,0))*
 (FOREX!$B$2:$B$13=TRIM(E379)),FOREX!$C$2:$C$13,
 100)</f>
        <v>1983.712456</v>
      </c>
      <c r="H379" t="s">
        <v>443</v>
      </c>
      <c r="I379" t="s">
        <v>387</v>
      </c>
      <c r="J379" s="35" t="str">
        <f>_xlfn.XLOOKUP(I379,costcategory[Account Code],costcategory[Cost Category],"ERROR")</f>
        <v>Headcount Costs</v>
      </c>
      <c r="K379" s="89" t="str">
        <f t="shared" ref="K379:K380" si="40">_xlfn.XLOOKUP(D379,$AF$3:$AF$26,$AG$3:$AG$26,"ERROR")</f>
        <v>Sales &amp; Pre-Sales</v>
      </c>
      <c r="L379" s="89" t="str">
        <f>_xlfn.XLOOKUP(K379,Table2[Department],Table2[Group],"ERROR")</f>
        <v>Sales &amp; Marketing</v>
      </c>
    </row>
    <row r="380" spans="1:12" x14ac:dyDescent="0.2">
      <c r="A380" t="s">
        <v>1</v>
      </c>
      <c r="B380" s="38">
        <v>46150</v>
      </c>
      <c r="C380" s="38">
        <v>46182</v>
      </c>
      <c r="D380" t="s">
        <v>1543</v>
      </c>
      <c r="E380" t="s">
        <v>77</v>
      </c>
      <c r="F380" s="37">
        <v>0.5</v>
      </c>
      <c r="G380" s="37" cm="1">
        <f t="array" ref="G380">F380*_xlfn.XLOOKUP(1,
 (FOREX!$A$2:$A$13=EOMONTH(B380,0))*
 (FOREX!$B$2:$B$13=TRIM(E380)),FOREX!$C$2:$C$13,
 100)</f>
        <v>0.3916</v>
      </c>
      <c r="H380" t="s">
        <v>1562</v>
      </c>
      <c r="I380" t="s">
        <v>387</v>
      </c>
      <c r="J380" s="35" t="str">
        <f>_xlfn.XLOOKUP(I380,costcategory[Account Code],costcategory[Cost Category],"ERROR")</f>
        <v>Headcount Costs</v>
      </c>
      <c r="K380" s="89" t="str">
        <f t="shared" si="40"/>
        <v>Sales &amp; Pre-Sales</v>
      </c>
      <c r="L380" s="89" t="str">
        <f>_xlfn.XLOOKUP(K380,Table2[Department],Table2[Group],"ERROR")</f>
        <v>Sales &amp; Marketing</v>
      </c>
    </row>
    <row r="381" spans="1:12" x14ac:dyDescent="0.2">
      <c r="A381" t="s">
        <v>1</v>
      </c>
      <c r="B381" s="38">
        <v>46150</v>
      </c>
      <c r="C381" s="38">
        <v>46182</v>
      </c>
      <c r="D381" t="s">
        <v>1543</v>
      </c>
      <c r="E381" t="s">
        <v>77</v>
      </c>
      <c r="F381" s="37">
        <v>2</v>
      </c>
      <c r="G381" s="37" cm="1">
        <f t="array" ref="G381">F381*_xlfn.XLOOKUP(1,
 (FOREX!$A$2:$A$13=EOMONTH(B381,0))*
 (FOREX!$B$2:$B$13=TRIM(E381)),FOREX!$C$2:$C$13,
 100)</f>
        <v>1.5664</v>
      </c>
      <c r="H381" t="s">
        <v>1563</v>
      </c>
      <c r="I381" s="30" t="s">
        <v>364</v>
      </c>
      <c r="J381" s="35" t="str">
        <f>_xlfn.XLOOKUP(I381,costcategory[Account Code],costcategory[Cost Category],"ERROR")</f>
        <v>Headcount Costs</v>
      </c>
      <c r="K381" s="89" t="str">
        <f t="shared" ref="K381:K382" si="41">_xlfn.XLOOKUP(D381,$AF$3:$AF$26,$AG$3:$AG$26,"ERROR")</f>
        <v>Sales &amp; Pre-Sales</v>
      </c>
      <c r="L381" s="89" t="str">
        <f>_xlfn.XLOOKUP(K381,Table2[Department],Table2[Group],"ERROR")</f>
        <v>Sales &amp; Marketing</v>
      </c>
    </row>
    <row r="382" spans="1:12" x14ac:dyDescent="0.2">
      <c r="A382" t="s">
        <v>1</v>
      </c>
      <c r="B382" s="38">
        <v>46150</v>
      </c>
      <c r="C382" s="38">
        <v>46182</v>
      </c>
      <c r="D382" t="s">
        <v>1543</v>
      </c>
      <c r="E382" t="s">
        <v>77</v>
      </c>
      <c r="F382" s="37">
        <v>74</v>
      </c>
      <c r="G382" s="37" cm="1">
        <f t="array" ref="G382">F382*_xlfn.XLOOKUP(1,
 (FOREX!$A$2:$A$13=EOMONTH(B382,0))*
 (FOREX!$B$2:$B$13=TRIM(E382)),FOREX!$C$2:$C$13,
 100)</f>
        <v>57.956800000000001</v>
      </c>
      <c r="H382" t="s">
        <v>1564</v>
      </c>
      <c r="I382" s="30" t="s">
        <v>364</v>
      </c>
      <c r="J382" s="35" t="str">
        <f>_xlfn.XLOOKUP(I382,costcategory[Account Code],costcategory[Cost Category],"ERROR")</f>
        <v>Headcount Costs</v>
      </c>
      <c r="K382" s="89" t="str">
        <f t="shared" si="41"/>
        <v>Sales &amp; Pre-Sales</v>
      </c>
      <c r="L382" s="89" t="str">
        <f>_xlfn.XLOOKUP(K382,Table2[Department],Table2[Group],"ERROR")</f>
        <v>Sales &amp; Marketing</v>
      </c>
    </row>
  </sheetData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F4B928-F4D5-4512-9EDF-5BC3E303FB91}">
          <x14:formula1>
            <xm:f>Setting!$B$2:$B$93</xm:f>
          </x14:formula1>
          <xm:sqref>I2:I96 I381:I382 I322:I378 I230:I283 I189 I185:I186 I114:I181</xm:sqref>
        </x14:dataValidation>
        <x14:dataValidation type="list" allowBlank="1" showInputMessage="1" showErrorMessage="1" xr:uid="{12409AD5-207D-4C69-A9BC-33BC018371FE}">
          <x14:formula1>
            <xm:f>Setting!$D$2:$D$16</xm:f>
          </x14:formula1>
          <xm:sqref>AG47 AG3:AG44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C2502-02BC-4957-A2F9-955635D0A7B3}">
  <dimension ref="A3:J27"/>
  <sheetViews>
    <sheetView workbookViewId="0">
      <selection activeCell="H120" sqref="H120"/>
    </sheetView>
  </sheetViews>
  <sheetFormatPr defaultRowHeight="12.75" x14ac:dyDescent="0.2"/>
  <cols>
    <col min="1" max="1" width="26.140625" bestFit="1" customWidth="1"/>
    <col min="2" max="2" width="14.5703125" bestFit="1" customWidth="1"/>
    <col min="3" max="3" width="9" bestFit="1" customWidth="1"/>
    <col min="4" max="4" width="10" bestFit="1" customWidth="1"/>
    <col min="5" max="5" width="9" bestFit="1" customWidth="1"/>
    <col min="6" max="6" width="10" bestFit="1" customWidth="1"/>
    <col min="7" max="7" width="9" bestFit="1" customWidth="1"/>
    <col min="8" max="8" width="10" bestFit="1" customWidth="1"/>
    <col min="9" max="9" width="9" bestFit="1" customWidth="1"/>
    <col min="10" max="10" width="10" bestFit="1" customWidth="1"/>
  </cols>
  <sheetData>
    <row r="3" spans="1:10" x14ac:dyDescent="0.2">
      <c r="A3" s="64" t="s">
        <v>11</v>
      </c>
      <c r="B3" s="64" t="s">
        <v>40</v>
      </c>
    </row>
    <row r="4" spans="1:10" x14ac:dyDescent="0.2">
      <c r="B4" t="s">
        <v>9</v>
      </c>
      <c r="C4" t="s">
        <v>26</v>
      </c>
      <c r="E4" t="s">
        <v>27</v>
      </c>
      <c r="G4" t="s">
        <v>36</v>
      </c>
      <c r="I4" t="s">
        <v>12</v>
      </c>
      <c r="J4" t="s">
        <v>19</v>
      </c>
    </row>
    <row r="5" spans="1:10" x14ac:dyDescent="0.2">
      <c r="B5" t="s">
        <v>1466</v>
      </c>
      <c r="C5" t="s">
        <v>1565</v>
      </c>
      <c r="D5" t="s">
        <v>1460</v>
      </c>
      <c r="E5" t="s">
        <v>1566</v>
      </c>
      <c r="F5" t="s">
        <v>1462</v>
      </c>
      <c r="G5" t="s">
        <v>1567</v>
      </c>
      <c r="H5" t="s">
        <v>1464</v>
      </c>
      <c r="I5" t="s">
        <v>1465</v>
      </c>
    </row>
    <row r="6" spans="1:10" x14ac:dyDescent="0.2">
      <c r="A6" s="64" t="s">
        <v>65</v>
      </c>
    </row>
    <row r="7" spans="1:10" x14ac:dyDescent="0.2">
      <c r="A7" s="65" t="s">
        <v>17</v>
      </c>
      <c r="B7" s="39"/>
      <c r="C7" s="39">
        <v>781.31300127000009</v>
      </c>
      <c r="D7" s="39"/>
      <c r="E7" s="39"/>
      <c r="F7" s="39"/>
      <c r="G7" s="39"/>
      <c r="H7" s="39"/>
      <c r="I7" s="39"/>
      <c r="J7" s="39">
        <v>781.31300127000009</v>
      </c>
    </row>
    <row r="8" spans="1:10" x14ac:dyDescent="0.2">
      <c r="A8" s="65" t="s">
        <v>7</v>
      </c>
      <c r="B8" s="39"/>
      <c r="C8" s="39"/>
      <c r="D8" s="39"/>
      <c r="E8" s="39"/>
      <c r="F8" s="39"/>
      <c r="G8" s="39"/>
      <c r="H8" s="39"/>
      <c r="I8" s="39"/>
      <c r="J8" s="39"/>
    </row>
    <row r="9" spans="1:10" x14ac:dyDescent="0.2">
      <c r="A9" s="66" t="s">
        <v>24</v>
      </c>
      <c r="B9" s="39"/>
      <c r="C9" s="39"/>
      <c r="D9" s="39"/>
      <c r="E9" s="39"/>
      <c r="F9" s="39"/>
      <c r="G9" s="39"/>
      <c r="H9" s="39"/>
      <c r="I9" s="39"/>
      <c r="J9" s="39"/>
    </row>
    <row r="10" spans="1:10" x14ac:dyDescent="0.2">
      <c r="A10" s="87" t="s">
        <v>9</v>
      </c>
      <c r="B10" s="39"/>
      <c r="C10" s="39"/>
      <c r="D10" s="39"/>
      <c r="E10" s="39"/>
      <c r="F10" s="39"/>
      <c r="G10" s="39"/>
      <c r="H10" s="39"/>
      <c r="I10" s="39"/>
      <c r="J10" s="39"/>
    </row>
    <row r="11" spans="1:10" x14ac:dyDescent="0.2">
      <c r="A11" s="99">
        <v>46053</v>
      </c>
      <c r="B11" s="39">
        <v>12280.449357590001</v>
      </c>
      <c r="C11" s="39">
        <v>7774.6178688100008</v>
      </c>
      <c r="D11" s="39"/>
      <c r="E11" s="39"/>
      <c r="F11" s="39"/>
      <c r="G11" s="39"/>
      <c r="H11" s="39"/>
      <c r="I11" s="39"/>
      <c r="J11" s="39">
        <v>20055.067226400002</v>
      </c>
    </row>
    <row r="12" spans="1:10" x14ac:dyDescent="0.2">
      <c r="A12" s="98" t="s">
        <v>354</v>
      </c>
      <c r="B12" s="39">
        <v>1920.7174348000001</v>
      </c>
      <c r="C12" s="39">
        <v>985.04711250000014</v>
      </c>
      <c r="D12" s="39"/>
      <c r="E12" s="39"/>
      <c r="F12" s="39"/>
      <c r="G12" s="39"/>
      <c r="H12" s="39"/>
      <c r="I12" s="39"/>
      <c r="J12" s="39">
        <v>2905.7645473000002</v>
      </c>
    </row>
    <row r="13" spans="1:10" x14ac:dyDescent="0.2">
      <c r="A13" s="98" t="s">
        <v>347</v>
      </c>
      <c r="B13" s="39">
        <v>10359.731922790001</v>
      </c>
      <c r="C13" s="39">
        <v>6789.5707563100004</v>
      </c>
      <c r="D13" s="39"/>
      <c r="E13" s="39"/>
      <c r="F13" s="39"/>
      <c r="G13" s="39"/>
      <c r="H13" s="39"/>
      <c r="I13" s="39"/>
      <c r="J13" s="39">
        <v>17149.302679100001</v>
      </c>
    </row>
    <row r="14" spans="1:10" x14ac:dyDescent="0.2">
      <c r="A14" s="87" t="s">
        <v>26</v>
      </c>
      <c r="B14" s="39"/>
      <c r="C14" s="39"/>
      <c r="D14" s="39"/>
      <c r="E14" s="39"/>
      <c r="F14" s="39"/>
      <c r="G14" s="39"/>
      <c r="H14" s="39"/>
      <c r="I14" s="39"/>
      <c r="J14" s="39"/>
    </row>
    <row r="15" spans="1:10" x14ac:dyDescent="0.2">
      <c r="A15" s="99">
        <v>46081</v>
      </c>
      <c r="B15" s="39"/>
      <c r="C15" s="39"/>
      <c r="D15" s="39">
        <v>13539.697923660002</v>
      </c>
      <c r="E15" s="39">
        <v>7567.4197865699998</v>
      </c>
      <c r="F15" s="39"/>
      <c r="G15" s="39"/>
      <c r="H15" s="39"/>
      <c r="I15" s="39"/>
      <c r="J15" s="39">
        <v>21107.117710230003</v>
      </c>
    </row>
    <row r="16" spans="1:10" x14ac:dyDescent="0.2">
      <c r="A16" s="98" t="s">
        <v>354</v>
      </c>
      <c r="B16" s="39"/>
      <c r="C16" s="39"/>
      <c r="D16" s="39">
        <v>2165.08545</v>
      </c>
      <c r="E16" s="39">
        <v>1322.670384</v>
      </c>
      <c r="F16" s="39"/>
      <c r="G16" s="39"/>
      <c r="H16" s="39"/>
      <c r="I16" s="39"/>
      <c r="J16" s="39">
        <v>3487.755834</v>
      </c>
    </row>
    <row r="17" spans="1:10" x14ac:dyDescent="0.2">
      <c r="A17" s="98" t="s">
        <v>347</v>
      </c>
      <c r="B17" s="39"/>
      <c r="C17" s="39"/>
      <c r="D17" s="39">
        <v>11374.612473660001</v>
      </c>
      <c r="E17" s="39">
        <v>6244.7494025699998</v>
      </c>
      <c r="F17" s="39"/>
      <c r="G17" s="39"/>
      <c r="H17" s="39"/>
      <c r="I17" s="39"/>
      <c r="J17" s="39">
        <v>17619.361876230003</v>
      </c>
    </row>
    <row r="18" spans="1:10" x14ac:dyDescent="0.2">
      <c r="A18" s="87" t="s">
        <v>27</v>
      </c>
      <c r="B18" s="39"/>
      <c r="C18" s="39"/>
      <c r="D18" s="39"/>
      <c r="E18" s="39"/>
      <c r="F18" s="39"/>
      <c r="G18" s="39"/>
      <c r="H18" s="39"/>
      <c r="I18" s="39"/>
      <c r="J18" s="39"/>
    </row>
    <row r="19" spans="1:10" x14ac:dyDescent="0.2">
      <c r="A19" s="99">
        <v>46112</v>
      </c>
      <c r="B19" s="39"/>
      <c r="C19" s="39"/>
      <c r="D19" s="39"/>
      <c r="E19" s="39"/>
      <c r="F19" s="39">
        <v>26693.921528719999</v>
      </c>
      <c r="G19" s="39">
        <v>1372.7182422999999</v>
      </c>
      <c r="H19" s="39"/>
      <c r="I19" s="39"/>
      <c r="J19" s="39">
        <v>28066.639771020004</v>
      </c>
    </row>
    <row r="20" spans="1:10" x14ac:dyDescent="0.2">
      <c r="A20" s="98" t="s">
        <v>354</v>
      </c>
      <c r="B20" s="39"/>
      <c r="C20" s="39"/>
      <c r="D20" s="39"/>
      <c r="E20" s="39"/>
      <c r="F20" s="39">
        <v>4179.7289613299999</v>
      </c>
      <c r="G20" s="39">
        <v>106.85362767000001</v>
      </c>
      <c r="H20" s="39"/>
      <c r="I20" s="39"/>
      <c r="J20" s="39">
        <v>4286.5825889999996</v>
      </c>
    </row>
    <row r="21" spans="1:10" x14ac:dyDescent="0.2">
      <c r="A21" s="98" t="s">
        <v>347</v>
      </c>
      <c r="B21" s="39"/>
      <c r="C21" s="39"/>
      <c r="D21" s="39"/>
      <c r="E21" s="39"/>
      <c r="F21" s="39">
        <v>22514.19256739</v>
      </c>
      <c r="G21" s="39">
        <v>1265.86461463</v>
      </c>
      <c r="H21" s="39"/>
      <c r="I21" s="39"/>
      <c r="J21" s="39">
        <v>23780.057182020002</v>
      </c>
    </row>
    <row r="22" spans="1:10" x14ac:dyDescent="0.2">
      <c r="A22" s="66" t="s">
        <v>29</v>
      </c>
      <c r="B22" s="39"/>
      <c r="C22" s="39"/>
      <c r="D22" s="39"/>
      <c r="E22" s="39"/>
      <c r="F22" s="39"/>
      <c r="G22" s="39"/>
      <c r="H22" s="39"/>
      <c r="I22" s="39"/>
      <c r="J22" s="39"/>
    </row>
    <row r="23" spans="1:10" x14ac:dyDescent="0.2">
      <c r="A23" s="87" t="s">
        <v>36</v>
      </c>
      <c r="B23" s="39"/>
      <c r="C23" s="39"/>
      <c r="D23" s="39"/>
      <c r="E23" s="39"/>
      <c r="F23" s="39"/>
      <c r="G23" s="39"/>
      <c r="H23" s="39"/>
      <c r="I23" s="39"/>
      <c r="J23" s="39"/>
    </row>
    <row r="24" spans="1:10" x14ac:dyDescent="0.2">
      <c r="A24" s="99">
        <v>46142</v>
      </c>
      <c r="B24" s="39"/>
      <c r="C24" s="39"/>
      <c r="D24" s="39"/>
      <c r="E24" s="39"/>
      <c r="F24" s="39"/>
      <c r="G24" s="39"/>
      <c r="H24" s="39">
        <v>12492.7985544</v>
      </c>
      <c r="I24" s="39">
        <v>8493.0014014100016</v>
      </c>
      <c r="J24" s="39">
        <v>20985.799955810002</v>
      </c>
    </row>
    <row r="25" spans="1:10" x14ac:dyDescent="0.2">
      <c r="A25" s="98" t="s">
        <v>354</v>
      </c>
      <c r="B25" s="39"/>
      <c r="C25" s="39"/>
      <c r="D25" s="39"/>
      <c r="E25" s="39"/>
      <c r="F25" s="39"/>
      <c r="G25" s="39"/>
      <c r="H25" s="39">
        <v>2075.3055235000002</v>
      </c>
      <c r="I25" s="39">
        <v>1392.4036745000003</v>
      </c>
      <c r="J25" s="39">
        <v>3467.7091980000005</v>
      </c>
    </row>
    <row r="26" spans="1:10" x14ac:dyDescent="0.2">
      <c r="A26" s="98" t="s">
        <v>347</v>
      </c>
      <c r="B26" s="39"/>
      <c r="C26" s="39"/>
      <c r="D26" s="39"/>
      <c r="E26" s="39"/>
      <c r="F26" s="39"/>
      <c r="G26" s="39"/>
      <c r="H26" s="39">
        <v>10417.493030900001</v>
      </c>
      <c r="I26" s="39">
        <v>7100.5977269100003</v>
      </c>
      <c r="J26" s="39">
        <v>17518.090757810001</v>
      </c>
    </row>
    <row r="27" spans="1:10" x14ac:dyDescent="0.2">
      <c r="A27" s="65" t="s">
        <v>19</v>
      </c>
      <c r="B27" s="39">
        <v>12280.449357590001</v>
      </c>
      <c r="C27" s="39">
        <v>8555.9308700800011</v>
      </c>
      <c r="D27" s="39">
        <v>13539.697923660002</v>
      </c>
      <c r="E27" s="39">
        <v>7567.4197865699998</v>
      </c>
      <c r="F27" s="39">
        <v>26693.921528719999</v>
      </c>
      <c r="G27" s="39">
        <v>1372.7182422999999</v>
      </c>
      <c r="H27" s="39">
        <v>12492.7985544</v>
      </c>
      <c r="I27" s="39">
        <v>8493.0014014100016</v>
      </c>
      <c r="J27" s="39">
        <v>90995.937664729994</v>
      </c>
    </row>
  </sheetData>
  <pageMargins left="0.7" right="0.7" top="0.75" bottom="0.75" header="0.3" footer="0.3"/>
  <pageSetup orientation="landscape"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D40F-6345-4C7F-BAB9-37DD66D6E575}">
  <dimension ref="A1:V69"/>
  <sheetViews>
    <sheetView workbookViewId="0">
      <selection activeCell="H120" sqref="H120"/>
    </sheetView>
  </sheetViews>
  <sheetFormatPr defaultRowHeight="12.75" x14ac:dyDescent="0.2"/>
  <cols>
    <col min="2" max="2" width="10.42578125" bestFit="1" customWidth="1"/>
    <col min="3" max="3" width="13.5703125" customWidth="1"/>
    <col min="4" max="4" width="8.7109375" bestFit="1" customWidth="1"/>
    <col min="6" max="6" width="10" style="37" bestFit="1" customWidth="1"/>
    <col min="7" max="7" width="12.42578125" style="37" bestFit="1" customWidth="1"/>
    <col min="8" max="8" width="28.7109375" bestFit="1" customWidth="1"/>
    <col min="9" max="9" width="20" bestFit="1" customWidth="1"/>
    <col min="10" max="10" width="16" bestFit="1" customWidth="1"/>
    <col min="11" max="11" width="12.28515625" bestFit="1" customWidth="1"/>
    <col min="12" max="12" width="20.7109375" bestFit="1" customWidth="1"/>
    <col min="16" max="16" width="28" bestFit="1" customWidth="1"/>
    <col min="17" max="17" width="14.5703125" bestFit="1" customWidth="1"/>
    <col min="18" max="20" width="10" bestFit="1" customWidth="1"/>
    <col min="21" max="21" width="9" bestFit="1" customWidth="1"/>
    <col min="22" max="23" width="10" bestFit="1" customWidth="1"/>
  </cols>
  <sheetData>
    <row r="1" spans="1:22" s="83" customFormat="1" x14ac:dyDescent="0.2">
      <c r="A1" s="83" t="s">
        <v>43</v>
      </c>
      <c r="B1" s="83" t="s">
        <v>1468</v>
      </c>
      <c r="C1" s="83" t="s">
        <v>1469</v>
      </c>
      <c r="D1" s="83" t="s">
        <v>1470</v>
      </c>
      <c r="E1" s="83" t="s">
        <v>70</v>
      </c>
      <c r="F1" s="84" t="s">
        <v>1471</v>
      </c>
      <c r="G1" s="84" t="s">
        <v>72</v>
      </c>
      <c r="H1" s="88" t="s">
        <v>1082</v>
      </c>
      <c r="I1" s="83" t="s">
        <v>1122</v>
      </c>
      <c r="J1" s="23" t="s">
        <v>64</v>
      </c>
      <c r="K1" s="23" t="s">
        <v>67</v>
      </c>
      <c r="L1" s="23" t="s">
        <v>44</v>
      </c>
    </row>
    <row r="2" spans="1:22" x14ac:dyDescent="0.2">
      <c r="A2" t="s">
        <v>3</v>
      </c>
      <c r="B2" s="38">
        <v>46053</v>
      </c>
      <c r="C2" s="38">
        <v>46053</v>
      </c>
      <c r="D2" t="s">
        <v>1568</v>
      </c>
      <c r="E2" t="s">
        <v>79</v>
      </c>
      <c r="F2" s="37">
        <v>24631.25</v>
      </c>
      <c r="G2" s="37" cm="1">
        <f t="array" ref="G2">F2*_xlfn.XLOOKUP(1,
 (FOREX!$I$2:$I$13=EOMONTH(B2,0))*
 (FOREX!$J$2:$J$13=TRIM(E2)),
 FOREX!$K$2:$K$13,
 100)</f>
        <v>3543.3284687500004</v>
      </c>
      <c r="H2" t="s">
        <v>386</v>
      </c>
      <c r="I2" s="26" t="s">
        <v>387</v>
      </c>
      <c r="J2" s="35" t="str">
        <f>_xlfn.XLOOKUP(I2,costcategory[Account Code],costcategory[Cost Category],"ERROR")</f>
        <v>Headcount Costs</v>
      </c>
      <c r="K2" s="22" t="s">
        <v>347</v>
      </c>
      <c r="L2" s="89" t="str">
        <f>_xlfn.XLOOKUP(K2,Table2[Department],Table2[Group],"ERROR")</f>
        <v>Research &amp; Development</v>
      </c>
      <c r="P2" t="s">
        <v>1569</v>
      </c>
    </row>
    <row r="3" spans="1:22" x14ac:dyDescent="0.2">
      <c r="A3" t="s">
        <v>3</v>
      </c>
      <c r="B3" s="38">
        <v>46053</v>
      </c>
      <c r="C3" s="38">
        <v>46053</v>
      </c>
      <c r="D3" t="s">
        <v>1570</v>
      </c>
      <c r="E3" t="s">
        <v>79</v>
      </c>
      <c r="F3" s="37">
        <v>23075</v>
      </c>
      <c r="G3" s="37" cm="1">
        <f t="array" ref="G3">F3*_xlfn.XLOOKUP(1,
 (FOREX!$I$2:$I$13=EOMONTH(B3,0))*
 (FOREX!$J$2:$J$13=TRIM(E3)),
 FOREX!$K$2:$K$13,
 100)</f>
        <v>3319.4541250000002</v>
      </c>
      <c r="H3" t="s">
        <v>386</v>
      </c>
      <c r="I3" s="26" t="s">
        <v>387</v>
      </c>
      <c r="J3" s="35" t="str">
        <f>_xlfn.XLOOKUP(I3,costcategory[Account Code],costcategory[Cost Category],"ERROR")</f>
        <v>Headcount Costs</v>
      </c>
      <c r="K3" s="22" t="s">
        <v>347</v>
      </c>
      <c r="L3" s="89" t="str">
        <f>_xlfn.XLOOKUP(K3,Table2[Department],Table2[Group],"ERROR")</f>
        <v>Research &amp; Development</v>
      </c>
      <c r="P3" s="64" t="s">
        <v>11</v>
      </c>
      <c r="Q3" s="64" t="s">
        <v>40</v>
      </c>
    </row>
    <row r="4" spans="1:22" x14ac:dyDescent="0.2">
      <c r="A4" t="s">
        <v>3</v>
      </c>
      <c r="B4" s="38">
        <v>46053</v>
      </c>
      <c r="C4" s="38">
        <v>46053</v>
      </c>
      <c r="D4" t="s">
        <v>1571</v>
      </c>
      <c r="E4" t="s">
        <v>79</v>
      </c>
      <c r="F4" s="37">
        <v>13351.76</v>
      </c>
      <c r="G4" s="37" cm="1">
        <f t="array" ref="G4">F4*_xlfn.XLOOKUP(1,
 (FOREX!$I$2:$I$13=EOMONTH(B4,0))*
 (FOREX!$J$2:$J$13=TRIM(E4)),
 FOREX!$K$2:$K$13,
 100)</f>
        <v>1920.7174348000001</v>
      </c>
      <c r="H4" t="s">
        <v>386</v>
      </c>
      <c r="I4" s="30" t="s">
        <v>387</v>
      </c>
      <c r="J4" s="35" t="str">
        <f>_xlfn.XLOOKUP(I4,costcategory[Account Code],costcategory[Cost Category],"ERROR")</f>
        <v>Headcount Costs</v>
      </c>
      <c r="K4" s="22" t="s">
        <v>354</v>
      </c>
      <c r="L4" s="89" t="str">
        <f>_xlfn.XLOOKUP(K4,Table2[Department],Table2[Group],"ERROR")</f>
        <v>Sales &amp; Marketing</v>
      </c>
      <c r="P4" s="64" t="s">
        <v>65</v>
      </c>
      <c r="Q4" t="s">
        <v>9</v>
      </c>
      <c r="R4" t="s">
        <v>26</v>
      </c>
      <c r="S4" t="s">
        <v>27</v>
      </c>
      <c r="T4" t="s">
        <v>36</v>
      </c>
      <c r="U4" t="s">
        <v>20</v>
      </c>
      <c r="V4" t="s">
        <v>19</v>
      </c>
    </row>
    <row r="5" spans="1:22" x14ac:dyDescent="0.2">
      <c r="A5" t="s">
        <v>3</v>
      </c>
      <c r="B5" s="38">
        <v>46053</v>
      </c>
      <c r="C5" s="38">
        <v>46053</v>
      </c>
      <c r="D5" t="s">
        <v>1572</v>
      </c>
      <c r="E5" t="s">
        <v>79</v>
      </c>
      <c r="F5" s="37">
        <v>24308.847999999998</v>
      </c>
      <c r="G5" s="37" cm="1">
        <f t="array" ref="G5">F5*_xlfn.XLOOKUP(1,
 (FOREX!$I$2:$I$13=EOMONTH(B5,0))*
 (FOREX!$J$2:$J$13=TRIM(E5)),
 FOREX!$K$2:$K$13,
 100)</f>
        <v>3496.9493290400001</v>
      </c>
      <c r="H5" t="s">
        <v>386</v>
      </c>
      <c r="I5" s="30" t="s">
        <v>387</v>
      </c>
      <c r="J5" s="35" t="str">
        <f>_xlfn.XLOOKUP(I5,costcategory[Account Code],costcategory[Cost Category],"ERROR")</f>
        <v>Headcount Costs</v>
      </c>
      <c r="K5" s="22" t="s">
        <v>347</v>
      </c>
      <c r="L5" s="89" t="str">
        <f>_xlfn.XLOOKUP(K5,Table2[Department],Table2[Group],"ERROR")</f>
        <v>Research &amp; Development</v>
      </c>
      <c r="P5" s="65" t="s">
        <v>55</v>
      </c>
      <c r="Q5" s="39">
        <v>17149.302679100001</v>
      </c>
      <c r="R5" s="39">
        <v>17619.361876230003</v>
      </c>
      <c r="S5" s="39">
        <v>23780.057182019998</v>
      </c>
      <c r="T5" s="39">
        <v>17518.090757810001</v>
      </c>
      <c r="U5" s="39">
        <v>605.95711749000009</v>
      </c>
      <c r="V5" s="39">
        <v>76672.769612650009</v>
      </c>
    </row>
    <row r="6" spans="1:22" x14ac:dyDescent="0.2">
      <c r="A6" t="s">
        <v>3</v>
      </c>
      <c r="B6" s="38">
        <v>46053</v>
      </c>
      <c r="C6" s="38">
        <v>46067</v>
      </c>
      <c r="D6" t="s">
        <v>1568</v>
      </c>
      <c r="E6" t="s">
        <v>79</v>
      </c>
      <c r="F6" s="1">
        <v>654.38</v>
      </c>
      <c r="G6" s="37" cm="1">
        <f t="array" ref="G6">F6*_xlfn.XLOOKUP(1,
 (FOREX!$I$2:$I$13=EOMONTH(B6,0))*
 (FOREX!$J$2:$J$13=TRIM(E6)),
 FOREX!$K$2:$K$13,
 100)</f>
        <v>94.135834900000006</v>
      </c>
      <c r="H6" t="s">
        <v>1573</v>
      </c>
      <c r="I6" s="30" t="s">
        <v>387</v>
      </c>
      <c r="J6" s="35" t="str">
        <f>_xlfn.XLOOKUP(I6,costcategory[Account Code],costcategory[Cost Category],"ERROR")</f>
        <v>Headcount Costs</v>
      </c>
      <c r="K6" s="22" t="s">
        <v>347</v>
      </c>
      <c r="L6" s="89" t="str">
        <f>_xlfn.XLOOKUP(K6,Table2[Department],Table2[Group],"ERROR")</f>
        <v>Research &amp; Development</v>
      </c>
      <c r="P6" s="66" t="s">
        <v>347</v>
      </c>
      <c r="Q6" s="39">
        <v>17149.302679100001</v>
      </c>
      <c r="R6" s="39">
        <v>17619.361876230003</v>
      </c>
      <c r="S6" s="39">
        <v>23780.057182019998</v>
      </c>
      <c r="T6" s="39">
        <v>17518.090757810001</v>
      </c>
      <c r="U6" s="39">
        <v>605.95711749000009</v>
      </c>
      <c r="V6" s="39">
        <v>76672.769612650009</v>
      </c>
    </row>
    <row r="7" spans="1:22" x14ac:dyDescent="0.2">
      <c r="A7" t="s">
        <v>3</v>
      </c>
      <c r="B7" s="38">
        <v>46053</v>
      </c>
      <c r="C7" s="38">
        <v>46067</v>
      </c>
      <c r="D7" t="s">
        <v>1570</v>
      </c>
      <c r="E7" t="s">
        <v>79</v>
      </c>
      <c r="F7" s="1">
        <v>547.5</v>
      </c>
      <c r="G7" s="37" cm="1">
        <f t="array" ref="G7">F7*_xlfn.XLOOKUP(1,
 (FOREX!$I$2:$I$13=EOMONTH(B7,0))*
 (FOREX!$J$2:$J$13=TRIM(E7)),
 FOREX!$K$2:$K$13,
 100)</f>
        <v>78.760612500000008</v>
      </c>
      <c r="H7" t="s">
        <v>1573</v>
      </c>
      <c r="I7" s="30" t="s">
        <v>387</v>
      </c>
      <c r="J7" s="35" t="str">
        <f>_xlfn.XLOOKUP(I7,costcategory[Account Code],costcategory[Cost Category],"ERROR")</f>
        <v>Headcount Costs</v>
      </c>
      <c r="K7" s="22" t="s">
        <v>347</v>
      </c>
      <c r="L7" s="89" t="str">
        <f>_xlfn.XLOOKUP(K7,Table2[Department],Table2[Group],"ERROR")</f>
        <v>Research &amp; Development</v>
      </c>
      <c r="P7" s="87" t="s">
        <v>464</v>
      </c>
      <c r="Q7" s="39"/>
      <c r="R7" s="39"/>
      <c r="S7" s="39"/>
      <c r="T7" s="39"/>
      <c r="U7" s="39">
        <v>605.95711749000009</v>
      </c>
      <c r="V7" s="39">
        <v>605.95711749000009</v>
      </c>
    </row>
    <row r="8" spans="1:22" x14ac:dyDescent="0.2">
      <c r="A8" t="s">
        <v>3</v>
      </c>
      <c r="B8" s="38">
        <v>46053</v>
      </c>
      <c r="C8" s="38">
        <v>46067</v>
      </c>
      <c r="D8" t="s">
        <v>1571</v>
      </c>
      <c r="E8" t="s">
        <v>79</v>
      </c>
      <c r="F8" s="1">
        <v>295.5</v>
      </c>
      <c r="G8" s="37" cm="1">
        <f t="array" ref="G8">F8*_xlfn.XLOOKUP(1,
 (FOREX!$I$2:$I$13=EOMONTH(B8,0))*
 (FOREX!$J$2:$J$13=TRIM(E8)),
 FOREX!$K$2:$K$13,
 100)</f>
        <v>42.509152500000006</v>
      </c>
      <c r="H8" t="s">
        <v>1573</v>
      </c>
      <c r="I8" s="30" t="s">
        <v>387</v>
      </c>
      <c r="J8" s="35" t="str">
        <f>_xlfn.XLOOKUP(I8,costcategory[Account Code],costcategory[Cost Category],"ERROR")</f>
        <v>Headcount Costs</v>
      </c>
      <c r="K8" s="22" t="s">
        <v>354</v>
      </c>
      <c r="L8" s="89" t="str">
        <f>_xlfn.XLOOKUP(K8,Table2[Department],Table2[Group],"ERROR")</f>
        <v>Sales &amp; Marketing</v>
      </c>
      <c r="P8" s="87" t="s">
        <v>387</v>
      </c>
      <c r="Q8" s="39">
        <v>10625.21805155</v>
      </c>
      <c r="R8" s="39">
        <v>11374.612473660001</v>
      </c>
      <c r="S8" s="39">
        <v>11309.23441202</v>
      </c>
      <c r="T8" s="39">
        <v>11309.234412020001</v>
      </c>
      <c r="U8" s="39"/>
      <c r="V8" s="39">
        <v>44618.299349250003</v>
      </c>
    </row>
    <row r="9" spans="1:22" x14ac:dyDescent="0.2">
      <c r="A9" t="s">
        <v>3</v>
      </c>
      <c r="B9" s="38">
        <v>46053</v>
      </c>
      <c r="C9" s="38">
        <v>46067</v>
      </c>
      <c r="D9" t="s">
        <v>1572</v>
      </c>
      <c r="E9" t="s">
        <v>79</v>
      </c>
      <c r="F9" s="1">
        <v>643.63199999999995</v>
      </c>
      <c r="G9" s="37" cm="1">
        <f t="array" ref="G9">F9*_xlfn.XLOOKUP(1,
 (FOREX!$I$2:$I$13=EOMONTH(B9,0))*
 (FOREX!$J$2:$J$13=TRIM(E9)),
 FOREX!$K$2:$K$13,
 100)</f>
        <v>92.58968136</v>
      </c>
      <c r="H9" t="s">
        <v>1573</v>
      </c>
      <c r="I9" s="30" t="s">
        <v>387</v>
      </c>
      <c r="J9" s="35" t="str">
        <f>_xlfn.XLOOKUP(I9,costcategory[Account Code],costcategory[Cost Category],"ERROR")</f>
        <v>Headcount Costs</v>
      </c>
      <c r="K9" s="22" t="s">
        <v>347</v>
      </c>
      <c r="L9" s="89" t="str">
        <f>_xlfn.XLOOKUP(K9,Table2[Department],Table2[Group],"ERROR")</f>
        <v>Research &amp; Development</v>
      </c>
      <c r="P9" s="87" t="s">
        <v>1160</v>
      </c>
      <c r="Q9" s="39"/>
      <c r="R9" s="39"/>
      <c r="S9" s="39">
        <v>12470.822770000001</v>
      </c>
      <c r="T9" s="39"/>
      <c r="U9" s="39"/>
      <c r="V9" s="39">
        <v>12470.822770000001</v>
      </c>
    </row>
    <row r="10" spans="1:22" x14ac:dyDescent="0.2">
      <c r="A10" t="s">
        <v>3</v>
      </c>
      <c r="B10" s="38">
        <v>46022</v>
      </c>
      <c r="C10" s="38">
        <v>46067</v>
      </c>
      <c r="D10" t="s">
        <v>1568</v>
      </c>
      <c r="E10" t="s">
        <v>79</v>
      </c>
      <c r="F10" s="67">
        <v>1526.87</v>
      </c>
      <c r="G10" s="37" cm="1">
        <f t="array" ref="G10">F10*_xlfn.XLOOKUP(1,
 (FOREX!$I$2:$I$13=EOMONTH(C10,0))*
 (FOREX!$J$2:$J$13=TRIM(E10)),
 FOREX!$K$2:$K$13,
 100)</f>
        <v>222.61306539</v>
      </c>
      <c r="H10" s="79" t="s">
        <v>1574</v>
      </c>
      <c r="I10" s="30" t="s">
        <v>464</v>
      </c>
      <c r="J10" s="35" t="str">
        <f>_xlfn.XLOOKUP(I10,costcategory[Account Code],costcategory[Cost Category],"ERROR")</f>
        <v>Accrual - Expenses of 2025</v>
      </c>
      <c r="K10" s="22" t="s">
        <v>347</v>
      </c>
      <c r="L10" s="89" t="str">
        <f>_xlfn.XLOOKUP(K10,Table2[Department],Table2[Group],"ERROR")</f>
        <v>Research &amp; Development</v>
      </c>
      <c r="P10" s="87" t="s">
        <v>364</v>
      </c>
      <c r="Q10" s="39">
        <v>6524.0846275500007</v>
      </c>
      <c r="R10" s="39">
        <v>6244.7494025699998</v>
      </c>
      <c r="S10" s="39"/>
      <c r="T10" s="39">
        <v>6208.8563457900009</v>
      </c>
      <c r="U10" s="39"/>
      <c r="V10" s="39">
        <v>18977.690375910002</v>
      </c>
    </row>
    <row r="11" spans="1:22" x14ac:dyDescent="0.2">
      <c r="A11" t="s">
        <v>3</v>
      </c>
      <c r="B11" s="38">
        <v>46022</v>
      </c>
      <c r="C11" s="38">
        <v>46067</v>
      </c>
      <c r="D11" t="s">
        <v>1570</v>
      </c>
      <c r="E11" t="s">
        <v>79</v>
      </c>
      <c r="F11" s="67">
        <v>1127.5</v>
      </c>
      <c r="G11" s="37" cm="1">
        <f t="array" ref="G11">F11*_xlfn.XLOOKUP(1,
 (FOREX!$I$2:$I$13=EOMONTH(C11,0))*
 (FOREX!$J$2:$J$13=TRIM(E11)),
 FOREX!$K$2:$K$13,
 100)</f>
        <v>164.38611750000001</v>
      </c>
      <c r="H11" s="79" t="s">
        <v>1574</v>
      </c>
      <c r="I11" s="30" t="s">
        <v>464</v>
      </c>
      <c r="J11" s="35" t="str">
        <f>_xlfn.XLOOKUP(I11,costcategory[Account Code],costcategory[Cost Category],"ERROR")</f>
        <v>Accrual - Expenses of 2025</v>
      </c>
      <c r="K11" s="22" t="s">
        <v>347</v>
      </c>
      <c r="L11" s="89" t="str">
        <f>_xlfn.XLOOKUP(K11,Table2[Department],Table2[Group],"ERROR")</f>
        <v>Research &amp; Development</v>
      </c>
      <c r="P11" s="65" t="s">
        <v>61</v>
      </c>
      <c r="Q11" s="39">
        <v>2905.7645473000002</v>
      </c>
      <c r="R11" s="39">
        <v>3487.755834</v>
      </c>
      <c r="S11" s="39">
        <v>4286.5825890000006</v>
      </c>
      <c r="T11" s="39">
        <v>3467.7091980000005</v>
      </c>
      <c r="U11" s="39">
        <v>175.35588378</v>
      </c>
      <c r="V11" s="39">
        <v>14323.16805208</v>
      </c>
    </row>
    <row r="12" spans="1:22" x14ac:dyDescent="0.2">
      <c r="A12" t="s">
        <v>3</v>
      </c>
      <c r="B12" s="38">
        <v>46022</v>
      </c>
      <c r="C12" s="38">
        <v>46067</v>
      </c>
      <c r="D12" t="s">
        <v>1571</v>
      </c>
      <c r="E12" t="s">
        <v>79</v>
      </c>
      <c r="F12" s="67">
        <v>1202.74</v>
      </c>
      <c r="G12" s="37" cm="1">
        <f t="array" ref="G12">F12*_xlfn.XLOOKUP(1,
 (FOREX!$I$2:$I$13=EOMONTH(C12,0))*
 (FOREX!$J$2:$J$13=TRIM(E12)),
 FOREX!$K$2:$K$13,
 100)</f>
        <v>175.35588378</v>
      </c>
      <c r="H12" s="79" t="s">
        <v>1574</v>
      </c>
      <c r="I12" s="30" t="s">
        <v>464</v>
      </c>
      <c r="J12" s="35" t="str">
        <f>_xlfn.XLOOKUP(I12,costcategory[Account Code],costcategory[Cost Category],"ERROR")</f>
        <v>Accrual - Expenses of 2025</v>
      </c>
      <c r="K12" s="22" t="s">
        <v>354</v>
      </c>
      <c r="L12" s="89" t="str">
        <f>_xlfn.XLOOKUP(K12,Table2[Department],Table2[Group],"ERROR")</f>
        <v>Sales &amp; Marketing</v>
      </c>
      <c r="P12" s="66" t="s">
        <v>354</v>
      </c>
      <c r="Q12" s="39">
        <v>2905.7645473000002</v>
      </c>
      <c r="R12" s="39">
        <v>3487.755834</v>
      </c>
      <c r="S12" s="39">
        <v>4286.5825890000006</v>
      </c>
      <c r="T12" s="39">
        <v>3467.7091980000005</v>
      </c>
      <c r="U12" s="39">
        <v>175.35588378</v>
      </c>
      <c r="V12" s="39">
        <v>14323.16805208</v>
      </c>
    </row>
    <row r="13" spans="1:22" x14ac:dyDescent="0.2">
      <c r="A13" t="s">
        <v>3</v>
      </c>
      <c r="B13" s="38">
        <v>46022</v>
      </c>
      <c r="C13" s="38">
        <v>46067</v>
      </c>
      <c r="D13" t="s">
        <v>1572</v>
      </c>
      <c r="E13" t="s">
        <v>79</v>
      </c>
      <c r="F13" s="67">
        <v>1501.8</v>
      </c>
      <c r="G13" s="37" cm="1">
        <f t="array" ref="G13">F13*_xlfn.XLOOKUP(1,
 (FOREX!$I$2:$I$13=EOMONTH(C13,0))*
 (FOREX!$J$2:$J$13=TRIM(E13)),
 FOREX!$K$2:$K$13,
 100)</f>
        <v>218.95793460000002</v>
      </c>
      <c r="H13" s="79" t="s">
        <v>1574</v>
      </c>
      <c r="I13" s="30" t="s">
        <v>464</v>
      </c>
      <c r="J13" s="35" t="str">
        <f>_xlfn.XLOOKUP(I13,costcategory[Account Code],costcategory[Cost Category],"ERROR")</f>
        <v>Accrual - Expenses of 2025</v>
      </c>
      <c r="K13" s="22" t="s">
        <v>347</v>
      </c>
      <c r="L13" s="89" t="str">
        <f>_xlfn.XLOOKUP(K13,Table2[Department],Table2[Group],"ERROR")</f>
        <v>Research &amp; Development</v>
      </c>
      <c r="P13" s="87" t="s">
        <v>464</v>
      </c>
      <c r="Q13" s="39"/>
      <c r="R13" s="39"/>
      <c r="S13" s="39"/>
      <c r="T13" s="39"/>
      <c r="U13" s="39">
        <v>175.35588378</v>
      </c>
      <c r="V13" s="39">
        <v>175.35588378</v>
      </c>
    </row>
    <row r="14" spans="1:22" x14ac:dyDescent="0.2">
      <c r="A14" t="s">
        <v>3</v>
      </c>
      <c r="B14" s="38">
        <v>46053</v>
      </c>
      <c r="C14" s="38">
        <v>46067</v>
      </c>
      <c r="D14" t="s">
        <v>1568</v>
      </c>
      <c r="E14" t="s">
        <v>79</v>
      </c>
      <c r="F14" s="1">
        <v>11830</v>
      </c>
      <c r="G14" s="37" cm="1">
        <f t="array" ref="G14">F14*_xlfn.XLOOKUP(1,
 (FOREX!$I$2:$I$13=EOMONTH(B14,0))*
 (FOREX!$J$2:$J$13=TRIM(E14)),
 FOREX!$K$2:$K$13,
 100)</f>
        <v>1701.80465</v>
      </c>
      <c r="H14" t="s">
        <v>1575</v>
      </c>
      <c r="I14" s="30" t="s">
        <v>364</v>
      </c>
      <c r="J14" s="35" t="str">
        <f>_xlfn.XLOOKUP(I14,costcategory[Account Code],costcategory[Cost Category],"ERROR")</f>
        <v>Headcount Costs</v>
      </c>
      <c r="K14" s="22" t="s">
        <v>347</v>
      </c>
      <c r="L14" s="89" t="str">
        <f>_xlfn.XLOOKUP(K14,Table2[Department],Table2[Group],"ERROR")</f>
        <v>Research &amp; Development</v>
      </c>
      <c r="P14" s="87" t="s">
        <v>387</v>
      </c>
      <c r="Q14" s="39">
        <v>1963.2265873000001</v>
      </c>
      <c r="R14" s="39">
        <v>2165.08545</v>
      </c>
      <c r="S14" s="39">
        <v>2152.6411500000004</v>
      </c>
      <c r="T14" s="39">
        <v>2152.6411500000004</v>
      </c>
      <c r="U14" s="39"/>
      <c r="V14" s="39">
        <v>8433.5943373000009</v>
      </c>
    </row>
    <row r="15" spans="1:22" x14ac:dyDescent="0.2">
      <c r="A15" t="s">
        <v>3</v>
      </c>
      <c r="B15" s="38">
        <v>46053</v>
      </c>
      <c r="C15" s="38">
        <v>46067</v>
      </c>
      <c r="D15" t="s">
        <v>1570</v>
      </c>
      <c r="E15" t="s">
        <v>79</v>
      </c>
      <c r="F15" s="1">
        <v>10920</v>
      </c>
      <c r="G15" s="37" cm="1">
        <f t="array" ref="G15">F15*_xlfn.XLOOKUP(1,
 (FOREX!$I$2:$I$13=EOMONTH(B15,0))*
 (FOREX!$J$2:$J$13=TRIM(E15)),
 FOREX!$K$2:$K$13,
 100)</f>
        <v>1570.8966</v>
      </c>
      <c r="H15" t="s">
        <v>1575</v>
      </c>
      <c r="I15" s="30" t="s">
        <v>364</v>
      </c>
      <c r="J15" s="35" t="str">
        <f>_xlfn.XLOOKUP(I15,costcategory[Account Code],costcategory[Cost Category],"ERROR")</f>
        <v>Headcount Costs</v>
      </c>
      <c r="K15" s="22" t="s">
        <v>347</v>
      </c>
      <c r="L15" s="89" t="str">
        <f>_xlfn.XLOOKUP(K15,Table2[Department],Table2[Group],"ERROR")</f>
        <v>Research &amp; Development</v>
      </c>
      <c r="P15" s="87" t="s">
        <v>1160</v>
      </c>
      <c r="Q15" s="39"/>
      <c r="R15" s="39"/>
      <c r="S15" s="39">
        <v>2133.9414390000002</v>
      </c>
      <c r="T15" s="39"/>
      <c r="U15" s="39"/>
      <c r="V15" s="39">
        <v>2133.9414390000002</v>
      </c>
    </row>
    <row r="16" spans="1:22" x14ac:dyDescent="0.2">
      <c r="A16" t="s">
        <v>3</v>
      </c>
      <c r="B16" s="38">
        <v>46053</v>
      </c>
      <c r="C16" s="38">
        <v>46067</v>
      </c>
      <c r="D16" t="s">
        <v>1571</v>
      </c>
      <c r="E16" t="s">
        <v>79</v>
      </c>
      <c r="F16" s="1">
        <v>6552</v>
      </c>
      <c r="G16" s="37" cm="1">
        <f t="array" ref="G16">F16*_xlfn.XLOOKUP(1,
 (FOREX!$I$2:$I$13=EOMONTH(B16,0))*
 (FOREX!$J$2:$J$13=TRIM(E16)),
 FOREX!$K$2:$K$13,
 100)</f>
        <v>942.53796000000011</v>
      </c>
      <c r="H16" t="s">
        <v>1575</v>
      </c>
      <c r="I16" s="30" t="s">
        <v>364</v>
      </c>
      <c r="J16" s="35" t="str">
        <f>_xlfn.XLOOKUP(I16,costcategory[Account Code],costcategory[Cost Category],"ERROR")</f>
        <v>Headcount Costs</v>
      </c>
      <c r="K16" s="22" t="s">
        <v>354</v>
      </c>
      <c r="L16" s="89" t="str">
        <f>_xlfn.XLOOKUP(K16,Table2[Department],Table2[Group],"ERROR")</f>
        <v>Sales &amp; Marketing</v>
      </c>
      <c r="P16" s="87" t="s">
        <v>364</v>
      </c>
      <c r="Q16" s="39">
        <v>942.53796000000011</v>
      </c>
      <c r="R16" s="39">
        <v>1322.670384</v>
      </c>
      <c r="S16" s="39"/>
      <c r="T16" s="39">
        <v>1315.0680480000001</v>
      </c>
      <c r="U16" s="39"/>
      <c r="V16" s="39">
        <v>3580.2763920000002</v>
      </c>
    </row>
    <row r="17" spans="1:22" x14ac:dyDescent="0.2">
      <c r="A17" t="s">
        <v>3</v>
      </c>
      <c r="B17" s="38">
        <v>46053</v>
      </c>
      <c r="C17" s="38">
        <v>46067</v>
      </c>
      <c r="D17" t="s">
        <v>1568</v>
      </c>
      <c r="E17" t="s">
        <v>79</v>
      </c>
      <c r="F17" s="1">
        <v>4550</v>
      </c>
      <c r="G17" s="37" cm="1">
        <f t="array" ref="G17">F17*_xlfn.XLOOKUP(1,
 (FOREX!$I$2:$I$13=EOMONTH(B17,0))*
 (FOREX!$J$2:$J$13=TRIM(E17)),
 FOREX!$K$2:$K$13,
 100)</f>
        <v>654.54025000000001</v>
      </c>
      <c r="H17" t="s">
        <v>1576</v>
      </c>
      <c r="I17" s="30" t="s">
        <v>364</v>
      </c>
      <c r="J17" s="35" t="str">
        <f>_xlfn.XLOOKUP(I17,costcategory[Account Code],costcategory[Cost Category],"ERROR")</f>
        <v>Headcount Costs</v>
      </c>
      <c r="K17" s="22" t="s">
        <v>347</v>
      </c>
      <c r="L17" s="89" t="str">
        <f>_xlfn.XLOOKUP(K17,Table2[Department],Table2[Group],"ERROR")</f>
        <v>Research &amp; Development</v>
      </c>
      <c r="P17" s="92" t="s">
        <v>19</v>
      </c>
      <c r="Q17" s="39">
        <v>20055.067226400002</v>
      </c>
      <c r="R17" s="39">
        <v>21107.117710230003</v>
      </c>
      <c r="S17" s="39">
        <v>28066.639771019996</v>
      </c>
      <c r="T17" s="39">
        <v>20985.799955810002</v>
      </c>
      <c r="U17" s="39">
        <v>781.31300127000009</v>
      </c>
      <c r="V17" s="39">
        <v>90995.937664730009</v>
      </c>
    </row>
    <row r="18" spans="1:22" x14ac:dyDescent="0.2">
      <c r="A18" t="s">
        <v>3</v>
      </c>
      <c r="B18" s="38">
        <v>46053</v>
      </c>
      <c r="C18" s="38">
        <v>46067</v>
      </c>
      <c r="D18" t="s">
        <v>1570</v>
      </c>
      <c r="E18" t="s">
        <v>79</v>
      </c>
      <c r="F18" s="1">
        <v>4200</v>
      </c>
      <c r="G18" s="37" cm="1">
        <f t="array" ref="G18">F18*_xlfn.XLOOKUP(1,
 (FOREX!$I$2:$I$13=EOMONTH(B18,0))*
 (FOREX!$J$2:$J$13=TRIM(E18)),
 FOREX!$K$2:$K$13,
 100)</f>
        <v>604.19100000000003</v>
      </c>
      <c r="H18" t="s">
        <v>1576</v>
      </c>
      <c r="I18" s="30" t="s">
        <v>364</v>
      </c>
      <c r="J18" s="35" t="str">
        <f>_xlfn.XLOOKUP(I18,costcategory[Account Code],costcategory[Cost Category],"ERROR")</f>
        <v>Headcount Costs</v>
      </c>
      <c r="K18" s="22" t="s">
        <v>347</v>
      </c>
      <c r="L18" s="89" t="str">
        <f>_xlfn.XLOOKUP(K18,Table2[Department],Table2[Group],"ERROR")</f>
        <v>Research &amp; Development</v>
      </c>
    </row>
    <row r="19" spans="1:22" x14ac:dyDescent="0.2">
      <c r="A19" t="s">
        <v>3</v>
      </c>
      <c r="B19" s="38">
        <v>46053</v>
      </c>
      <c r="C19" s="38">
        <v>46067</v>
      </c>
      <c r="D19" t="s">
        <v>1571</v>
      </c>
      <c r="E19" t="s">
        <v>79</v>
      </c>
      <c r="F19" s="1">
        <v>2520</v>
      </c>
      <c r="G19" s="37" cm="1">
        <f t="array" ref="G19">F19*_xlfn.XLOOKUP(1,
 (FOREX!$I$2:$I$13=EOMONTH(B19,0))*
 (FOREX!$J$2:$J$13=TRIM(E19)),
 FOREX!$K$2:$K$13,
 100)</f>
        <v>362.51460000000003</v>
      </c>
      <c r="H19" t="s">
        <v>1576</v>
      </c>
      <c r="I19" s="30" t="s">
        <v>364</v>
      </c>
      <c r="J19" s="35" t="str">
        <f>_xlfn.XLOOKUP(I19,costcategory[Account Code],costcategory[Cost Category],"ERROR")</f>
        <v>Headcount Costs</v>
      </c>
      <c r="K19" s="22" t="s">
        <v>347</v>
      </c>
      <c r="L19" s="89" t="str">
        <f>_xlfn.XLOOKUP(K19,Table2[Department],Table2[Group],"ERROR")</f>
        <v>Research &amp; Development</v>
      </c>
    </row>
    <row r="20" spans="1:22" x14ac:dyDescent="0.2">
      <c r="A20" t="s">
        <v>3</v>
      </c>
      <c r="B20" s="38">
        <v>46053</v>
      </c>
      <c r="C20" s="38">
        <v>46067</v>
      </c>
      <c r="D20" t="s">
        <v>1572</v>
      </c>
      <c r="E20" t="s">
        <v>79</v>
      </c>
      <c r="F20" s="1">
        <v>8331.81</v>
      </c>
      <c r="G20" s="37" cm="1">
        <f t="array" ref="G20">F20*_xlfn.XLOOKUP(1,
 (FOREX!$I$2:$I$13=EOMONTH(B20,0))*
 (FOREX!$J$2:$J$13=TRIM(E20)),
 FOREX!$K$2:$K$13,
 100)</f>
        <v>1198.5725275499999</v>
      </c>
      <c r="H20" t="s">
        <v>1575</v>
      </c>
      <c r="I20" s="30" t="s">
        <v>364</v>
      </c>
      <c r="J20" s="35" t="str">
        <f>_xlfn.XLOOKUP(I20,costcategory[Account Code],costcategory[Cost Category],"ERROR")</f>
        <v>Headcount Costs</v>
      </c>
      <c r="K20" s="22" t="s">
        <v>347</v>
      </c>
      <c r="L20" s="89" t="str">
        <f>_xlfn.XLOOKUP(K20,Table2[Department],Table2[Group],"ERROR")</f>
        <v>Research &amp; Development</v>
      </c>
    </row>
    <row r="21" spans="1:22" x14ac:dyDescent="0.2">
      <c r="A21" t="s">
        <v>3</v>
      </c>
      <c r="B21" s="38">
        <v>46053</v>
      </c>
      <c r="C21" s="38">
        <v>46067</v>
      </c>
      <c r="D21" t="s">
        <v>1572</v>
      </c>
      <c r="E21" t="s">
        <v>79</v>
      </c>
      <c r="F21" s="1">
        <v>3000</v>
      </c>
      <c r="G21" s="37" cm="1">
        <f t="array" ref="G21">F21*_xlfn.XLOOKUP(1,
 (FOREX!$I$2:$I$13=EOMONTH(B21,0))*
 (FOREX!$J$2:$J$13=TRIM(E21)),
 FOREX!$K$2:$K$13,
 100)</f>
        <v>431.56500000000005</v>
      </c>
      <c r="H21" t="s">
        <v>1576</v>
      </c>
      <c r="I21" s="30" t="s">
        <v>364</v>
      </c>
      <c r="J21" s="35" t="str">
        <f>_xlfn.XLOOKUP(I21,costcategory[Account Code],costcategory[Cost Category],"ERROR")</f>
        <v>Headcount Costs</v>
      </c>
      <c r="K21" s="22" t="s">
        <v>347</v>
      </c>
      <c r="L21" s="89" t="str">
        <f>_xlfn.XLOOKUP(K21,Table2[Department],Table2[Group],"ERROR")</f>
        <v>Research &amp; Development</v>
      </c>
      <c r="P21" t="s">
        <v>1577</v>
      </c>
    </row>
    <row r="22" spans="1:22" x14ac:dyDescent="0.2">
      <c r="A22" t="s">
        <v>3</v>
      </c>
      <c r="B22" s="38">
        <v>46081</v>
      </c>
      <c r="C22" s="38">
        <v>46080</v>
      </c>
      <c r="D22" t="s">
        <v>1568</v>
      </c>
      <c r="E22" t="s">
        <v>79</v>
      </c>
      <c r="F22" s="37">
        <v>25624.38</v>
      </c>
      <c r="G22" s="37" cm="1">
        <f t="array" ref="G22">F22*_xlfn.XLOOKUP(1,
 (FOREX!$I$2:$I$13=EOMONTH(B22,0))*
 (FOREX!$J$2:$J$13=TRIM(E22)),
 FOREX!$K$2:$K$13,
 100)</f>
        <v>3735.9577308600005</v>
      </c>
      <c r="H22" t="s">
        <v>400</v>
      </c>
      <c r="I22" s="30" t="s">
        <v>387</v>
      </c>
      <c r="J22" s="35" t="str">
        <f>_xlfn.XLOOKUP(I22,costcategory[Account Code],costcategory[Cost Category],"ERROR")</f>
        <v>Headcount Costs</v>
      </c>
      <c r="K22" s="22" t="s">
        <v>347</v>
      </c>
      <c r="L22" s="89" t="str">
        <f>_xlfn.XLOOKUP(K22,Table2[Department],Table2[Group],"ERROR")</f>
        <v>Research &amp; Development</v>
      </c>
      <c r="P22" s="64" t="s">
        <v>11</v>
      </c>
      <c r="Q22" s="64" t="s">
        <v>40</v>
      </c>
    </row>
    <row r="23" spans="1:22" x14ac:dyDescent="0.2">
      <c r="A23" t="s">
        <v>3</v>
      </c>
      <c r="B23" s="38">
        <v>46081</v>
      </c>
      <c r="C23" s="38">
        <v>46080</v>
      </c>
      <c r="D23" t="s">
        <v>1570</v>
      </c>
      <c r="E23" t="s">
        <v>79</v>
      </c>
      <c r="F23" s="37">
        <v>24167.5</v>
      </c>
      <c r="G23" s="37" cm="1">
        <f t="array" ref="G23">F23*_xlfn.XLOOKUP(1,
 (FOREX!$I$2:$I$13=EOMONTH(B23,0))*
 (FOREX!$J$2:$J$13=TRIM(E23)),
 FOREX!$K$2:$K$13,
 100)</f>
        <v>3523.5489975</v>
      </c>
      <c r="H23" t="s">
        <v>400</v>
      </c>
      <c r="I23" s="30" t="s">
        <v>387</v>
      </c>
      <c r="J23" s="35" t="str">
        <f>_xlfn.XLOOKUP(I23,costcategory[Account Code],costcategory[Cost Category],"ERROR")</f>
        <v>Headcount Costs</v>
      </c>
      <c r="K23" s="22" t="s">
        <v>347</v>
      </c>
      <c r="L23" s="89" t="str">
        <f>_xlfn.XLOOKUP(K23,Table2[Department],Table2[Group],"ERROR")</f>
        <v>Research &amp; Development</v>
      </c>
      <c r="Q23" t="s">
        <v>9</v>
      </c>
      <c r="R23" t="s">
        <v>26</v>
      </c>
      <c r="S23" t="s">
        <v>27</v>
      </c>
      <c r="T23" t="s">
        <v>36</v>
      </c>
      <c r="U23" t="s">
        <v>12</v>
      </c>
      <c r="V23" t="s">
        <v>19</v>
      </c>
    </row>
    <row r="24" spans="1:22" x14ac:dyDescent="0.2">
      <c r="A24" t="s">
        <v>3</v>
      </c>
      <c r="B24" s="38">
        <v>46081</v>
      </c>
      <c r="C24" s="38">
        <v>46080</v>
      </c>
      <c r="D24" t="s">
        <v>1571</v>
      </c>
      <c r="E24" t="s">
        <v>79</v>
      </c>
      <c r="F24" s="37">
        <v>14554.5</v>
      </c>
      <c r="G24" s="37" cm="1">
        <f t="array" ref="G24">F24*_xlfn.XLOOKUP(1,
 (FOREX!$I$2:$I$13=EOMONTH(B24,0))*
 (FOREX!$J$2:$J$13=TRIM(E24)),
 FOREX!$K$2:$K$13,
 100)</f>
        <v>2122.0024364999999</v>
      </c>
      <c r="H24" t="s">
        <v>400</v>
      </c>
      <c r="I24" s="30" t="s">
        <v>387</v>
      </c>
      <c r="J24" s="35" t="str">
        <f>_xlfn.XLOOKUP(I24,costcategory[Account Code],costcategory[Cost Category],"ERROR")</f>
        <v>Headcount Costs</v>
      </c>
      <c r="K24" s="22" t="s">
        <v>354</v>
      </c>
      <c r="L24" s="89" t="str">
        <f>_xlfn.XLOOKUP(K24,Table2[Department],Table2[Group],"ERROR")</f>
        <v>Sales &amp; Marketing</v>
      </c>
    </row>
    <row r="25" spans="1:22" x14ac:dyDescent="0.2">
      <c r="A25" t="s">
        <v>3</v>
      </c>
      <c r="B25" s="38">
        <v>46081</v>
      </c>
      <c r="C25" s="38">
        <v>46080</v>
      </c>
      <c r="D25" t="s">
        <v>1572</v>
      </c>
      <c r="E25" t="s">
        <v>79</v>
      </c>
      <c r="F25" s="37">
        <v>25327.05</v>
      </c>
      <c r="G25" s="37" cm="1">
        <f t="array" ref="G25">F25*_xlfn.XLOOKUP(1,
 (FOREX!$I$2:$I$13=EOMONTH(B25,0))*
 (FOREX!$J$2:$J$13=TRIM(E25)),
 FOREX!$K$2:$K$13,
 100)</f>
        <v>3692.6079088500001</v>
      </c>
      <c r="H25" t="s">
        <v>400</v>
      </c>
      <c r="I25" s="30" t="s">
        <v>387</v>
      </c>
      <c r="J25" s="35" t="str">
        <f>_xlfn.XLOOKUP(I25,costcategory[Account Code],costcategory[Cost Category],"ERROR")</f>
        <v>Headcount Costs</v>
      </c>
      <c r="K25" s="22" t="s">
        <v>347</v>
      </c>
      <c r="L25" s="89" t="str">
        <f>_xlfn.XLOOKUP(K25,Table2[Department],Table2[Group],"ERROR")</f>
        <v>Research &amp; Development</v>
      </c>
      <c r="P25" s="64" t="s">
        <v>65</v>
      </c>
    </row>
    <row r="26" spans="1:22" x14ac:dyDescent="0.2">
      <c r="A26" t="s">
        <v>3</v>
      </c>
      <c r="B26" s="38">
        <v>46081</v>
      </c>
      <c r="C26" s="38">
        <v>46080</v>
      </c>
      <c r="D26" t="s">
        <v>1568</v>
      </c>
      <c r="E26" t="s">
        <v>79</v>
      </c>
      <c r="F26" s="37">
        <v>1188.1199999999999</v>
      </c>
      <c r="G26" s="37" cm="1">
        <f t="array" ref="G26">F26*_xlfn.XLOOKUP(1,
 (FOREX!$I$2:$I$13=EOMONTH(B26,0))*
 (FOREX!$J$2:$J$13=TRIM(E26)),
 FOREX!$K$2:$K$13,
 100)</f>
        <v>173.22433164</v>
      </c>
      <c r="H26" t="s">
        <v>1578</v>
      </c>
      <c r="I26" s="30" t="s">
        <v>387</v>
      </c>
      <c r="J26" s="35" t="str">
        <f>_xlfn.XLOOKUP(I26,costcategory[Account Code],costcategory[Cost Category],"ERROR")</f>
        <v>Headcount Costs</v>
      </c>
      <c r="K26" s="22" t="s">
        <v>347</v>
      </c>
      <c r="L26" s="89" t="str">
        <f>_xlfn.XLOOKUP(K26,Table2[Department],Table2[Group],"ERROR")</f>
        <v>Research &amp; Development</v>
      </c>
      <c r="P26" s="65" t="s">
        <v>55</v>
      </c>
      <c r="Q26" s="39">
        <v>10359.731922790001</v>
      </c>
      <c r="R26" s="39">
        <v>18770.140347460001</v>
      </c>
      <c r="S26" s="39">
        <v>28758.94196996</v>
      </c>
      <c r="T26" s="39">
        <v>11683.357645530001</v>
      </c>
      <c r="U26" s="39">
        <v>7100.5977269100003</v>
      </c>
      <c r="V26" s="39">
        <v>76672.769612650009</v>
      </c>
    </row>
    <row r="27" spans="1:22" x14ac:dyDescent="0.2">
      <c r="A27" t="s">
        <v>3</v>
      </c>
      <c r="B27" s="38">
        <v>46081</v>
      </c>
      <c r="C27" s="38">
        <v>46080</v>
      </c>
      <c r="D27" t="s">
        <v>1570</v>
      </c>
      <c r="E27" t="s">
        <v>79</v>
      </c>
      <c r="F27" s="37">
        <v>582.5</v>
      </c>
      <c r="G27" s="37" cm="1">
        <f t="array" ref="G27">F27*_xlfn.XLOOKUP(1,
 (FOREX!$I$2:$I$13=EOMONTH(B27,0))*
 (FOREX!$J$2:$J$13=TRIM(E27)),
 FOREX!$K$2:$K$13,
 100)</f>
        <v>84.926752500000006</v>
      </c>
      <c r="H27" t="s">
        <v>1578</v>
      </c>
      <c r="I27" s="30" t="s">
        <v>387</v>
      </c>
      <c r="J27" s="35" t="str">
        <f>_xlfn.XLOOKUP(I27,costcategory[Account Code],costcategory[Cost Category],"ERROR")</f>
        <v>Headcount Costs</v>
      </c>
      <c r="K27" s="22" t="s">
        <v>347</v>
      </c>
      <c r="L27" s="89" t="str">
        <f>_xlfn.XLOOKUP(K27,Table2[Department],Table2[Group],"ERROR")</f>
        <v>Research &amp; Development</v>
      </c>
      <c r="P27" s="66" t="s">
        <v>347</v>
      </c>
      <c r="Q27" s="39">
        <v>10359.731922790001</v>
      </c>
      <c r="R27" s="39">
        <v>18770.140347460001</v>
      </c>
      <c r="S27" s="39">
        <v>28758.94196996</v>
      </c>
      <c r="T27" s="39">
        <v>11683.357645530001</v>
      </c>
      <c r="U27" s="39">
        <v>7100.5977269100003</v>
      </c>
      <c r="V27" s="39">
        <v>76672.769612650009</v>
      </c>
    </row>
    <row r="28" spans="1:22" x14ac:dyDescent="0.2">
      <c r="A28" t="s">
        <v>3</v>
      </c>
      <c r="B28" s="38">
        <v>46081</v>
      </c>
      <c r="C28" s="38">
        <v>46080</v>
      </c>
      <c r="D28" t="s">
        <v>1571</v>
      </c>
      <c r="E28" t="s">
        <v>79</v>
      </c>
      <c r="F28" s="37">
        <v>295.5</v>
      </c>
      <c r="G28" s="37" cm="1">
        <f t="array" ref="G28">F28*_xlfn.XLOOKUP(1,
 (FOREX!$I$2:$I$13=EOMONTH(B28,0))*
 (FOREX!$J$2:$J$13=TRIM(E28)),
 FOREX!$K$2:$K$13,
 100)</f>
        <v>43.0830135</v>
      </c>
      <c r="H28" t="s">
        <v>1578</v>
      </c>
      <c r="I28" s="30" t="s">
        <v>387</v>
      </c>
      <c r="J28" s="35" t="str">
        <f>_xlfn.XLOOKUP(I28,costcategory[Account Code],costcategory[Cost Category],"ERROR")</f>
        <v>Headcount Costs</v>
      </c>
      <c r="K28" s="22" t="s">
        <v>354</v>
      </c>
      <c r="L28" s="89" t="str">
        <f>_xlfn.XLOOKUP(K28,Table2[Department],Table2[Group],"ERROR")</f>
        <v>Sales &amp; Marketing</v>
      </c>
      <c r="P28" s="87" t="s">
        <v>464</v>
      </c>
      <c r="Q28" s="39"/>
      <c r="R28" s="39">
        <v>605.95711749000009</v>
      </c>
      <c r="S28" s="39"/>
      <c r="T28" s="39"/>
      <c r="U28" s="39"/>
      <c r="V28" s="39">
        <v>605.95711749000009</v>
      </c>
    </row>
    <row r="29" spans="1:22" x14ac:dyDescent="0.2">
      <c r="A29" t="s">
        <v>3</v>
      </c>
      <c r="B29" s="38">
        <v>46081</v>
      </c>
      <c r="C29" s="38">
        <v>46080</v>
      </c>
      <c r="D29" t="s">
        <v>1572</v>
      </c>
      <c r="E29" t="s">
        <v>79</v>
      </c>
      <c r="F29" s="37">
        <v>1127.23</v>
      </c>
      <c r="G29" s="37" cm="1">
        <f t="array" ref="G29">F29*_xlfn.XLOOKUP(1,
 (FOREX!$I$2:$I$13=EOMONTH(B29,0))*
 (FOREX!$J$2:$J$13=TRIM(E29)),
 FOREX!$K$2:$K$13,
 100)</f>
        <v>164.34675231000003</v>
      </c>
      <c r="H29" t="s">
        <v>1578</v>
      </c>
      <c r="I29" s="30" t="s">
        <v>387</v>
      </c>
      <c r="J29" s="35" t="str">
        <f>_xlfn.XLOOKUP(I29,costcategory[Account Code],costcategory[Cost Category],"ERROR")</f>
        <v>Headcount Costs</v>
      </c>
      <c r="K29" s="22" t="s">
        <v>347</v>
      </c>
      <c r="L29" s="89" t="str">
        <f>_xlfn.XLOOKUP(K29,Table2[Department],Table2[Group],"ERROR")</f>
        <v>Research &amp; Development</v>
      </c>
      <c r="P29" s="87" t="s">
        <v>387</v>
      </c>
      <c r="Q29" s="39">
        <v>10359.731922790001</v>
      </c>
      <c r="R29" s="39">
        <v>11640.098602420001</v>
      </c>
      <c r="S29" s="39">
        <v>10417.494480490001</v>
      </c>
      <c r="T29" s="39">
        <v>11309.23296243</v>
      </c>
      <c r="U29" s="39">
        <v>891.74138111999991</v>
      </c>
      <c r="V29" s="39">
        <v>44618.299349250003</v>
      </c>
    </row>
    <row r="30" spans="1:22" x14ac:dyDescent="0.2">
      <c r="A30" t="s">
        <v>3</v>
      </c>
      <c r="B30" s="38">
        <v>46081</v>
      </c>
      <c r="C30" s="38">
        <v>46097</v>
      </c>
      <c r="D30" t="s">
        <v>1568</v>
      </c>
      <c r="E30" t="s">
        <v>79</v>
      </c>
      <c r="F30" s="37">
        <v>11830</v>
      </c>
      <c r="G30" s="37" cm="1">
        <f t="array" ref="G30">F30*_xlfn.XLOOKUP(1,
 (FOREX!$I$2:$I$13=EOMONTH(B30,0))*
 (FOREX!$J$2:$J$13=TRIM(E30)),
 FOREX!$K$2:$K$13,
 100)</f>
        <v>1724.7785100000001</v>
      </c>
      <c r="H30" t="s">
        <v>1579</v>
      </c>
      <c r="I30" s="30" t="s">
        <v>364</v>
      </c>
      <c r="J30" s="35" t="str">
        <f>_xlfn.XLOOKUP(I30,costcategory[Account Code],costcategory[Cost Category],"ERROR")</f>
        <v>Headcount Costs</v>
      </c>
      <c r="K30" s="22" t="s">
        <v>347</v>
      </c>
      <c r="L30" s="89" t="str">
        <f>_xlfn.XLOOKUP(K30,Table2[Department],Table2[Group],"ERROR")</f>
        <v>Research &amp; Development</v>
      </c>
      <c r="P30" s="87" t="s">
        <v>1160</v>
      </c>
      <c r="Q30" s="39"/>
      <c r="R30" s="39"/>
      <c r="S30" s="39">
        <v>12096.6980869</v>
      </c>
      <c r="T30" s="39">
        <v>374.12468309999997</v>
      </c>
      <c r="U30" s="39"/>
      <c r="V30" s="39">
        <v>12470.822770000001</v>
      </c>
    </row>
    <row r="31" spans="1:22" x14ac:dyDescent="0.2">
      <c r="A31" t="s">
        <v>3</v>
      </c>
      <c r="B31" s="38">
        <v>46081</v>
      </c>
      <c r="C31" s="38">
        <v>46097</v>
      </c>
      <c r="D31" t="s">
        <v>1570</v>
      </c>
      <c r="E31" t="s">
        <v>79</v>
      </c>
      <c r="F31" s="37">
        <v>10920</v>
      </c>
      <c r="G31" s="37" cm="1">
        <f t="array" ref="G31">F31*_xlfn.XLOOKUP(1,
 (FOREX!$I$2:$I$13=EOMONTH(B31,0))*
 (FOREX!$J$2:$J$13=TRIM(E31)),
 FOREX!$K$2:$K$13,
 100)</f>
        <v>1592.1032400000001</v>
      </c>
      <c r="H31" t="s">
        <v>1580</v>
      </c>
      <c r="I31" s="30" t="s">
        <v>364</v>
      </c>
      <c r="J31" s="35" t="str">
        <f>_xlfn.XLOOKUP(I31,costcategory[Account Code],costcategory[Cost Category],"ERROR")</f>
        <v>Headcount Costs</v>
      </c>
      <c r="K31" s="22" t="s">
        <v>347</v>
      </c>
      <c r="L31" s="89" t="str">
        <f>_xlfn.XLOOKUP(K31,Table2[Department],Table2[Group],"ERROR")</f>
        <v>Research &amp; Development</v>
      </c>
      <c r="P31" s="87" t="s">
        <v>364</v>
      </c>
      <c r="Q31" s="39"/>
      <c r="R31" s="39">
        <v>6524.0846275500007</v>
      </c>
      <c r="S31" s="39">
        <v>6244.7494025699998</v>
      </c>
      <c r="T31" s="39"/>
      <c r="U31" s="39">
        <v>6208.8563457900009</v>
      </c>
      <c r="V31" s="39">
        <v>18977.690375910002</v>
      </c>
    </row>
    <row r="32" spans="1:22" x14ac:dyDescent="0.2">
      <c r="A32" t="s">
        <v>3</v>
      </c>
      <c r="B32" s="38">
        <v>46081</v>
      </c>
      <c r="C32" s="38">
        <v>46097</v>
      </c>
      <c r="D32" t="s">
        <v>1571</v>
      </c>
      <c r="E32" t="s">
        <v>79</v>
      </c>
      <c r="F32" s="37">
        <v>6552</v>
      </c>
      <c r="G32" s="37" cm="1">
        <f t="array" ref="G32">F32*_xlfn.XLOOKUP(1,
 (FOREX!$I$2:$I$13=EOMONTH(B32,0))*
 (FOREX!$J$2:$J$13=TRIM(E32)),
 FOREX!$K$2:$K$13,
 100)</f>
        <v>955.26194400000008</v>
      </c>
      <c r="H32" t="s">
        <v>1580</v>
      </c>
      <c r="I32" s="30" t="s">
        <v>364</v>
      </c>
      <c r="J32" s="35" t="str">
        <f>_xlfn.XLOOKUP(I32,costcategory[Account Code],costcategory[Cost Category],"ERROR")</f>
        <v>Headcount Costs</v>
      </c>
      <c r="K32" s="22" t="s">
        <v>354</v>
      </c>
      <c r="L32" s="89" t="str">
        <f>_xlfn.XLOOKUP(K32,Table2[Department],Table2[Group],"ERROR")</f>
        <v>Sales &amp; Marketing</v>
      </c>
      <c r="P32" s="65" t="s">
        <v>61</v>
      </c>
      <c r="Q32" s="39">
        <v>1920.7174348000001</v>
      </c>
      <c r="R32" s="39">
        <v>3325.4884462800001</v>
      </c>
      <c r="S32" s="39">
        <v>5502.39934533</v>
      </c>
      <c r="T32" s="39">
        <v>2182.1591511700003</v>
      </c>
      <c r="U32" s="39">
        <v>1392.4036745000001</v>
      </c>
      <c r="V32" s="39">
        <v>14323.16805208</v>
      </c>
    </row>
    <row r="33" spans="1:22" x14ac:dyDescent="0.2">
      <c r="A33" t="s">
        <v>3</v>
      </c>
      <c r="B33" s="38">
        <v>46081</v>
      </c>
      <c r="C33" s="38">
        <v>46097</v>
      </c>
      <c r="D33" t="s">
        <v>1568</v>
      </c>
      <c r="E33" t="s">
        <v>79</v>
      </c>
      <c r="F33" s="37">
        <v>4550</v>
      </c>
      <c r="G33" s="37" cm="1">
        <f t="array" ref="G33">F33*_xlfn.XLOOKUP(1,
 (FOREX!$I$2:$I$13=EOMONTH(B33,0))*
 (FOREX!$J$2:$J$13=TRIM(E33)),
 FOREX!$K$2:$K$13,
 100)</f>
        <v>663.37635</v>
      </c>
      <c r="H33" t="s">
        <v>1581</v>
      </c>
      <c r="I33" s="30" t="s">
        <v>364</v>
      </c>
      <c r="J33" s="35" t="str">
        <f>_xlfn.XLOOKUP(I33,costcategory[Account Code],costcategory[Cost Category],"ERROR")</f>
        <v>Headcount Costs</v>
      </c>
      <c r="K33" s="22" t="s">
        <v>347</v>
      </c>
      <c r="L33" s="89" t="str">
        <f>_xlfn.XLOOKUP(K33,Table2[Department],Table2[Group],"ERROR")</f>
        <v>Research &amp; Development</v>
      </c>
      <c r="P33" s="66" t="s">
        <v>354</v>
      </c>
      <c r="Q33" s="39">
        <v>1920.7174348000001</v>
      </c>
      <c r="R33" s="39">
        <v>3325.4884462800001</v>
      </c>
      <c r="S33" s="39">
        <v>5502.39934533</v>
      </c>
      <c r="T33" s="39">
        <v>2182.1591511700003</v>
      </c>
      <c r="U33" s="39">
        <v>1392.4036745000001</v>
      </c>
      <c r="V33" s="39">
        <v>14323.16805208</v>
      </c>
    </row>
    <row r="34" spans="1:22" x14ac:dyDescent="0.2">
      <c r="A34" t="s">
        <v>3</v>
      </c>
      <c r="B34" s="38">
        <v>46081</v>
      </c>
      <c r="C34" s="38">
        <v>46097</v>
      </c>
      <c r="D34" t="s">
        <v>1570</v>
      </c>
      <c r="E34" t="s">
        <v>79</v>
      </c>
      <c r="F34" s="37">
        <v>4200</v>
      </c>
      <c r="G34" s="37" cm="1">
        <f t="array" ref="G34">F34*_xlfn.XLOOKUP(1,
 (FOREX!$I$2:$I$13=EOMONTH(B34,0))*
 (FOREX!$J$2:$J$13=TRIM(E34)),
 FOREX!$K$2:$K$13,
 100)</f>
        <v>612.34739999999999</v>
      </c>
      <c r="H34" t="s">
        <v>1581</v>
      </c>
      <c r="I34" s="30" t="s">
        <v>364</v>
      </c>
      <c r="J34" s="35" t="str">
        <f>_xlfn.XLOOKUP(I34,costcategory[Account Code],costcategory[Cost Category],"ERROR")</f>
        <v>Headcount Costs</v>
      </c>
      <c r="K34" s="22" t="s">
        <v>347</v>
      </c>
      <c r="L34" s="89" t="str">
        <f>_xlfn.XLOOKUP(K34,Table2[Department],Table2[Group],"ERROR")</f>
        <v>Research &amp; Development</v>
      </c>
      <c r="P34" s="87" t="s">
        <v>464</v>
      </c>
      <c r="Q34" s="39"/>
      <c r="R34" s="39">
        <v>175.35588378</v>
      </c>
      <c r="S34" s="39"/>
      <c r="T34" s="39"/>
      <c r="U34" s="39"/>
      <c r="V34" s="39">
        <v>175.35588378</v>
      </c>
    </row>
    <row r="35" spans="1:22" x14ac:dyDescent="0.2">
      <c r="A35" t="s">
        <v>3</v>
      </c>
      <c r="B35" s="38">
        <v>46081</v>
      </c>
      <c r="C35" s="38">
        <v>46097</v>
      </c>
      <c r="D35" t="s">
        <v>1571</v>
      </c>
      <c r="E35" t="s">
        <v>79</v>
      </c>
      <c r="F35" s="37">
        <v>2520</v>
      </c>
      <c r="G35" s="37" cm="1">
        <f t="array" ref="G35">F35*_xlfn.XLOOKUP(1,
 (FOREX!$I$2:$I$13=EOMONTH(B35,0))*
 (FOREX!$J$2:$J$13=TRIM(E35)),
 FOREX!$K$2:$K$13,
 100)</f>
        <v>367.40844000000004</v>
      </c>
      <c r="H35" t="s">
        <v>1581</v>
      </c>
      <c r="I35" s="30" t="s">
        <v>364</v>
      </c>
      <c r="J35" s="35" t="str">
        <f>_xlfn.XLOOKUP(I35,costcategory[Account Code],costcategory[Cost Category],"ERROR")</f>
        <v>Headcount Costs</v>
      </c>
      <c r="K35" s="22" t="s">
        <v>354</v>
      </c>
      <c r="L35" s="89" t="str">
        <f>_xlfn.XLOOKUP(K35,Table2[Department],Table2[Group],"ERROR")</f>
        <v>Sales &amp; Marketing</v>
      </c>
      <c r="P35" s="87" t="s">
        <v>387</v>
      </c>
      <c r="Q35" s="39">
        <v>1920.7174348000001</v>
      </c>
      <c r="R35" s="39">
        <v>2207.5946024999998</v>
      </c>
      <c r="S35" s="39">
        <v>2109.8057655000002</v>
      </c>
      <c r="T35" s="39">
        <v>2118.1409080000003</v>
      </c>
      <c r="U35" s="39">
        <v>77.335626500000004</v>
      </c>
      <c r="V35" s="39">
        <v>8433.5943373000009</v>
      </c>
    </row>
    <row r="36" spans="1:22" x14ac:dyDescent="0.2">
      <c r="A36" t="s">
        <v>3</v>
      </c>
      <c r="B36" s="38">
        <v>46081</v>
      </c>
      <c r="C36" s="38">
        <v>46097</v>
      </c>
      <c r="D36" t="s">
        <v>1572</v>
      </c>
      <c r="E36" t="s">
        <v>79</v>
      </c>
      <c r="F36" s="37">
        <v>8331.81</v>
      </c>
      <c r="G36" s="37" cm="1">
        <f t="array" ref="G36">F36*_xlfn.XLOOKUP(1,
 (FOREX!$I$2:$I$13=EOMONTH(B36,0))*
 (FOREX!$J$2:$J$13=TRIM(E36)),
 FOREX!$K$2:$K$13,
 100)</f>
        <v>1214.7529025700001</v>
      </c>
      <c r="H36" t="s">
        <v>1580</v>
      </c>
      <c r="I36" s="30" t="s">
        <v>364</v>
      </c>
      <c r="J36" s="35" t="str">
        <f>_xlfn.XLOOKUP(I36,costcategory[Account Code],costcategory[Cost Category],"ERROR")</f>
        <v>Headcount Costs</v>
      </c>
      <c r="K36" s="22" t="s">
        <v>347</v>
      </c>
      <c r="L36" s="89" t="str">
        <f>_xlfn.XLOOKUP(K36,Table2[Department],Table2[Group],"ERROR")</f>
        <v>Research &amp; Development</v>
      </c>
      <c r="P36" s="87" t="s">
        <v>1160</v>
      </c>
      <c r="Q36" s="39"/>
      <c r="R36" s="39"/>
      <c r="S36" s="39">
        <v>2069.9231958300002</v>
      </c>
      <c r="T36" s="39">
        <v>64.018243170000005</v>
      </c>
      <c r="U36" s="39"/>
      <c r="V36" s="39">
        <v>2133.9414390000002</v>
      </c>
    </row>
    <row r="37" spans="1:22" x14ac:dyDescent="0.2">
      <c r="A37" t="s">
        <v>3</v>
      </c>
      <c r="B37" s="38">
        <v>46081</v>
      </c>
      <c r="C37" s="38">
        <v>46097</v>
      </c>
      <c r="D37" t="s">
        <v>1572</v>
      </c>
      <c r="E37" t="s">
        <v>79</v>
      </c>
      <c r="F37" s="37">
        <v>3000</v>
      </c>
      <c r="G37" s="37" cm="1">
        <f t="array" ref="G37">F37*_xlfn.XLOOKUP(1,
 (FOREX!$I$2:$I$13=EOMONTH(B37,0))*
 (FOREX!$J$2:$J$13=TRIM(E37)),
 FOREX!$K$2:$K$13,
 100)</f>
        <v>437.39100000000002</v>
      </c>
      <c r="H37" t="s">
        <v>1581</v>
      </c>
      <c r="I37" s="30" t="s">
        <v>364</v>
      </c>
      <c r="J37" s="35" t="str">
        <f>_xlfn.XLOOKUP(I37,costcategory[Account Code],costcategory[Cost Category],"ERROR")</f>
        <v>Headcount Costs</v>
      </c>
      <c r="K37" s="22" t="s">
        <v>347</v>
      </c>
      <c r="L37" s="89" t="str">
        <f>_xlfn.XLOOKUP(K37,Table2[Department],Table2[Group],"ERROR")</f>
        <v>Research &amp; Development</v>
      </c>
      <c r="P37" s="87" t="s">
        <v>364</v>
      </c>
      <c r="Q37" s="39"/>
      <c r="R37" s="39">
        <v>942.53796000000011</v>
      </c>
      <c r="S37" s="39">
        <v>1322.670384</v>
      </c>
      <c r="T37" s="39"/>
      <c r="U37" s="39">
        <v>1315.0680480000001</v>
      </c>
      <c r="V37" s="39">
        <v>3580.2763920000002</v>
      </c>
    </row>
    <row r="38" spans="1:22" x14ac:dyDescent="0.2">
      <c r="A38" t="s">
        <v>3</v>
      </c>
      <c r="B38" s="38">
        <v>46112</v>
      </c>
      <c r="C38" s="38">
        <v>46112</v>
      </c>
      <c r="D38" t="s">
        <v>1568</v>
      </c>
      <c r="E38" t="s">
        <v>79</v>
      </c>
      <c r="F38" s="37">
        <v>29538.44</v>
      </c>
      <c r="G38" s="37" cm="1">
        <f t="array" ref="G38">F38*_xlfn.XLOOKUP(1,
 (FOREX!$I$2:$I$13=EOMONTH(B38,0))*
 (FOREX!$J$2:$J$13=TRIM(E38)),
 FOREX!$K$2:$K$13,
 100)</f>
        <v>4281.86272396</v>
      </c>
      <c r="H38" t="s">
        <v>412</v>
      </c>
      <c r="I38" s="30" t="s">
        <v>1160</v>
      </c>
      <c r="J38" s="35" t="str">
        <f>_xlfn.XLOOKUP(I38,costcategory[Account Code],costcategory[Cost Category],"ERROR")</f>
        <v>Headcount Costs</v>
      </c>
      <c r="K38" s="22" t="s">
        <v>347</v>
      </c>
      <c r="L38" s="89" t="str">
        <f>_xlfn.XLOOKUP(K38,Table2[Department],Table2[Group],"ERROR")</f>
        <v>Research &amp; Development</v>
      </c>
      <c r="P38" s="65" t="s">
        <v>19</v>
      </c>
      <c r="Q38" s="39">
        <v>12280.449357590001</v>
      </c>
      <c r="R38" s="39">
        <v>22095.628793740005</v>
      </c>
      <c r="S38" s="39">
        <v>34261.341315289996</v>
      </c>
      <c r="T38" s="39">
        <v>13865.5167967</v>
      </c>
      <c r="U38" s="39">
        <v>8493.0014014100016</v>
      </c>
      <c r="V38" s="39">
        <v>90995.937664730009</v>
      </c>
    </row>
    <row r="39" spans="1:22" x14ac:dyDescent="0.2">
      <c r="A39" t="s">
        <v>3</v>
      </c>
      <c r="B39" s="38">
        <v>46112</v>
      </c>
      <c r="C39" s="38">
        <v>46112</v>
      </c>
      <c r="D39" t="s">
        <v>1570</v>
      </c>
      <c r="E39" t="s">
        <v>79</v>
      </c>
      <c r="F39" s="37">
        <v>25352.89</v>
      </c>
      <c r="G39" s="37" cm="1">
        <f t="array" ref="G39">F39*_xlfn.XLOOKUP(1,
 (FOREX!$I$2:$I$13=EOMONTH(B39,0))*
 (FOREX!$J$2:$J$13=TRIM(E39)),
 FOREX!$K$2:$K$13,
 100)</f>
        <v>3675.1295815100002</v>
      </c>
      <c r="H39" t="s">
        <v>412</v>
      </c>
      <c r="I39" s="30" t="s">
        <v>1160</v>
      </c>
      <c r="J39" s="35" t="str">
        <f>_xlfn.XLOOKUP(I39,costcategory[Account Code],costcategory[Cost Category],"ERROR")</f>
        <v>Headcount Costs</v>
      </c>
      <c r="K39" s="22" t="s">
        <v>347</v>
      </c>
      <c r="L39" s="89" t="str">
        <f>_xlfn.XLOOKUP(K39,Table2[Department],Table2[Group],"ERROR")</f>
        <v>Research &amp; Development</v>
      </c>
    </row>
    <row r="40" spans="1:22" x14ac:dyDescent="0.2">
      <c r="A40" t="s">
        <v>3</v>
      </c>
      <c r="B40" s="38">
        <v>46112</v>
      </c>
      <c r="C40" s="38">
        <v>46112</v>
      </c>
      <c r="D40" t="s">
        <v>1571</v>
      </c>
      <c r="E40" t="s">
        <v>79</v>
      </c>
      <c r="F40" s="37">
        <v>14279.37</v>
      </c>
      <c r="G40" s="37" cm="1">
        <f t="array" ref="G40">F40*_xlfn.XLOOKUP(1,
 (FOREX!$I$2:$I$13=EOMONTH(B40,0))*
 (FOREX!$J$2:$J$13=TRIM(E40)),
 FOREX!$K$2:$K$13,
 100)</f>
        <v>2069.9231958300002</v>
      </c>
      <c r="H40" t="s">
        <v>412</v>
      </c>
      <c r="I40" s="30" t="s">
        <v>1160</v>
      </c>
      <c r="J40" s="35" t="str">
        <f>_xlfn.XLOOKUP(I40,costcategory[Account Code],costcategory[Cost Category],"ERROR")</f>
        <v>Headcount Costs</v>
      </c>
      <c r="K40" s="22" t="s">
        <v>354</v>
      </c>
      <c r="L40" s="89" t="str">
        <f>_xlfn.XLOOKUP(K40,Table2[Department],Table2[Group],"ERROR")</f>
        <v>Sales &amp; Marketing</v>
      </c>
    </row>
    <row r="41" spans="1:22" x14ac:dyDescent="0.2">
      <c r="A41" t="s">
        <v>3</v>
      </c>
      <c r="B41" s="38">
        <v>46112</v>
      </c>
      <c r="C41" s="38">
        <v>46112</v>
      </c>
      <c r="D41" t="s">
        <v>1572</v>
      </c>
      <c r="E41" t="s">
        <v>79</v>
      </c>
      <c r="F41" s="37">
        <v>28557.77</v>
      </c>
      <c r="G41" s="37" cm="1">
        <f t="array" ref="G41">F41*_xlfn.XLOOKUP(1,
 (FOREX!$I$2:$I$13=EOMONTH(B41,0))*
 (FOREX!$J$2:$J$13=TRIM(E41)),
 FOREX!$K$2:$K$13,
 100)</f>
        <v>4139.7057814300006</v>
      </c>
      <c r="H41" t="s">
        <v>412</v>
      </c>
      <c r="I41" s="30" t="s">
        <v>1160</v>
      </c>
      <c r="J41" s="35" t="str">
        <f>_xlfn.XLOOKUP(I41,costcategory[Account Code],costcategory[Cost Category],"ERROR")</f>
        <v>Headcount Costs</v>
      </c>
      <c r="K41" s="22" t="s">
        <v>347</v>
      </c>
      <c r="L41" s="89" t="str">
        <f>_xlfn.XLOOKUP(K41,Table2[Department],Table2[Group],"ERROR")</f>
        <v>Research &amp; Development</v>
      </c>
    </row>
    <row r="42" spans="1:22" x14ac:dyDescent="0.2">
      <c r="A42" t="s">
        <v>3</v>
      </c>
      <c r="B42" s="38">
        <v>46112</v>
      </c>
      <c r="C42" s="38">
        <v>46112</v>
      </c>
      <c r="D42" t="s">
        <v>1568</v>
      </c>
      <c r="E42" t="s">
        <v>79</v>
      </c>
      <c r="F42" s="37">
        <v>24631.25</v>
      </c>
      <c r="G42" s="37" cm="1">
        <f t="array" ref="G42">F42*_xlfn.XLOOKUP(1,
 (FOREX!$I$2:$I$13=EOMONTH(B42,0))*
 (FOREX!$J$2:$J$13=TRIM(E42)),
 FOREX!$K$2:$K$13,
 100)</f>
        <v>3570.52136875</v>
      </c>
      <c r="H42" t="s">
        <v>412</v>
      </c>
      <c r="I42" s="30" t="s">
        <v>387</v>
      </c>
      <c r="J42" s="35" t="str">
        <f>_xlfn.XLOOKUP(I42,costcategory[Account Code],costcategory[Cost Category],"ERROR")</f>
        <v>Headcount Costs</v>
      </c>
      <c r="K42" s="22" t="s">
        <v>347</v>
      </c>
      <c r="L42" s="89" t="str">
        <f>_xlfn.XLOOKUP(K42,Table2[Department],Table2[Group],"ERROR")</f>
        <v>Research &amp; Development</v>
      </c>
    </row>
    <row r="43" spans="1:22" x14ac:dyDescent="0.2">
      <c r="A43" t="s">
        <v>3</v>
      </c>
      <c r="B43" s="38">
        <v>46112</v>
      </c>
      <c r="C43" s="38">
        <v>46112</v>
      </c>
      <c r="D43" t="s">
        <v>1570</v>
      </c>
      <c r="E43" t="s">
        <v>79</v>
      </c>
      <c r="F43" s="37">
        <v>22925</v>
      </c>
      <c r="G43" s="37" cm="1">
        <f t="array" ref="G43">F43*_xlfn.XLOOKUP(1,
 (FOREX!$I$2:$I$13=EOMONTH(B43,0))*
 (FOREX!$J$2:$J$13=TRIM(E43)),
 FOREX!$K$2:$K$13,
 100)</f>
        <v>3323.1850750000003</v>
      </c>
      <c r="H43" t="s">
        <v>412</v>
      </c>
      <c r="I43" s="30" t="s">
        <v>387</v>
      </c>
      <c r="J43" s="35" t="str">
        <f>_xlfn.XLOOKUP(I43,costcategory[Account Code],costcategory[Cost Category],"ERROR")</f>
        <v>Headcount Costs</v>
      </c>
      <c r="K43" s="22" t="s">
        <v>347</v>
      </c>
      <c r="L43" s="89" t="str">
        <f>_xlfn.XLOOKUP(K43,Table2[Department],Table2[Group],"ERROR")</f>
        <v>Research &amp; Development</v>
      </c>
    </row>
    <row r="44" spans="1:22" x14ac:dyDescent="0.2">
      <c r="A44" t="s">
        <v>3</v>
      </c>
      <c r="B44" s="38">
        <v>46112</v>
      </c>
      <c r="C44" s="38">
        <v>46112</v>
      </c>
      <c r="D44" t="s">
        <v>1571</v>
      </c>
      <c r="E44" t="s">
        <v>79</v>
      </c>
      <c r="F44" s="37">
        <v>14554.5</v>
      </c>
      <c r="G44" s="37" cm="1">
        <f t="array" ref="G44">F44*_xlfn.XLOOKUP(1,
 (FOREX!$I$2:$I$13=EOMONTH(B44,0))*
 (FOREX!$J$2:$J$13=TRIM(E44)),
 FOREX!$K$2:$K$13,
 100)</f>
        <v>2109.8057655000002</v>
      </c>
      <c r="H44" t="s">
        <v>412</v>
      </c>
      <c r="I44" s="30" t="s">
        <v>387</v>
      </c>
      <c r="J44" s="35" t="str">
        <f>_xlfn.XLOOKUP(I44,costcategory[Account Code],costcategory[Cost Category],"ERROR")</f>
        <v>Headcount Costs</v>
      </c>
      <c r="K44" s="22" t="s">
        <v>354</v>
      </c>
      <c r="L44" s="89" t="str">
        <f>_xlfn.XLOOKUP(K44,Table2[Department],Table2[Group],"ERROR")</f>
        <v>Sales &amp; Marketing</v>
      </c>
    </row>
    <row r="45" spans="1:22" x14ac:dyDescent="0.2">
      <c r="A45" t="s">
        <v>3</v>
      </c>
      <c r="B45" s="38">
        <v>46112</v>
      </c>
      <c r="C45" s="38">
        <v>46112</v>
      </c>
      <c r="D45" t="s">
        <v>1572</v>
      </c>
      <c r="E45" t="s">
        <v>79</v>
      </c>
      <c r="F45" s="37">
        <v>24308.86</v>
      </c>
      <c r="G45" s="37" cm="1">
        <f t="array" ref="G45">F45*_xlfn.XLOOKUP(1,
 (FOREX!$I$2:$I$13=EOMONTH(B45,0))*
 (FOREX!$J$2:$J$13=TRIM(E45)),
 FOREX!$K$2:$K$13,
 100)</f>
        <v>3523.7880367400003</v>
      </c>
      <c r="H45" t="s">
        <v>412</v>
      </c>
      <c r="I45" s="30" t="s">
        <v>387</v>
      </c>
      <c r="J45" s="35" t="str">
        <f>_xlfn.XLOOKUP(I45,costcategory[Account Code],costcategory[Cost Category],"ERROR")</f>
        <v>Headcount Costs</v>
      </c>
      <c r="K45" s="22" t="s">
        <v>347</v>
      </c>
      <c r="L45" s="89" t="str">
        <f>_xlfn.XLOOKUP(K45,Table2[Department],Table2[Group],"ERROR")</f>
        <v>Research &amp; Development</v>
      </c>
    </row>
    <row r="46" spans="1:22" x14ac:dyDescent="0.2">
      <c r="A46" t="s">
        <v>3</v>
      </c>
      <c r="B46" s="38">
        <v>46112</v>
      </c>
      <c r="C46" s="38">
        <v>46128</v>
      </c>
      <c r="D46" t="s">
        <v>1568</v>
      </c>
      <c r="E46" t="s">
        <v>79</v>
      </c>
      <c r="F46" s="37">
        <v>2181.25</v>
      </c>
      <c r="G46" s="37" cm="1">
        <f t="array" ref="G46">F46*_xlfn.XLOOKUP(1,
 (FOREX!$I$2:$I$13=EOMONTH(B46,0))*
 (FOREX!$J$2:$J$13=TRIM(E46)),
 FOREX!$K$2:$K$13,
 100)</f>
        <v>316.19181874999998</v>
      </c>
      <c r="H46" t="s">
        <v>1444</v>
      </c>
      <c r="I46" s="30" t="s">
        <v>387</v>
      </c>
      <c r="J46" s="35" t="str">
        <f>_xlfn.XLOOKUP(I46,costcategory[Account Code],costcategory[Cost Category],"ERROR")</f>
        <v>Headcount Costs</v>
      </c>
      <c r="K46" s="22" t="s">
        <v>347</v>
      </c>
      <c r="L46" s="89" t="str">
        <f>_xlfn.XLOOKUP(K46,Table2[Department],Table2[Group],"ERROR")</f>
        <v>Research &amp; Development</v>
      </c>
    </row>
    <row r="47" spans="1:22" x14ac:dyDescent="0.2">
      <c r="A47" t="s">
        <v>3</v>
      </c>
      <c r="B47" s="38">
        <v>46112</v>
      </c>
      <c r="C47" s="38">
        <v>46128</v>
      </c>
      <c r="D47" t="s">
        <v>1570</v>
      </c>
      <c r="E47" t="s">
        <v>79</v>
      </c>
      <c r="F47" s="37">
        <v>1825</v>
      </c>
      <c r="G47" s="37" cm="1">
        <f t="array" ref="G47">F47*_xlfn.XLOOKUP(1,
 (FOREX!$I$2:$I$13=EOMONTH(B47,0))*
 (FOREX!$J$2:$J$13=TRIM(E47)),
 FOREX!$K$2:$K$13,
 100)</f>
        <v>264.55017500000002</v>
      </c>
      <c r="H47" t="s">
        <v>1444</v>
      </c>
      <c r="I47" t="s">
        <v>387</v>
      </c>
      <c r="J47" s="35" t="str">
        <f>_xlfn.XLOOKUP(I47,costcategory[Account Code],costcategory[Cost Category],"ERROR")</f>
        <v>Headcount Costs</v>
      </c>
      <c r="K47" s="22" t="s">
        <v>347</v>
      </c>
      <c r="L47" s="89" t="str">
        <f>_xlfn.XLOOKUP(K47,Table2[Department],Table2[Group],"ERROR")</f>
        <v>Research &amp; Development</v>
      </c>
    </row>
    <row r="48" spans="1:22" x14ac:dyDescent="0.2">
      <c r="A48" t="s">
        <v>3</v>
      </c>
      <c r="B48" s="38">
        <v>46112</v>
      </c>
      <c r="C48" s="38">
        <v>46128</v>
      </c>
      <c r="D48" t="s">
        <v>1571</v>
      </c>
      <c r="E48" t="s">
        <v>79</v>
      </c>
      <c r="F48" s="37">
        <v>295.5</v>
      </c>
      <c r="G48" s="37" cm="1">
        <f t="array" ref="G48">F48*_xlfn.XLOOKUP(1,
 (FOREX!$I$2:$I$13=EOMONTH(B48,0))*
 (FOREX!$J$2:$J$13=TRIM(E48)),
 FOREX!$K$2:$K$13,
 100)</f>
        <v>42.835384500000004</v>
      </c>
      <c r="H48" t="s">
        <v>1444</v>
      </c>
      <c r="I48" s="30" t="s">
        <v>387</v>
      </c>
      <c r="J48" s="35" t="str">
        <f>_xlfn.XLOOKUP(I48,costcategory[Account Code],costcategory[Cost Category],"ERROR")</f>
        <v>Headcount Costs</v>
      </c>
      <c r="K48" s="22" t="s">
        <v>354</v>
      </c>
      <c r="L48" s="89" t="str">
        <f>_xlfn.XLOOKUP(K48,Table2[Department],Table2[Group],"ERROR")</f>
        <v>Sales &amp; Marketing</v>
      </c>
    </row>
    <row r="49" spans="1:12" x14ac:dyDescent="0.2">
      <c r="A49" t="s">
        <v>3</v>
      </c>
      <c r="B49" s="38">
        <v>46112</v>
      </c>
      <c r="C49" s="38">
        <v>46128</v>
      </c>
      <c r="D49" t="s">
        <v>1572</v>
      </c>
      <c r="E49" t="s">
        <v>79</v>
      </c>
      <c r="F49" s="37">
        <v>2145.42</v>
      </c>
      <c r="G49" s="37" cm="1">
        <f t="array" ref="G49">F49*_xlfn.XLOOKUP(1,
 (FOREX!$I$2:$I$13=EOMONTH(B49,0))*
 (FOREX!$J$2:$J$13=TRIM(E49)),
 FOREX!$K$2:$K$13,
 100)</f>
        <v>310.99793778000003</v>
      </c>
      <c r="H49" t="s">
        <v>1444</v>
      </c>
      <c r="I49" s="30" t="s">
        <v>387</v>
      </c>
      <c r="J49" s="35" t="str">
        <f>_xlfn.XLOOKUP(I49,costcategory[Account Code],costcategory[Cost Category],"ERROR")</f>
        <v>Headcount Costs</v>
      </c>
      <c r="K49" s="22" t="s">
        <v>347</v>
      </c>
      <c r="L49" s="89" t="str">
        <f>_xlfn.XLOOKUP(K49,Table2[Department],Table2[Group],"ERROR")</f>
        <v>Research &amp; Development</v>
      </c>
    </row>
    <row r="50" spans="1:12" x14ac:dyDescent="0.2">
      <c r="A50" t="s">
        <v>3</v>
      </c>
      <c r="B50" s="38">
        <v>46112</v>
      </c>
      <c r="C50" s="38">
        <v>46128</v>
      </c>
      <c r="D50" t="s">
        <v>1568</v>
      </c>
      <c r="E50" t="s">
        <v>79</v>
      </c>
      <c r="F50" s="37">
        <v>913.56</v>
      </c>
      <c r="G50" s="37" cm="1">
        <f t="array" ref="G50">F50*_xlfn.XLOOKUP(1,
 (FOREX!$I$2:$I$13=EOMONTH(B50,0))*
 (FOREX!$J$2:$J$13=TRIM(E50)),
 FOREX!$K$2:$K$13,
 100)</f>
        <v>132.42874404</v>
      </c>
      <c r="H50" t="s">
        <v>1444</v>
      </c>
      <c r="I50" s="30" t="s">
        <v>1160</v>
      </c>
      <c r="J50" s="35" t="str">
        <f>_xlfn.XLOOKUP(I50,costcategory[Account Code],costcategory[Cost Category],"ERROR")</f>
        <v>Headcount Costs</v>
      </c>
      <c r="K50" s="22" t="s">
        <v>347</v>
      </c>
      <c r="L50" s="89" t="str">
        <f>_xlfn.XLOOKUP(K50,Table2[Department],Table2[Group],"ERROR")</f>
        <v>Research &amp; Development</v>
      </c>
    </row>
    <row r="51" spans="1:12" x14ac:dyDescent="0.2">
      <c r="A51" t="s">
        <v>3</v>
      </c>
      <c r="B51" s="38">
        <v>46112</v>
      </c>
      <c r="C51" s="38">
        <v>46128</v>
      </c>
      <c r="D51" t="s">
        <v>1570</v>
      </c>
      <c r="E51" t="s">
        <v>79</v>
      </c>
      <c r="F51" s="37">
        <v>784.11</v>
      </c>
      <c r="G51" s="37" cm="1">
        <f t="array" ref="G51">F51*_xlfn.XLOOKUP(1,
 (FOREX!$I$2:$I$13=EOMONTH(B51,0))*
 (FOREX!$J$2:$J$13=TRIM(E51)),
 FOREX!$K$2:$K$13,
 100)</f>
        <v>113.66380149000001</v>
      </c>
      <c r="H51" t="s">
        <v>1444</v>
      </c>
      <c r="I51" s="30" t="s">
        <v>1160</v>
      </c>
      <c r="J51" s="35" t="str">
        <f>_xlfn.XLOOKUP(I51,costcategory[Account Code],costcategory[Cost Category],"ERROR")</f>
        <v>Headcount Costs</v>
      </c>
      <c r="K51" s="22" t="s">
        <v>347</v>
      </c>
      <c r="L51" s="89" t="str">
        <f>_xlfn.XLOOKUP(K51,Table2[Department],Table2[Group],"ERROR")</f>
        <v>Research &amp; Development</v>
      </c>
    </row>
    <row r="52" spans="1:12" x14ac:dyDescent="0.2">
      <c r="A52" t="s">
        <v>3</v>
      </c>
      <c r="B52" s="38">
        <v>46112</v>
      </c>
      <c r="C52" s="38">
        <v>46128</v>
      </c>
      <c r="D52" t="s">
        <v>1571</v>
      </c>
      <c r="E52" t="s">
        <v>79</v>
      </c>
      <c r="F52" s="37">
        <v>441.63</v>
      </c>
      <c r="G52" s="37" cm="1">
        <f t="array" ref="G52">F52*_xlfn.XLOOKUP(1,
 (FOREX!$I$2:$I$13=EOMONTH(B52,0))*
 (FOREX!$J$2:$J$13=TRIM(E52)),
 FOREX!$K$2:$K$13,
 100)</f>
        <v>64.018243170000005</v>
      </c>
      <c r="H52" t="s">
        <v>1444</v>
      </c>
      <c r="I52" s="30" t="s">
        <v>1160</v>
      </c>
      <c r="J52" s="35" t="str">
        <f>_xlfn.XLOOKUP(I52,costcategory[Account Code],costcategory[Cost Category],"ERROR")</f>
        <v>Headcount Costs</v>
      </c>
      <c r="K52" s="22" t="s">
        <v>354</v>
      </c>
      <c r="L52" s="89" t="str">
        <f>_xlfn.XLOOKUP(K52,Table2[Department],Table2[Group],"ERROR")</f>
        <v>Sales &amp; Marketing</v>
      </c>
    </row>
    <row r="53" spans="1:12" x14ac:dyDescent="0.2">
      <c r="A53" t="s">
        <v>3</v>
      </c>
      <c r="B53" s="38">
        <v>46112</v>
      </c>
      <c r="C53" s="38">
        <v>46128</v>
      </c>
      <c r="D53" t="s">
        <v>1572</v>
      </c>
      <c r="E53" t="s">
        <v>79</v>
      </c>
      <c r="F53" s="37">
        <v>883.23</v>
      </c>
      <c r="G53" s="37" cm="1">
        <f t="array" ref="G53">F53*_xlfn.XLOOKUP(1,
 (FOREX!$I$2:$I$13=EOMONTH(B53,0))*
 (FOREX!$J$2:$J$13=TRIM(E53)),
 FOREX!$K$2:$K$13,
 100)</f>
        <v>128.03213757</v>
      </c>
      <c r="H53" t="s">
        <v>1444</v>
      </c>
      <c r="I53" s="30" t="s">
        <v>1160</v>
      </c>
      <c r="J53" s="35" t="str">
        <f>_xlfn.XLOOKUP(I53,costcategory[Account Code],costcategory[Cost Category],"ERROR")</f>
        <v>Headcount Costs</v>
      </c>
      <c r="K53" s="22" t="s">
        <v>347</v>
      </c>
      <c r="L53" s="89" t="str">
        <f>_xlfn.XLOOKUP(K53,Table2[Department],Table2[Group],"ERROR")</f>
        <v>Research &amp; Development</v>
      </c>
    </row>
    <row r="54" spans="1:12" x14ac:dyDescent="0.2">
      <c r="A54" t="s">
        <v>3</v>
      </c>
      <c r="B54" s="38">
        <v>46142</v>
      </c>
      <c r="C54" s="38">
        <v>46142</v>
      </c>
      <c r="D54" t="s">
        <v>1568</v>
      </c>
      <c r="E54" t="s">
        <v>79</v>
      </c>
      <c r="F54" s="37">
        <v>24631.25</v>
      </c>
      <c r="G54" s="37" cm="1">
        <f t="array" ref="G54">F54*_xlfn.XLOOKUP(1,
 (FOREX!$I$2:$I$13=EOMONTH(B54,0))*
 (FOREX!$J$2:$J$13=TRIM(E54)),
 FOREX!$K$2:$K$13,
 100)</f>
        <v>3606.8357867427781</v>
      </c>
      <c r="H54" t="s">
        <v>420</v>
      </c>
      <c r="I54" s="30" t="s">
        <v>387</v>
      </c>
      <c r="J54" s="35" t="str">
        <f>_xlfn.XLOOKUP(I54,costcategory[Account Code],costcategory[Cost Category],"ERROR")</f>
        <v>Headcount Costs</v>
      </c>
      <c r="K54" s="22" t="s">
        <v>347</v>
      </c>
      <c r="L54" s="89" t="str">
        <f>_xlfn.XLOOKUP(K54,Table2[Department],Table2[Group],"ERROR")</f>
        <v>Research &amp; Development</v>
      </c>
    </row>
    <row r="55" spans="1:12" x14ac:dyDescent="0.2">
      <c r="A55" t="s">
        <v>3</v>
      </c>
      <c r="B55" s="38">
        <v>46142</v>
      </c>
      <c r="C55" s="38">
        <v>46142</v>
      </c>
      <c r="D55" t="s">
        <v>1570</v>
      </c>
      <c r="E55" t="s">
        <v>79</v>
      </c>
      <c r="F55" s="37">
        <v>22925</v>
      </c>
      <c r="G55" s="37" cm="1">
        <f t="array" ref="G55">F55*_xlfn.XLOOKUP(1,
 (FOREX!$I$2:$I$13=EOMONTH(B55,0))*
 (FOREX!$J$2:$J$13=TRIM(E55)),
 FOREX!$K$2:$K$13,
 100)</f>
        <v>3356.9839294018038</v>
      </c>
      <c r="H55" t="s">
        <v>420</v>
      </c>
      <c r="I55" s="30" t="s">
        <v>387</v>
      </c>
      <c r="J55" s="35" t="str">
        <f>_xlfn.XLOOKUP(I55,costcategory[Account Code],costcategory[Cost Category],"ERROR")</f>
        <v>Headcount Costs</v>
      </c>
      <c r="K55" s="22" t="s">
        <v>347</v>
      </c>
      <c r="L55" s="89" t="str">
        <f>_xlfn.XLOOKUP(K55,Table2[Department],Table2[Group],"ERROR")</f>
        <v>Research &amp; Development</v>
      </c>
    </row>
    <row r="56" spans="1:12" x14ac:dyDescent="0.2">
      <c r="A56" t="s">
        <v>3</v>
      </c>
      <c r="B56" s="38">
        <v>46142</v>
      </c>
      <c r="C56" s="38">
        <v>46142</v>
      </c>
      <c r="D56" t="s">
        <v>1571</v>
      </c>
      <c r="E56" t="s">
        <v>79</v>
      </c>
      <c r="F56" s="37">
        <v>14316.5</v>
      </c>
      <c r="G56" s="37" cm="1">
        <f t="array" ref="G56">F56*_xlfn.XLOOKUP(1,
 (FOREX!$I$2:$I$13=EOMONTH(B56,0))*
 (FOREX!$J$2:$J$13=TRIM(E56)),
 FOREX!$K$2:$K$13,
 100)</f>
        <v>2096.4126684964417</v>
      </c>
      <c r="H56" t="s">
        <v>420</v>
      </c>
      <c r="I56" s="30" t="s">
        <v>387</v>
      </c>
      <c r="J56" s="35" t="str">
        <f>_xlfn.XLOOKUP(I56,costcategory[Account Code],costcategory[Cost Category],"ERROR")</f>
        <v>Headcount Costs</v>
      </c>
      <c r="K56" s="22" t="s">
        <v>354</v>
      </c>
      <c r="L56" s="89" t="str">
        <f>_xlfn.XLOOKUP(K56,Table2[Department],Table2[Group],"ERROR")</f>
        <v>Sales &amp; Marketing</v>
      </c>
    </row>
    <row r="57" spans="1:12" x14ac:dyDescent="0.2">
      <c r="A57" t="s">
        <v>3</v>
      </c>
      <c r="B57" s="38">
        <v>46142</v>
      </c>
      <c r="C57" s="38">
        <v>46142</v>
      </c>
      <c r="D57" t="s">
        <v>1572</v>
      </c>
      <c r="E57" t="s">
        <v>79</v>
      </c>
      <c r="F57" s="37">
        <v>24308.85</v>
      </c>
      <c r="G57" s="37" cm="1">
        <f t="array" ref="G57">F57*_xlfn.XLOOKUP(1,
 (FOREX!$I$2:$I$13=EOMONTH(B57,0))*
 (FOREX!$J$2:$J$13=TRIM(E57)),
 FOREX!$K$2:$K$13,
 100)</f>
        <v>3559.6256834128258</v>
      </c>
      <c r="H57" t="s">
        <v>420</v>
      </c>
      <c r="I57" s="30" t="s">
        <v>387</v>
      </c>
      <c r="J57" s="35" t="str">
        <f>_xlfn.XLOOKUP(I57,costcategory[Account Code],costcategory[Cost Category],"ERROR")</f>
        <v>Headcount Costs</v>
      </c>
      <c r="K57" s="22" t="s">
        <v>347</v>
      </c>
      <c r="L57" s="89" t="str">
        <f>_xlfn.XLOOKUP(K57,Table2[Department],Table2[Group],"ERROR")</f>
        <v>Research &amp; Development</v>
      </c>
    </row>
    <row r="58" spans="1:12" x14ac:dyDescent="0.2">
      <c r="A58" t="s">
        <v>3</v>
      </c>
      <c r="B58" s="38">
        <v>46142</v>
      </c>
      <c r="C58" s="38">
        <v>46157</v>
      </c>
      <c r="D58" t="s">
        <v>1568</v>
      </c>
      <c r="E58" t="s">
        <v>79</v>
      </c>
      <c r="F58" s="37">
        <v>2181.25</v>
      </c>
      <c r="G58" s="37" cm="1">
        <f t="array" ref="G58">F58*_xlfn.XLOOKUP(1,
 (FOREX!$I$2:$I$13=EOMONTH(B58,0))*
 (FOREX!$J$2:$J$13=TRIM(E58)),
 FOREX!$K$2:$K$13,
 100)</f>
        <v>319.40768575824143</v>
      </c>
      <c r="H58" t="s">
        <v>1582</v>
      </c>
      <c r="I58" s="30" t="s">
        <v>387</v>
      </c>
      <c r="J58" s="35" t="str">
        <f>_xlfn.XLOOKUP(I58,costcategory[Account Code],costcategory[Cost Category],"ERROR")</f>
        <v>Headcount Costs</v>
      </c>
      <c r="K58" s="22" t="s">
        <v>347</v>
      </c>
      <c r="L58" s="89" t="str">
        <f>_xlfn.XLOOKUP(K58,Table2[Department],Table2[Group],"ERROR")</f>
        <v>Research &amp; Development</v>
      </c>
    </row>
    <row r="59" spans="1:12" x14ac:dyDescent="0.2">
      <c r="A59" t="s">
        <v>3</v>
      </c>
      <c r="B59" s="38">
        <v>46142</v>
      </c>
      <c r="C59" s="38">
        <v>46157</v>
      </c>
      <c r="D59" t="s">
        <v>1570</v>
      </c>
      <c r="E59" t="s">
        <v>79</v>
      </c>
      <c r="F59" s="37">
        <v>1825</v>
      </c>
      <c r="G59" s="37" cm="1">
        <f t="array" ref="G59">F59*_xlfn.XLOOKUP(1,
 (FOREX!$I$2:$I$13=EOMONTH(B59,0))*
 (FOREX!$J$2:$J$13=TRIM(E59)),
 FOREX!$K$2:$K$13,
 100)</f>
        <v>267.24081444529082</v>
      </c>
      <c r="H59" t="s">
        <v>1582</v>
      </c>
      <c r="I59" s="30" t="s">
        <v>387</v>
      </c>
      <c r="J59" s="35" t="str">
        <f>_xlfn.XLOOKUP(I59,costcategory[Account Code],costcategory[Cost Category],"ERROR")</f>
        <v>Headcount Costs</v>
      </c>
      <c r="K59" s="22" t="s">
        <v>347</v>
      </c>
      <c r="L59" s="89" t="str">
        <f>_xlfn.XLOOKUP(K59,Table2[Department],Table2[Group],"ERROR")</f>
        <v>Research &amp; Development</v>
      </c>
    </row>
    <row r="60" spans="1:12" x14ac:dyDescent="0.2">
      <c r="A60" t="s">
        <v>3</v>
      </c>
      <c r="B60" s="38">
        <v>46142</v>
      </c>
      <c r="C60" s="38">
        <v>46157</v>
      </c>
      <c r="D60" t="s">
        <v>1571</v>
      </c>
      <c r="E60" t="s">
        <v>79</v>
      </c>
      <c r="F60" s="37">
        <v>533.5</v>
      </c>
      <c r="G60" s="37" cm="1">
        <f t="array" ref="G60">F60*_xlfn.XLOOKUP(1,
 (FOREX!$I$2:$I$13=EOMONTH(B60,0))*
 (FOREX!$J$2:$J$13=TRIM(E60)),
 FOREX!$K$2:$K$13,
 100)</f>
        <v>78.122177811815149</v>
      </c>
      <c r="H60" t="s">
        <v>1582</v>
      </c>
      <c r="I60" s="30" t="s">
        <v>387</v>
      </c>
      <c r="J60" s="35" t="str">
        <f>_xlfn.XLOOKUP(I60,costcategory[Account Code],costcategory[Cost Category],"ERROR")</f>
        <v>Headcount Costs</v>
      </c>
      <c r="K60" s="22" t="s">
        <v>354</v>
      </c>
      <c r="L60" s="89" t="str">
        <f>_xlfn.XLOOKUP(K60,Table2[Department],Table2[Group],"ERROR")</f>
        <v>Sales &amp; Marketing</v>
      </c>
    </row>
    <row r="61" spans="1:12" x14ac:dyDescent="0.2">
      <c r="A61" t="s">
        <v>3</v>
      </c>
      <c r="B61" s="38">
        <v>46142</v>
      </c>
      <c r="C61" s="38">
        <v>46157</v>
      </c>
      <c r="D61" t="s">
        <v>1572</v>
      </c>
      <c r="E61" t="s">
        <v>79</v>
      </c>
      <c r="F61" s="37">
        <v>2145.4299999999998</v>
      </c>
      <c r="G61" s="37" cm="1">
        <f t="array" ref="G61">F61*_xlfn.XLOOKUP(1,
 (FOREX!$I$2:$I$13=EOMONTH(B61,0))*
 (FOREX!$J$2:$J$13=TRIM(E61)),
 FOREX!$K$2:$K$13,
 100)</f>
        <v>314.16244412896452</v>
      </c>
      <c r="H61" t="s">
        <v>1582</v>
      </c>
      <c r="I61" s="30" t="s">
        <v>387</v>
      </c>
      <c r="J61" s="35" t="str">
        <f>_xlfn.XLOOKUP(I61,costcategory[Account Code],costcategory[Cost Category],"ERROR")</f>
        <v>Headcount Costs</v>
      </c>
      <c r="K61" s="22" t="s">
        <v>347</v>
      </c>
      <c r="L61" s="89" t="str">
        <f>_xlfn.XLOOKUP(K61,Table2[Department],Table2[Group],"ERROR")</f>
        <v>Research &amp; Development</v>
      </c>
    </row>
    <row r="62" spans="1:12" x14ac:dyDescent="0.2">
      <c r="A62" t="s">
        <v>3</v>
      </c>
      <c r="B62" s="38">
        <v>46142</v>
      </c>
      <c r="C62" s="38">
        <v>46157</v>
      </c>
      <c r="D62" t="s">
        <v>1568</v>
      </c>
      <c r="E62" t="s">
        <v>79</v>
      </c>
      <c r="F62" s="37">
        <v>11830</v>
      </c>
      <c r="G62" s="37" cm="1">
        <f t="array" ref="G62">F62*_xlfn.XLOOKUP(1,
 (FOREX!$I$2:$I$13=EOMONTH(B62,0))*
 (FOREX!$J$2:$J$13=TRIM(E62)),
 FOREX!$K$2:$K$13,
 100)</f>
        <v>1732.3062108974193</v>
      </c>
      <c r="H62" t="s">
        <v>1583</v>
      </c>
      <c r="I62" s="30" t="s">
        <v>364</v>
      </c>
      <c r="J62" s="35" t="str">
        <f>_xlfn.XLOOKUP(I62,costcategory[Account Code],costcategory[Cost Category],"ERROR")</f>
        <v>Headcount Costs</v>
      </c>
      <c r="K62" s="22" t="s">
        <v>347</v>
      </c>
      <c r="L62" s="89" t="str">
        <f>_xlfn.XLOOKUP(K62,Table2[Department],Table2[Group],"ERROR")</f>
        <v>Research &amp; Development</v>
      </c>
    </row>
    <row r="63" spans="1:12" x14ac:dyDescent="0.2">
      <c r="A63" t="s">
        <v>3</v>
      </c>
      <c r="B63" s="38">
        <v>46142</v>
      </c>
      <c r="C63" s="38">
        <v>46157</v>
      </c>
      <c r="D63" t="s">
        <v>1570</v>
      </c>
      <c r="E63" t="s">
        <v>79</v>
      </c>
      <c r="F63" s="37">
        <v>10920</v>
      </c>
      <c r="G63" s="37" cm="1">
        <f t="array" ref="G63">F63*_xlfn.XLOOKUP(1,
 (FOREX!$I$2:$I$13=EOMONTH(B63,0))*
 (FOREX!$J$2:$J$13=TRIM(E63)),
 FOREX!$K$2:$K$13,
 100)</f>
        <v>1599.0518869822333</v>
      </c>
      <c r="H63" t="s">
        <v>1583</v>
      </c>
      <c r="I63" s="30" t="s">
        <v>364</v>
      </c>
      <c r="J63" s="35" t="str">
        <f>_xlfn.XLOOKUP(I63,costcategory[Account Code],costcategory[Cost Category],"ERROR")</f>
        <v>Headcount Costs</v>
      </c>
      <c r="K63" s="22" t="s">
        <v>347</v>
      </c>
      <c r="L63" s="89" t="str">
        <f>_xlfn.XLOOKUP(K63,Table2[Department],Table2[Group],"ERROR")</f>
        <v>Research &amp; Development</v>
      </c>
    </row>
    <row r="64" spans="1:12" x14ac:dyDescent="0.2">
      <c r="A64" t="s">
        <v>3</v>
      </c>
      <c r="B64" s="38">
        <v>46142</v>
      </c>
      <c r="C64" s="38">
        <v>46157</v>
      </c>
      <c r="D64" t="s">
        <v>1571</v>
      </c>
      <c r="E64" t="s">
        <v>79</v>
      </c>
      <c r="F64" s="37">
        <v>6552</v>
      </c>
      <c r="G64" s="37" cm="1">
        <f t="array" ref="G64">F64*_xlfn.XLOOKUP(1,
 (FOREX!$I$2:$I$13=EOMONTH(B64,0))*
 (FOREX!$J$2:$J$13=TRIM(E64)),
 FOREX!$K$2:$K$13,
 100)</f>
        <v>959.43113218934002</v>
      </c>
      <c r="H64" t="s">
        <v>1583</v>
      </c>
      <c r="I64" s="30" t="s">
        <v>364</v>
      </c>
      <c r="J64" s="35" t="str">
        <f>_xlfn.XLOOKUP(I64,costcategory[Account Code],costcategory[Cost Category],"ERROR")</f>
        <v>Headcount Costs</v>
      </c>
      <c r="K64" s="22" t="s">
        <v>354</v>
      </c>
      <c r="L64" s="89" t="str">
        <f>_xlfn.XLOOKUP(K64,Table2[Department],Table2[Group],"ERROR")</f>
        <v>Sales &amp; Marketing</v>
      </c>
    </row>
    <row r="65" spans="1:12" x14ac:dyDescent="0.2">
      <c r="A65" t="s">
        <v>3</v>
      </c>
      <c r="B65" s="38">
        <v>46142</v>
      </c>
      <c r="C65" s="38">
        <v>46157</v>
      </c>
      <c r="D65" t="s">
        <v>1568</v>
      </c>
      <c r="E65" t="s">
        <v>79</v>
      </c>
      <c r="F65" s="37">
        <v>4550</v>
      </c>
      <c r="G65" s="37" cm="1">
        <f t="array" ref="G65">F65*_xlfn.XLOOKUP(1,
 (FOREX!$I$2:$I$13=EOMONTH(B65,0))*
 (FOREX!$J$2:$J$13=TRIM(E65)),
 FOREX!$K$2:$K$13,
 100)</f>
        <v>666.27161957593057</v>
      </c>
      <c r="H65" t="s">
        <v>1584</v>
      </c>
      <c r="I65" s="30" t="s">
        <v>364</v>
      </c>
      <c r="J65" s="35" t="str">
        <f>_xlfn.XLOOKUP(I65,costcategory[Account Code],costcategory[Cost Category],"ERROR")</f>
        <v>Headcount Costs</v>
      </c>
      <c r="K65" s="22" t="s">
        <v>347</v>
      </c>
      <c r="L65" s="89" t="str">
        <f>_xlfn.XLOOKUP(K65,Table2[Department],Table2[Group],"ERROR")</f>
        <v>Research &amp; Development</v>
      </c>
    </row>
    <row r="66" spans="1:12" x14ac:dyDescent="0.2">
      <c r="A66" t="s">
        <v>3</v>
      </c>
      <c r="B66" s="38">
        <v>46142</v>
      </c>
      <c r="C66" s="38">
        <v>46157</v>
      </c>
      <c r="D66" t="s">
        <v>1570</v>
      </c>
      <c r="E66" t="s">
        <v>79</v>
      </c>
      <c r="F66" s="37">
        <v>4200</v>
      </c>
      <c r="G66" s="37" cm="1">
        <f t="array" ref="G66">F66*_xlfn.XLOOKUP(1,
 (FOREX!$I$2:$I$13=EOMONTH(B66,0))*
 (FOREX!$J$2:$J$13=TRIM(E66)),
 FOREX!$K$2:$K$13,
 100)</f>
        <v>615.01995653162817</v>
      </c>
      <c r="H66" t="s">
        <v>1584</v>
      </c>
      <c r="I66" s="30" t="s">
        <v>364</v>
      </c>
      <c r="J66" s="35" t="str">
        <f>_xlfn.XLOOKUP(I66,costcategory[Account Code],costcategory[Cost Category],"ERROR")</f>
        <v>Headcount Costs</v>
      </c>
      <c r="K66" s="22" t="s">
        <v>347</v>
      </c>
      <c r="L66" s="89" t="str">
        <f>_xlfn.XLOOKUP(K66,Table2[Department],Table2[Group],"ERROR")</f>
        <v>Research &amp; Development</v>
      </c>
    </row>
    <row r="67" spans="1:12" x14ac:dyDescent="0.2">
      <c r="A67" t="s">
        <v>3</v>
      </c>
      <c r="B67" s="38">
        <v>46142</v>
      </c>
      <c r="C67" s="38">
        <v>46157</v>
      </c>
      <c r="D67" t="s">
        <v>1571</v>
      </c>
      <c r="E67" t="s">
        <v>79</v>
      </c>
      <c r="F67" s="37">
        <v>2520</v>
      </c>
      <c r="G67" s="37" cm="1">
        <f t="array" ref="G67">F67*_xlfn.XLOOKUP(1,
 (FOREX!$I$2:$I$13=EOMONTH(B67,0))*
 (FOREX!$J$2:$J$13=TRIM(E67)),
 FOREX!$K$2:$K$13,
 100)</f>
        <v>369.01197391897693</v>
      </c>
      <c r="H67" t="s">
        <v>1584</v>
      </c>
      <c r="I67" s="30" t="s">
        <v>364</v>
      </c>
      <c r="J67" s="35" t="str">
        <f>_xlfn.XLOOKUP(I67,costcategory[Account Code],costcategory[Cost Category],"ERROR")</f>
        <v>Headcount Costs</v>
      </c>
      <c r="K67" s="22" t="s">
        <v>354</v>
      </c>
      <c r="L67" s="89" t="str">
        <f>_xlfn.XLOOKUP(K67,Table2[Department],Table2[Group],"ERROR")</f>
        <v>Sales &amp; Marketing</v>
      </c>
    </row>
    <row r="68" spans="1:12" x14ac:dyDescent="0.2">
      <c r="A68" t="s">
        <v>3</v>
      </c>
      <c r="B68" s="38">
        <v>46142</v>
      </c>
      <c r="C68" s="38">
        <v>46157</v>
      </c>
      <c r="D68" t="s">
        <v>1572</v>
      </c>
      <c r="E68" t="s">
        <v>79</v>
      </c>
      <c r="F68" s="37">
        <v>8331.81</v>
      </c>
      <c r="G68" s="37" cm="1">
        <f t="array" ref="G68">F68*_xlfn.XLOOKUP(1,
 (FOREX!$I$2:$I$13=EOMONTH(B68,0))*
 (FOREX!$J$2:$J$13=TRIM(E68)),
 FOREX!$K$2:$K$13,
 100)</f>
        <v>1220.0546247689963</v>
      </c>
      <c r="H68" t="s">
        <v>1583</v>
      </c>
      <c r="I68" s="30" t="s">
        <v>364</v>
      </c>
      <c r="J68" s="35" t="str">
        <f>_xlfn.XLOOKUP(I68,costcategory[Account Code],costcategory[Cost Category],"ERROR")</f>
        <v>Headcount Costs</v>
      </c>
      <c r="K68" s="22" t="s">
        <v>347</v>
      </c>
      <c r="L68" s="89" t="str">
        <f>_xlfn.XLOOKUP(K68,Table2[Department],Table2[Group],"ERROR")</f>
        <v>Research &amp; Development</v>
      </c>
    </row>
    <row r="69" spans="1:12" x14ac:dyDescent="0.2">
      <c r="A69" t="s">
        <v>3</v>
      </c>
      <c r="B69" s="38">
        <v>46142</v>
      </c>
      <c r="C69" s="38">
        <v>46157</v>
      </c>
      <c r="D69" t="s">
        <v>1572</v>
      </c>
      <c r="E69" t="s">
        <v>79</v>
      </c>
      <c r="F69" s="37">
        <v>3000</v>
      </c>
      <c r="G69" s="37" cm="1">
        <f t="array" ref="G69">F69*_xlfn.XLOOKUP(1,
 (FOREX!$I$2:$I$13=EOMONTH(B69,0))*
 (FOREX!$J$2:$J$13=TRIM(E69)),
 FOREX!$K$2:$K$13,
 100)</f>
        <v>439.29996895116301</v>
      </c>
      <c r="H69" t="s">
        <v>1584</v>
      </c>
      <c r="I69" s="30" t="s">
        <v>364</v>
      </c>
      <c r="J69" s="35" t="str">
        <f>_xlfn.XLOOKUP(I69,costcategory[Account Code],costcategory[Cost Category],"ERROR")</f>
        <v>Headcount Costs</v>
      </c>
      <c r="K69" s="22" t="s">
        <v>347</v>
      </c>
      <c r="L69" s="89" t="str">
        <f>_xlfn.XLOOKUP(K69,Table2[Department],Table2[Group],"ERROR")</f>
        <v>Research &amp; Development</v>
      </c>
    </row>
  </sheetData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E0F8451-7BF3-47C2-9DCE-95D474E40A52}">
          <x14:formula1>
            <xm:f>Setting!$B$2:$B$93</xm:f>
          </x14:formula1>
          <xm:sqref>I2:I21 I62:I69 I47 I30:I41 I50:I53</xm:sqref>
        </x14:dataValidation>
        <x14:dataValidation type="list" allowBlank="1" showInputMessage="1" showErrorMessage="1" xr:uid="{2F6E3A1D-4B79-4718-BBBD-5BB5321846E5}">
          <x14:formula1>
            <xm:f>Setting!$D$2:$D$15</xm:f>
          </x14:formula1>
          <xm:sqref>K2:K29 K54:K69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EB84-2463-44F2-B207-BE6E95A3BC61}">
  <sheetPr codeName="Sheet9"/>
  <dimension ref="A1:Z158"/>
  <sheetViews>
    <sheetView topLeftCell="A21" workbookViewId="0">
      <selection activeCell="H120" sqref="H120"/>
    </sheetView>
  </sheetViews>
  <sheetFormatPr defaultRowHeight="12.75" x14ac:dyDescent="0.2"/>
  <cols>
    <col min="2" max="2" width="9.85546875" bestFit="1" customWidth="1"/>
    <col min="3" max="3" width="38.140625" bestFit="1" customWidth="1"/>
    <col min="4" max="4" width="11.140625" customWidth="1"/>
    <col min="5" max="5" width="16" style="37" customWidth="1"/>
    <col min="6" max="6" width="24.85546875" customWidth="1"/>
    <col min="7" max="7" width="18.7109375" bestFit="1" customWidth="1"/>
    <col min="8" max="8" width="22.42578125" bestFit="1" customWidth="1"/>
    <col min="9" max="9" width="18.7109375" bestFit="1" customWidth="1"/>
    <col min="10" max="10" width="22.42578125" bestFit="1" customWidth="1"/>
  </cols>
  <sheetData>
    <row r="1" spans="1:10" s="83" customFormat="1" x14ac:dyDescent="0.2">
      <c r="A1" s="83" t="s">
        <v>43</v>
      </c>
      <c r="B1" s="83" t="s">
        <v>69</v>
      </c>
      <c r="C1" s="83" t="s">
        <v>1470</v>
      </c>
      <c r="D1" s="83" t="s">
        <v>70</v>
      </c>
      <c r="E1" s="84" t="s">
        <v>1471</v>
      </c>
      <c r="F1" s="83" t="s">
        <v>72</v>
      </c>
      <c r="G1" s="83" t="s">
        <v>1122</v>
      </c>
      <c r="H1" s="23" t="s">
        <v>64</v>
      </c>
      <c r="I1" s="23" t="s">
        <v>67</v>
      </c>
      <c r="J1" s="23" t="s">
        <v>44</v>
      </c>
    </row>
    <row r="2" spans="1:10" x14ac:dyDescent="0.2">
      <c r="A2" t="s">
        <v>2</v>
      </c>
      <c r="B2" s="38">
        <v>46053</v>
      </c>
      <c r="C2" t="s">
        <v>1125</v>
      </c>
      <c r="D2" t="s">
        <v>82</v>
      </c>
      <c r="E2" s="37">
        <v>25700</v>
      </c>
      <c r="F2" s="39" cm="1">
        <f t="array" ref="F2">E2*_xlfn.XLOOKUP(1,
 (FOREX!$A$2:$A$100=EOMONTH(B2,0))*
 (FOREX!$F$2:$F$100=TRIM(D2)),
 FOREX!$G$2:$G$100,
 100)</f>
        <v>6521.8375999999998</v>
      </c>
      <c r="G2" s="26" t="s">
        <v>387</v>
      </c>
      <c r="H2" s="35" t="str">
        <f>_xlfn.XLOOKUP(G2,costcategory[Account Code],costcategory[Cost Category],"ERROR")</f>
        <v>Headcount Costs</v>
      </c>
      <c r="I2" s="22" t="s">
        <v>438</v>
      </c>
      <c r="J2" t="s">
        <v>61</v>
      </c>
    </row>
    <row r="3" spans="1:10" x14ac:dyDescent="0.2">
      <c r="A3" t="s">
        <v>2</v>
      </c>
      <c r="B3" s="38">
        <v>46053</v>
      </c>
      <c r="C3" t="s">
        <v>1127</v>
      </c>
      <c r="D3" t="s">
        <v>82</v>
      </c>
      <c r="E3" s="37">
        <v>4600</v>
      </c>
      <c r="F3" s="39" cm="1">
        <f t="array" ref="F3">E3*_xlfn.XLOOKUP(1,
 (FOREX!$A$2:$A$100=EOMONTH(B3,0))*
 (FOREX!$F$2:$F$100=TRIM(D3)),
 FOREX!$G$2:$G$100,
 100)</f>
        <v>1167.3327999999999</v>
      </c>
      <c r="G3" s="26" t="s">
        <v>387</v>
      </c>
      <c r="H3" s="35" t="str">
        <f>_xlfn.XLOOKUP(G3,costcategory[Account Code],costcategory[Cost Category],"ERROR")</f>
        <v>Headcount Costs</v>
      </c>
      <c r="I3" s="22" t="s">
        <v>45</v>
      </c>
      <c r="J3" t="s">
        <v>45</v>
      </c>
    </row>
    <row r="4" spans="1:10" x14ac:dyDescent="0.2">
      <c r="A4" t="s">
        <v>2</v>
      </c>
      <c r="B4" s="38">
        <v>46053</v>
      </c>
      <c r="C4" t="s">
        <v>1128</v>
      </c>
      <c r="D4" t="s">
        <v>82</v>
      </c>
      <c r="E4" s="37">
        <v>10500</v>
      </c>
      <c r="F4" s="39" cm="1">
        <f t="array" ref="F4">E4*_xlfn.XLOOKUP(1,
 (FOREX!$A$2:$A$100=EOMONTH(B4,0))*
 (FOREX!$F$2:$F$100=TRIM(D4)),
 FOREX!$G$2:$G$100,
 100)</f>
        <v>2664.5639999999999</v>
      </c>
      <c r="G4" s="30" t="s">
        <v>387</v>
      </c>
      <c r="H4" s="35" t="str">
        <f>_xlfn.XLOOKUP(G4,costcategory[Account Code],costcategory[Cost Category],"ERROR")</f>
        <v>Headcount Costs</v>
      </c>
      <c r="I4" s="22" t="s">
        <v>438</v>
      </c>
      <c r="J4" t="s">
        <v>61</v>
      </c>
    </row>
    <row r="5" spans="1:10" x14ac:dyDescent="0.2">
      <c r="A5" t="s">
        <v>2</v>
      </c>
      <c r="B5" s="38">
        <v>46053</v>
      </c>
      <c r="C5" t="s">
        <v>1129</v>
      </c>
      <c r="D5" t="s">
        <v>82</v>
      </c>
      <c r="E5" s="37">
        <v>4900</v>
      </c>
      <c r="F5" s="39" cm="1">
        <f t="array" ref="F5">E5*_xlfn.XLOOKUP(1,
 (FOREX!$A$2:$A$100=EOMONTH(B5,0))*
 (FOREX!$F$2:$F$100=TRIM(D5)),
 FOREX!$G$2:$G$100,
 100)</f>
        <v>1243.4631999999999</v>
      </c>
      <c r="G5" s="30" t="s">
        <v>387</v>
      </c>
      <c r="H5" s="35" t="str">
        <f>_xlfn.XLOOKUP(G5,costcategory[Account Code],costcategory[Cost Category],"ERROR")</f>
        <v>Headcount Costs</v>
      </c>
      <c r="I5" s="22" t="s">
        <v>438</v>
      </c>
      <c r="J5" t="s">
        <v>61</v>
      </c>
    </row>
    <row r="6" spans="1:10" x14ac:dyDescent="0.2">
      <c r="A6" t="s">
        <v>2</v>
      </c>
      <c r="B6" s="38">
        <v>46053</v>
      </c>
      <c r="C6" t="s">
        <v>1131</v>
      </c>
      <c r="D6" t="s">
        <v>82</v>
      </c>
      <c r="E6" s="37">
        <v>12100</v>
      </c>
      <c r="F6" s="39" cm="1">
        <f t="array" ref="F6">E6*_xlfn.XLOOKUP(1,
 (FOREX!$A$2:$A$100=EOMONTH(B6,0))*
 (FOREX!$F$2:$F$100=TRIM(D6)),
 FOREX!$G$2:$G$100,
 100)</f>
        <v>3070.5927999999999</v>
      </c>
      <c r="G6" s="30" t="s">
        <v>387</v>
      </c>
      <c r="H6" s="35" t="str">
        <f>_xlfn.XLOOKUP(G6,costcategory[Account Code],costcategory[Cost Category],"ERROR")</f>
        <v>Headcount Costs</v>
      </c>
      <c r="I6" s="22" t="s">
        <v>350</v>
      </c>
      <c r="J6" t="s">
        <v>62</v>
      </c>
    </row>
    <row r="7" spans="1:10" x14ac:dyDescent="0.2">
      <c r="A7" t="s">
        <v>2</v>
      </c>
      <c r="B7" s="38">
        <v>46053</v>
      </c>
      <c r="C7" t="s">
        <v>1133</v>
      </c>
      <c r="D7" t="s">
        <v>82</v>
      </c>
      <c r="E7" s="37">
        <v>12420</v>
      </c>
      <c r="F7" s="39" cm="1">
        <f t="array" ref="F7">E7*_xlfn.XLOOKUP(1,
 (FOREX!$A$2:$A$100=EOMONTH(B7,0))*
 (FOREX!$F$2:$F$100=TRIM(D7)),
 FOREX!$G$2:$G$100,
 100)</f>
        <v>3151.7985599999997</v>
      </c>
      <c r="G7" s="30" t="s">
        <v>387</v>
      </c>
      <c r="H7" s="35" t="str">
        <f>_xlfn.XLOOKUP(G7,costcategory[Account Code],costcategory[Cost Category],"ERROR")</f>
        <v>Headcount Costs</v>
      </c>
      <c r="I7" s="22" t="s">
        <v>333</v>
      </c>
      <c r="J7" t="s">
        <v>62</v>
      </c>
    </row>
    <row r="8" spans="1:10" x14ac:dyDescent="0.2">
      <c r="A8" t="s">
        <v>2</v>
      </c>
      <c r="B8" s="38">
        <v>46053</v>
      </c>
      <c r="C8" t="s">
        <v>1134</v>
      </c>
      <c r="D8" t="s">
        <v>82</v>
      </c>
      <c r="E8" s="37">
        <v>24700</v>
      </c>
      <c r="F8" s="39" cm="1">
        <f t="array" ref="F8">E8*_xlfn.XLOOKUP(1,
 (FOREX!$A$2:$A$100=EOMONTH(B8,0))*
 (FOREX!$F$2:$F$100=TRIM(D8)),
 FOREX!$G$2:$G$100,
 100)</f>
        <v>6268.0695999999998</v>
      </c>
      <c r="G8" s="30" t="s">
        <v>387</v>
      </c>
      <c r="H8" s="35" t="str">
        <f>_xlfn.XLOOKUP(G8,costcategory[Account Code],costcategory[Cost Category],"ERROR")</f>
        <v>Headcount Costs</v>
      </c>
      <c r="I8" s="22" t="s">
        <v>45</v>
      </c>
      <c r="J8" t="s">
        <v>45</v>
      </c>
    </row>
    <row r="9" spans="1:10" x14ac:dyDescent="0.2">
      <c r="A9" t="s">
        <v>2</v>
      </c>
      <c r="B9" s="38">
        <v>46053</v>
      </c>
      <c r="C9" t="s">
        <v>1136</v>
      </c>
      <c r="D9" t="s">
        <v>82</v>
      </c>
      <c r="E9" s="37">
        <v>15400</v>
      </c>
      <c r="F9" s="39" cm="1">
        <f t="array" ref="F9">E9*_xlfn.XLOOKUP(1,
 (FOREX!$A$2:$A$100=EOMONTH(B9,0))*
 (FOREX!$F$2:$F$100=TRIM(D9)),
 FOREX!$G$2:$G$100,
 100)</f>
        <v>3908.0272</v>
      </c>
      <c r="G9" s="30" t="s">
        <v>387</v>
      </c>
      <c r="H9" s="35" t="str">
        <f>_xlfn.XLOOKUP(G9,costcategory[Account Code],costcategory[Cost Category],"ERROR")</f>
        <v>Headcount Costs</v>
      </c>
      <c r="I9" s="22" t="s">
        <v>45</v>
      </c>
      <c r="J9" t="s">
        <v>45</v>
      </c>
    </row>
    <row r="10" spans="1:10" x14ac:dyDescent="0.2">
      <c r="A10" t="s">
        <v>2</v>
      </c>
      <c r="B10" s="38">
        <v>46053</v>
      </c>
      <c r="C10" t="s">
        <v>1137</v>
      </c>
      <c r="D10" t="s">
        <v>82</v>
      </c>
      <c r="E10" s="37">
        <v>5600</v>
      </c>
      <c r="F10" s="39" cm="1">
        <f t="array" ref="F10">E10*_xlfn.XLOOKUP(1,
 (FOREX!$A$2:$A$100=EOMONTH(B10,0))*
 (FOREX!$F$2:$F$100=TRIM(D10)),
 FOREX!$G$2:$G$100,
 100)</f>
        <v>1421.1007999999999</v>
      </c>
      <c r="G10" s="30" t="s">
        <v>387</v>
      </c>
      <c r="H10" s="35" t="str">
        <f>_xlfn.XLOOKUP(G10,costcategory[Account Code],costcategory[Cost Category],"ERROR")</f>
        <v>Headcount Costs</v>
      </c>
      <c r="I10" s="22" t="s">
        <v>45</v>
      </c>
      <c r="J10" t="s">
        <v>45</v>
      </c>
    </row>
    <row r="11" spans="1:10" x14ac:dyDescent="0.2">
      <c r="A11" t="s">
        <v>2</v>
      </c>
      <c r="B11" s="38">
        <v>46053</v>
      </c>
      <c r="C11" t="s">
        <v>1139</v>
      </c>
      <c r="D11" t="s">
        <v>82</v>
      </c>
      <c r="E11" s="37">
        <v>19500</v>
      </c>
      <c r="F11" s="39" cm="1">
        <f t="array" ref="F11">E11*_xlfn.XLOOKUP(1,
 (FOREX!$A$2:$A$100=EOMONTH(B11,0))*
 (FOREX!$F$2:$F$100=TRIM(D11)),
 FOREX!$G$2:$G$100,
 100)</f>
        <v>4948.4759999999997</v>
      </c>
      <c r="G11" s="30" t="s">
        <v>387</v>
      </c>
      <c r="H11" s="35" t="str">
        <f>_xlfn.XLOOKUP(G11,costcategory[Account Code],costcategory[Cost Category],"ERROR")</f>
        <v>Headcount Costs</v>
      </c>
      <c r="I11" s="22" t="s">
        <v>354</v>
      </c>
      <c r="J11" t="s">
        <v>61</v>
      </c>
    </row>
    <row r="12" spans="1:10" x14ac:dyDescent="0.2">
      <c r="A12" t="s">
        <v>2</v>
      </c>
      <c r="B12" s="38">
        <v>46053</v>
      </c>
      <c r="C12" t="s">
        <v>1141</v>
      </c>
      <c r="D12" t="s">
        <v>82</v>
      </c>
      <c r="E12" s="37">
        <v>31400</v>
      </c>
      <c r="F12" s="39" cm="1">
        <f t="array" ref="F12">E12*_xlfn.XLOOKUP(1,
 (FOREX!$A$2:$A$100=EOMONTH(B12,0))*
 (FOREX!$F$2:$F$100=TRIM(D12)),
 FOREX!$G$2:$G$100,
 100)</f>
        <v>7968.3152</v>
      </c>
      <c r="G12" s="30" t="s">
        <v>387</v>
      </c>
      <c r="H12" s="35" t="str">
        <f>_xlfn.XLOOKUP(G12,costcategory[Account Code],costcategory[Cost Category],"ERROR")</f>
        <v>Headcount Costs</v>
      </c>
      <c r="I12" s="22" t="s">
        <v>45</v>
      </c>
      <c r="J12" t="s">
        <v>45</v>
      </c>
    </row>
    <row r="13" spans="1:10" x14ac:dyDescent="0.2">
      <c r="A13" t="s">
        <v>2</v>
      </c>
      <c r="B13" s="38">
        <v>46053</v>
      </c>
      <c r="C13" t="s">
        <v>1143</v>
      </c>
      <c r="D13" t="s">
        <v>82</v>
      </c>
      <c r="E13" s="37">
        <v>7100</v>
      </c>
      <c r="F13" s="39" cm="1">
        <f t="array" ref="F13">E13*_xlfn.XLOOKUP(1,
 (FOREX!$A$2:$A$100=EOMONTH(B13,0))*
 (FOREX!$F$2:$F$100=TRIM(D13)),
 FOREX!$G$2:$G$100,
 100)</f>
        <v>1801.7528</v>
      </c>
      <c r="G13" s="30" t="s">
        <v>387</v>
      </c>
      <c r="H13" s="35" t="str">
        <f>_xlfn.XLOOKUP(G13,costcategory[Account Code],costcategory[Cost Category],"ERROR")</f>
        <v>Headcount Costs</v>
      </c>
      <c r="I13" s="22" t="s">
        <v>45</v>
      </c>
      <c r="J13" t="s">
        <v>45</v>
      </c>
    </row>
    <row r="14" spans="1:10" x14ac:dyDescent="0.2">
      <c r="A14" t="s">
        <v>2</v>
      </c>
      <c r="B14" s="38">
        <v>46053</v>
      </c>
      <c r="C14" t="s">
        <v>1145</v>
      </c>
      <c r="D14" t="s">
        <v>82</v>
      </c>
      <c r="E14" s="37">
        <v>6100</v>
      </c>
      <c r="F14" s="39" cm="1">
        <f t="array" ref="F14">E14*_xlfn.XLOOKUP(1,
 (FOREX!$A$2:$A$100=EOMONTH(B14,0))*
 (FOREX!$F$2:$F$100=TRIM(D14)),
 FOREX!$G$2:$G$100,
 100)</f>
        <v>1547.9848</v>
      </c>
      <c r="G14" s="30" t="s">
        <v>387</v>
      </c>
      <c r="H14" s="35" t="str">
        <f>_xlfn.XLOOKUP(G14,costcategory[Account Code],costcategory[Cost Category],"ERROR")</f>
        <v>Headcount Costs</v>
      </c>
      <c r="I14" s="22" t="s">
        <v>45</v>
      </c>
      <c r="J14" t="s">
        <v>45</v>
      </c>
    </row>
    <row r="15" spans="1:10" x14ac:dyDescent="0.2">
      <c r="A15" t="s">
        <v>2</v>
      </c>
      <c r="B15" s="38">
        <v>46053</v>
      </c>
      <c r="C15" t="s">
        <v>1147</v>
      </c>
      <c r="D15" t="s">
        <v>82</v>
      </c>
      <c r="E15" s="37">
        <v>5706.45</v>
      </c>
      <c r="F15" s="39" cm="1">
        <f t="array" ref="F15">E15*_xlfn.XLOOKUP(1,
 (FOREX!$A$2:$A$100=EOMONTH(B15,0))*
 (FOREX!$F$2:$F$100=TRIM(D15)),
 FOREX!$G$2:$G$100,
 100)</f>
        <v>1448.1144035999998</v>
      </c>
      <c r="G15" s="30" t="s">
        <v>387</v>
      </c>
      <c r="H15" s="35" t="str">
        <f>_xlfn.XLOOKUP(G15,costcategory[Account Code],costcategory[Cost Category],"ERROR")</f>
        <v>Headcount Costs</v>
      </c>
      <c r="I15" s="22" t="s">
        <v>333</v>
      </c>
      <c r="J15" t="s">
        <v>62</v>
      </c>
    </row>
    <row r="16" spans="1:10" x14ac:dyDescent="0.2">
      <c r="A16" t="s">
        <v>2</v>
      </c>
      <c r="B16" s="38">
        <v>46053</v>
      </c>
      <c r="C16" t="s">
        <v>1125</v>
      </c>
      <c r="D16" t="s">
        <v>82</v>
      </c>
      <c r="E16" s="37">
        <v>3341</v>
      </c>
      <c r="F16" s="39" cm="1">
        <f t="array" ref="F16">E16*_xlfn.XLOOKUP(1,
 (FOREX!$A$2:$A$100=EOMONTH(B16,0))*
 (FOREX!$F$2:$F$100=TRIM(D16)),
 FOREX!$G$2:$G$100,
 100)</f>
        <v>847.838888</v>
      </c>
      <c r="G16" s="26" t="s">
        <v>364</v>
      </c>
      <c r="H16" s="35" t="str">
        <f>_xlfn.XLOOKUP(G16,costcategory[Account Code],costcategory[Cost Category],"ERROR")</f>
        <v>Headcount Costs</v>
      </c>
      <c r="I16" s="22" t="s">
        <v>438</v>
      </c>
      <c r="J16" t="s">
        <v>61</v>
      </c>
    </row>
    <row r="17" spans="1:26" x14ac:dyDescent="0.2">
      <c r="A17" t="s">
        <v>2</v>
      </c>
      <c r="B17" s="38">
        <v>46053</v>
      </c>
      <c r="C17" t="s">
        <v>1127</v>
      </c>
      <c r="D17" t="s">
        <v>82</v>
      </c>
      <c r="E17" s="37">
        <v>598</v>
      </c>
      <c r="F17" s="39" cm="1">
        <f t="array" ref="F17">E17*_xlfn.XLOOKUP(1,
 (FOREX!$A$2:$A$100=EOMONTH(B17,0))*
 (FOREX!$F$2:$F$100=TRIM(D17)),
 FOREX!$G$2:$G$100,
 100)</f>
        <v>151.753264</v>
      </c>
      <c r="G17" s="26" t="s">
        <v>364</v>
      </c>
      <c r="H17" s="35" t="str">
        <f>_xlfn.XLOOKUP(G17,costcategory[Account Code],costcategory[Cost Category],"ERROR")</f>
        <v>Headcount Costs</v>
      </c>
      <c r="I17" s="22" t="s">
        <v>45</v>
      </c>
      <c r="J17" t="s">
        <v>45</v>
      </c>
    </row>
    <row r="18" spans="1:26" x14ac:dyDescent="0.2">
      <c r="A18" t="s">
        <v>2</v>
      </c>
      <c r="B18" s="38">
        <v>46053</v>
      </c>
      <c r="C18" t="s">
        <v>1128</v>
      </c>
      <c r="D18" t="s">
        <v>82</v>
      </c>
      <c r="E18" s="37">
        <v>1365</v>
      </c>
      <c r="F18" s="39" cm="1">
        <f t="array" ref="F18">E18*_xlfn.XLOOKUP(1,
 (FOREX!$A$2:$A$100=EOMONTH(B18,0))*
 (FOREX!$F$2:$F$100=TRIM(D18)),
 FOREX!$G$2:$G$100,
 100)</f>
        <v>346.39332000000002</v>
      </c>
      <c r="G18" s="26" t="s">
        <v>364</v>
      </c>
      <c r="H18" s="35" t="str">
        <f>_xlfn.XLOOKUP(G18,costcategory[Account Code],costcategory[Cost Category],"ERROR")</f>
        <v>Headcount Costs</v>
      </c>
      <c r="I18" s="22" t="s">
        <v>438</v>
      </c>
      <c r="J18" t="s">
        <v>61</v>
      </c>
    </row>
    <row r="19" spans="1:26" x14ac:dyDescent="0.2">
      <c r="A19" t="s">
        <v>2</v>
      </c>
      <c r="B19" s="38">
        <v>46053</v>
      </c>
      <c r="C19" t="s">
        <v>1129</v>
      </c>
      <c r="D19" t="s">
        <v>82</v>
      </c>
      <c r="E19" s="37">
        <v>637</v>
      </c>
      <c r="F19" s="39" cm="1">
        <f t="array" ref="F19">E19*_xlfn.XLOOKUP(1,
 (FOREX!$A$2:$A$100=EOMONTH(B19,0))*
 (FOREX!$F$2:$F$100=TRIM(D19)),
 FOREX!$G$2:$G$100,
 100)</f>
        <v>161.650216</v>
      </c>
      <c r="G19" s="26" t="s">
        <v>364</v>
      </c>
      <c r="H19" s="35" t="str">
        <f>_xlfn.XLOOKUP(G19,costcategory[Account Code],costcategory[Cost Category],"ERROR")</f>
        <v>Headcount Costs</v>
      </c>
      <c r="I19" s="22" t="s">
        <v>438</v>
      </c>
      <c r="J19" t="s">
        <v>61</v>
      </c>
    </row>
    <row r="20" spans="1:26" x14ac:dyDescent="0.2">
      <c r="A20" t="s">
        <v>2</v>
      </c>
      <c r="B20" s="38">
        <v>46053</v>
      </c>
      <c r="C20" t="s">
        <v>1131</v>
      </c>
      <c r="D20" t="s">
        <v>82</v>
      </c>
      <c r="E20" s="37">
        <v>1573</v>
      </c>
      <c r="F20" s="39" cm="1">
        <f t="array" ref="F20">E20*_xlfn.XLOOKUP(1,
 (FOREX!$A$2:$A$100=EOMONTH(B20,0))*
 (FOREX!$F$2:$F$100=TRIM(D20)),
 FOREX!$G$2:$G$100,
 100)</f>
        <v>399.17706399999997</v>
      </c>
      <c r="G20" s="26" t="s">
        <v>364</v>
      </c>
      <c r="H20" s="35" t="str">
        <f>_xlfn.XLOOKUP(G20,costcategory[Account Code],costcategory[Cost Category],"ERROR")</f>
        <v>Headcount Costs</v>
      </c>
      <c r="I20" s="22" t="s">
        <v>350</v>
      </c>
      <c r="J20" t="s">
        <v>62</v>
      </c>
    </row>
    <row r="21" spans="1:26" x14ac:dyDescent="0.2">
      <c r="A21" t="s">
        <v>2</v>
      </c>
      <c r="B21" s="38">
        <v>46053</v>
      </c>
      <c r="C21" t="s">
        <v>1133</v>
      </c>
      <c r="D21" t="s">
        <v>82</v>
      </c>
      <c r="E21" s="37">
        <v>1615</v>
      </c>
      <c r="F21" s="39" cm="1">
        <f t="array" ref="F21">E21*_xlfn.XLOOKUP(1,
 (FOREX!$A$2:$A$100=EOMONTH(B21,0))*
 (FOREX!$F$2:$F$100=TRIM(D21)),
 FOREX!$G$2:$G$100,
 100)</f>
        <v>409.83531999999997</v>
      </c>
      <c r="G21" s="26" t="s">
        <v>364</v>
      </c>
      <c r="H21" s="35" t="str">
        <f>_xlfn.XLOOKUP(G21,costcategory[Account Code],costcategory[Cost Category],"ERROR")</f>
        <v>Headcount Costs</v>
      </c>
      <c r="I21" s="22" t="s">
        <v>333</v>
      </c>
      <c r="J21" t="s">
        <v>62</v>
      </c>
    </row>
    <row r="22" spans="1:26" x14ac:dyDescent="0.2">
      <c r="A22" t="s">
        <v>2</v>
      </c>
      <c r="B22" s="38">
        <v>46053</v>
      </c>
      <c r="C22" t="s">
        <v>1134</v>
      </c>
      <c r="D22" t="s">
        <v>82</v>
      </c>
      <c r="E22" s="37">
        <v>3211</v>
      </c>
      <c r="F22" s="39" cm="1">
        <f t="array" ref="F22">E22*_xlfn.XLOOKUP(1,
 (FOREX!$A$2:$A$100=EOMONTH(B22,0))*
 (FOREX!$F$2:$F$100=TRIM(D22)),
 FOREX!$G$2:$G$100,
 100)</f>
        <v>814.84904799999993</v>
      </c>
      <c r="G22" s="26" t="s">
        <v>364</v>
      </c>
      <c r="H22" s="35" t="str">
        <f>_xlfn.XLOOKUP(G22,costcategory[Account Code],costcategory[Cost Category],"ERROR")</f>
        <v>Headcount Costs</v>
      </c>
      <c r="I22" s="22" t="s">
        <v>45</v>
      </c>
      <c r="J22" t="s">
        <v>45</v>
      </c>
    </row>
    <row r="23" spans="1:26" x14ac:dyDescent="0.2">
      <c r="A23" t="s">
        <v>2</v>
      </c>
      <c r="B23" s="38">
        <v>46053</v>
      </c>
      <c r="C23" t="s">
        <v>1136</v>
      </c>
      <c r="D23" t="s">
        <v>82</v>
      </c>
      <c r="E23" s="37">
        <v>2002</v>
      </c>
      <c r="F23" s="39" cm="1">
        <f t="array" ref="F23">E23*_xlfn.XLOOKUP(1,
 (FOREX!$A$2:$A$100=EOMONTH(B23,0))*
 (FOREX!$F$2:$F$100=TRIM(D23)),
 FOREX!$G$2:$G$100,
 100)</f>
        <v>508.04353599999996</v>
      </c>
      <c r="G23" s="26" t="s">
        <v>364</v>
      </c>
      <c r="H23" s="35" t="str">
        <f>_xlfn.XLOOKUP(G23,costcategory[Account Code],costcategory[Cost Category],"ERROR")</f>
        <v>Headcount Costs</v>
      </c>
      <c r="I23" s="22" t="s">
        <v>45</v>
      </c>
      <c r="J23" t="s">
        <v>45</v>
      </c>
    </row>
    <row r="24" spans="1:26" x14ac:dyDescent="0.2">
      <c r="A24" t="s">
        <v>2</v>
      </c>
      <c r="B24" s="38">
        <v>46053</v>
      </c>
      <c r="C24" t="s">
        <v>1137</v>
      </c>
      <c r="D24" t="s">
        <v>82</v>
      </c>
      <c r="E24" s="37">
        <v>728</v>
      </c>
      <c r="F24" s="39" cm="1">
        <f t="array" ref="F24">E24*_xlfn.XLOOKUP(1,
 (FOREX!$A$2:$A$100=EOMONTH(B24,0))*
 (FOREX!$F$2:$F$100=TRIM(D24)),
 FOREX!$G$2:$G$100,
 100)</f>
        <v>184.74310399999999</v>
      </c>
      <c r="G24" s="26" t="s">
        <v>364</v>
      </c>
      <c r="H24" s="35" t="str">
        <f>_xlfn.XLOOKUP(G24,costcategory[Account Code],costcategory[Cost Category],"ERROR")</f>
        <v>Headcount Costs</v>
      </c>
      <c r="I24" s="22" t="s">
        <v>45</v>
      </c>
      <c r="J24" t="s">
        <v>45</v>
      </c>
    </row>
    <row r="25" spans="1:26" x14ac:dyDescent="0.2">
      <c r="A25" t="s">
        <v>2</v>
      </c>
      <c r="B25" s="38">
        <v>46053</v>
      </c>
      <c r="C25" t="s">
        <v>1139</v>
      </c>
      <c r="D25" t="s">
        <v>82</v>
      </c>
      <c r="E25" s="37">
        <v>390</v>
      </c>
      <c r="F25" s="39" cm="1">
        <f t="array" ref="F25">E25*_xlfn.XLOOKUP(1,
 (FOREX!$A$2:$A$100=EOMONTH(B25,0))*
 (FOREX!$F$2:$F$100=TRIM(D25)),
 FOREX!$G$2:$G$100,
 100)</f>
        <v>98.969520000000003</v>
      </c>
      <c r="G25" s="26" t="s">
        <v>364</v>
      </c>
      <c r="H25" s="35" t="str">
        <f>_xlfn.XLOOKUP(G25,costcategory[Account Code],costcategory[Cost Category],"ERROR")</f>
        <v>Headcount Costs</v>
      </c>
      <c r="I25" s="22" t="s">
        <v>354</v>
      </c>
      <c r="J25" t="s">
        <v>61</v>
      </c>
    </row>
    <row r="26" spans="1:26" x14ac:dyDescent="0.2">
      <c r="A26" t="s">
        <v>2</v>
      </c>
      <c r="B26" s="38">
        <v>46053</v>
      </c>
      <c r="C26" t="s">
        <v>1141</v>
      </c>
      <c r="D26" t="s">
        <v>82</v>
      </c>
      <c r="E26" s="37">
        <v>4082</v>
      </c>
      <c r="F26" s="39" cm="1">
        <f t="array" ref="F26">E26*_xlfn.XLOOKUP(1,
 (FOREX!$A$2:$A$100=EOMONTH(B26,0))*
 (FOREX!$F$2:$F$100=TRIM(D26)),
 FOREX!$G$2:$G$100,
 100)</f>
        <v>1035.8809759999999</v>
      </c>
      <c r="G26" s="26" t="s">
        <v>364</v>
      </c>
      <c r="H26" s="35" t="str">
        <f>_xlfn.XLOOKUP(G26,costcategory[Account Code],costcategory[Cost Category],"ERROR")</f>
        <v>Headcount Costs</v>
      </c>
      <c r="I26" s="22" t="s">
        <v>45</v>
      </c>
      <c r="J26" t="s">
        <v>45</v>
      </c>
      <c r="Z26" t="s">
        <v>1425</v>
      </c>
    </row>
    <row r="27" spans="1:26" x14ac:dyDescent="0.2">
      <c r="A27" t="s">
        <v>2</v>
      </c>
      <c r="B27" s="38">
        <v>46053</v>
      </c>
      <c r="C27" t="s">
        <v>1143</v>
      </c>
      <c r="D27" t="s">
        <v>82</v>
      </c>
      <c r="E27" s="37">
        <v>923</v>
      </c>
      <c r="F27" s="39" cm="1">
        <f t="array" ref="F27">E27*_xlfn.XLOOKUP(1,
 (FOREX!$A$2:$A$100=EOMONTH(B27,0))*
 (FOREX!$F$2:$F$100=TRIM(D27)),
 FOREX!$G$2:$G$100,
 100)</f>
        <v>234.22786399999998</v>
      </c>
      <c r="G27" s="26" t="s">
        <v>364</v>
      </c>
      <c r="H27" s="35" t="str">
        <f>_xlfn.XLOOKUP(G27,costcategory[Account Code],costcategory[Cost Category],"ERROR")</f>
        <v>Headcount Costs</v>
      </c>
      <c r="I27" s="22" t="s">
        <v>45</v>
      </c>
      <c r="J27" t="s">
        <v>45</v>
      </c>
    </row>
    <row r="28" spans="1:26" x14ac:dyDescent="0.2">
      <c r="A28" t="s">
        <v>2</v>
      </c>
      <c r="B28" s="38">
        <v>46053</v>
      </c>
      <c r="C28" t="s">
        <v>1145</v>
      </c>
      <c r="D28" t="s">
        <v>82</v>
      </c>
      <c r="E28" s="37">
        <v>793</v>
      </c>
      <c r="F28" s="39" cm="1">
        <f t="array" ref="F28">E28*_xlfn.XLOOKUP(1,
 (FOREX!$A$2:$A$100=EOMONTH(B28,0))*
 (FOREX!$F$2:$F$100=TRIM(D28)),
 FOREX!$G$2:$G$100,
 100)</f>
        <v>201.238024</v>
      </c>
      <c r="G28" s="26" t="s">
        <v>364</v>
      </c>
      <c r="H28" s="35" t="str">
        <f>_xlfn.XLOOKUP(G28,costcategory[Account Code],costcategory[Cost Category],"ERROR")</f>
        <v>Headcount Costs</v>
      </c>
      <c r="I28" s="22" t="s">
        <v>45</v>
      </c>
      <c r="J28" t="s">
        <v>45</v>
      </c>
    </row>
    <row r="29" spans="1:26" x14ac:dyDescent="0.2">
      <c r="A29" t="s">
        <v>2</v>
      </c>
      <c r="B29" s="38">
        <v>46053</v>
      </c>
      <c r="C29" t="s">
        <v>1147</v>
      </c>
      <c r="D29" t="s">
        <v>82</v>
      </c>
      <c r="E29" s="37">
        <v>742</v>
      </c>
      <c r="F29" s="39" cm="1">
        <f t="array" ref="F29">E29*_xlfn.XLOOKUP(1,
 (FOREX!$A$2:$A$100=EOMONTH(B29,0))*
 (FOREX!$F$2:$F$100=TRIM(D29)),
 FOREX!$G$2:$G$100,
 100)</f>
        <v>188.29585599999999</v>
      </c>
      <c r="G29" s="26" t="s">
        <v>364</v>
      </c>
      <c r="H29" s="35" t="str">
        <f>_xlfn.XLOOKUP(G29,costcategory[Account Code],costcategory[Cost Category],"ERROR")</f>
        <v>Headcount Costs</v>
      </c>
      <c r="I29" s="22" t="s">
        <v>333</v>
      </c>
      <c r="J29" t="s">
        <v>62</v>
      </c>
    </row>
    <row r="30" spans="1:26" x14ac:dyDescent="0.2">
      <c r="A30" t="s">
        <v>2</v>
      </c>
      <c r="B30" s="38">
        <v>46053</v>
      </c>
      <c r="C30" t="s">
        <v>1125</v>
      </c>
      <c r="D30" t="s">
        <v>82</v>
      </c>
      <c r="E30" s="37">
        <v>104.15</v>
      </c>
      <c r="F30" s="39" cm="1">
        <f t="array" ref="F30">E30*_xlfn.XLOOKUP(1,
 (FOREX!$A$2:$A$100=EOMONTH(B30,0))*
 (FOREX!$F$2:$F$100=TRIM(D30)),
 FOREX!$G$2:$G$100,
 100)</f>
        <v>26.429937200000001</v>
      </c>
      <c r="G30" s="26" t="s">
        <v>364</v>
      </c>
      <c r="H30" s="35" t="str">
        <f>_xlfn.XLOOKUP(G30,costcategory[Account Code],costcategory[Cost Category],"ERROR")</f>
        <v>Headcount Costs</v>
      </c>
      <c r="I30" s="22" t="s">
        <v>438</v>
      </c>
      <c r="J30" t="s">
        <v>61</v>
      </c>
    </row>
    <row r="31" spans="1:26" x14ac:dyDescent="0.2">
      <c r="A31" t="s">
        <v>2</v>
      </c>
      <c r="B31" s="38">
        <v>46053</v>
      </c>
      <c r="C31" t="s">
        <v>1127</v>
      </c>
      <c r="D31" t="s">
        <v>82</v>
      </c>
      <c r="E31" s="37">
        <v>79.650000000000006</v>
      </c>
      <c r="F31" s="39" cm="1">
        <f t="array" ref="F31">E31*_xlfn.XLOOKUP(1,
 (FOREX!$A$2:$A$100=EOMONTH(B31,0))*
 (FOREX!$F$2:$F$100=TRIM(D31)),
 FOREX!$G$2:$G$100,
 100)</f>
        <v>20.212621200000001</v>
      </c>
      <c r="G31" s="26" t="s">
        <v>364</v>
      </c>
      <c r="H31" s="35" t="str">
        <f>_xlfn.XLOOKUP(G31,costcategory[Account Code],costcategory[Cost Category],"ERROR")</f>
        <v>Headcount Costs</v>
      </c>
      <c r="I31" s="22" t="s">
        <v>45</v>
      </c>
      <c r="J31" t="s">
        <v>45</v>
      </c>
    </row>
    <row r="32" spans="1:26" x14ac:dyDescent="0.2">
      <c r="A32" t="s">
        <v>2</v>
      </c>
      <c r="B32" s="38">
        <v>46053</v>
      </c>
      <c r="C32" t="s">
        <v>1128</v>
      </c>
      <c r="D32" t="s">
        <v>82</v>
      </c>
      <c r="E32" s="37">
        <v>104.15</v>
      </c>
      <c r="F32" s="39" cm="1">
        <f t="array" ref="F32">E32*_xlfn.XLOOKUP(1,
 (FOREX!$A$2:$A$100=EOMONTH(B32,0))*
 (FOREX!$F$2:$F$100=TRIM(D32)),
 FOREX!$G$2:$G$100,
 100)</f>
        <v>26.429937200000001</v>
      </c>
      <c r="G32" s="26" t="s">
        <v>364</v>
      </c>
      <c r="H32" s="35" t="str">
        <f>_xlfn.XLOOKUP(G32,costcategory[Account Code],costcategory[Cost Category],"ERROR")</f>
        <v>Headcount Costs</v>
      </c>
      <c r="I32" s="22" t="s">
        <v>438</v>
      </c>
      <c r="J32" t="s">
        <v>61</v>
      </c>
    </row>
    <row r="33" spans="1:10" x14ac:dyDescent="0.2">
      <c r="A33" t="s">
        <v>2</v>
      </c>
      <c r="B33" s="38">
        <v>46053</v>
      </c>
      <c r="C33" t="s">
        <v>1129</v>
      </c>
      <c r="D33" t="s">
        <v>82</v>
      </c>
      <c r="E33" s="37">
        <v>84.85</v>
      </c>
      <c r="F33" s="39" cm="1">
        <f t="array" ref="F33">E33*_xlfn.XLOOKUP(1,
 (FOREX!$A$2:$A$100=EOMONTH(B33,0))*
 (FOREX!$F$2:$F$100=TRIM(D33)),
 FOREX!$G$2:$G$100,
 100)</f>
        <v>21.532214799999998</v>
      </c>
      <c r="G33" s="26" t="s">
        <v>364</v>
      </c>
      <c r="H33" s="35" t="str">
        <f>_xlfn.XLOOKUP(G33,costcategory[Account Code],costcategory[Cost Category],"ERROR")</f>
        <v>Headcount Costs</v>
      </c>
      <c r="I33" s="22" t="s">
        <v>438</v>
      </c>
      <c r="J33" t="s">
        <v>61</v>
      </c>
    </row>
    <row r="34" spans="1:10" x14ac:dyDescent="0.2">
      <c r="A34" t="s">
        <v>2</v>
      </c>
      <c r="B34" s="38">
        <v>46053</v>
      </c>
      <c r="C34" t="s">
        <v>1131</v>
      </c>
      <c r="D34" t="s">
        <v>82</v>
      </c>
      <c r="E34" s="37">
        <v>104.15</v>
      </c>
      <c r="F34" s="39" cm="1">
        <f t="array" ref="F34">E34*_xlfn.XLOOKUP(1,
 (FOREX!$A$2:$A$100=EOMONTH(B34,0))*
 (FOREX!$F$2:$F$100=TRIM(D34)),
 FOREX!$G$2:$G$100,
 100)</f>
        <v>26.429937200000001</v>
      </c>
      <c r="G34" s="26" t="s">
        <v>364</v>
      </c>
      <c r="H34" s="35" t="str">
        <f>_xlfn.XLOOKUP(G34,costcategory[Account Code],costcategory[Cost Category],"ERROR")</f>
        <v>Headcount Costs</v>
      </c>
      <c r="I34" s="22" t="s">
        <v>350</v>
      </c>
      <c r="J34" t="s">
        <v>62</v>
      </c>
    </row>
    <row r="35" spans="1:10" x14ac:dyDescent="0.2">
      <c r="A35" t="s">
        <v>2</v>
      </c>
      <c r="B35" s="38">
        <v>46053</v>
      </c>
      <c r="C35" t="s">
        <v>1133</v>
      </c>
      <c r="D35" t="s">
        <v>82</v>
      </c>
      <c r="E35" s="37">
        <v>104.15</v>
      </c>
      <c r="F35" s="39" cm="1">
        <f t="array" ref="F35">E35*_xlfn.XLOOKUP(1,
 (FOREX!$A$2:$A$100=EOMONTH(B35,0))*
 (FOREX!$F$2:$F$100=TRIM(D35)),
 FOREX!$G$2:$G$100,
 100)</f>
        <v>26.429937200000001</v>
      </c>
      <c r="G35" s="26" t="s">
        <v>364</v>
      </c>
      <c r="H35" s="35" t="str">
        <f>_xlfn.XLOOKUP(G35,costcategory[Account Code],costcategory[Cost Category],"ERROR")</f>
        <v>Headcount Costs</v>
      </c>
      <c r="I35" s="22" t="s">
        <v>333</v>
      </c>
      <c r="J35" t="s">
        <v>62</v>
      </c>
    </row>
    <row r="36" spans="1:10" x14ac:dyDescent="0.2">
      <c r="A36" t="s">
        <v>2</v>
      </c>
      <c r="B36" s="38">
        <v>46053</v>
      </c>
      <c r="C36" t="s">
        <v>1134</v>
      </c>
      <c r="D36" t="s">
        <v>82</v>
      </c>
      <c r="E36" s="37">
        <v>104.15</v>
      </c>
      <c r="F36" s="39" cm="1">
        <f t="array" ref="F36">E36*_xlfn.XLOOKUP(1,
 (FOREX!$A$2:$A$100=EOMONTH(B36,0))*
 (FOREX!$F$2:$F$100=TRIM(D36)),
 FOREX!$G$2:$G$100,
 100)</f>
        <v>26.429937200000001</v>
      </c>
      <c r="G36" s="26" t="s">
        <v>364</v>
      </c>
      <c r="H36" s="35" t="str">
        <f>_xlfn.XLOOKUP(G36,costcategory[Account Code],costcategory[Cost Category],"ERROR")</f>
        <v>Headcount Costs</v>
      </c>
      <c r="I36" s="22" t="s">
        <v>45</v>
      </c>
      <c r="J36" t="s">
        <v>45</v>
      </c>
    </row>
    <row r="37" spans="1:10" x14ac:dyDescent="0.2">
      <c r="A37" t="s">
        <v>2</v>
      </c>
      <c r="B37" s="38">
        <v>46053</v>
      </c>
      <c r="C37" t="s">
        <v>1136</v>
      </c>
      <c r="D37" t="s">
        <v>82</v>
      </c>
      <c r="E37" s="37">
        <v>104.15</v>
      </c>
      <c r="F37" s="39" cm="1">
        <f t="array" ref="F37">E37*_xlfn.XLOOKUP(1,
 (FOREX!$A$2:$A$100=EOMONTH(B37,0))*
 (FOREX!$F$2:$F$100=TRIM(D37)),
 FOREX!$G$2:$G$100,
 100)</f>
        <v>26.429937200000001</v>
      </c>
      <c r="G37" s="26" t="s">
        <v>364</v>
      </c>
      <c r="H37" s="35" t="str">
        <f>_xlfn.XLOOKUP(G37,costcategory[Account Code],costcategory[Cost Category],"ERROR")</f>
        <v>Headcount Costs</v>
      </c>
      <c r="I37" s="22" t="s">
        <v>45</v>
      </c>
      <c r="J37" t="s">
        <v>45</v>
      </c>
    </row>
    <row r="38" spans="1:10" x14ac:dyDescent="0.2">
      <c r="A38" t="s">
        <v>2</v>
      </c>
      <c r="B38" s="38">
        <v>46053</v>
      </c>
      <c r="C38" t="s">
        <v>1137</v>
      </c>
      <c r="D38" t="s">
        <v>82</v>
      </c>
      <c r="E38" s="37">
        <v>97.15</v>
      </c>
      <c r="F38" s="39" cm="1">
        <f t="array" ref="F38">E38*_xlfn.XLOOKUP(1,
 (FOREX!$A$2:$A$100=EOMONTH(B38,0))*
 (FOREX!$F$2:$F$100=TRIM(D38)),
 FOREX!$G$2:$G$100,
 100)</f>
        <v>24.653561200000002</v>
      </c>
      <c r="G38" s="26" t="s">
        <v>364</v>
      </c>
      <c r="H38" s="35" t="str">
        <f>_xlfn.XLOOKUP(G38,costcategory[Account Code],costcategory[Cost Category],"ERROR")</f>
        <v>Headcount Costs</v>
      </c>
      <c r="I38" s="22" t="s">
        <v>45</v>
      </c>
      <c r="J38" t="s">
        <v>45</v>
      </c>
    </row>
    <row r="39" spans="1:10" x14ac:dyDescent="0.2">
      <c r="A39" t="s">
        <v>2</v>
      </c>
      <c r="B39" s="38">
        <v>46053</v>
      </c>
      <c r="C39" t="s">
        <v>1139</v>
      </c>
      <c r="D39" t="s">
        <v>82</v>
      </c>
      <c r="E39" s="37">
        <v>104.15</v>
      </c>
      <c r="F39" s="39" cm="1">
        <f t="array" ref="F39">E39*_xlfn.XLOOKUP(1,
 (FOREX!$A$2:$A$100=EOMONTH(B39,0))*
 (FOREX!$F$2:$F$100=TRIM(D39)),
 FOREX!$G$2:$G$100,
 100)</f>
        <v>26.429937200000001</v>
      </c>
      <c r="G39" s="26" t="s">
        <v>364</v>
      </c>
      <c r="H39" s="35" t="str">
        <f>_xlfn.XLOOKUP(G39,costcategory[Account Code],costcategory[Cost Category],"ERROR")</f>
        <v>Headcount Costs</v>
      </c>
      <c r="I39" s="22" t="s">
        <v>354</v>
      </c>
      <c r="J39" t="s">
        <v>61</v>
      </c>
    </row>
    <row r="40" spans="1:10" x14ac:dyDescent="0.2">
      <c r="A40" t="s">
        <v>2</v>
      </c>
      <c r="B40" s="38">
        <v>46053</v>
      </c>
      <c r="C40" t="s">
        <v>1141</v>
      </c>
      <c r="D40" t="s">
        <v>82</v>
      </c>
      <c r="E40" s="37">
        <v>104.15</v>
      </c>
      <c r="F40" s="39" cm="1">
        <f t="array" ref="F40">E40*_xlfn.XLOOKUP(1,
 (FOREX!$A$2:$A$100=EOMONTH(B40,0))*
 (FOREX!$F$2:$F$100=TRIM(D40)),
 FOREX!$G$2:$G$100,
 100)</f>
        <v>26.429937200000001</v>
      </c>
      <c r="G40" s="26" t="s">
        <v>364</v>
      </c>
      <c r="H40" s="35" t="str">
        <f>_xlfn.XLOOKUP(G40,costcategory[Account Code],costcategory[Cost Category],"ERROR")</f>
        <v>Headcount Costs</v>
      </c>
      <c r="I40" s="22" t="s">
        <v>45</v>
      </c>
      <c r="J40" t="s">
        <v>45</v>
      </c>
    </row>
    <row r="41" spans="1:10" x14ac:dyDescent="0.2">
      <c r="A41" t="s">
        <v>2</v>
      </c>
      <c r="B41" s="38">
        <v>46053</v>
      </c>
      <c r="C41" t="s">
        <v>1143</v>
      </c>
      <c r="D41" t="s">
        <v>82</v>
      </c>
      <c r="E41" s="37">
        <v>104.15</v>
      </c>
      <c r="F41" s="39" cm="1">
        <f t="array" ref="F41">E41*_xlfn.XLOOKUP(1,
 (FOREX!$A$2:$A$100=EOMONTH(B41,0))*
 (FOREX!$F$2:$F$100=TRIM(D41)),
 FOREX!$G$2:$G$100,
 100)</f>
        <v>26.429937200000001</v>
      </c>
      <c r="G41" s="26" t="s">
        <v>364</v>
      </c>
      <c r="H41" s="35" t="str">
        <f>_xlfn.XLOOKUP(G41,costcategory[Account Code],costcategory[Cost Category],"ERROR")</f>
        <v>Headcount Costs</v>
      </c>
      <c r="I41" s="22" t="s">
        <v>45</v>
      </c>
      <c r="J41" t="s">
        <v>45</v>
      </c>
    </row>
    <row r="42" spans="1:10" x14ac:dyDescent="0.2">
      <c r="A42" t="s">
        <v>2</v>
      </c>
      <c r="B42" s="38">
        <v>46053</v>
      </c>
      <c r="C42" t="s">
        <v>1145</v>
      </c>
      <c r="D42" t="s">
        <v>82</v>
      </c>
      <c r="E42" s="37">
        <v>104.15</v>
      </c>
      <c r="F42" s="39" cm="1">
        <f t="array" ref="F42">E42*_xlfn.XLOOKUP(1,
 (FOREX!$A$2:$A$100=EOMONTH(B42,0))*
 (FOREX!$F$2:$F$100=TRIM(D42)),
 FOREX!$G$2:$G$100,
 100)</f>
        <v>26.429937200000001</v>
      </c>
      <c r="G42" s="26" t="s">
        <v>364</v>
      </c>
      <c r="H42" s="35" t="str">
        <f>_xlfn.XLOOKUP(G42,costcategory[Account Code],costcategory[Cost Category],"ERROR")</f>
        <v>Headcount Costs</v>
      </c>
      <c r="I42" s="22" t="s">
        <v>45</v>
      </c>
      <c r="J42" t="s">
        <v>45</v>
      </c>
    </row>
    <row r="43" spans="1:10" x14ac:dyDescent="0.2">
      <c r="A43" t="s">
        <v>2</v>
      </c>
      <c r="B43" s="38">
        <v>46053</v>
      </c>
      <c r="C43" t="s">
        <v>1147</v>
      </c>
      <c r="D43" t="s">
        <v>82</v>
      </c>
      <c r="E43" s="37">
        <v>100.65</v>
      </c>
      <c r="F43" s="39" cm="1">
        <f t="array" ref="F43">E43*_xlfn.XLOOKUP(1,
 (FOREX!$A$2:$A$100=EOMONTH(B43,0))*
 (FOREX!$F$2:$F$100=TRIM(D43)),
 FOREX!$G$2:$G$100,
 100)</f>
        <v>25.541749200000002</v>
      </c>
      <c r="G43" s="26" t="s">
        <v>364</v>
      </c>
      <c r="H43" s="35" t="str">
        <f>_xlfn.XLOOKUP(G43,costcategory[Account Code],costcategory[Cost Category],"ERROR")</f>
        <v>Headcount Costs</v>
      </c>
      <c r="I43" s="22" t="s">
        <v>333</v>
      </c>
      <c r="J43" t="s">
        <v>62</v>
      </c>
    </row>
    <row r="44" spans="1:10" x14ac:dyDescent="0.2">
      <c r="A44" t="s">
        <v>2</v>
      </c>
      <c r="B44" s="38">
        <v>46053</v>
      </c>
      <c r="C44" t="s">
        <v>1125</v>
      </c>
      <c r="D44" t="s">
        <v>82</v>
      </c>
      <c r="E44" s="37">
        <v>11.9</v>
      </c>
      <c r="F44" s="39" cm="1">
        <f t="array" ref="F44">E44*_xlfn.XLOOKUP(1,
 (FOREX!$A$2:$A$100=EOMONTH(B44,0))*
 (FOREX!$F$2:$F$100=TRIM(D44)),
 FOREX!$G$2:$G$100,
 100)</f>
        <v>3.0198391999999998</v>
      </c>
      <c r="G44" s="26" t="s">
        <v>364</v>
      </c>
      <c r="H44" s="35" t="str">
        <f>_xlfn.XLOOKUP(G44,costcategory[Account Code],costcategory[Cost Category],"ERROR")</f>
        <v>Headcount Costs</v>
      </c>
      <c r="I44" s="22" t="s">
        <v>438</v>
      </c>
      <c r="J44" t="s">
        <v>61</v>
      </c>
    </row>
    <row r="45" spans="1:10" x14ac:dyDescent="0.2">
      <c r="A45" t="s">
        <v>2</v>
      </c>
      <c r="B45" s="38">
        <v>46053</v>
      </c>
      <c r="C45" t="s">
        <v>1127</v>
      </c>
      <c r="D45" t="s">
        <v>82</v>
      </c>
      <c r="E45" s="37">
        <v>9.1</v>
      </c>
      <c r="F45" s="39" cm="1">
        <f t="array" ref="F45">E45*_xlfn.XLOOKUP(1,
 (FOREX!$A$2:$A$100=EOMONTH(B45,0))*
 (FOREX!$F$2:$F$100=TRIM(D45)),
 FOREX!$G$2:$G$100,
 100)</f>
        <v>2.3092888</v>
      </c>
      <c r="G45" s="26" t="s">
        <v>364</v>
      </c>
      <c r="H45" s="35" t="str">
        <f>_xlfn.XLOOKUP(G45,costcategory[Account Code],costcategory[Cost Category],"ERROR")</f>
        <v>Headcount Costs</v>
      </c>
      <c r="I45" s="22" t="s">
        <v>45</v>
      </c>
      <c r="J45" t="s">
        <v>45</v>
      </c>
    </row>
    <row r="46" spans="1:10" x14ac:dyDescent="0.2">
      <c r="A46" t="s">
        <v>2</v>
      </c>
      <c r="B46" s="38">
        <v>46053</v>
      </c>
      <c r="C46" t="s">
        <v>1128</v>
      </c>
      <c r="D46" t="s">
        <v>82</v>
      </c>
      <c r="E46" s="37">
        <v>11.9</v>
      </c>
      <c r="F46" s="39" cm="1">
        <f t="array" ref="F46">E46*_xlfn.XLOOKUP(1,
 (FOREX!$A$2:$A$100=EOMONTH(B46,0))*
 (FOREX!$F$2:$F$100=TRIM(D46)),
 FOREX!$G$2:$G$100,
 100)</f>
        <v>3.0198391999999998</v>
      </c>
      <c r="G46" s="26" t="s">
        <v>364</v>
      </c>
      <c r="H46" s="35" t="str">
        <f>_xlfn.XLOOKUP(G46,costcategory[Account Code],costcategory[Cost Category],"ERROR")</f>
        <v>Headcount Costs</v>
      </c>
      <c r="I46" s="22" t="s">
        <v>438</v>
      </c>
      <c r="J46" t="s">
        <v>61</v>
      </c>
    </row>
    <row r="47" spans="1:10" x14ac:dyDescent="0.2">
      <c r="A47" t="s">
        <v>2</v>
      </c>
      <c r="B47" s="38">
        <v>46053</v>
      </c>
      <c r="C47" t="s">
        <v>1129</v>
      </c>
      <c r="D47" t="s">
        <v>82</v>
      </c>
      <c r="E47" s="37">
        <v>9.6999999999999993</v>
      </c>
      <c r="F47" s="39" cm="1">
        <f t="array" ref="F47">E47*_xlfn.XLOOKUP(1,
 (FOREX!$A$2:$A$100=EOMONTH(B47,0))*
 (FOREX!$F$2:$F$100=TRIM(D47)),
 FOREX!$G$2:$G$100,
 100)</f>
        <v>2.4615495999999997</v>
      </c>
      <c r="G47" s="26" t="s">
        <v>364</v>
      </c>
      <c r="H47" s="35" t="str">
        <f>_xlfn.XLOOKUP(G47,costcategory[Account Code],costcategory[Cost Category],"ERROR")</f>
        <v>Headcount Costs</v>
      </c>
      <c r="I47" s="22" t="s">
        <v>438</v>
      </c>
      <c r="J47" t="s">
        <v>61</v>
      </c>
    </row>
    <row r="48" spans="1:10" x14ac:dyDescent="0.2">
      <c r="A48" t="s">
        <v>2</v>
      </c>
      <c r="B48" s="38">
        <v>46053</v>
      </c>
      <c r="C48" t="s">
        <v>1131</v>
      </c>
      <c r="D48" t="s">
        <v>82</v>
      </c>
      <c r="E48" s="37">
        <v>11.9</v>
      </c>
      <c r="F48" s="39" cm="1">
        <f t="array" ref="F48">E48*_xlfn.XLOOKUP(1,
 (FOREX!$A$2:$A$100=EOMONTH(B48,0))*
 (FOREX!$F$2:$F$100=TRIM(D48)),
 FOREX!$G$2:$G$100,
 100)</f>
        <v>3.0198391999999998</v>
      </c>
      <c r="G48" s="26" t="s">
        <v>364</v>
      </c>
      <c r="H48" s="35" t="str">
        <f>_xlfn.XLOOKUP(G48,costcategory[Account Code],costcategory[Cost Category],"ERROR")</f>
        <v>Headcount Costs</v>
      </c>
      <c r="I48" s="22" t="s">
        <v>350</v>
      </c>
      <c r="J48" t="s">
        <v>62</v>
      </c>
    </row>
    <row r="49" spans="1:10" x14ac:dyDescent="0.2">
      <c r="A49" t="s">
        <v>2</v>
      </c>
      <c r="B49" s="38">
        <v>46053</v>
      </c>
      <c r="C49" t="s">
        <v>1133</v>
      </c>
      <c r="D49" t="s">
        <v>82</v>
      </c>
      <c r="E49" s="37">
        <v>11.9</v>
      </c>
      <c r="F49" s="39" cm="1">
        <f t="array" ref="F49">E49*_xlfn.XLOOKUP(1,
 (FOREX!$A$2:$A$100=EOMONTH(B49,0))*
 (FOREX!$F$2:$F$100=TRIM(D49)),
 FOREX!$G$2:$G$100,
 100)</f>
        <v>3.0198391999999998</v>
      </c>
      <c r="G49" s="26" t="s">
        <v>364</v>
      </c>
      <c r="H49" s="35" t="str">
        <f>_xlfn.XLOOKUP(G49,costcategory[Account Code],costcategory[Cost Category],"ERROR")</f>
        <v>Headcount Costs</v>
      </c>
      <c r="I49" s="22" t="s">
        <v>333</v>
      </c>
      <c r="J49" t="s">
        <v>62</v>
      </c>
    </row>
    <row r="50" spans="1:10" x14ac:dyDescent="0.2">
      <c r="A50" t="s">
        <v>2</v>
      </c>
      <c r="B50" s="38">
        <v>46053</v>
      </c>
      <c r="C50" t="s">
        <v>1134</v>
      </c>
      <c r="D50" t="s">
        <v>82</v>
      </c>
      <c r="E50" s="37">
        <v>11.9</v>
      </c>
      <c r="F50" s="39" cm="1">
        <f t="array" ref="F50">E50*_xlfn.XLOOKUP(1,
 (FOREX!$A$2:$A$100=EOMONTH(B50,0))*
 (FOREX!$F$2:$F$100=TRIM(D50)),
 FOREX!$G$2:$G$100,
 100)</f>
        <v>3.0198391999999998</v>
      </c>
      <c r="G50" s="26" t="s">
        <v>364</v>
      </c>
      <c r="H50" s="35" t="str">
        <f>_xlfn.XLOOKUP(G50,costcategory[Account Code],costcategory[Cost Category],"ERROR")</f>
        <v>Headcount Costs</v>
      </c>
      <c r="I50" s="22" t="s">
        <v>45</v>
      </c>
      <c r="J50" t="s">
        <v>45</v>
      </c>
    </row>
    <row r="51" spans="1:10" x14ac:dyDescent="0.2">
      <c r="A51" t="s">
        <v>2</v>
      </c>
      <c r="B51" s="38">
        <v>46053</v>
      </c>
      <c r="C51" t="s">
        <v>1136</v>
      </c>
      <c r="D51" t="s">
        <v>82</v>
      </c>
      <c r="E51" s="37">
        <v>11.9</v>
      </c>
      <c r="F51" s="39" cm="1">
        <f t="array" ref="F51">E51*_xlfn.XLOOKUP(1,
 (FOREX!$A$2:$A$100=EOMONTH(B51,0))*
 (FOREX!$F$2:$F$100=TRIM(D51)),
 FOREX!$G$2:$G$100,
 100)</f>
        <v>3.0198391999999998</v>
      </c>
      <c r="G51" s="26" t="s">
        <v>364</v>
      </c>
      <c r="H51" s="35" t="str">
        <f>_xlfn.XLOOKUP(G51,costcategory[Account Code],costcategory[Cost Category],"ERROR")</f>
        <v>Headcount Costs</v>
      </c>
      <c r="I51" s="22" t="s">
        <v>45</v>
      </c>
      <c r="J51" t="s">
        <v>45</v>
      </c>
    </row>
    <row r="52" spans="1:10" x14ac:dyDescent="0.2">
      <c r="A52" t="s">
        <v>2</v>
      </c>
      <c r="B52" s="38">
        <v>46053</v>
      </c>
      <c r="C52" t="s">
        <v>1137</v>
      </c>
      <c r="D52" t="s">
        <v>82</v>
      </c>
      <c r="E52" s="37">
        <v>11.1</v>
      </c>
      <c r="F52" s="39" cm="1">
        <f t="array" ref="F52">E52*_xlfn.XLOOKUP(1,
 (FOREX!$A$2:$A$100=EOMONTH(B52,0))*
 (FOREX!$F$2:$F$100=TRIM(D52)),
 FOREX!$G$2:$G$100,
 100)</f>
        <v>2.8168248</v>
      </c>
      <c r="G52" s="26" t="s">
        <v>364</v>
      </c>
      <c r="H52" s="35" t="str">
        <f>_xlfn.XLOOKUP(G52,costcategory[Account Code],costcategory[Cost Category],"ERROR")</f>
        <v>Headcount Costs</v>
      </c>
      <c r="I52" s="22" t="s">
        <v>45</v>
      </c>
      <c r="J52" t="s">
        <v>45</v>
      </c>
    </row>
    <row r="53" spans="1:10" x14ac:dyDescent="0.2">
      <c r="A53" t="s">
        <v>2</v>
      </c>
      <c r="B53" s="38">
        <v>46053</v>
      </c>
      <c r="C53" t="s">
        <v>1141</v>
      </c>
      <c r="D53" t="s">
        <v>82</v>
      </c>
      <c r="E53" s="37">
        <v>11.9</v>
      </c>
      <c r="F53" s="39" cm="1">
        <f t="array" ref="F53">E53*_xlfn.XLOOKUP(1,
 (FOREX!$A$2:$A$100=EOMONTH(B53,0))*
 (FOREX!$F$2:$F$100=TRIM(D53)),
 FOREX!$G$2:$G$100,
 100)</f>
        <v>3.0198391999999998</v>
      </c>
      <c r="G53" s="26" t="s">
        <v>364</v>
      </c>
      <c r="H53" s="35" t="str">
        <f>_xlfn.XLOOKUP(G53,costcategory[Account Code],costcategory[Cost Category],"ERROR")</f>
        <v>Headcount Costs</v>
      </c>
      <c r="I53" s="22" t="s">
        <v>45</v>
      </c>
      <c r="J53" t="s">
        <v>45</v>
      </c>
    </row>
    <row r="54" spans="1:10" x14ac:dyDescent="0.2">
      <c r="A54" t="s">
        <v>2</v>
      </c>
      <c r="B54" s="38">
        <v>46053</v>
      </c>
      <c r="C54" t="s">
        <v>1143</v>
      </c>
      <c r="D54" t="s">
        <v>82</v>
      </c>
      <c r="E54" s="37">
        <v>11.9</v>
      </c>
      <c r="F54" s="39" cm="1">
        <f t="array" ref="F54">E54*_xlfn.XLOOKUP(1,
 (FOREX!$A$2:$A$100=EOMONTH(B54,0))*
 (FOREX!$F$2:$F$100=TRIM(D54)),
 FOREX!$G$2:$G$100,
 100)</f>
        <v>3.0198391999999998</v>
      </c>
      <c r="G54" s="26" t="s">
        <v>364</v>
      </c>
      <c r="H54" s="35" t="str">
        <f>_xlfn.XLOOKUP(G54,costcategory[Account Code],costcategory[Cost Category],"ERROR")</f>
        <v>Headcount Costs</v>
      </c>
      <c r="I54" s="22" t="s">
        <v>45</v>
      </c>
      <c r="J54" t="s">
        <v>45</v>
      </c>
    </row>
    <row r="55" spans="1:10" x14ac:dyDescent="0.2">
      <c r="A55" t="s">
        <v>2</v>
      </c>
      <c r="B55" s="38">
        <v>46053</v>
      </c>
      <c r="C55" t="s">
        <v>1145</v>
      </c>
      <c r="D55" t="s">
        <v>82</v>
      </c>
      <c r="E55" s="37">
        <v>11.9</v>
      </c>
      <c r="F55" s="39" cm="1">
        <f t="array" ref="F55">E55*_xlfn.XLOOKUP(1,
 (FOREX!$A$2:$A$100=EOMONTH(B55,0))*
 (FOREX!$F$2:$F$100=TRIM(D55)),
 FOREX!$G$2:$G$100,
 100)</f>
        <v>3.0198391999999998</v>
      </c>
      <c r="G55" s="26" t="s">
        <v>364</v>
      </c>
      <c r="H55" s="35" t="str">
        <f>_xlfn.XLOOKUP(G55,costcategory[Account Code],costcategory[Cost Category],"ERROR")</f>
        <v>Headcount Costs</v>
      </c>
      <c r="I55" s="22" t="s">
        <v>45</v>
      </c>
      <c r="J55" t="s">
        <v>45</v>
      </c>
    </row>
    <row r="56" spans="1:10" x14ac:dyDescent="0.2">
      <c r="A56" t="s">
        <v>2</v>
      </c>
      <c r="B56" s="38">
        <v>46053</v>
      </c>
      <c r="C56" t="s">
        <v>1147</v>
      </c>
      <c r="D56" t="s">
        <v>82</v>
      </c>
      <c r="E56" s="37">
        <v>11.5</v>
      </c>
      <c r="F56" s="39" cm="1">
        <f t="array" ref="F56">E56*_xlfn.XLOOKUP(1,
 (FOREX!$A$2:$A$100=EOMONTH(B56,0))*
 (FOREX!$F$2:$F$100=TRIM(D56)),
 FOREX!$G$2:$G$100,
 100)</f>
        <v>2.9183319999999999</v>
      </c>
      <c r="G56" s="26" t="s">
        <v>364</v>
      </c>
      <c r="H56" s="35" t="str">
        <f>_xlfn.XLOOKUP(G56,costcategory[Account Code],costcategory[Cost Category],"ERROR")</f>
        <v>Headcount Costs</v>
      </c>
      <c r="I56" s="22" t="s">
        <v>333</v>
      </c>
      <c r="J56" t="s">
        <v>62</v>
      </c>
    </row>
    <row r="57" spans="1:10" x14ac:dyDescent="0.2">
      <c r="A57" t="s">
        <v>2</v>
      </c>
      <c r="B57" s="38">
        <v>46053</v>
      </c>
      <c r="C57" t="s">
        <v>1125</v>
      </c>
      <c r="D57" t="s">
        <v>82</v>
      </c>
      <c r="E57" s="40">
        <v>257</v>
      </c>
      <c r="F57" s="39" cm="1">
        <f t="array" ref="F57">E57*_xlfn.XLOOKUP(1,
 (FOREX!$A$2:$A$100=EOMONTH(B57,0))*
 (FOREX!$F$2:$F$100=TRIM(D57)),
 FOREX!$G$2:$G$100,
 100)</f>
        <v>65.218375999999992</v>
      </c>
      <c r="G57" s="26" t="s">
        <v>364</v>
      </c>
      <c r="H57" s="35" t="str">
        <f>_xlfn.XLOOKUP(G57,costcategory[Account Code],costcategory[Cost Category],"ERROR")</f>
        <v>Headcount Costs</v>
      </c>
      <c r="I57" s="22" t="s">
        <v>438</v>
      </c>
      <c r="J57" t="s">
        <v>61</v>
      </c>
    </row>
    <row r="58" spans="1:10" x14ac:dyDescent="0.2">
      <c r="A58" t="s">
        <v>2</v>
      </c>
      <c r="B58" s="38">
        <v>46053</v>
      </c>
      <c r="C58" t="s">
        <v>1127</v>
      </c>
      <c r="D58" t="s">
        <v>82</v>
      </c>
      <c r="E58" s="40">
        <v>46</v>
      </c>
      <c r="F58" s="39" cm="1">
        <f t="array" ref="F58">E58*_xlfn.XLOOKUP(1,
 (FOREX!$A$2:$A$100=EOMONTH(B58,0))*
 (FOREX!$F$2:$F$100=TRIM(D58)),
 FOREX!$G$2:$G$100,
 100)</f>
        <v>11.673328</v>
      </c>
      <c r="G58" s="26" t="s">
        <v>364</v>
      </c>
      <c r="H58" s="35" t="str">
        <f>_xlfn.XLOOKUP(G58,costcategory[Account Code],costcategory[Cost Category],"ERROR")</f>
        <v>Headcount Costs</v>
      </c>
      <c r="I58" s="22" t="s">
        <v>45</v>
      </c>
      <c r="J58" t="s">
        <v>45</v>
      </c>
    </row>
    <row r="59" spans="1:10" x14ac:dyDescent="0.2">
      <c r="A59" t="s">
        <v>2</v>
      </c>
      <c r="B59" s="38">
        <v>46053</v>
      </c>
      <c r="C59" t="s">
        <v>1128</v>
      </c>
      <c r="D59" t="s">
        <v>82</v>
      </c>
      <c r="E59" s="40">
        <v>105</v>
      </c>
      <c r="F59" s="39" cm="1">
        <f t="array" ref="F59">E59*_xlfn.XLOOKUP(1,
 (FOREX!$A$2:$A$100=EOMONTH(B59,0))*
 (FOREX!$F$2:$F$100=TRIM(D59)),
 FOREX!$G$2:$G$100,
 100)</f>
        <v>26.64564</v>
      </c>
      <c r="G59" s="26" t="s">
        <v>364</v>
      </c>
      <c r="H59" s="35" t="str">
        <f>_xlfn.XLOOKUP(G59,costcategory[Account Code],costcategory[Cost Category],"ERROR")</f>
        <v>Headcount Costs</v>
      </c>
      <c r="I59" s="22" t="s">
        <v>438</v>
      </c>
      <c r="J59" t="s">
        <v>61</v>
      </c>
    </row>
    <row r="60" spans="1:10" x14ac:dyDescent="0.2">
      <c r="A60" t="s">
        <v>2</v>
      </c>
      <c r="B60" s="38">
        <v>46053</v>
      </c>
      <c r="C60" t="s">
        <v>1129</v>
      </c>
      <c r="D60" t="s">
        <v>82</v>
      </c>
      <c r="E60" s="40">
        <v>49</v>
      </c>
      <c r="F60" s="39" cm="1">
        <f t="array" ref="F60">E60*_xlfn.XLOOKUP(1,
 (FOREX!$A$2:$A$100=EOMONTH(B60,0))*
 (FOREX!$F$2:$F$100=TRIM(D60)),
 FOREX!$G$2:$G$100,
 100)</f>
        <v>12.434632000000001</v>
      </c>
      <c r="G60" s="26" t="s">
        <v>364</v>
      </c>
      <c r="H60" s="35" t="str">
        <f>_xlfn.XLOOKUP(G60,costcategory[Account Code],costcategory[Cost Category],"ERROR")</f>
        <v>Headcount Costs</v>
      </c>
      <c r="I60" s="22" t="s">
        <v>438</v>
      </c>
      <c r="J60" t="s">
        <v>61</v>
      </c>
    </row>
    <row r="61" spans="1:10" x14ac:dyDescent="0.2">
      <c r="A61" t="s">
        <v>2</v>
      </c>
      <c r="B61" s="38">
        <v>46053</v>
      </c>
      <c r="C61" t="s">
        <v>1131</v>
      </c>
      <c r="D61" t="s">
        <v>82</v>
      </c>
      <c r="E61" s="40">
        <v>121</v>
      </c>
      <c r="F61" s="39" cm="1">
        <f t="array" ref="F61">E61*_xlfn.XLOOKUP(1,
 (FOREX!$A$2:$A$100=EOMONTH(B61,0))*
 (FOREX!$F$2:$F$100=TRIM(D61)),
 FOREX!$G$2:$G$100,
 100)</f>
        <v>30.705928</v>
      </c>
      <c r="G61" s="26" t="s">
        <v>364</v>
      </c>
      <c r="H61" s="35" t="str">
        <f>_xlfn.XLOOKUP(G61,costcategory[Account Code],costcategory[Cost Category],"ERROR")</f>
        <v>Headcount Costs</v>
      </c>
      <c r="I61" s="22" t="s">
        <v>350</v>
      </c>
      <c r="J61" t="s">
        <v>62</v>
      </c>
    </row>
    <row r="62" spans="1:10" x14ac:dyDescent="0.2">
      <c r="A62" t="s">
        <v>2</v>
      </c>
      <c r="B62" s="38">
        <v>46053</v>
      </c>
      <c r="C62" t="s">
        <v>1133</v>
      </c>
      <c r="D62" t="s">
        <v>82</v>
      </c>
      <c r="E62" s="40">
        <v>124.2</v>
      </c>
      <c r="F62" s="39" cm="1">
        <f t="array" ref="F62">E62*_xlfn.XLOOKUP(1,
 (FOREX!$A$2:$A$100=EOMONTH(B62,0))*
 (FOREX!$F$2:$F$100=TRIM(D62)),
 FOREX!$G$2:$G$100,
 100)</f>
        <v>31.517985599999999</v>
      </c>
      <c r="G62" s="26" t="s">
        <v>364</v>
      </c>
      <c r="H62" s="35" t="str">
        <f>_xlfn.XLOOKUP(G62,costcategory[Account Code],costcategory[Cost Category],"ERROR")</f>
        <v>Headcount Costs</v>
      </c>
      <c r="I62" s="22" t="s">
        <v>333</v>
      </c>
      <c r="J62" t="s">
        <v>62</v>
      </c>
    </row>
    <row r="63" spans="1:10" x14ac:dyDescent="0.2">
      <c r="A63" t="s">
        <v>2</v>
      </c>
      <c r="B63" s="38">
        <v>46053</v>
      </c>
      <c r="C63" t="s">
        <v>1134</v>
      </c>
      <c r="D63" t="s">
        <v>82</v>
      </c>
      <c r="E63" s="40">
        <v>247</v>
      </c>
      <c r="F63" s="39" cm="1">
        <f t="array" ref="F63">E63*_xlfn.XLOOKUP(1,
 (FOREX!$A$2:$A$100=EOMONTH(B63,0))*
 (FOREX!$F$2:$F$100=TRIM(D63)),
 FOREX!$G$2:$G$100,
 100)</f>
        <v>62.680695999999998</v>
      </c>
      <c r="G63" s="26" t="s">
        <v>364</v>
      </c>
      <c r="H63" s="35" t="str">
        <f>_xlfn.XLOOKUP(G63,costcategory[Account Code],costcategory[Cost Category],"ERROR")</f>
        <v>Headcount Costs</v>
      </c>
      <c r="I63" s="22" t="s">
        <v>45</v>
      </c>
      <c r="J63" t="s">
        <v>45</v>
      </c>
    </row>
    <row r="64" spans="1:10" x14ac:dyDescent="0.2">
      <c r="A64" t="s">
        <v>2</v>
      </c>
      <c r="B64" s="38">
        <v>46053</v>
      </c>
      <c r="C64" t="s">
        <v>1136</v>
      </c>
      <c r="D64" t="s">
        <v>82</v>
      </c>
      <c r="E64" s="40">
        <v>154</v>
      </c>
      <c r="F64" s="39" cm="1">
        <f t="array" ref="F64">E64*_xlfn.XLOOKUP(1,
 (FOREX!$A$2:$A$100=EOMONTH(B64,0))*
 (FOREX!$F$2:$F$100=TRIM(D64)),
 FOREX!$G$2:$G$100,
 100)</f>
        <v>39.080272000000001</v>
      </c>
      <c r="G64" s="26" t="s">
        <v>364</v>
      </c>
      <c r="H64" s="35" t="str">
        <f>_xlfn.XLOOKUP(G64,costcategory[Account Code],costcategory[Cost Category],"ERROR")</f>
        <v>Headcount Costs</v>
      </c>
      <c r="I64" s="22" t="s">
        <v>45</v>
      </c>
      <c r="J64" t="s">
        <v>45</v>
      </c>
    </row>
    <row r="65" spans="1:10" x14ac:dyDescent="0.2">
      <c r="A65" t="s">
        <v>2</v>
      </c>
      <c r="B65" s="38">
        <v>46053</v>
      </c>
      <c r="C65" t="s">
        <v>1137</v>
      </c>
      <c r="D65" t="s">
        <v>82</v>
      </c>
      <c r="E65" s="40">
        <v>56</v>
      </c>
      <c r="F65" s="39" cm="1">
        <f t="array" ref="F65">E65*_xlfn.XLOOKUP(1,
 (FOREX!$A$2:$A$100=EOMONTH(B65,0))*
 (FOREX!$F$2:$F$100=TRIM(D65)),
 FOREX!$G$2:$G$100,
 100)</f>
        <v>14.211008</v>
      </c>
      <c r="G65" s="26" t="s">
        <v>364</v>
      </c>
      <c r="H65" s="35" t="str">
        <f>_xlfn.XLOOKUP(G65,costcategory[Account Code],costcategory[Cost Category],"ERROR")</f>
        <v>Headcount Costs</v>
      </c>
      <c r="I65" s="22" t="s">
        <v>45</v>
      </c>
      <c r="J65" t="s">
        <v>45</v>
      </c>
    </row>
    <row r="66" spans="1:10" x14ac:dyDescent="0.2">
      <c r="A66" t="s">
        <v>2</v>
      </c>
      <c r="B66" s="38">
        <v>46053</v>
      </c>
      <c r="C66" t="s">
        <v>1141</v>
      </c>
      <c r="D66" t="s">
        <v>82</v>
      </c>
      <c r="E66" s="40">
        <v>314</v>
      </c>
      <c r="F66" s="39" cm="1">
        <f t="array" ref="F66">E66*_xlfn.XLOOKUP(1,
 (FOREX!$A$2:$A$100=EOMONTH(B66,0))*
 (FOREX!$F$2:$F$100=TRIM(D66)),
 FOREX!$G$2:$G$100,
 100)</f>
        <v>79.683151999999993</v>
      </c>
      <c r="G66" s="26" t="s">
        <v>364</v>
      </c>
      <c r="H66" s="35" t="str">
        <f>_xlfn.XLOOKUP(G66,costcategory[Account Code],costcategory[Cost Category],"ERROR")</f>
        <v>Headcount Costs</v>
      </c>
      <c r="I66" s="22" t="s">
        <v>45</v>
      </c>
      <c r="J66" t="s">
        <v>45</v>
      </c>
    </row>
    <row r="67" spans="1:10" x14ac:dyDescent="0.2">
      <c r="A67" t="s">
        <v>2</v>
      </c>
      <c r="B67" s="38">
        <v>46053</v>
      </c>
      <c r="C67" t="s">
        <v>1143</v>
      </c>
      <c r="D67" t="s">
        <v>82</v>
      </c>
      <c r="E67" s="40">
        <v>71</v>
      </c>
      <c r="F67" s="39" cm="1">
        <f t="array" ref="F67">E67*_xlfn.XLOOKUP(1,
 (FOREX!$A$2:$A$100=EOMONTH(B67,0))*
 (FOREX!$F$2:$F$100=TRIM(D67)),
 FOREX!$G$2:$G$100,
 100)</f>
        <v>18.017527999999999</v>
      </c>
      <c r="G67" s="26" t="s">
        <v>364</v>
      </c>
      <c r="H67" s="35" t="str">
        <f>_xlfn.XLOOKUP(G67,costcategory[Account Code],costcategory[Cost Category],"ERROR")</f>
        <v>Headcount Costs</v>
      </c>
      <c r="I67" s="22" t="s">
        <v>45</v>
      </c>
      <c r="J67" t="s">
        <v>45</v>
      </c>
    </row>
    <row r="68" spans="1:10" x14ac:dyDescent="0.2">
      <c r="A68" t="s">
        <v>2</v>
      </c>
      <c r="B68" s="38">
        <v>46053</v>
      </c>
      <c r="C68" t="s">
        <v>1145</v>
      </c>
      <c r="D68" t="s">
        <v>82</v>
      </c>
      <c r="E68" s="40">
        <v>61</v>
      </c>
      <c r="F68" s="39" cm="1">
        <f t="array" ref="F68">E68*_xlfn.XLOOKUP(1,
 (FOREX!$A$2:$A$100=EOMONTH(B68,0))*
 (FOREX!$F$2:$F$100=TRIM(D68)),
 FOREX!$G$2:$G$100,
 100)</f>
        <v>15.479848</v>
      </c>
      <c r="G68" s="26" t="s">
        <v>364</v>
      </c>
      <c r="H68" s="35" t="str">
        <f>_xlfn.XLOOKUP(G68,costcategory[Account Code],costcategory[Cost Category],"ERROR")</f>
        <v>Headcount Costs</v>
      </c>
      <c r="I68" s="22" t="s">
        <v>45</v>
      </c>
      <c r="J68" t="s">
        <v>45</v>
      </c>
    </row>
    <row r="69" spans="1:10" x14ac:dyDescent="0.2">
      <c r="A69" t="s">
        <v>2</v>
      </c>
      <c r="B69" s="38">
        <v>46053</v>
      </c>
      <c r="C69" t="s">
        <v>1147</v>
      </c>
      <c r="D69" t="s">
        <v>82</v>
      </c>
      <c r="E69" s="40">
        <v>57.06</v>
      </c>
      <c r="F69" s="39" cm="1">
        <f t="array" ref="F69">E69*_xlfn.XLOOKUP(1,
 (FOREX!$A$2:$A$100=EOMONTH(B69,0))*
 (FOREX!$F$2:$F$100=TRIM(D69)),
 FOREX!$G$2:$G$100,
 100)</f>
        <v>14.48000208</v>
      </c>
      <c r="G69" s="26" t="s">
        <v>364</v>
      </c>
      <c r="H69" s="35" t="str">
        <f>_xlfn.XLOOKUP(G69,costcategory[Account Code],costcategory[Cost Category],"ERROR")</f>
        <v>Headcount Costs</v>
      </c>
      <c r="I69" s="22" t="s">
        <v>333</v>
      </c>
      <c r="J69" t="s">
        <v>62</v>
      </c>
    </row>
    <row r="70" spans="1:10" x14ac:dyDescent="0.2">
      <c r="A70" t="s">
        <v>2</v>
      </c>
      <c r="B70" s="38">
        <v>46081</v>
      </c>
      <c r="C70" t="s">
        <v>1125</v>
      </c>
      <c r="D70" t="s">
        <v>82</v>
      </c>
      <c r="E70" s="37">
        <v>25700</v>
      </c>
      <c r="F70" s="39" cm="1">
        <f t="array" ref="F70">E70*_xlfn.XLOOKUP(1,
 (FOREX!$A$2:$A$100=EOMONTH(B70,0))*
 (FOREX!$F$2:$F$100=TRIM(D70)),
 FOREX!$G$2:$G$100,
 100)</f>
        <v>6602.6383999999989</v>
      </c>
      <c r="G70" s="26" t="s">
        <v>387</v>
      </c>
      <c r="H70" s="35" t="str">
        <f>_xlfn.XLOOKUP(G70,costcategory[Account Code],costcategory[Cost Category],"ERROR")</f>
        <v>Headcount Costs</v>
      </c>
      <c r="I70" t="str">
        <f>_xlfn.XLOOKUP(C70,Setting!$H$2:$H$15,Setting!$I$2:$I$15,"ERROR")</f>
        <v>Sales &amp; Pre-Sales</v>
      </c>
      <c r="J70" t="str">
        <f>_xlfn.XLOOKUP(I70,Table2[Department],Table2[Group],"ERROR")</f>
        <v>Sales &amp; Marketing</v>
      </c>
    </row>
    <row r="71" spans="1:10" x14ac:dyDescent="0.2">
      <c r="A71" t="s">
        <v>2</v>
      </c>
      <c r="B71" s="38">
        <v>46081</v>
      </c>
      <c r="C71" t="s">
        <v>1127</v>
      </c>
      <c r="D71" t="s">
        <v>82</v>
      </c>
      <c r="E71" s="37">
        <v>4600</v>
      </c>
      <c r="F71" s="39" cm="1">
        <f t="array" ref="F71">E71*_xlfn.XLOOKUP(1,
 (FOREX!$A$2:$A$100=EOMONTH(B71,0))*
 (FOREX!$F$2:$F$100=TRIM(D71)),
 FOREX!$G$2:$G$100,
 100)</f>
        <v>1181.7951999999998</v>
      </c>
      <c r="G71" s="26" t="s">
        <v>387</v>
      </c>
      <c r="H71" s="35" t="str">
        <f>_xlfn.XLOOKUP(G71,costcategory[Account Code],costcategory[Cost Category],"ERROR")</f>
        <v>Headcount Costs</v>
      </c>
      <c r="I71" t="str">
        <f>_xlfn.XLOOKUP(C71,Setting!$H$2:$H$15,Setting!$I$2:$I$15,"ERROR")</f>
        <v>DSC</v>
      </c>
      <c r="J71" t="str">
        <f>_xlfn.XLOOKUP(I71,Table2[Department],Table2[Group],"ERROR")</f>
        <v>DSC</v>
      </c>
    </row>
    <row r="72" spans="1:10" x14ac:dyDescent="0.2">
      <c r="A72" t="s">
        <v>2</v>
      </c>
      <c r="B72" s="38">
        <v>46081</v>
      </c>
      <c r="C72" t="s">
        <v>1128</v>
      </c>
      <c r="D72" t="s">
        <v>82</v>
      </c>
      <c r="E72" s="37">
        <v>10500</v>
      </c>
      <c r="F72" s="39" cm="1">
        <f t="array" ref="F72">E72*_xlfn.XLOOKUP(1,
 (FOREX!$A$2:$A$100=EOMONTH(B72,0))*
 (FOREX!$F$2:$F$100=TRIM(D72)),
 FOREX!$G$2:$G$100,
 100)</f>
        <v>2697.5759999999996</v>
      </c>
      <c r="G72" s="30" t="s">
        <v>387</v>
      </c>
      <c r="H72" s="35" t="str">
        <f>_xlfn.XLOOKUP(G72,costcategory[Account Code],costcategory[Cost Category],"ERROR")</f>
        <v>Headcount Costs</v>
      </c>
      <c r="I72" t="str">
        <f>_xlfn.XLOOKUP(C72,Setting!$H$2:$H$15,Setting!$I$2:$I$15,"ERROR")</f>
        <v>Sales &amp; Pre-Sales</v>
      </c>
      <c r="J72" t="str">
        <f>_xlfn.XLOOKUP(I72,Table2[Department],Table2[Group],"ERROR")</f>
        <v>Sales &amp; Marketing</v>
      </c>
    </row>
    <row r="73" spans="1:10" x14ac:dyDescent="0.2">
      <c r="A73" t="s">
        <v>2</v>
      </c>
      <c r="B73" s="38">
        <v>46081</v>
      </c>
      <c r="C73" t="s">
        <v>1129</v>
      </c>
      <c r="D73" t="s">
        <v>82</v>
      </c>
      <c r="E73" s="37">
        <v>4900</v>
      </c>
      <c r="F73" s="39" cm="1">
        <f t="array" ref="F73">E73*_xlfn.XLOOKUP(1,
 (FOREX!$A$2:$A$100=EOMONTH(B73,0))*
 (FOREX!$F$2:$F$100=TRIM(D73)),
 FOREX!$G$2:$G$100,
 100)</f>
        <v>1258.8688</v>
      </c>
      <c r="G73" s="30" t="s">
        <v>387</v>
      </c>
      <c r="H73" s="35" t="str">
        <f>_xlfn.XLOOKUP(G73,costcategory[Account Code],costcategory[Cost Category],"ERROR")</f>
        <v>Headcount Costs</v>
      </c>
      <c r="I73" t="str">
        <f>_xlfn.XLOOKUP(C73,Setting!$H$2:$H$15,Setting!$I$2:$I$15,"ERROR")</f>
        <v>Sales &amp; Pre-Sales</v>
      </c>
      <c r="J73" t="str">
        <f>_xlfn.XLOOKUP(I73,Table2[Department],Table2[Group],"ERROR")</f>
        <v>Sales &amp; Marketing</v>
      </c>
    </row>
    <row r="74" spans="1:10" x14ac:dyDescent="0.2">
      <c r="A74" t="s">
        <v>2</v>
      </c>
      <c r="B74" s="38">
        <v>46081</v>
      </c>
      <c r="C74" t="s">
        <v>1131</v>
      </c>
      <c r="D74" t="s">
        <v>82</v>
      </c>
      <c r="E74" s="37">
        <v>12100</v>
      </c>
      <c r="F74" s="39" cm="1">
        <f t="array" ref="F74">E74*_xlfn.XLOOKUP(1,
 (FOREX!$A$2:$A$100=EOMONTH(B74,0))*
 (FOREX!$F$2:$F$100=TRIM(D74)),
 FOREX!$G$2:$G$100,
 100)</f>
        <v>3108.6351999999997</v>
      </c>
      <c r="G74" s="30" t="s">
        <v>387</v>
      </c>
      <c r="H74" s="35" t="str">
        <f>_xlfn.XLOOKUP(G74,costcategory[Account Code],costcategory[Cost Category],"ERROR")</f>
        <v>Headcount Costs</v>
      </c>
      <c r="I74" t="str">
        <f>_xlfn.XLOOKUP(C74,Setting!$H$2:$H$15,Setting!$I$2:$I$15,"ERROR")</f>
        <v>HR</v>
      </c>
      <c r="J74" t="str">
        <f>_xlfn.XLOOKUP(I74,Table2[Department],Table2[Group],"ERROR")</f>
        <v>General &amp; Administrative</v>
      </c>
    </row>
    <row r="75" spans="1:10" x14ac:dyDescent="0.2">
      <c r="A75" t="s">
        <v>2</v>
      </c>
      <c r="B75" s="38">
        <v>46081</v>
      </c>
      <c r="C75" t="s">
        <v>1133</v>
      </c>
      <c r="D75" t="s">
        <v>82</v>
      </c>
      <c r="E75" s="37">
        <v>12420</v>
      </c>
      <c r="F75" s="39" cm="1">
        <f t="array" ref="F75">E75*_xlfn.XLOOKUP(1,
 (FOREX!$A$2:$A$100=EOMONTH(B75,0))*
 (FOREX!$F$2:$F$100=TRIM(D75)),
 FOREX!$G$2:$G$100,
 100)</f>
        <v>3190.8470399999997</v>
      </c>
      <c r="G75" s="30" t="s">
        <v>387</v>
      </c>
      <c r="H75" s="35" t="str">
        <f>_xlfn.XLOOKUP(G75,costcategory[Account Code],costcategory[Cost Category],"ERROR")</f>
        <v>Headcount Costs</v>
      </c>
      <c r="I75" t="str">
        <f>_xlfn.XLOOKUP(C75,Setting!$H$2:$H$15,Setting!$I$2:$I$15,"ERROR")</f>
        <v>Finance</v>
      </c>
      <c r="J75" t="str">
        <f>_xlfn.XLOOKUP(I75,Table2[Department],Table2[Group],"ERROR")</f>
        <v>General &amp; Administrative</v>
      </c>
    </row>
    <row r="76" spans="1:10" x14ac:dyDescent="0.2">
      <c r="A76" t="s">
        <v>2</v>
      </c>
      <c r="B76" s="38">
        <v>46081</v>
      </c>
      <c r="C76" t="s">
        <v>1134</v>
      </c>
      <c r="D76" t="s">
        <v>82</v>
      </c>
      <c r="E76" s="37">
        <v>24700</v>
      </c>
      <c r="F76" s="39" cm="1">
        <f t="array" ref="F76">E76*_xlfn.XLOOKUP(1,
 (FOREX!$A$2:$A$100=EOMONTH(B76,0))*
 (FOREX!$F$2:$F$100=TRIM(D76)),
 FOREX!$G$2:$G$100,
 100)</f>
        <v>6345.7263999999996</v>
      </c>
      <c r="G76" s="30" t="s">
        <v>387</v>
      </c>
      <c r="H76" s="35" t="str">
        <f>_xlfn.XLOOKUP(G76,costcategory[Account Code],costcategory[Cost Category],"ERROR")</f>
        <v>Headcount Costs</v>
      </c>
      <c r="I76" t="str">
        <f>_xlfn.XLOOKUP(C76,Setting!$H$2:$H$15,Setting!$I$2:$I$15,"ERROR")</f>
        <v>DSC</v>
      </c>
      <c r="J76" t="str">
        <f>_xlfn.XLOOKUP(I76,Table2[Department],Table2[Group],"ERROR")</f>
        <v>DSC</v>
      </c>
    </row>
    <row r="77" spans="1:10" x14ac:dyDescent="0.2">
      <c r="A77" t="s">
        <v>2</v>
      </c>
      <c r="B77" s="38">
        <v>46081</v>
      </c>
      <c r="C77" t="s">
        <v>1136</v>
      </c>
      <c r="D77" t="s">
        <v>82</v>
      </c>
      <c r="E77" s="37">
        <v>15400</v>
      </c>
      <c r="F77" s="39" cm="1">
        <f t="array" ref="F77">E77*_xlfn.XLOOKUP(1,
 (FOREX!$A$2:$A$100=EOMONTH(B77,0))*
 (FOREX!$F$2:$F$100=TRIM(D77)),
 FOREX!$G$2:$G$100,
 100)</f>
        <v>3956.4447999999998</v>
      </c>
      <c r="G77" s="30" t="s">
        <v>387</v>
      </c>
      <c r="H77" s="35" t="str">
        <f>_xlfn.XLOOKUP(G77,costcategory[Account Code],costcategory[Cost Category],"ERROR")</f>
        <v>Headcount Costs</v>
      </c>
      <c r="I77" t="str">
        <f>_xlfn.XLOOKUP(C77,Setting!$H$2:$H$15,Setting!$I$2:$I$15,"ERROR")</f>
        <v>DSC</v>
      </c>
      <c r="J77" t="str">
        <f>_xlfn.XLOOKUP(I77,Table2[Department],Table2[Group],"ERROR")</f>
        <v>DSC</v>
      </c>
    </row>
    <row r="78" spans="1:10" x14ac:dyDescent="0.2">
      <c r="A78" t="s">
        <v>2</v>
      </c>
      <c r="B78" s="38">
        <v>46081</v>
      </c>
      <c r="C78" t="s">
        <v>1137</v>
      </c>
      <c r="D78" t="s">
        <v>82</v>
      </c>
      <c r="E78" s="37">
        <v>5600</v>
      </c>
      <c r="F78" s="39" cm="1">
        <f t="array" ref="F78">E78*_xlfn.XLOOKUP(1,
 (FOREX!$A$2:$A$100=EOMONTH(B78,0))*
 (FOREX!$F$2:$F$100=TRIM(D78)),
 FOREX!$G$2:$G$100,
 100)</f>
        <v>1438.7071999999998</v>
      </c>
      <c r="G78" s="30" t="s">
        <v>387</v>
      </c>
      <c r="H78" s="35" t="str">
        <f>_xlfn.XLOOKUP(G78,costcategory[Account Code],costcategory[Cost Category],"ERROR")</f>
        <v>Headcount Costs</v>
      </c>
      <c r="I78" t="str">
        <f>_xlfn.XLOOKUP(C78,Setting!$H$2:$H$15,Setting!$I$2:$I$15,"ERROR")</f>
        <v>DSC</v>
      </c>
      <c r="J78" t="str">
        <f>_xlfn.XLOOKUP(I78,Table2[Department],Table2[Group],"ERROR")</f>
        <v>DSC</v>
      </c>
    </row>
    <row r="79" spans="1:10" x14ac:dyDescent="0.2">
      <c r="A79" t="s">
        <v>2</v>
      </c>
      <c r="B79" s="38">
        <v>46081</v>
      </c>
      <c r="C79" t="s">
        <v>1139</v>
      </c>
      <c r="D79" t="s">
        <v>82</v>
      </c>
      <c r="E79" s="37">
        <v>19500</v>
      </c>
      <c r="F79" s="39" cm="1">
        <f t="array" ref="F79">E79*_xlfn.XLOOKUP(1,
 (FOREX!$A$2:$A$100=EOMONTH(B79,0))*
 (FOREX!$F$2:$F$100=TRIM(D79)),
 FOREX!$G$2:$G$100,
 100)</f>
        <v>5009.7839999999997</v>
      </c>
      <c r="G79" s="30" t="s">
        <v>387</v>
      </c>
      <c r="H79" s="35" t="str">
        <f>_xlfn.XLOOKUP(G79,costcategory[Account Code],costcategory[Cost Category],"ERROR")</f>
        <v>Headcount Costs</v>
      </c>
      <c r="I79" t="str">
        <f>_xlfn.XLOOKUP(C79,Setting!$H$2:$H$15,Setting!$I$2:$I$15,"ERROR")</f>
        <v>Business Operation</v>
      </c>
      <c r="J79" t="str">
        <f>_xlfn.XLOOKUP(I79,Table2[Department],Table2[Group],"ERROR")</f>
        <v>Sales &amp; Marketing</v>
      </c>
    </row>
    <row r="80" spans="1:10" x14ac:dyDescent="0.2">
      <c r="A80" t="s">
        <v>2</v>
      </c>
      <c r="B80" s="38">
        <v>46081</v>
      </c>
      <c r="C80" t="s">
        <v>1141</v>
      </c>
      <c r="D80" t="s">
        <v>82</v>
      </c>
      <c r="E80" s="37">
        <v>31400</v>
      </c>
      <c r="F80" s="39" cm="1">
        <f t="array" ref="F80">E80*_xlfn.XLOOKUP(1,
 (FOREX!$A$2:$A$100=EOMONTH(B80,0))*
 (FOREX!$F$2:$F$100=TRIM(D80)),
 FOREX!$G$2:$G$100,
 100)</f>
        <v>8067.0367999999989</v>
      </c>
      <c r="G80" s="30" t="s">
        <v>387</v>
      </c>
      <c r="H80" s="35" t="str">
        <f>_xlfn.XLOOKUP(G80,costcategory[Account Code],costcategory[Cost Category],"ERROR")</f>
        <v>Headcount Costs</v>
      </c>
      <c r="I80" t="str">
        <f>_xlfn.XLOOKUP(C80,Setting!$H$2:$H$15,Setting!$I$2:$I$15,"ERROR")</f>
        <v>DSC</v>
      </c>
      <c r="J80" t="str">
        <f>_xlfn.XLOOKUP(I80,Table2[Department],Table2[Group],"ERROR")</f>
        <v>DSC</v>
      </c>
    </row>
    <row r="81" spans="1:10" x14ac:dyDescent="0.2">
      <c r="A81" t="s">
        <v>2</v>
      </c>
      <c r="B81" s="38">
        <v>46081</v>
      </c>
      <c r="C81" t="s">
        <v>1143</v>
      </c>
      <c r="D81" t="s">
        <v>82</v>
      </c>
      <c r="E81" s="37">
        <v>7100</v>
      </c>
      <c r="F81" s="39" cm="1">
        <f t="array" ref="F81">E81*_xlfn.XLOOKUP(1,
 (FOREX!$A$2:$A$100=EOMONTH(B81,0))*
 (FOREX!$F$2:$F$100=TRIM(D81)),
 FOREX!$G$2:$G$100,
 100)</f>
        <v>1824.0751999999998</v>
      </c>
      <c r="G81" s="30" t="s">
        <v>387</v>
      </c>
      <c r="H81" s="35" t="str">
        <f>_xlfn.XLOOKUP(G81,costcategory[Account Code],costcategory[Cost Category],"ERROR")</f>
        <v>Headcount Costs</v>
      </c>
      <c r="I81" t="str">
        <f>_xlfn.XLOOKUP(C81,Setting!$H$2:$H$15,Setting!$I$2:$I$15,"ERROR")</f>
        <v>DSC</v>
      </c>
      <c r="J81" t="str">
        <f>_xlfn.XLOOKUP(I81,Table2[Department],Table2[Group],"ERROR")</f>
        <v>DSC</v>
      </c>
    </row>
    <row r="82" spans="1:10" x14ac:dyDescent="0.2">
      <c r="A82" t="s">
        <v>2</v>
      </c>
      <c r="B82" s="38">
        <v>46081</v>
      </c>
      <c r="C82" t="s">
        <v>1145</v>
      </c>
      <c r="D82" t="s">
        <v>82</v>
      </c>
      <c r="E82" s="37">
        <v>6100</v>
      </c>
      <c r="F82" s="39" cm="1">
        <f t="array" ref="F82">E82*_xlfn.XLOOKUP(1,
 (FOREX!$A$2:$A$100=EOMONTH(B82,0))*
 (FOREX!$F$2:$F$100=TRIM(D82)),
 FOREX!$G$2:$G$100,
 100)</f>
        <v>1567.1631999999997</v>
      </c>
      <c r="G82" s="30" t="s">
        <v>387</v>
      </c>
      <c r="H82" s="35" t="str">
        <f>_xlfn.XLOOKUP(G82,costcategory[Account Code],costcategory[Cost Category],"ERROR")</f>
        <v>Headcount Costs</v>
      </c>
      <c r="I82" t="str">
        <f>_xlfn.XLOOKUP(C82,Setting!$H$2:$H$15,Setting!$I$2:$I$15,"ERROR")</f>
        <v>DSC</v>
      </c>
      <c r="J82" t="str">
        <f>_xlfn.XLOOKUP(I82,Table2[Department],Table2[Group],"ERROR")</f>
        <v>DSC</v>
      </c>
    </row>
    <row r="83" spans="1:10" x14ac:dyDescent="0.2">
      <c r="A83" t="s">
        <v>2</v>
      </c>
      <c r="B83" s="38">
        <v>46081</v>
      </c>
      <c r="C83" t="s">
        <v>1147</v>
      </c>
      <c r="D83" t="s">
        <v>82</v>
      </c>
      <c r="E83" s="37">
        <v>6100</v>
      </c>
      <c r="F83" s="39" cm="1">
        <f t="array" ref="F83">E83*_xlfn.XLOOKUP(1,
 (FOREX!$A$2:$A$100=EOMONTH(B83,0))*
 (FOREX!$F$2:$F$100=TRIM(D83)),
 FOREX!$G$2:$G$100,
 100)</f>
        <v>1567.1631999999997</v>
      </c>
      <c r="G83" s="30" t="s">
        <v>387</v>
      </c>
      <c r="H83" s="35" t="str">
        <f>_xlfn.XLOOKUP(G83,costcategory[Account Code],costcategory[Cost Category],"ERROR")</f>
        <v>Headcount Costs</v>
      </c>
      <c r="I83" t="str">
        <f>_xlfn.XLOOKUP(C83,Setting!$H$2:$H$15,Setting!$I$2:$I$15,"ERROR")</f>
        <v>Finance</v>
      </c>
      <c r="J83" t="str">
        <f>_xlfn.XLOOKUP(I83,Table2[Department],Table2[Group],"ERROR")</f>
        <v>General &amp; Administrative</v>
      </c>
    </row>
    <row r="84" spans="1:10" x14ac:dyDescent="0.2">
      <c r="A84" t="s">
        <v>2</v>
      </c>
      <c r="B84" s="38">
        <v>46081</v>
      </c>
      <c r="C84" t="s">
        <v>1125</v>
      </c>
      <c r="D84" t="s">
        <v>82</v>
      </c>
      <c r="E84" s="37">
        <v>3703.05</v>
      </c>
      <c r="F84" s="39" cm="1">
        <f t="array" ref="F84">E84*_xlfn.XLOOKUP(1,
 (FOREX!$A$2:$A$100=EOMONTH(B84,0))*
 (FOREX!$F$2:$F$100=TRIM(D84)),
 FOREX!$G$2:$G$100,
 100)</f>
        <v>951.3579815999999</v>
      </c>
      <c r="G84" s="26" t="s">
        <v>364</v>
      </c>
      <c r="H84" s="35" t="str">
        <f>_xlfn.XLOOKUP(G84,costcategory[Account Code],costcategory[Cost Category],"ERROR")</f>
        <v>Headcount Costs</v>
      </c>
      <c r="I84" t="str">
        <f>_xlfn.XLOOKUP(C84,Setting!$H$2:$H$15,Setting!$I$2:$I$15,"ERROR")</f>
        <v>Sales &amp; Pre-Sales</v>
      </c>
      <c r="J84" t="str">
        <f>_xlfn.XLOOKUP(I84,Table2[Department],Table2[Group],"ERROR")</f>
        <v>Sales &amp; Marketing</v>
      </c>
    </row>
    <row r="85" spans="1:10" x14ac:dyDescent="0.2">
      <c r="A85" t="s">
        <v>2</v>
      </c>
      <c r="B85" s="38">
        <v>46081</v>
      </c>
      <c r="C85" t="s">
        <v>1127</v>
      </c>
      <c r="D85" t="s">
        <v>82</v>
      </c>
      <c r="E85" s="37">
        <v>732.75</v>
      </c>
      <c r="F85" s="39" cm="1">
        <f t="array" ref="F85">E85*_xlfn.XLOOKUP(1,
 (FOREX!$A$2:$A$100=EOMONTH(B85,0))*
 (FOREX!$F$2:$F$100=TRIM(D85)),
 FOREX!$G$2:$G$100,
 100)</f>
        <v>188.25226799999999</v>
      </c>
      <c r="G85" s="26" t="s">
        <v>364</v>
      </c>
      <c r="H85" s="35" t="str">
        <f>_xlfn.XLOOKUP(G85,costcategory[Account Code],costcategory[Cost Category],"ERROR")</f>
        <v>Headcount Costs</v>
      </c>
      <c r="I85" t="str">
        <f>_xlfn.XLOOKUP(C85,Setting!$H$2:$H$15,Setting!$I$2:$I$15,"ERROR")</f>
        <v>DSC</v>
      </c>
      <c r="J85" t="str">
        <f>_xlfn.XLOOKUP(I85,Table2[Department],Table2[Group],"ERROR")</f>
        <v>DSC</v>
      </c>
    </row>
    <row r="86" spans="1:10" x14ac:dyDescent="0.2">
      <c r="A86" t="s">
        <v>2</v>
      </c>
      <c r="B86" s="38">
        <v>46081</v>
      </c>
      <c r="C86" t="s">
        <v>1128</v>
      </c>
      <c r="D86" t="s">
        <v>82</v>
      </c>
      <c r="E86" s="37">
        <v>1575.0500000000002</v>
      </c>
      <c r="F86" s="39" cm="1">
        <f t="array" ref="F86">E86*_xlfn.XLOOKUP(1,
 (FOREX!$A$2:$A$100=EOMONTH(B86,0))*
 (FOREX!$F$2:$F$100=TRIM(D86)),
 FOREX!$G$2:$G$100,
 100)</f>
        <v>404.64924560000003</v>
      </c>
      <c r="G86" s="26" t="s">
        <v>364</v>
      </c>
      <c r="H86" s="35" t="str">
        <f>_xlfn.XLOOKUP(G86,costcategory[Account Code],costcategory[Cost Category],"ERROR")</f>
        <v>Headcount Costs</v>
      </c>
      <c r="I86" t="str">
        <f>_xlfn.XLOOKUP(C86,Setting!$H$2:$H$15,Setting!$I$2:$I$15,"ERROR")</f>
        <v>Sales &amp; Pre-Sales</v>
      </c>
      <c r="J86" t="str">
        <f>_xlfn.XLOOKUP(I86,Table2[Department],Table2[Group],"ERROR")</f>
        <v>Sales &amp; Marketing</v>
      </c>
    </row>
    <row r="87" spans="1:10" x14ac:dyDescent="0.2">
      <c r="A87" t="s">
        <v>2</v>
      </c>
      <c r="B87" s="38">
        <v>46081</v>
      </c>
      <c r="C87" t="s">
        <v>1129</v>
      </c>
      <c r="D87" t="s">
        <v>82</v>
      </c>
      <c r="E87" s="37">
        <v>780.55000000000007</v>
      </c>
      <c r="F87" s="39" cm="1">
        <f t="array" ref="F87">E87*_xlfn.XLOOKUP(1,
 (FOREX!$A$2:$A$100=EOMONTH(B87,0))*
 (FOREX!$F$2:$F$100=TRIM(D87)),
 FOREX!$G$2:$G$100,
 100)</f>
        <v>200.53266159999998</v>
      </c>
      <c r="G87" s="26" t="s">
        <v>364</v>
      </c>
      <c r="H87" s="35" t="str">
        <f>_xlfn.XLOOKUP(G87,costcategory[Account Code],costcategory[Cost Category],"ERROR")</f>
        <v>Headcount Costs</v>
      </c>
      <c r="I87" t="str">
        <f>_xlfn.XLOOKUP(C87,Setting!$H$2:$H$15,Setting!$I$2:$I$15,"ERROR")</f>
        <v>Sales &amp; Pre-Sales</v>
      </c>
      <c r="J87" t="str">
        <f>_xlfn.XLOOKUP(I87,Table2[Department],Table2[Group],"ERROR")</f>
        <v>Sales &amp; Marketing</v>
      </c>
    </row>
    <row r="88" spans="1:10" x14ac:dyDescent="0.2">
      <c r="A88" t="s">
        <v>2</v>
      </c>
      <c r="B88" s="38">
        <v>46081</v>
      </c>
      <c r="C88" t="s">
        <v>1131</v>
      </c>
      <c r="D88" t="s">
        <v>82</v>
      </c>
      <c r="E88" s="37">
        <v>1810.0500000000002</v>
      </c>
      <c r="F88" s="39" cm="1">
        <f t="array" ref="F88">E88*_xlfn.XLOOKUP(1,
 (FOREX!$A$2:$A$100=EOMONTH(B88,0))*
 (FOREX!$F$2:$F$100=TRIM(D88)),
 FOREX!$G$2:$G$100,
 100)</f>
        <v>465.02356559999998</v>
      </c>
      <c r="G88" s="26" t="s">
        <v>364</v>
      </c>
      <c r="H88" s="35" t="str">
        <f>_xlfn.XLOOKUP(G88,costcategory[Account Code],costcategory[Cost Category],"ERROR")</f>
        <v>Headcount Costs</v>
      </c>
      <c r="I88" t="str">
        <f>_xlfn.XLOOKUP(C88,Setting!$H$2:$H$15,Setting!$I$2:$I$15,"ERROR")</f>
        <v>HR</v>
      </c>
      <c r="J88" t="str">
        <f>_xlfn.XLOOKUP(I88,Table2[Department],Table2[Group],"ERROR")</f>
        <v>General &amp; Administrative</v>
      </c>
    </row>
    <row r="89" spans="1:10" x14ac:dyDescent="0.2">
      <c r="A89" t="s">
        <v>2</v>
      </c>
      <c r="B89" s="38">
        <v>46081</v>
      </c>
      <c r="C89" t="s">
        <v>1133</v>
      </c>
      <c r="D89" t="s">
        <v>82</v>
      </c>
      <c r="E89" s="37">
        <v>1855.2500000000002</v>
      </c>
      <c r="F89" s="39" cm="1">
        <f t="array" ref="F89">E89*_xlfn.XLOOKUP(1,
 (FOREX!$A$2:$A$100=EOMONTH(B89,0))*
 (FOREX!$F$2:$F$100=TRIM(D89)),
 FOREX!$G$2:$G$100,
 100)</f>
        <v>476.635988</v>
      </c>
      <c r="G89" s="26" t="s">
        <v>364</v>
      </c>
      <c r="H89" s="35" t="str">
        <f>_xlfn.XLOOKUP(G89,costcategory[Account Code],costcategory[Cost Category],"ERROR")</f>
        <v>Headcount Costs</v>
      </c>
      <c r="I89" t="str">
        <f>_xlfn.XLOOKUP(C89,Setting!$H$2:$H$15,Setting!$I$2:$I$15,"ERROR")</f>
        <v>Finance</v>
      </c>
      <c r="J89" t="str">
        <f>_xlfn.XLOOKUP(I89,Table2[Department],Table2[Group],"ERROR")</f>
        <v>General &amp; Administrative</v>
      </c>
    </row>
    <row r="90" spans="1:10" x14ac:dyDescent="0.2">
      <c r="A90" t="s">
        <v>2</v>
      </c>
      <c r="B90" s="38">
        <v>46081</v>
      </c>
      <c r="C90" t="s">
        <v>1134</v>
      </c>
      <c r="D90" t="s">
        <v>82</v>
      </c>
      <c r="E90" s="37">
        <v>3563.05</v>
      </c>
      <c r="F90" s="39" cm="1">
        <f t="array" ref="F90">E90*_xlfn.XLOOKUP(1,
 (FOREX!$A$2:$A$100=EOMONTH(B90,0))*
 (FOREX!$F$2:$F$100=TRIM(D90)),
 FOREX!$G$2:$G$100,
 100)</f>
        <v>915.39030159999993</v>
      </c>
      <c r="G90" s="26" t="s">
        <v>364</v>
      </c>
      <c r="H90" s="35" t="str">
        <f>_xlfn.XLOOKUP(G90,costcategory[Account Code],costcategory[Cost Category],"ERROR")</f>
        <v>Headcount Costs</v>
      </c>
      <c r="I90" t="str">
        <f>_xlfn.XLOOKUP(C90,Setting!$H$2:$H$15,Setting!$I$2:$I$15,"ERROR")</f>
        <v>DSC</v>
      </c>
      <c r="J90" t="str">
        <f>_xlfn.XLOOKUP(I90,Table2[Department],Table2[Group],"ERROR")</f>
        <v>DSC</v>
      </c>
    </row>
    <row r="91" spans="1:10" x14ac:dyDescent="0.2">
      <c r="A91" t="s">
        <v>2</v>
      </c>
      <c r="B91" s="38">
        <v>46081</v>
      </c>
      <c r="C91" t="s">
        <v>1136</v>
      </c>
      <c r="D91" t="s">
        <v>82</v>
      </c>
      <c r="E91" s="37">
        <v>2272.0500000000002</v>
      </c>
      <c r="F91" s="39" cm="1">
        <f t="array" ref="F91">E91*_xlfn.XLOOKUP(1,
 (FOREX!$A$2:$A$100=EOMONTH(B91,0))*
 (FOREX!$F$2:$F$100=TRIM(D91)),
 FOREX!$G$2:$G$100,
 100)</f>
        <v>583.71690960000001</v>
      </c>
      <c r="G91" s="26" t="s">
        <v>364</v>
      </c>
      <c r="H91" s="35" t="str">
        <f>_xlfn.XLOOKUP(G91,costcategory[Account Code],costcategory[Cost Category],"ERROR")</f>
        <v>Headcount Costs</v>
      </c>
      <c r="I91" t="str">
        <f>_xlfn.XLOOKUP(C91,Setting!$H$2:$H$15,Setting!$I$2:$I$15,"ERROR")</f>
        <v>DSC</v>
      </c>
      <c r="J91" t="str">
        <f>_xlfn.XLOOKUP(I91,Table2[Department],Table2[Group],"ERROR")</f>
        <v>DSC</v>
      </c>
    </row>
    <row r="92" spans="1:10" x14ac:dyDescent="0.2">
      <c r="A92" t="s">
        <v>2</v>
      </c>
      <c r="B92" s="38">
        <v>46081</v>
      </c>
      <c r="C92" t="s">
        <v>1137</v>
      </c>
      <c r="D92" t="s">
        <v>82</v>
      </c>
      <c r="E92" s="37">
        <v>892.25</v>
      </c>
      <c r="F92" s="39" cm="1">
        <f t="array" ref="F92">E92*_xlfn.XLOOKUP(1,
 (FOREX!$A$2:$A$100=EOMONTH(B92,0))*
 (FOREX!$F$2:$F$100=TRIM(D92)),
 FOREX!$G$2:$G$100,
 100)</f>
        <v>229.22973199999998</v>
      </c>
      <c r="G92" s="26" t="s">
        <v>364</v>
      </c>
      <c r="H92" s="35" t="str">
        <f>_xlfn.XLOOKUP(G92,costcategory[Account Code],costcategory[Cost Category],"ERROR")</f>
        <v>Headcount Costs</v>
      </c>
      <c r="I92" t="str">
        <f>_xlfn.XLOOKUP(C92,Setting!$H$2:$H$15,Setting!$I$2:$I$15,"ERROR")</f>
        <v>DSC</v>
      </c>
      <c r="J92" t="str">
        <f>_xlfn.XLOOKUP(I92,Table2[Department],Table2[Group],"ERROR")</f>
        <v>DSC</v>
      </c>
    </row>
    <row r="93" spans="1:10" x14ac:dyDescent="0.2">
      <c r="A93" t="s">
        <v>2</v>
      </c>
      <c r="B93" s="38">
        <v>46081</v>
      </c>
      <c r="C93" t="s">
        <v>1139</v>
      </c>
      <c r="D93" t="s">
        <v>82</v>
      </c>
      <c r="E93" s="37">
        <v>494.15</v>
      </c>
      <c r="F93" s="39" cm="1">
        <f t="array" ref="F93">E93*_xlfn.XLOOKUP(1,
 (FOREX!$A$2:$A$100=EOMONTH(B93,0))*
 (FOREX!$F$2:$F$100=TRIM(D93)),
 FOREX!$G$2:$G$100,
 100)</f>
        <v>126.95306479999998</v>
      </c>
      <c r="G93" s="26" t="s">
        <v>364</v>
      </c>
      <c r="H93" s="35" t="str">
        <f>_xlfn.XLOOKUP(G93,costcategory[Account Code],costcategory[Cost Category],"ERROR")</f>
        <v>Headcount Costs</v>
      </c>
      <c r="I93" t="str">
        <f>_xlfn.XLOOKUP(C93,Setting!$H$2:$H$15,Setting!$I$2:$I$15,"ERROR")</f>
        <v>Business Operation</v>
      </c>
      <c r="J93" t="str">
        <f>_xlfn.XLOOKUP(I93,Table2[Department],Table2[Group],"ERROR")</f>
        <v>Sales &amp; Marketing</v>
      </c>
    </row>
    <row r="94" spans="1:10" x14ac:dyDescent="0.2">
      <c r="A94" t="s">
        <v>2</v>
      </c>
      <c r="B94" s="38">
        <v>46081</v>
      </c>
      <c r="C94" t="s">
        <v>1141</v>
      </c>
      <c r="D94" t="s">
        <v>82</v>
      </c>
      <c r="E94" s="37">
        <v>4501.0499999999993</v>
      </c>
      <c r="F94" s="39" cm="1">
        <f t="array" ref="F94">E94*_xlfn.XLOOKUP(1,
 (FOREX!$A$2:$A$100=EOMONTH(B94,0))*
 (FOREX!$F$2:$F$100=TRIM(D94)),
 FOREX!$G$2:$G$100,
 100)</f>
        <v>1156.3737575999996</v>
      </c>
      <c r="G94" s="26" t="s">
        <v>364</v>
      </c>
      <c r="H94" s="35" t="str">
        <f>_xlfn.XLOOKUP(G94,costcategory[Account Code],costcategory[Cost Category],"ERROR")</f>
        <v>Headcount Costs</v>
      </c>
      <c r="I94" t="str">
        <f>_xlfn.XLOOKUP(C94,Setting!$H$2:$H$15,Setting!$I$2:$I$15,"ERROR")</f>
        <v>DSC</v>
      </c>
      <c r="J94" t="str">
        <f>_xlfn.XLOOKUP(I94,Table2[Department],Table2[Group],"ERROR")</f>
        <v>DSC</v>
      </c>
    </row>
    <row r="95" spans="1:10" x14ac:dyDescent="0.2">
      <c r="A95" t="s">
        <v>2</v>
      </c>
      <c r="B95" s="38">
        <v>46081</v>
      </c>
      <c r="C95" t="s">
        <v>1143</v>
      </c>
      <c r="D95" t="s">
        <v>82</v>
      </c>
      <c r="E95" s="37">
        <v>1110.0500000000002</v>
      </c>
      <c r="F95" s="39" cm="1">
        <f t="array" ref="F95">E95*_xlfn.XLOOKUP(1,
 (FOREX!$A$2:$A$100=EOMONTH(B95,0))*
 (FOREX!$F$2:$F$100=TRIM(D95)),
 FOREX!$G$2:$G$100,
 100)</f>
        <v>285.1851656</v>
      </c>
      <c r="G95" s="26" t="s">
        <v>364</v>
      </c>
      <c r="H95" s="35" t="str">
        <f>_xlfn.XLOOKUP(G95,costcategory[Account Code],costcategory[Cost Category],"ERROR")</f>
        <v>Headcount Costs</v>
      </c>
      <c r="I95" t="str">
        <f>_xlfn.XLOOKUP(C95,Setting!$H$2:$H$15,Setting!$I$2:$I$15,"ERROR")</f>
        <v>DSC</v>
      </c>
      <c r="J95" t="str">
        <f>_xlfn.XLOOKUP(I95,Table2[Department],Table2[Group],"ERROR")</f>
        <v>DSC</v>
      </c>
    </row>
    <row r="96" spans="1:10" x14ac:dyDescent="0.2">
      <c r="A96" t="s">
        <v>2</v>
      </c>
      <c r="B96" s="38">
        <v>46081</v>
      </c>
      <c r="C96" t="s">
        <v>1145</v>
      </c>
      <c r="D96" t="s">
        <v>82</v>
      </c>
      <c r="E96" s="37">
        <v>970.05</v>
      </c>
      <c r="F96" s="39" cm="1">
        <f t="array" ref="F96">E96*_xlfn.XLOOKUP(1,
 (FOREX!$A$2:$A$100=EOMONTH(B96,0))*
 (FOREX!$F$2:$F$100=TRIM(D96)),
 FOREX!$G$2:$G$100,
 100)</f>
        <v>249.21748559999997</v>
      </c>
      <c r="G96" s="26" t="s">
        <v>364</v>
      </c>
      <c r="H96" s="35" t="str">
        <f>_xlfn.XLOOKUP(G96,costcategory[Account Code],costcategory[Cost Category],"ERROR")</f>
        <v>Headcount Costs</v>
      </c>
      <c r="I96" t="str">
        <f>_xlfn.XLOOKUP(C96,Setting!$H$2:$H$15,Setting!$I$2:$I$15,"ERROR")</f>
        <v>DSC</v>
      </c>
      <c r="J96" t="str">
        <f>_xlfn.XLOOKUP(I96,Table2[Department],Table2[Group],"ERROR")</f>
        <v>DSC</v>
      </c>
    </row>
    <row r="97" spans="1:10" x14ac:dyDescent="0.2">
      <c r="A97" t="s">
        <v>2</v>
      </c>
      <c r="B97" s="38">
        <v>46081</v>
      </c>
      <c r="C97" t="s">
        <v>1147</v>
      </c>
      <c r="D97" t="s">
        <v>82</v>
      </c>
      <c r="E97" s="37">
        <v>970.05</v>
      </c>
      <c r="F97" s="39" cm="1">
        <f t="array" ref="F97">E97*_xlfn.XLOOKUP(1,
 (FOREX!$A$2:$A$100=EOMONTH(B97,0))*
 (FOREX!$F$2:$F$100=TRIM(D97)),
 FOREX!$G$2:$G$100,
 100)</f>
        <v>249.21748559999997</v>
      </c>
      <c r="G97" s="26" t="s">
        <v>364</v>
      </c>
      <c r="H97" s="35" t="str">
        <f>_xlfn.XLOOKUP(G97,costcategory[Account Code],costcategory[Cost Category],"ERROR")</f>
        <v>Headcount Costs</v>
      </c>
      <c r="I97" t="str">
        <f>_xlfn.XLOOKUP(C97,Setting!$H$2:$H$15,Setting!$I$2:$I$15,"ERROR")</f>
        <v>Finance</v>
      </c>
      <c r="J97" t="str">
        <f>_xlfn.XLOOKUP(I97,Table2[Department],Table2[Group],"ERROR")</f>
        <v>General &amp; Administrative</v>
      </c>
    </row>
    <row r="98" spans="1:10" x14ac:dyDescent="0.2">
      <c r="A98" t="s">
        <v>2</v>
      </c>
      <c r="B98" s="38">
        <v>46112</v>
      </c>
      <c r="C98" t="s">
        <v>1125</v>
      </c>
      <c r="D98" t="s">
        <v>82</v>
      </c>
      <c r="E98" s="37">
        <v>25700</v>
      </c>
      <c r="F98" s="39" cm="1">
        <f t="array" ref="F98">E98*_xlfn.XLOOKUP(1,
 (FOREX!$A$2:$A$100=EOMONTH(B98,0))*
 (FOREX!$F$2:$F$100=TRIM(D98)),
 FOREX!$G$2:$G$100,
 100)</f>
        <v>6348.0285000000003</v>
      </c>
      <c r="G98" s="30" t="s">
        <v>387</v>
      </c>
      <c r="H98" s="35" t="str">
        <f>_xlfn.XLOOKUP(G98,costcategory[Account Code],costcategory[Cost Category],"ERROR")</f>
        <v>Headcount Costs</v>
      </c>
      <c r="I98" t="str">
        <f>_xlfn.XLOOKUP(C98,Setting!$H$2:$H$15,Setting!$I$2:$I$15,"ERROR")</f>
        <v>Sales &amp; Pre-Sales</v>
      </c>
      <c r="J98" t="str">
        <f>_xlfn.XLOOKUP(I98,Table2[Department],Table2[Group],"ERROR")</f>
        <v>Sales &amp; Marketing</v>
      </c>
    </row>
    <row r="99" spans="1:10" x14ac:dyDescent="0.2">
      <c r="A99" t="s">
        <v>2</v>
      </c>
      <c r="B99" s="38">
        <v>46112</v>
      </c>
      <c r="C99" t="s">
        <v>1127</v>
      </c>
      <c r="D99" t="s">
        <v>82</v>
      </c>
      <c r="E99" s="37">
        <v>4600</v>
      </c>
      <c r="F99" s="39" cm="1">
        <f t="array" ref="F99">E99*_xlfn.XLOOKUP(1,
 (FOREX!$A$2:$A$100=EOMONTH(B99,0))*
 (FOREX!$F$2:$F$100=TRIM(D99)),
 FOREX!$G$2:$G$100,
 100)</f>
        <v>1136.223</v>
      </c>
      <c r="G99" s="30" t="s">
        <v>387</v>
      </c>
      <c r="H99" s="35" t="str">
        <f>_xlfn.XLOOKUP(G99,costcategory[Account Code],costcategory[Cost Category],"ERROR")</f>
        <v>Headcount Costs</v>
      </c>
      <c r="I99" t="str">
        <f>_xlfn.XLOOKUP(C99,Setting!$H$2:$H$15,Setting!$I$2:$I$15,"ERROR")</f>
        <v>DSC</v>
      </c>
      <c r="J99" t="str">
        <f>_xlfn.XLOOKUP(I99,Table2[Department],Table2[Group],"ERROR")</f>
        <v>DSC</v>
      </c>
    </row>
    <row r="100" spans="1:10" x14ac:dyDescent="0.2">
      <c r="A100" t="s">
        <v>2</v>
      </c>
      <c r="B100" s="38">
        <v>46112</v>
      </c>
      <c r="C100" t="s">
        <v>1129</v>
      </c>
      <c r="D100" t="s">
        <v>82</v>
      </c>
      <c r="E100" s="37">
        <v>4900</v>
      </c>
      <c r="F100" s="39" cm="1">
        <f t="array" ref="F100">E100*_xlfn.XLOOKUP(1,
 (FOREX!$A$2:$A$100=EOMONTH(B100,0))*
 (FOREX!$F$2:$F$100=TRIM(D100)),
 FOREX!$G$2:$G$100,
 100)</f>
        <v>1210.3244999999999</v>
      </c>
      <c r="G100" s="30" t="s">
        <v>387</v>
      </c>
      <c r="H100" s="35" t="str">
        <f>_xlfn.XLOOKUP(G100,costcategory[Account Code],costcategory[Cost Category],"ERROR")</f>
        <v>Headcount Costs</v>
      </c>
      <c r="I100" t="str">
        <f>_xlfn.XLOOKUP(C100,Setting!$H$2:$H$15,Setting!$I$2:$I$15,"ERROR")</f>
        <v>Sales &amp; Pre-Sales</v>
      </c>
      <c r="J100" t="str">
        <f>_xlfn.XLOOKUP(I100,Table2[Department],Table2[Group],"ERROR")</f>
        <v>Sales &amp; Marketing</v>
      </c>
    </row>
    <row r="101" spans="1:10" x14ac:dyDescent="0.2">
      <c r="A101" t="s">
        <v>2</v>
      </c>
      <c r="B101" s="38">
        <v>46112</v>
      </c>
      <c r="C101" t="s">
        <v>1131</v>
      </c>
      <c r="D101" t="s">
        <v>82</v>
      </c>
      <c r="E101" s="37">
        <v>12100</v>
      </c>
      <c r="F101" s="39" cm="1">
        <f t="array" ref="F101">E101*_xlfn.XLOOKUP(1,
 (FOREX!$A$2:$A$100=EOMONTH(B101,0))*
 (FOREX!$F$2:$F$100=TRIM(D101)),
 FOREX!$G$2:$G$100,
 100)</f>
        <v>2988.7604999999999</v>
      </c>
      <c r="G101" s="30" t="s">
        <v>387</v>
      </c>
      <c r="H101" s="35" t="str">
        <f>_xlfn.XLOOKUP(G101,costcategory[Account Code],costcategory[Cost Category],"ERROR")</f>
        <v>Headcount Costs</v>
      </c>
      <c r="I101" t="str">
        <f>_xlfn.XLOOKUP(C101,Setting!$H$2:$H$15,Setting!$I$2:$I$15,"ERROR")</f>
        <v>HR</v>
      </c>
      <c r="J101" t="str">
        <f>_xlfn.XLOOKUP(I101,Table2[Department],Table2[Group],"ERROR")</f>
        <v>General &amp; Administrative</v>
      </c>
    </row>
    <row r="102" spans="1:10" x14ac:dyDescent="0.2">
      <c r="A102" t="s">
        <v>2</v>
      </c>
      <c r="B102" s="38">
        <v>46112</v>
      </c>
      <c r="C102" t="s">
        <v>1133</v>
      </c>
      <c r="D102" t="s">
        <v>82</v>
      </c>
      <c r="E102" s="37">
        <v>15420</v>
      </c>
      <c r="F102" s="39" cm="1">
        <f t="array" ref="F102">E102*_xlfn.XLOOKUP(1,
 (FOREX!$A$2:$A$100=EOMONTH(B102,0))*
 (FOREX!$F$2:$F$100=TRIM(D102)),
 FOREX!$G$2:$G$100,
 100)</f>
        <v>3808.8171000000002</v>
      </c>
      <c r="G102" s="30" t="s">
        <v>387</v>
      </c>
      <c r="H102" s="35" t="str">
        <f>_xlfn.XLOOKUP(G102,costcategory[Account Code],costcategory[Cost Category],"ERROR")</f>
        <v>Headcount Costs</v>
      </c>
      <c r="I102" t="str">
        <f>_xlfn.XLOOKUP(C102,Setting!$H$2:$H$15,Setting!$I$2:$I$15,"ERROR")</f>
        <v>Finance</v>
      </c>
      <c r="J102" t="str">
        <f>_xlfn.XLOOKUP(I102,Table2[Department],Table2[Group],"ERROR")</f>
        <v>General &amp; Administrative</v>
      </c>
    </row>
    <row r="103" spans="1:10" x14ac:dyDescent="0.2">
      <c r="A103" t="s">
        <v>2</v>
      </c>
      <c r="B103" s="38">
        <v>46112</v>
      </c>
      <c r="C103" t="s">
        <v>1134</v>
      </c>
      <c r="D103" t="s">
        <v>82</v>
      </c>
      <c r="E103" s="37">
        <v>30700</v>
      </c>
      <c r="F103" s="39" cm="1">
        <f t="array" ref="F103">E103*_xlfn.XLOOKUP(1,
 (FOREX!$A$2:$A$100=EOMONTH(B103,0))*
 (FOREX!$F$2:$F$100=TRIM(D103)),
 FOREX!$G$2:$G$100,
 100)</f>
        <v>7583.0535</v>
      </c>
      <c r="G103" s="30" t="s">
        <v>387</v>
      </c>
      <c r="H103" s="35" t="str">
        <f>_xlfn.XLOOKUP(G103,costcategory[Account Code],costcategory[Cost Category],"ERROR")</f>
        <v>Headcount Costs</v>
      </c>
      <c r="I103" t="str">
        <f>_xlfn.XLOOKUP(C103,Setting!$H$2:$H$15,Setting!$I$2:$I$15,"ERROR")</f>
        <v>DSC</v>
      </c>
      <c r="J103" t="str">
        <f>_xlfn.XLOOKUP(I103,Table2[Department],Table2[Group],"ERROR")</f>
        <v>DSC</v>
      </c>
    </row>
    <row r="104" spans="1:10" x14ac:dyDescent="0.2">
      <c r="A104" t="s">
        <v>2</v>
      </c>
      <c r="B104" s="38">
        <v>46112</v>
      </c>
      <c r="C104" t="s">
        <v>1136</v>
      </c>
      <c r="D104" t="s">
        <v>82</v>
      </c>
      <c r="E104" s="37">
        <v>15400</v>
      </c>
      <c r="F104" s="39" cm="1">
        <f t="array" ref="F104">E104*_xlfn.XLOOKUP(1,
 (FOREX!$A$2:$A$100=EOMONTH(B104,0))*
 (FOREX!$F$2:$F$100=TRIM(D104)),
 FOREX!$G$2:$G$100,
 100)</f>
        <v>3803.877</v>
      </c>
      <c r="G104" s="30" t="s">
        <v>387</v>
      </c>
      <c r="H104" s="35" t="str">
        <f>_xlfn.XLOOKUP(G104,costcategory[Account Code],costcategory[Cost Category],"ERROR")</f>
        <v>Headcount Costs</v>
      </c>
      <c r="I104" t="str">
        <f>_xlfn.XLOOKUP(C104,Setting!$H$2:$H$15,Setting!$I$2:$I$15,"ERROR")</f>
        <v>DSC</v>
      </c>
      <c r="J104" t="str">
        <f>_xlfn.XLOOKUP(I104,Table2[Department],Table2[Group],"ERROR")</f>
        <v>DSC</v>
      </c>
    </row>
    <row r="105" spans="1:10" x14ac:dyDescent="0.2">
      <c r="A105" t="s">
        <v>2</v>
      </c>
      <c r="B105" s="38">
        <v>46112</v>
      </c>
      <c r="C105" t="s">
        <v>1137</v>
      </c>
      <c r="D105" t="s">
        <v>82</v>
      </c>
      <c r="E105" s="37">
        <v>5600</v>
      </c>
      <c r="F105" s="39" cm="1">
        <f t="array" ref="F105">E105*_xlfn.XLOOKUP(1,
 (FOREX!$A$2:$A$100=EOMONTH(B105,0))*
 (FOREX!$F$2:$F$100=TRIM(D105)),
 FOREX!$G$2:$G$100,
 100)</f>
        <v>1383.2280000000001</v>
      </c>
      <c r="G105" s="30" t="s">
        <v>387</v>
      </c>
      <c r="H105" s="35" t="str">
        <f>_xlfn.XLOOKUP(G105,costcategory[Account Code],costcategory[Cost Category],"ERROR")</f>
        <v>Headcount Costs</v>
      </c>
      <c r="I105" t="str">
        <f>_xlfn.XLOOKUP(C105,Setting!$H$2:$H$15,Setting!$I$2:$I$15,"ERROR")</f>
        <v>DSC</v>
      </c>
      <c r="J105" t="str">
        <f>_xlfn.XLOOKUP(I105,Table2[Department],Table2[Group],"ERROR")</f>
        <v>DSC</v>
      </c>
    </row>
    <row r="106" spans="1:10" x14ac:dyDescent="0.2">
      <c r="A106" t="s">
        <v>2</v>
      </c>
      <c r="B106" s="38">
        <v>46112</v>
      </c>
      <c r="C106" t="s">
        <v>1139</v>
      </c>
      <c r="D106" t="s">
        <v>82</v>
      </c>
      <c r="E106" s="37">
        <v>19500</v>
      </c>
      <c r="F106" s="39" cm="1">
        <f t="array" ref="F106">E106*_xlfn.XLOOKUP(1,
 (FOREX!$A$2:$A$100=EOMONTH(B106,0))*
 (FOREX!$F$2:$F$100=TRIM(D106)),
 FOREX!$G$2:$G$100,
 100)</f>
        <v>4816.5974999999999</v>
      </c>
      <c r="G106" s="30" t="s">
        <v>387</v>
      </c>
      <c r="H106" s="35" t="str">
        <f>_xlfn.XLOOKUP(G106,costcategory[Account Code],costcategory[Cost Category],"ERROR")</f>
        <v>Headcount Costs</v>
      </c>
      <c r="I106" t="str">
        <f>_xlfn.XLOOKUP(C106,Setting!$H$2:$H$15,Setting!$I$2:$I$15,"ERROR")</f>
        <v>Business Operation</v>
      </c>
      <c r="J106" t="str">
        <f>_xlfn.XLOOKUP(I106,Table2[Department],Table2[Group],"ERROR")</f>
        <v>Sales &amp; Marketing</v>
      </c>
    </row>
    <row r="107" spans="1:10" x14ac:dyDescent="0.2">
      <c r="A107" t="s">
        <v>2</v>
      </c>
      <c r="B107" s="38">
        <v>46112</v>
      </c>
      <c r="C107" t="s">
        <v>1141</v>
      </c>
      <c r="D107" t="s">
        <v>82</v>
      </c>
      <c r="E107" s="37">
        <v>31400</v>
      </c>
      <c r="F107" s="39" cm="1">
        <f t="array" ref="F107">E107*_xlfn.XLOOKUP(1,
 (FOREX!$A$2:$A$100=EOMONTH(B107,0))*
 (FOREX!$F$2:$F$100=TRIM(D107)),
 FOREX!$G$2:$G$100,
 100)</f>
        <v>7755.9570000000003</v>
      </c>
      <c r="G107" s="30" t="s">
        <v>387</v>
      </c>
      <c r="H107" s="35" t="str">
        <f>_xlfn.XLOOKUP(G107,costcategory[Account Code],costcategory[Cost Category],"ERROR")</f>
        <v>Headcount Costs</v>
      </c>
      <c r="I107" t="str">
        <f>_xlfn.XLOOKUP(C107,Setting!$H$2:$H$15,Setting!$I$2:$I$15,"ERROR")</f>
        <v>DSC</v>
      </c>
      <c r="J107" t="str">
        <f>_xlfn.XLOOKUP(I107,Table2[Department],Table2[Group],"ERROR")</f>
        <v>DSC</v>
      </c>
    </row>
    <row r="108" spans="1:10" x14ac:dyDescent="0.2">
      <c r="A108" t="s">
        <v>2</v>
      </c>
      <c r="B108" s="38">
        <v>46112</v>
      </c>
      <c r="C108" t="s">
        <v>1143</v>
      </c>
      <c r="D108" t="s">
        <v>82</v>
      </c>
      <c r="E108" s="37">
        <v>7100</v>
      </c>
      <c r="F108" s="39" cm="1">
        <f t="array" ref="F108">E108*_xlfn.XLOOKUP(1,
 (FOREX!$A$2:$A$100=EOMONTH(B108,0))*
 (FOREX!$F$2:$F$100=TRIM(D108)),
 FOREX!$G$2:$G$100,
 100)</f>
        <v>1753.7355</v>
      </c>
      <c r="G108" s="30" t="s">
        <v>387</v>
      </c>
      <c r="H108" s="35" t="str">
        <f>_xlfn.XLOOKUP(G108,costcategory[Account Code],costcategory[Cost Category],"ERROR")</f>
        <v>Headcount Costs</v>
      </c>
      <c r="I108" t="str">
        <f>_xlfn.XLOOKUP(C108,Setting!$H$2:$H$15,Setting!$I$2:$I$15,"ERROR")</f>
        <v>DSC</v>
      </c>
      <c r="J108" t="str">
        <f>_xlfn.XLOOKUP(I108,Table2[Department],Table2[Group],"ERROR")</f>
        <v>DSC</v>
      </c>
    </row>
    <row r="109" spans="1:10" x14ac:dyDescent="0.2">
      <c r="A109" t="s">
        <v>2</v>
      </c>
      <c r="B109" s="38">
        <v>46112</v>
      </c>
      <c r="C109" t="s">
        <v>1145</v>
      </c>
      <c r="D109" t="s">
        <v>82</v>
      </c>
      <c r="E109" s="37">
        <v>6100</v>
      </c>
      <c r="F109" s="39" cm="1">
        <f t="array" ref="F109">E109*_xlfn.XLOOKUP(1,
 (FOREX!$A$2:$A$100=EOMONTH(B109,0))*
 (FOREX!$F$2:$F$100=TRIM(D109)),
 FOREX!$G$2:$G$100,
 100)</f>
        <v>1506.7305000000001</v>
      </c>
      <c r="G109" s="30" t="s">
        <v>387</v>
      </c>
      <c r="H109" s="35" t="str">
        <f>_xlfn.XLOOKUP(G109,costcategory[Account Code],costcategory[Cost Category],"ERROR")</f>
        <v>Headcount Costs</v>
      </c>
      <c r="I109" t="str">
        <f>_xlfn.XLOOKUP(C109,Setting!$H$2:$H$15,Setting!$I$2:$I$15,"ERROR")</f>
        <v>DSC</v>
      </c>
      <c r="J109" t="str">
        <f>_xlfn.XLOOKUP(I109,Table2[Department],Table2[Group],"ERROR")</f>
        <v>DSC</v>
      </c>
    </row>
    <row r="110" spans="1:10" x14ac:dyDescent="0.2">
      <c r="A110" t="s">
        <v>2</v>
      </c>
      <c r="B110" s="38">
        <v>46112</v>
      </c>
      <c r="C110" t="s">
        <v>1147</v>
      </c>
      <c r="D110" t="s">
        <v>82</v>
      </c>
      <c r="E110" s="37">
        <v>6100</v>
      </c>
      <c r="F110" s="39" cm="1">
        <f t="array" ref="F110">E110*_xlfn.XLOOKUP(1,
 (FOREX!$A$2:$A$100=EOMONTH(B110,0))*
 (FOREX!$F$2:$F$100=TRIM(D110)),
 FOREX!$G$2:$G$100,
 100)</f>
        <v>1506.7305000000001</v>
      </c>
      <c r="G110" s="30" t="s">
        <v>387</v>
      </c>
      <c r="H110" s="35" t="str">
        <f>_xlfn.XLOOKUP(G110,costcategory[Account Code],costcategory[Cost Category],"ERROR")</f>
        <v>Headcount Costs</v>
      </c>
      <c r="I110" t="str">
        <f>_xlfn.XLOOKUP(C110,Setting!$H$2:$H$15,Setting!$I$2:$I$15,"ERROR")</f>
        <v>Finance</v>
      </c>
      <c r="J110" t="str">
        <f>_xlfn.XLOOKUP(I110,Table2[Department],Table2[Group],"ERROR")</f>
        <v>General &amp; Administrative</v>
      </c>
    </row>
    <row r="111" spans="1:10" x14ac:dyDescent="0.2">
      <c r="A111" t="s">
        <v>2</v>
      </c>
      <c r="B111" s="38">
        <v>46112</v>
      </c>
      <c r="C111" t="s">
        <v>1127</v>
      </c>
      <c r="D111" t="s">
        <v>82</v>
      </c>
      <c r="E111" s="37">
        <v>2250</v>
      </c>
      <c r="F111" s="39" cm="1">
        <f t="array" ref="F111">E111*_xlfn.XLOOKUP(1,
 (FOREX!$A$2:$A$100=EOMONTH(B111,0))*
 (FOREX!$F$2:$F$100=TRIM(D111)),
 FOREX!$G$2:$G$100,
 100)</f>
        <v>555.76125000000002</v>
      </c>
      <c r="G111" s="30" t="s">
        <v>1160</v>
      </c>
      <c r="H111" s="35" t="str">
        <f>_xlfn.XLOOKUP(G111,costcategory[Account Code],costcategory[Cost Category],"ERROR")</f>
        <v>Headcount Costs</v>
      </c>
      <c r="I111" t="str">
        <f>_xlfn.XLOOKUP(C111,Setting!$H$2:$H$15,Setting!$I$2:$I$15,"ERROR")</f>
        <v>DSC</v>
      </c>
      <c r="J111" t="str">
        <f>_xlfn.XLOOKUP(I111,Table2[Department],Table2[Group],"ERROR")</f>
        <v>DSC</v>
      </c>
    </row>
    <row r="112" spans="1:10" x14ac:dyDescent="0.2">
      <c r="A112" t="s">
        <v>2</v>
      </c>
      <c r="B112" s="38">
        <v>46112</v>
      </c>
      <c r="C112" t="s">
        <v>1129</v>
      </c>
      <c r="D112" t="s">
        <v>82</v>
      </c>
      <c r="E112" s="37">
        <v>1769</v>
      </c>
      <c r="F112" s="39" cm="1">
        <f t="array" ref="F112">E112*_xlfn.XLOOKUP(1,
 (FOREX!$A$2:$A$100=EOMONTH(B112,0))*
 (FOREX!$F$2:$F$100=TRIM(D112)),
 FOREX!$G$2:$G$100,
 100)</f>
        <v>436.95184499999999</v>
      </c>
      <c r="G112" s="30" t="s">
        <v>1160</v>
      </c>
      <c r="H112" s="35" t="str">
        <f>_xlfn.XLOOKUP(G112,costcategory[Account Code],costcategory[Cost Category],"ERROR")</f>
        <v>Headcount Costs</v>
      </c>
      <c r="I112" t="str">
        <f>_xlfn.XLOOKUP(C112,Setting!$H$2:$H$15,Setting!$I$2:$I$15,"ERROR")</f>
        <v>Sales &amp; Pre-Sales</v>
      </c>
      <c r="J112" t="str">
        <f>_xlfn.XLOOKUP(I112,Table2[Department],Table2[Group],"ERROR")</f>
        <v>Sales &amp; Marketing</v>
      </c>
    </row>
    <row r="113" spans="1:10" x14ac:dyDescent="0.2">
      <c r="A113" t="s">
        <v>2</v>
      </c>
      <c r="B113" s="38">
        <v>46112</v>
      </c>
      <c r="C113" t="s">
        <v>1133</v>
      </c>
      <c r="D113" t="s">
        <v>82</v>
      </c>
      <c r="E113" s="37">
        <v>6101</v>
      </c>
      <c r="F113" s="39" cm="1">
        <f t="array" ref="F113">E113*_xlfn.XLOOKUP(1,
 (FOREX!$A$2:$A$100=EOMONTH(B113,0))*
 (FOREX!$F$2:$F$100=TRIM(D113)),
 FOREX!$G$2:$G$100,
 100)</f>
        <v>1506.9775050000001</v>
      </c>
      <c r="G113" s="30" t="s">
        <v>1160</v>
      </c>
      <c r="H113" s="35" t="str">
        <f>_xlfn.XLOOKUP(G113,costcategory[Account Code],costcategory[Cost Category],"ERROR")</f>
        <v>Headcount Costs</v>
      </c>
      <c r="I113" t="str">
        <f>_xlfn.XLOOKUP(C113,Setting!$H$2:$H$15,Setting!$I$2:$I$15,"ERROR")</f>
        <v>Finance</v>
      </c>
      <c r="J113" t="str">
        <f>_xlfn.XLOOKUP(I113,Table2[Department],Table2[Group],"ERROR")</f>
        <v>General &amp; Administrative</v>
      </c>
    </row>
    <row r="114" spans="1:10" x14ac:dyDescent="0.2">
      <c r="A114" t="s">
        <v>2</v>
      </c>
      <c r="B114" s="38">
        <v>46112</v>
      </c>
      <c r="C114" t="s">
        <v>1134</v>
      </c>
      <c r="D114" t="s">
        <v>82</v>
      </c>
      <c r="E114" s="37">
        <v>13778</v>
      </c>
      <c r="F114" s="39" cm="1">
        <f t="array" ref="F114">E114*_xlfn.XLOOKUP(1,
 (FOREX!$A$2:$A$100=EOMONTH(B114,0))*
 (FOREX!$F$2:$F$100=TRIM(D114)),
 FOREX!$G$2:$G$100,
 100)</f>
        <v>3403.2348900000002</v>
      </c>
      <c r="G114" s="30" t="s">
        <v>1160</v>
      </c>
      <c r="H114" s="35" t="str">
        <f>_xlfn.XLOOKUP(G114,costcategory[Account Code],costcategory[Cost Category],"ERROR")</f>
        <v>Headcount Costs</v>
      </c>
      <c r="I114" t="str">
        <f>_xlfn.XLOOKUP(C114,Setting!$H$2:$H$15,Setting!$I$2:$I$15,"ERROR")</f>
        <v>DSC</v>
      </c>
      <c r="J114" t="str">
        <f>_xlfn.XLOOKUP(I114,Table2[Department],Table2[Group],"ERROR")</f>
        <v>DSC</v>
      </c>
    </row>
    <row r="115" spans="1:10" x14ac:dyDescent="0.2">
      <c r="A115" t="s">
        <v>2</v>
      </c>
      <c r="B115" s="38">
        <v>46112</v>
      </c>
      <c r="C115" t="s">
        <v>1136</v>
      </c>
      <c r="D115" t="s">
        <v>82</v>
      </c>
      <c r="E115" s="37">
        <v>5382</v>
      </c>
      <c r="F115" s="39" cm="1">
        <f t="array" ref="F115">E115*_xlfn.XLOOKUP(1,
 (FOREX!$A$2:$A$100=EOMONTH(B115,0))*
 (FOREX!$F$2:$F$100=TRIM(D115)),
 FOREX!$G$2:$G$100,
 100)</f>
        <v>1329.3809100000001</v>
      </c>
      <c r="G115" s="30" t="s">
        <v>1160</v>
      </c>
      <c r="H115" s="35" t="str">
        <f>_xlfn.XLOOKUP(G115,costcategory[Account Code],costcategory[Cost Category],"ERROR")</f>
        <v>Headcount Costs</v>
      </c>
      <c r="I115" t="str">
        <f>_xlfn.XLOOKUP(C115,Setting!$H$2:$H$15,Setting!$I$2:$I$15,"ERROR")</f>
        <v>DSC</v>
      </c>
      <c r="J115" t="str">
        <f>_xlfn.XLOOKUP(I115,Table2[Department],Table2[Group],"ERROR")</f>
        <v>DSC</v>
      </c>
    </row>
    <row r="116" spans="1:10" x14ac:dyDescent="0.2">
      <c r="A116" t="s">
        <v>2</v>
      </c>
      <c r="B116" s="38">
        <v>46112</v>
      </c>
      <c r="C116" t="s">
        <v>1137</v>
      </c>
      <c r="D116" t="s">
        <v>82</v>
      </c>
      <c r="E116" s="37">
        <v>1935</v>
      </c>
      <c r="F116" s="39" cm="1">
        <f t="array" ref="F116">E116*_xlfn.XLOOKUP(1,
 (FOREX!$A$2:$A$100=EOMONTH(B116,0))*
 (FOREX!$F$2:$F$100=TRIM(D116)),
 FOREX!$G$2:$G$100,
 100)</f>
        <v>477.95467500000001</v>
      </c>
      <c r="G116" s="30" t="s">
        <v>1160</v>
      </c>
      <c r="H116" s="35" t="str">
        <f>_xlfn.XLOOKUP(G116,costcategory[Account Code],costcategory[Cost Category],"ERROR")</f>
        <v>Headcount Costs</v>
      </c>
      <c r="I116" t="str">
        <f>_xlfn.XLOOKUP(C116,Setting!$H$2:$H$15,Setting!$I$2:$I$15,"ERROR")</f>
        <v>DSC</v>
      </c>
      <c r="J116" t="str">
        <f>_xlfn.XLOOKUP(I116,Table2[Department],Table2[Group],"ERROR")</f>
        <v>DSC</v>
      </c>
    </row>
    <row r="117" spans="1:10" x14ac:dyDescent="0.2">
      <c r="A117" t="s">
        <v>2</v>
      </c>
      <c r="B117" s="38">
        <v>46112</v>
      </c>
      <c r="C117" t="s">
        <v>1139</v>
      </c>
      <c r="D117" t="s">
        <v>82</v>
      </c>
      <c r="E117" s="37">
        <v>8706</v>
      </c>
      <c r="F117" s="39" cm="1">
        <f t="array" ref="F117">E117*_xlfn.XLOOKUP(1,
 (FOREX!$A$2:$A$100=EOMONTH(B117,0))*
 (FOREX!$F$2:$F$100=TRIM(D117)),
 FOREX!$G$2:$G$100,
 100)</f>
        <v>2150.42553</v>
      </c>
      <c r="G117" s="30" t="s">
        <v>1160</v>
      </c>
      <c r="H117" s="35" t="str">
        <f>_xlfn.XLOOKUP(G117,costcategory[Account Code],costcategory[Cost Category],"ERROR")</f>
        <v>Headcount Costs</v>
      </c>
      <c r="I117" t="str">
        <f>_xlfn.XLOOKUP(C117,Setting!$H$2:$H$15,Setting!$I$2:$I$15,"ERROR")</f>
        <v>Business Operation</v>
      </c>
      <c r="J117" t="str">
        <f>_xlfn.XLOOKUP(I117,Table2[Department],Table2[Group],"ERROR")</f>
        <v>Sales &amp; Marketing</v>
      </c>
    </row>
    <row r="118" spans="1:10" x14ac:dyDescent="0.2">
      <c r="A118" t="s">
        <v>2</v>
      </c>
      <c r="B118" s="38">
        <v>46112</v>
      </c>
      <c r="C118" t="s">
        <v>1125</v>
      </c>
      <c r="D118" t="s">
        <v>82</v>
      </c>
      <c r="E118" s="37">
        <v>3703.05</v>
      </c>
      <c r="F118" s="39" cm="1">
        <f t="array" ref="F118">E118*_xlfn.XLOOKUP(1,
 (FOREX!$A$2:$A$100=EOMONTH(B118,0))*
 (FOREX!$F$2:$F$100=TRIM(D118)),
 FOREX!$G$2:$G$100,
 100)</f>
        <v>914.67186525000011</v>
      </c>
      <c r="G118" s="26" t="s">
        <v>364</v>
      </c>
      <c r="H118" s="35" t="str">
        <f>_xlfn.XLOOKUP(G118,costcategory[Account Code],costcategory[Cost Category],"ERROR")</f>
        <v>Headcount Costs</v>
      </c>
      <c r="I118" t="str">
        <f>_xlfn.XLOOKUP(C118,Setting!$H$2:$H$15,Setting!$I$2:$I$15,"ERROR")</f>
        <v>Sales &amp; Pre-Sales</v>
      </c>
      <c r="J118" t="str">
        <f>_xlfn.XLOOKUP(I118,Table2[Department],Table2[Group],"ERROR")</f>
        <v>Sales &amp; Marketing</v>
      </c>
    </row>
    <row r="119" spans="1:10" x14ac:dyDescent="0.2">
      <c r="A119" t="s">
        <v>2</v>
      </c>
      <c r="B119" s="38">
        <v>46112</v>
      </c>
      <c r="C119" t="s">
        <v>1127</v>
      </c>
      <c r="D119" t="s">
        <v>82</v>
      </c>
      <c r="E119" s="37">
        <v>1025.75</v>
      </c>
      <c r="F119" s="39" cm="1">
        <f t="array" ref="F119">E119*_xlfn.XLOOKUP(1,
 (FOREX!$A$2:$A$100=EOMONTH(B119,0))*
 (FOREX!$F$2:$F$100=TRIM(D119)),
 FOREX!$G$2:$G$100,
 100)</f>
        <v>253.36537874999999</v>
      </c>
      <c r="G119" s="26" t="s">
        <v>364</v>
      </c>
      <c r="H119" s="35" t="str">
        <f>_xlfn.XLOOKUP(G119,costcategory[Account Code],costcategory[Cost Category],"ERROR")</f>
        <v>Headcount Costs</v>
      </c>
      <c r="I119" t="str">
        <f>_xlfn.XLOOKUP(C119,Setting!$H$2:$H$15,Setting!$I$2:$I$15,"ERROR")</f>
        <v>DSC</v>
      </c>
      <c r="J119" t="str">
        <f>_xlfn.XLOOKUP(I119,Table2[Department],Table2[Group],"ERROR")</f>
        <v>DSC</v>
      </c>
    </row>
    <row r="120" spans="1:10" x14ac:dyDescent="0.2">
      <c r="A120" t="s">
        <v>2</v>
      </c>
      <c r="B120" s="38">
        <v>46112</v>
      </c>
      <c r="C120" t="s">
        <v>1129</v>
      </c>
      <c r="D120" t="s">
        <v>82</v>
      </c>
      <c r="E120" s="37">
        <v>1010.5500000000001</v>
      </c>
      <c r="F120" s="39" cm="1">
        <f t="array" ref="F120">E120*_xlfn.XLOOKUP(1,
 (FOREX!$A$2:$A$100=EOMONTH(B120,0))*
 (FOREX!$F$2:$F$100=TRIM(D120)),
 FOREX!$G$2:$G$100,
 100)</f>
        <v>249.61090275000001</v>
      </c>
      <c r="G120" s="26" t="s">
        <v>364</v>
      </c>
      <c r="H120" s="35" t="str">
        <f>_xlfn.XLOOKUP(G120,costcategory[Account Code],costcategory[Cost Category],"ERROR")</f>
        <v>Headcount Costs</v>
      </c>
      <c r="I120" t="str">
        <f>_xlfn.XLOOKUP(C120,Setting!$H$2:$H$15,Setting!$I$2:$I$15,"ERROR")</f>
        <v>Sales &amp; Pre-Sales</v>
      </c>
      <c r="J120" t="str">
        <f>_xlfn.XLOOKUP(I120,Table2[Department],Table2[Group],"ERROR")</f>
        <v>Sales &amp; Marketing</v>
      </c>
    </row>
    <row r="121" spans="1:10" x14ac:dyDescent="0.2">
      <c r="A121" t="s">
        <v>2</v>
      </c>
      <c r="B121" s="38">
        <v>46112</v>
      </c>
      <c r="C121" t="s">
        <v>1131</v>
      </c>
      <c r="D121" t="s">
        <v>82</v>
      </c>
      <c r="E121" s="37">
        <v>1810.0500000000002</v>
      </c>
      <c r="F121" s="39" cm="1">
        <f t="array" ref="F121">E121*_xlfn.XLOOKUP(1,
 (FOREX!$A$2:$A$100=EOMONTH(B121,0))*
 (FOREX!$F$2:$F$100=TRIM(D121)),
 FOREX!$G$2:$G$100,
 100)</f>
        <v>447.09140025000005</v>
      </c>
      <c r="G121" s="26" t="s">
        <v>364</v>
      </c>
      <c r="H121" s="35" t="str">
        <f>_xlfn.XLOOKUP(G121,costcategory[Account Code],costcategory[Cost Category],"ERROR")</f>
        <v>Headcount Costs</v>
      </c>
      <c r="I121" t="str">
        <f>_xlfn.XLOOKUP(C121,Setting!$H$2:$H$15,Setting!$I$2:$I$15,"ERROR")</f>
        <v>HR</v>
      </c>
      <c r="J121" t="str">
        <f>_xlfn.XLOOKUP(I121,Table2[Department],Table2[Group],"ERROR")</f>
        <v>General &amp; Administrative</v>
      </c>
    </row>
    <row r="122" spans="1:10" x14ac:dyDescent="0.2">
      <c r="A122" t="s">
        <v>2</v>
      </c>
      <c r="B122" s="38">
        <v>46112</v>
      </c>
      <c r="C122" t="s">
        <v>1133</v>
      </c>
      <c r="D122" t="s">
        <v>82</v>
      </c>
      <c r="E122" s="37">
        <v>3038.25</v>
      </c>
      <c r="F122" s="39" cm="1">
        <f t="array" ref="F122">E122*_xlfn.XLOOKUP(1,
 (FOREX!$A$2:$A$100=EOMONTH(B122,0))*
 (FOREX!$F$2:$F$100=TRIM(D122)),
 FOREX!$G$2:$G$100,
 100)</f>
        <v>750.46294124999997</v>
      </c>
      <c r="G122" s="26" t="s">
        <v>364</v>
      </c>
      <c r="H122" s="35" t="str">
        <f>_xlfn.XLOOKUP(G122,costcategory[Account Code],costcategory[Cost Category],"ERROR")</f>
        <v>Headcount Costs</v>
      </c>
      <c r="I122" t="str">
        <f>_xlfn.XLOOKUP(C122,Setting!$H$2:$H$15,Setting!$I$2:$I$15,"ERROR")</f>
        <v>Finance</v>
      </c>
      <c r="J122" t="str">
        <f>_xlfn.XLOOKUP(I122,Table2[Department],Table2[Group],"ERROR")</f>
        <v>General &amp; Administrative</v>
      </c>
    </row>
    <row r="123" spans="1:10" x14ac:dyDescent="0.2">
      <c r="A123" t="s">
        <v>2</v>
      </c>
      <c r="B123" s="38">
        <v>46112</v>
      </c>
      <c r="C123" t="s">
        <v>1134</v>
      </c>
      <c r="D123" t="s">
        <v>82</v>
      </c>
      <c r="E123" s="37">
        <v>6135.0499999999993</v>
      </c>
      <c r="F123" s="39" cm="1">
        <f t="array" ref="F123">E123*_xlfn.XLOOKUP(1,
 (FOREX!$A$2:$A$100=EOMONTH(B123,0))*
 (FOREX!$F$2:$F$100=TRIM(D123)),
 FOREX!$G$2:$G$100,
 100)</f>
        <v>1515.3880252499998</v>
      </c>
      <c r="G123" s="26" t="s">
        <v>364</v>
      </c>
      <c r="H123" s="35" t="str">
        <f>_xlfn.XLOOKUP(G123,costcategory[Account Code],costcategory[Cost Category],"ERROR")</f>
        <v>Headcount Costs</v>
      </c>
      <c r="I123" t="str">
        <f>_xlfn.XLOOKUP(C123,Setting!$H$2:$H$15,Setting!$I$2:$I$15,"ERROR")</f>
        <v>DSC</v>
      </c>
      <c r="J123" t="str">
        <f>_xlfn.XLOOKUP(I123,Table2[Department],Table2[Group],"ERROR")</f>
        <v>DSC</v>
      </c>
    </row>
    <row r="124" spans="1:10" x14ac:dyDescent="0.2">
      <c r="A124" t="s">
        <v>2</v>
      </c>
      <c r="B124" s="38">
        <v>46112</v>
      </c>
      <c r="C124" t="s">
        <v>1136</v>
      </c>
      <c r="D124" t="s">
        <v>82</v>
      </c>
      <c r="E124" s="37">
        <v>2972.05</v>
      </c>
      <c r="F124" s="39" cm="1">
        <f t="array" ref="F124">E124*_xlfn.XLOOKUP(1,
 (FOREX!$A$2:$A$100=EOMONTH(B124,0))*
 (FOREX!$F$2:$F$100=TRIM(D124)),
 FOREX!$G$2:$G$100,
 100)</f>
        <v>734.11121025</v>
      </c>
      <c r="G124" s="26" t="s">
        <v>364</v>
      </c>
      <c r="H124" s="35" t="str">
        <f>_xlfn.XLOOKUP(G124,costcategory[Account Code],costcategory[Cost Category],"ERROR")</f>
        <v>Headcount Costs</v>
      </c>
      <c r="I124" t="str">
        <f>_xlfn.XLOOKUP(C124,Setting!$H$2:$H$15,Setting!$I$2:$I$15,"ERROR")</f>
        <v>DSC</v>
      </c>
      <c r="J124" t="str">
        <f>_xlfn.XLOOKUP(I124,Table2[Department],Table2[Group],"ERROR")</f>
        <v>DSC</v>
      </c>
    </row>
    <row r="125" spans="1:10" x14ac:dyDescent="0.2">
      <c r="A125" t="s">
        <v>2</v>
      </c>
      <c r="B125" s="38">
        <v>46112</v>
      </c>
      <c r="C125" t="s">
        <v>1137</v>
      </c>
      <c r="D125" t="s">
        <v>82</v>
      </c>
      <c r="E125" s="37">
        <v>1144.25</v>
      </c>
      <c r="F125" s="39" cm="1">
        <f t="array" ref="F125">E125*_xlfn.XLOOKUP(1,
 (FOREX!$A$2:$A$100=EOMONTH(B125,0))*
 (FOREX!$F$2:$F$100=TRIM(D125)),
 FOREX!$G$2:$G$100,
 100)</f>
        <v>282.63547125000002</v>
      </c>
      <c r="G125" s="26" t="s">
        <v>364</v>
      </c>
      <c r="H125" s="35" t="str">
        <f>_xlfn.XLOOKUP(G125,costcategory[Account Code],costcategory[Cost Category],"ERROR")</f>
        <v>Headcount Costs</v>
      </c>
      <c r="I125" t="str">
        <f>_xlfn.XLOOKUP(C125,Setting!$H$2:$H$15,Setting!$I$2:$I$15,"ERROR")</f>
        <v>DSC</v>
      </c>
      <c r="J125" t="str">
        <f>_xlfn.XLOOKUP(I125,Table2[Department],Table2[Group],"ERROR")</f>
        <v>DSC</v>
      </c>
    </row>
    <row r="126" spans="1:10" x14ac:dyDescent="0.2">
      <c r="A126" t="s">
        <v>2</v>
      </c>
      <c r="B126" s="38">
        <v>46112</v>
      </c>
      <c r="C126" t="s">
        <v>1139</v>
      </c>
      <c r="D126" t="s">
        <v>82</v>
      </c>
      <c r="E126" s="37">
        <v>669.15</v>
      </c>
      <c r="F126" s="39" cm="1">
        <f t="array" ref="F126">E126*_xlfn.XLOOKUP(1,
 (FOREX!$A$2:$A$100=EOMONTH(B126,0))*
 (FOREX!$F$2:$F$100=TRIM(D126)),
 FOREX!$G$2:$G$100,
 100)</f>
        <v>165.28339574999998</v>
      </c>
      <c r="G126" s="26" t="s">
        <v>364</v>
      </c>
      <c r="H126" s="35" t="str">
        <f>_xlfn.XLOOKUP(G126,costcategory[Account Code],costcategory[Cost Category],"ERROR")</f>
        <v>Headcount Costs</v>
      </c>
      <c r="I126" t="str">
        <f>_xlfn.XLOOKUP(C126,Setting!$H$2:$H$15,Setting!$I$2:$I$15,"ERROR")</f>
        <v>Business Operation</v>
      </c>
      <c r="J126" t="str">
        <f>_xlfn.XLOOKUP(I126,Table2[Department],Table2[Group],"ERROR")</f>
        <v>Sales &amp; Marketing</v>
      </c>
    </row>
    <row r="127" spans="1:10" x14ac:dyDescent="0.2">
      <c r="A127" t="s">
        <v>2</v>
      </c>
      <c r="B127" s="38">
        <v>46112</v>
      </c>
      <c r="C127" t="s">
        <v>1141</v>
      </c>
      <c r="D127" t="s">
        <v>82</v>
      </c>
      <c r="E127" s="37">
        <v>4501.0499999999993</v>
      </c>
      <c r="F127" s="39" cm="1">
        <f t="array" ref="F127">E127*_xlfn.XLOOKUP(1,
 (FOREX!$A$2:$A$100=EOMONTH(B127,0))*
 (FOREX!$F$2:$F$100=TRIM(D127)),
 FOREX!$G$2:$G$100,
 100)</f>
        <v>1111.7818552499998</v>
      </c>
      <c r="G127" s="26" t="s">
        <v>364</v>
      </c>
      <c r="H127" s="35" t="str">
        <f>_xlfn.XLOOKUP(G127,costcategory[Account Code],costcategory[Cost Category],"ERROR")</f>
        <v>Headcount Costs</v>
      </c>
      <c r="I127" t="str">
        <f>_xlfn.XLOOKUP(C127,Setting!$H$2:$H$15,Setting!$I$2:$I$15,"ERROR")</f>
        <v>DSC</v>
      </c>
      <c r="J127" t="str">
        <f>_xlfn.XLOOKUP(I127,Table2[Department],Table2[Group],"ERROR")</f>
        <v>DSC</v>
      </c>
    </row>
    <row r="128" spans="1:10" x14ac:dyDescent="0.2">
      <c r="A128" t="s">
        <v>2</v>
      </c>
      <c r="B128" s="38">
        <v>46112</v>
      </c>
      <c r="C128" t="s">
        <v>1143</v>
      </c>
      <c r="D128" t="s">
        <v>82</v>
      </c>
      <c r="E128" s="37">
        <v>1110.0500000000002</v>
      </c>
      <c r="F128" s="39" cm="1">
        <f t="array" ref="F128">E128*_xlfn.XLOOKUP(1,
 (FOREX!$A$2:$A$100=EOMONTH(B128,0))*
 (FOREX!$F$2:$F$100=TRIM(D128)),
 FOREX!$G$2:$G$100,
 100)</f>
        <v>274.18790025000004</v>
      </c>
      <c r="G128" s="26" t="s">
        <v>364</v>
      </c>
      <c r="H128" s="35" t="str">
        <f>_xlfn.XLOOKUP(G128,costcategory[Account Code],costcategory[Cost Category],"ERROR")</f>
        <v>Headcount Costs</v>
      </c>
      <c r="I128" t="str">
        <f>_xlfn.XLOOKUP(C128,Setting!$H$2:$H$15,Setting!$I$2:$I$15,"ERROR")</f>
        <v>DSC</v>
      </c>
      <c r="J128" t="str">
        <f>_xlfn.XLOOKUP(I128,Table2[Department],Table2[Group],"ERROR")</f>
        <v>DSC</v>
      </c>
    </row>
    <row r="129" spans="1:10" x14ac:dyDescent="0.2">
      <c r="A129" t="s">
        <v>2</v>
      </c>
      <c r="B129" s="38">
        <v>46112</v>
      </c>
      <c r="C129" t="s">
        <v>1145</v>
      </c>
      <c r="D129" t="s">
        <v>82</v>
      </c>
      <c r="E129" s="37">
        <v>970.05</v>
      </c>
      <c r="F129" s="39" cm="1">
        <f t="array" ref="F129">E129*_xlfn.XLOOKUP(1,
 (FOREX!$A$2:$A$100=EOMONTH(B129,0))*
 (FOREX!$F$2:$F$100=TRIM(D129)),
 FOREX!$G$2:$G$100,
 100)</f>
        <v>239.60720024999998</v>
      </c>
      <c r="G129" s="26" t="s">
        <v>364</v>
      </c>
      <c r="H129" s="35" t="str">
        <f>_xlfn.XLOOKUP(G129,costcategory[Account Code],costcategory[Cost Category],"ERROR")</f>
        <v>Headcount Costs</v>
      </c>
      <c r="I129" t="str">
        <f>_xlfn.XLOOKUP(C129,Setting!$H$2:$H$15,Setting!$I$2:$I$15,"ERROR")</f>
        <v>DSC</v>
      </c>
      <c r="J129" t="str">
        <f>_xlfn.XLOOKUP(I129,Table2[Department],Table2[Group],"ERROR")</f>
        <v>DSC</v>
      </c>
    </row>
    <row r="130" spans="1:10" x14ac:dyDescent="0.2">
      <c r="A130" t="s">
        <v>2</v>
      </c>
      <c r="B130" s="38">
        <v>46112</v>
      </c>
      <c r="C130" t="s">
        <v>1147</v>
      </c>
      <c r="D130" t="s">
        <v>82</v>
      </c>
      <c r="E130" s="37">
        <v>970.05</v>
      </c>
      <c r="F130" s="39" cm="1">
        <f t="array" ref="F130">E130*_xlfn.XLOOKUP(1,
 (FOREX!$A$2:$A$100=EOMONTH(B130,0))*
 (FOREX!$F$2:$F$100=TRIM(D130)),
 FOREX!$G$2:$G$100,
 100)</f>
        <v>239.60720024999998</v>
      </c>
      <c r="G130" s="26" t="s">
        <v>364</v>
      </c>
      <c r="H130" s="35" t="str">
        <f>_xlfn.XLOOKUP(G130,costcategory[Account Code],costcategory[Cost Category],"ERROR")</f>
        <v>Headcount Costs</v>
      </c>
      <c r="I130" t="str">
        <f>_xlfn.XLOOKUP(C130,Setting!$H$2:$H$15,Setting!$I$2:$I$15,"ERROR")</f>
        <v>Finance</v>
      </c>
      <c r="J130" t="str">
        <f>_xlfn.XLOOKUP(I130,Table2[Department],Table2[Group],"ERROR")</f>
        <v>General &amp; Administrative</v>
      </c>
    </row>
    <row r="131" spans="1:10" x14ac:dyDescent="0.2">
      <c r="A131" t="s">
        <v>2</v>
      </c>
      <c r="B131" s="38">
        <v>46085</v>
      </c>
      <c r="C131" t="s">
        <v>1128</v>
      </c>
      <c r="D131" t="s">
        <v>82</v>
      </c>
      <c r="E131" s="37">
        <v>1354.84</v>
      </c>
      <c r="F131" s="39" cm="1">
        <f t="array" ref="F131">E131*_xlfn.XLOOKUP(1,
 (FOREX!$A$2:$A$100=EOMONTH(B131,0))*
 (FOREX!$F$2:$F$100=TRIM(D131)),
 FOREX!$G$2:$G$100,
 100)</f>
        <v>334.65225419999996</v>
      </c>
      <c r="G131" s="26" t="s">
        <v>387</v>
      </c>
      <c r="H131" s="35" t="str">
        <f>_xlfn.XLOOKUP(G131,costcategory[Account Code],costcategory[Cost Category],"ERROR")</f>
        <v>Headcount Costs</v>
      </c>
      <c r="I131" t="str">
        <f>_xlfn.XLOOKUP(C131,Setting!$H$2:$H$15,Setting!$I$2:$I$15,"ERROR")</f>
        <v>Sales &amp; Pre-Sales</v>
      </c>
      <c r="J131" t="str">
        <f>_xlfn.XLOOKUP(I131,Table2[Department],Table2[Group],"ERROR")</f>
        <v>Sales &amp; Marketing</v>
      </c>
    </row>
    <row r="132" spans="1:10" x14ac:dyDescent="0.2">
      <c r="A132" t="s">
        <v>2</v>
      </c>
      <c r="B132" s="38">
        <v>46085</v>
      </c>
      <c r="C132" t="s">
        <v>1128</v>
      </c>
      <c r="D132" t="s">
        <v>82</v>
      </c>
      <c r="E132" s="37">
        <v>228.48000000000002</v>
      </c>
      <c r="F132" s="39" cm="1">
        <f t="array" ref="F132">E132*_xlfn.XLOOKUP(1,
 (FOREX!$A$2:$A$100=EOMONTH(B132,0))*
 (FOREX!$F$2:$F$100=TRIM(D132)),
 FOREX!$G$2:$G$100,
 100)</f>
        <v>56.435702400000004</v>
      </c>
      <c r="G132" s="26" t="s">
        <v>364</v>
      </c>
      <c r="H132" s="35" t="str">
        <f>_xlfn.XLOOKUP(G132,costcategory[Account Code],costcategory[Cost Category],"ERROR")</f>
        <v>Headcount Costs</v>
      </c>
      <c r="I132" t="str">
        <f>_xlfn.XLOOKUP(C132,Setting!$H$2:$H$15,Setting!$I$2:$I$15,"ERROR")</f>
        <v>Sales &amp; Pre-Sales</v>
      </c>
      <c r="J132" t="str">
        <f>_xlfn.XLOOKUP(I132,Table2[Department],Table2[Group],"ERROR")</f>
        <v>Sales &amp; Marketing</v>
      </c>
    </row>
    <row r="133" spans="1:10" x14ac:dyDescent="0.2">
      <c r="A133" t="s">
        <v>2</v>
      </c>
      <c r="B133" s="38">
        <v>46142</v>
      </c>
      <c r="C133" t="s">
        <v>1125</v>
      </c>
      <c r="D133" t="s">
        <v>82</v>
      </c>
      <c r="E133" s="37">
        <v>25700</v>
      </c>
      <c r="F133" s="39" cm="1">
        <f t="array" ref="F133">E133*_xlfn.XLOOKUP(1,
 (FOREX!$A$2:$A$100=EOMONTH(B133,0))*
 (FOREX!$F$2:$F$100=TRIM(D133)),
 FOREX!$G$2:$G$100,
 100)</f>
        <v>6473.3922947849214</v>
      </c>
      <c r="G133" s="30" t="s">
        <v>387</v>
      </c>
      <c r="H133" s="35" t="str">
        <f>_xlfn.XLOOKUP(G133,costcategory[Account Code],costcategory[Cost Category],"ERROR")</f>
        <v>Headcount Costs</v>
      </c>
      <c r="I133" t="str">
        <f>_xlfn.XLOOKUP(C133,Setting!$H$2:$H$15,Setting!$I$2:$I$15,"ERROR")</f>
        <v>Sales &amp; Pre-Sales</v>
      </c>
      <c r="J133" t="str">
        <f>_xlfn.XLOOKUP(I133,Table2[Department],Table2[Group],"ERROR")</f>
        <v>Sales &amp; Marketing</v>
      </c>
    </row>
    <row r="134" spans="1:10" x14ac:dyDescent="0.2">
      <c r="A134" t="s">
        <v>2</v>
      </c>
      <c r="B134" s="38">
        <v>46142</v>
      </c>
      <c r="C134" t="s">
        <v>1127</v>
      </c>
      <c r="D134" t="s">
        <v>82</v>
      </c>
      <c r="E134" s="37">
        <v>4690</v>
      </c>
      <c r="F134" s="39" cm="1">
        <f t="array" ref="F134">E134*_xlfn.XLOOKUP(1,
 (FOREX!$A$2:$A$100=EOMONTH(B134,0))*
 (FOREX!$F$2:$F$100=TRIM(D134)),
 FOREX!$G$2:$G$100,
 100)</f>
        <v>1181.331123056081</v>
      </c>
      <c r="G134" s="30" t="s">
        <v>387</v>
      </c>
      <c r="H134" s="35" t="str">
        <f>_xlfn.XLOOKUP(G134,costcategory[Account Code],costcategory[Cost Category],"ERROR")</f>
        <v>Headcount Costs</v>
      </c>
      <c r="I134" t="str">
        <f>_xlfn.XLOOKUP(C134,Setting!$H$2:$H$15,Setting!$I$2:$I$15,"ERROR")</f>
        <v>DSC</v>
      </c>
      <c r="J134" t="str">
        <f>_xlfn.XLOOKUP(I134,Table2[Department],Table2[Group],"ERROR")</f>
        <v>DSC</v>
      </c>
    </row>
    <row r="135" spans="1:10" x14ac:dyDescent="0.2">
      <c r="A135" t="s">
        <v>2</v>
      </c>
      <c r="B135" s="38">
        <v>46142</v>
      </c>
      <c r="C135" t="s">
        <v>1129</v>
      </c>
      <c r="D135" t="s">
        <v>82</v>
      </c>
      <c r="E135" s="37">
        <v>4996</v>
      </c>
      <c r="F135" s="39" cm="1">
        <f t="array" ref="F135">E135*_xlfn.XLOOKUP(1,
 (FOREX!$A$2:$A$100=EOMONTH(B135,0))*
 (FOREX!$F$2:$F$100=TRIM(D135)),
 FOREX!$G$2:$G$100,
 100)</f>
        <v>1258.4073114686953</v>
      </c>
      <c r="G135" s="30" t="s">
        <v>387</v>
      </c>
      <c r="H135" s="35" t="str">
        <f>_xlfn.XLOOKUP(G135,costcategory[Account Code],costcategory[Cost Category],"ERROR")</f>
        <v>Headcount Costs</v>
      </c>
      <c r="I135" t="str">
        <f>_xlfn.XLOOKUP(C135,Setting!$H$2:$H$15,Setting!$I$2:$I$15,"ERROR")</f>
        <v>Sales &amp; Pre-Sales</v>
      </c>
      <c r="J135" t="str">
        <f>_xlfn.XLOOKUP(I135,Table2[Department],Table2[Group],"ERROR")</f>
        <v>Sales &amp; Marketing</v>
      </c>
    </row>
    <row r="136" spans="1:10" x14ac:dyDescent="0.2">
      <c r="A136" t="s">
        <v>2</v>
      </c>
      <c r="B136" s="38">
        <v>46142</v>
      </c>
      <c r="C136" t="s">
        <v>1131</v>
      </c>
      <c r="D136" t="s">
        <v>82</v>
      </c>
      <c r="E136" s="37">
        <v>12100</v>
      </c>
      <c r="F136" s="39" cm="1">
        <f t="array" ref="F136">E136*_xlfn.XLOOKUP(1,
 (FOREX!$A$2:$A$100=EOMONTH(B136,0))*
 (FOREX!$F$2:$F$100=TRIM(D136)),
 FOREX!$G$2:$G$100,
 100)</f>
        <v>3047.7839208909554</v>
      </c>
      <c r="G136" s="30" t="s">
        <v>387</v>
      </c>
      <c r="H136" s="35" t="str">
        <f>_xlfn.XLOOKUP(G136,costcategory[Account Code],costcategory[Cost Category],"ERROR")</f>
        <v>Headcount Costs</v>
      </c>
      <c r="I136" t="str">
        <f>_xlfn.XLOOKUP(C136,Setting!$H$2:$H$15,Setting!$I$2:$I$15,"ERROR")</f>
        <v>HR</v>
      </c>
      <c r="J136" t="str">
        <f>_xlfn.XLOOKUP(I136,Table2[Department],Table2[Group],"ERROR")</f>
        <v>General &amp; Administrative</v>
      </c>
    </row>
    <row r="137" spans="1:10" x14ac:dyDescent="0.2">
      <c r="A137" t="s">
        <v>2</v>
      </c>
      <c r="B137" s="38">
        <v>46142</v>
      </c>
      <c r="C137" t="s">
        <v>1133</v>
      </c>
      <c r="D137" t="s">
        <v>82</v>
      </c>
      <c r="E137" s="37">
        <v>13036</v>
      </c>
      <c r="F137" s="39" cm="1">
        <f t="array" ref="F137">E137*_xlfn.XLOOKUP(1,
 (FOREX!$A$2:$A$100=EOMONTH(B137,0))*
 (FOREX!$F$2:$F$100=TRIM(D137)),
 FOREX!$G$2:$G$100,
 100)</f>
        <v>3283.5463795648343</v>
      </c>
      <c r="G137" s="30" t="s">
        <v>387</v>
      </c>
      <c r="H137" s="35" t="str">
        <f>_xlfn.XLOOKUP(G137,costcategory[Account Code],costcategory[Cost Category],"ERROR")</f>
        <v>Headcount Costs</v>
      </c>
      <c r="I137" t="str">
        <f>_xlfn.XLOOKUP(C137,Setting!$H$2:$H$15,Setting!$I$2:$I$15,"ERROR")</f>
        <v>Finance</v>
      </c>
      <c r="J137" t="str">
        <f>_xlfn.XLOOKUP(I137,Table2[Department],Table2[Group],"ERROR")</f>
        <v>General &amp; Administrative</v>
      </c>
    </row>
    <row r="138" spans="1:10" x14ac:dyDescent="0.2">
      <c r="A138" t="s">
        <v>2</v>
      </c>
      <c r="B138" s="38">
        <v>46142</v>
      </c>
      <c r="C138" t="s">
        <v>1134</v>
      </c>
      <c r="D138" t="s">
        <v>82</v>
      </c>
      <c r="E138" s="37">
        <v>26580</v>
      </c>
      <c r="F138" s="39" cm="1">
        <f t="array" ref="F138">E138*_xlfn.XLOOKUP(1,
 (FOREX!$A$2:$A$100=EOMONTH(B138,0))*
 (FOREX!$F$2:$F$100=TRIM(D138)),
 FOREX!$G$2:$G$100,
 100)</f>
        <v>6695.049307213355</v>
      </c>
      <c r="G138" s="30" t="s">
        <v>387</v>
      </c>
      <c r="H138" s="35" t="str">
        <f>_xlfn.XLOOKUP(G138,costcategory[Account Code],costcategory[Cost Category],"ERROR")</f>
        <v>Headcount Costs</v>
      </c>
      <c r="I138" t="str">
        <f>_xlfn.XLOOKUP(C138,Setting!$H$2:$H$15,Setting!$I$2:$I$15,"ERROR")</f>
        <v>DSC</v>
      </c>
      <c r="J138" t="str">
        <f>_xlfn.XLOOKUP(I138,Table2[Department],Table2[Group],"ERROR")</f>
        <v>DSC</v>
      </c>
    </row>
    <row r="139" spans="1:10" x14ac:dyDescent="0.2">
      <c r="A139" t="s">
        <v>2</v>
      </c>
      <c r="B139" s="38">
        <v>46142</v>
      </c>
      <c r="C139" t="s">
        <v>1136</v>
      </c>
      <c r="D139" t="s">
        <v>82</v>
      </c>
      <c r="E139" s="37">
        <v>17695</v>
      </c>
      <c r="F139" s="39" cm="1">
        <f t="array" ref="F139">E139*_xlfn.XLOOKUP(1,
 (FOREX!$A$2:$A$100=EOMONTH(B139,0))*
 (FOREX!$F$2:$F$100=TRIM(D139)),
 FOREX!$G$2:$G$100,
 100)</f>
        <v>4457.0691305921864</v>
      </c>
      <c r="G139" s="30" t="s">
        <v>387</v>
      </c>
      <c r="H139" s="35" t="str">
        <f>_xlfn.XLOOKUP(G139,costcategory[Account Code],costcategory[Cost Category],"ERROR")</f>
        <v>Headcount Costs</v>
      </c>
      <c r="I139" t="str">
        <f>_xlfn.XLOOKUP(C139,Setting!$H$2:$H$15,Setting!$I$2:$I$15,"ERROR")</f>
        <v>DSC</v>
      </c>
      <c r="J139" t="str">
        <f>_xlfn.XLOOKUP(I139,Table2[Department],Table2[Group],"ERROR")</f>
        <v>DSC</v>
      </c>
    </row>
    <row r="140" spans="1:10" x14ac:dyDescent="0.2">
      <c r="A140" t="s">
        <v>2</v>
      </c>
      <c r="B140" s="38">
        <v>46142</v>
      </c>
      <c r="C140" t="s">
        <v>1137</v>
      </c>
      <c r="D140" t="s">
        <v>82</v>
      </c>
      <c r="E140" s="37">
        <v>5765</v>
      </c>
      <c r="F140" s="39" cm="1">
        <f t="array" ref="F140">E140*_xlfn.XLOOKUP(1,
 (FOREX!$A$2:$A$100=EOMONTH(B140,0))*
 (FOREX!$F$2:$F$100=TRIM(D140)),
 FOREX!$G$2:$G$100,
 100)</f>
        <v>1452.1053143749054</v>
      </c>
      <c r="G140" s="30" t="s">
        <v>387</v>
      </c>
      <c r="H140" s="35" t="str">
        <f>_xlfn.XLOOKUP(G140,costcategory[Account Code],costcategory[Cost Category],"ERROR")</f>
        <v>Headcount Costs</v>
      </c>
      <c r="I140" t="str">
        <f>_xlfn.XLOOKUP(C140,Setting!$H$2:$H$15,Setting!$I$2:$I$15,"ERROR")</f>
        <v>DSC</v>
      </c>
      <c r="J140" t="str">
        <f>_xlfn.XLOOKUP(I140,Table2[Department],Table2[Group],"ERROR")</f>
        <v>DSC</v>
      </c>
    </row>
    <row r="141" spans="1:10" x14ac:dyDescent="0.2">
      <c r="A141" t="s">
        <v>2</v>
      </c>
      <c r="B141" s="38">
        <v>46142</v>
      </c>
      <c r="C141" t="s">
        <v>1139</v>
      </c>
      <c r="D141" t="s">
        <v>82</v>
      </c>
      <c r="E141" s="37">
        <v>19500</v>
      </c>
      <c r="F141" s="39" cm="1">
        <f t="array" ref="F141">E141*_xlfn.XLOOKUP(1,
 (FOREX!$A$2:$A$100=EOMONTH(B141,0))*
 (FOREX!$F$2:$F$100=TRIM(D141)),
 FOREX!$G$2:$G$100,
 100)</f>
        <v>4911.7178890391424</v>
      </c>
      <c r="G141" s="30" t="s">
        <v>387</v>
      </c>
      <c r="H141" s="35" t="str">
        <f>_xlfn.XLOOKUP(G141,costcategory[Account Code],costcategory[Cost Category],"ERROR")</f>
        <v>Headcount Costs</v>
      </c>
      <c r="I141" t="str">
        <f>_xlfn.XLOOKUP(C141,Setting!$H$2:$H$15,Setting!$I$2:$I$15,"ERROR")</f>
        <v>Business Operation</v>
      </c>
      <c r="J141" t="str">
        <f>_xlfn.XLOOKUP(I141,Table2[Department],Table2[Group],"ERROR")</f>
        <v>Sales &amp; Marketing</v>
      </c>
    </row>
    <row r="142" spans="1:10" x14ac:dyDescent="0.2">
      <c r="A142" t="s">
        <v>2</v>
      </c>
      <c r="B142" s="38">
        <v>46142</v>
      </c>
      <c r="C142" t="s">
        <v>1141</v>
      </c>
      <c r="D142" t="s">
        <v>82</v>
      </c>
      <c r="E142" s="37">
        <v>32910</v>
      </c>
      <c r="F142" s="39" cm="1">
        <f t="array" ref="F142">E142*_xlfn.XLOOKUP(1,
 (FOREX!$A$2:$A$100=EOMONTH(B142,0))*
 (FOREX!$F$2:$F$100=TRIM(D142)),
 FOREX!$G$2:$G$100,
 100)</f>
        <v>8289.4684988860608</v>
      </c>
      <c r="G142" s="30" t="s">
        <v>387</v>
      </c>
      <c r="H142" s="35" t="str">
        <f>_xlfn.XLOOKUP(G142,costcategory[Account Code],costcategory[Cost Category],"ERROR")</f>
        <v>Headcount Costs</v>
      </c>
      <c r="I142" t="str">
        <f>_xlfn.XLOOKUP(C142,Setting!$H$2:$H$15,Setting!$I$2:$I$15,"ERROR")</f>
        <v>DSC</v>
      </c>
      <c r="J142" t="str">
        <f>_xlfn.XLOOKUP(I142,Table2[Department],Table2[Group],"ERROR")</f>
        <v>DSC</v>
      </c>
    </row>
    <row r="143" spans="1:10" x14ac:dyDescent="0.2">
      <c r="A143" t="s">
        <v>2</v>
      </c>
      <c r="B143" s="38">
        <v>46142</v>
      </c>
      <c r="C143" t="s">
        <v>1143</v>
      </c>
      <c r="D143" t="s">
        <v>82</v>
      </c>
      <c r="E143" s="37">
        <v>7100</v>
      </c>
      <c r="F143" s="39" cm="1">
        <f t="array" ref="F143">E143*_xlfn.XLOOKUP(1,
 (FOREX!$A$2:$A$100=EOMONTH(B143,0))*
 (FOREX!$F$2:$F$100=TRIM(D143)),
 FOREX!$G$2:$G$100,
 100)</f>
        <v>1788.3690775475852</v>
      </c>
      <c r="G143" s="30" t="s">
        <v>387</v>
      </c>
      <c r="H143" s="35" t="str">
        <f>_xlfn.XLOOKUP(G143,costcategory[Account Code],costcategory[Cost Category],"ERROR")</f>
        <v>Headcount Costs</v>
      </c>
      <c r="I143" t="str">
        <f>_xlfn.XLOOKUP(C143,Setting!$H$2:$H$15,Setting!$I$2:$I$15,"ERROR")</f>
        <v>DSC</v>
      </c>
      <c r="J143" t="str">
        <f>_xlfn.XLOOKUP(I143,Table2[Department],Table2[Group],"ERROR")</f>
        <v>DSC</v>
      </c>
    </row>
    <row r="144" spans="1:10" x14ac:dyDescent="0.2">
      <c r="A144" t="s">
        <v>2</v>
      </c>
      <c r="B144" s="38">
        <v>46142</v>
      </c>
      <c r="C144" t="s">
        <v>1145</v>
      </c>
      <c r="D144" t="s">
        <v>82</v>
      </c>
      <c r="E144" s="37">
        <v>6100</v>
      </c>
      <c r="F144" s="39" cm="1">
        <f t="array" ref="F144">E144*_xlfn.XLOOKUP(1,
 (FOREX!$A$2:$A$100=EOMONTH(B144,0))*
 (FOREX!$F$2:$F$100=TRIM(D144)),
 FOREX!$G$2:$G$100,
 100)</f>
        <v>1536.4861088789114</v>
      </c>
      <c r="G144" s="30" t="s">
        <v>387</v>
      </c>
      <c r="H144" s="35" t="str">
        <f>_xlfn.XLOOKUP(G144,costcategory[Account Code],costcategory[Cost Category],"ERROR")</f>
        <v>Headcount Costs</v>
      </c>
      <c r="I144" t="str">
        <f>_xlfn.XLOOKUP(C144,Setting!$H$2:$H$15,Setting!$I$2:$I$15,"ERROR")</f>
        <v>DSC</v>
      </c>
      <c r="J144" t="str">
        <f>_xlfn.XLOOKUP(I144,Table2[Department],Table2[Group],"ERROR")</f>
        <v>DSC</v>
      </c>
    </row>
    <row r="145" spans="1:10" x14ac:dyDescent="0.2">
      <c r="A145" t="s">
        <v>2</v>
      </c>
      <c r="B145" s="38">
        <v>46142</v>
      </c>
      <c r="C145" t="s">
        <v>1125</v>
      </c>
      <c r="D145" t="s">
        <v>82</v>
      </c>
      <c r="E145" s="37">
        <v>3703.05</v>
      </c>
      <c r="F145" s="39" cm="1">
        <f t="array" ref="F145">E145*_xlfn.XLOOKUP(1,
 (FOREX!$A$2:$A$100=EOMONTH(B145,0))*
 (FOREX!$F$2:$F$100=TRIM(D145)),
 FOREX!$G$2:$G$100,
 100)</f>
        <v>932.73522712853321</v>
      </c>
      <c r="G145" s="26" t="s">
        <v>364</v>
      </c>
      <c r="H145" s="35" t="str">
        <f>_xlfn.XLOOKUP(G145,costcategory[Account Code],costcategory[Cost Category],"ERROR")</f>
        <v>Headcount Costs</v>
      </c>
      <c r="I145" t="str">
        <f>_xlfn.XLOOKUP(C145,Setting!$H$2:$H$15,Setting!$I$2:$I$15,"ERROR")</f>
        <v>Sales &amp; Pre-Sales</v>
      </c>
      <c r="J145" t="str">
        <f>_xlfn.XLOOKUP(I145,Table2[Department],Table2[Group],"ERROR")</f>
        <v>Sales &amp; Marketing</v>
      </c>
    </row>
    <row r="146" spans="1:10" x14ac:dyDescent="0.2">
      <c r="A146" t="s">
        <v>2</v>
      </c>
      <c r="B146" s="38">
        <v>46142</v>
      </c>
      <c r="C146" t="s">
        <v>1127</v>
      </c>
      <c r="D146" t="s">
        <v>82</v>
      </c>
      <c r="E146" s="37">
        <v>748.55</v>
      </c>
      <c r="F146" s="39" cm="1">
        <f t="array" ref="F146">E146*_xlfn.XLOOKUP(1,
 (FOREX!$A$2:$A$100=EOMONTH(B146,0))*
 (FOREX!$F$2:$F$100=TRIM(D146)),
 FOREX!$G$2:$G$100,
 100)</f>
        <v>188.54699619693591</v>
      </c>
      <c r="G146" s="26" t="s">
        <v>364</v>
      </c>
      <c r="H146" s="35" t="str">
        <f>_xlfn.XLOOKUP(G146,costcategory[Account Code],costcategory[Cost Category],"ERROR")</f>
        <v>Headcount Costs</v>
      </c>
      <c r="I146" t="str">
        <f>_xlfn.XLOOKUP(C146,Setting!$H$2:$H$15,Setting!$I$2:$I$15,"ERROR")</f>
        <v>DSC</v>
      </c>
      <c r="J146" t="str">
        <f>_xlfn.XLOOKUP(I146,Table2[Department],Table2[Group],"ERROR")</f>
        <v>DSC</v>
      </c>
    </row>
    <row r="147" spans="1:10" x14ac:dyDescent="0.2">
      <c r="A147" t="s">
        <v>2</v>
      </c>
      <c r="B147" s="38">
        <v>46142</v>
      </c>
      <c r="C147" t="s">
        <v>1129</v>
      </c>
      <c r="D147" t="s">
        <v>82</v>
      </c>
      <c r="E147" s="37">
        <v>796.51</v>
      </c>
      <c r="F147" s="39" cm="1">
        <f t="array" ref="F147">E147*_xlfn.XLOOKUP(1,
 (FOREX!$A$2:$A$100=EOMONTH(B147,0))*
 (FOREX!$F$2:$F$100=TRIM(D147)),
 FOREX!$G$2:$G$100,
 100)</f>
        <v>200.6273033742855</v>
      </c>
      <c r="G147" s="26" t="s">
        <v>364</v>
      </c>
      <c r="H147" s="35" t="str">
        <f>_xlfn.XLOOKUP(G147,costcategory[Account Code],costcategory[Cost Category],"ERROR")</f>
        <v>Headcount Costs</v>
      </c>
      <c r="I147" t="str">
        <f>_xlfn.XLOOKUP(C147,Setting!$H$2:$H$15,Setting!$I$2:$I$15,"ERROR")</f>
        <v>Sales &amp; Pre-Sales</v>
      </c>
      <c r="J147" t="str">
        <f>_xlfn.XLOOKUP(I147,Table2[Department],Table2[Group],"ERROR")</f>
        <v>Sales &amp; Marketing</v>
      </c>
    </row>
    <row r="148" spans="1:10" x14ac:dyDescent="0.2">
      <c r="A148" t="s">
        <v>2</v>
      </c>
      <c r="B148" s="38">
        <v>46142</v>
      </c>
      <c r="C148" t="s">
        <v>1131</v>
      </c>
      <c r="D148" t="s">
        <v>82</v>
      </c>
      <c r="E148" s="37">
        <v>1810.0500000000002</v>
      </c>
      <c r="F148" s="39" cm="1">
        <f t="array" ref="F148">E148*_xlfn.XLOOKUP(1,
 (FOREX!$A$2:$A$100=EOMONTH(B148,0))*
 (FOREX!$F$2:$F$100=TRIM(D148)),
 FOREX!$G$2:$G$100,
 100)</f>
        <v>455.92076743873338</v>
      </c>
      <c r="G148" s="26" t="s">
        <v>364</v>
      </c>
      <c r="H148" s="35" t="str">
        <f>_xlfn.XLOOKUP(G148,costcategory[Account Code],costcategory[Cost Category],"ERROR")</f>
        <v>Headcount Costs</v>
      </c>
      <c r="I148" t="str">
        <f>_xlfn.XLOOKUP(C148,Setting!$H$2:$H$15,Setting!$I$2:$I$15,"ERROR")</f>
        <v>HR</v>
      </c>
      <c r="J148" t="str">
        <f>_xlfn.XLOOKUP(I148,Table2[Department],Table2[Group],"ERROR")</f>
        <v>General &amp; Administrative</v>
      </c>
    </row>
    <row r="149" spans="1:10" x14ac:dyDescent="0.2">
      <c r="A149" t="s">
        <v>2</v>
      </c>
      <c r="B149" s="38">
        <v>46142</v>
      </c>
      <c r="C149" t="s">
        <v>1133</v>
      </c>
      <c r="D149" t="s">
        <v>82</v>
      </c>
      <c r="E149" s="37">
        <v>1941.4100000000003</v>
      </c>
      <c r="F149" s="39" cm="1">
        <f t="array" ref="F149">E149*_xlfn.XLOOKUP(1,
 (FOREX!$A$2:$A$100=EOMONTH(B149,0))*
 (FOREX!$F$2:$F$100=TRIM(D149)),
 FOREX!$G$2:$G$100,
 100)</f>
        <v>489.00811420305047</v>
      </c>
      <c r="G149" s="26" t="s">
        <v>364</v>
      </c>
      <c r="H149" s="35" t="str">
        <f>_xlfn.XLOOKUP(G149,costcategory[Account Code],costcategory[Cost Category],"ERROR")</f>
        <v>Headcount Costs</v>
      </c>
      <c r="I149" t="str">
        <f>_xlfn.XLOOKUP(C149,Setting!$H$2:$H$15,Setting!$I$2:$I$15,"ERROR")</f>
        <v>Finance</v>
      </c>
      <c r="J149" t="str">
        <f>_xlfn.XLOOKUP(I149,Table2[Department],Table2[Group],"ERROR")</f>
        <v>General &amp; Administrative</v>
      </c>
    </row>
    <row r="150" spans="1:10" x14ac:dyDescent="0.2">
      <c r="A150" t="s">
        <v>2</v>
      </c>
      <c r="B150" s="38">
        <v>46142</v>
      </c>
      <c r="C150" t="s">
        <v>1134</v>
      </c>
      <c r="D150" t="s">
        <v>82</v>
      </c>
      <c r="E150" s="37">
        <v>3826.8500000000004</v>
      </c>
      <c r="F150" s="39" cm="1">
        <f t="array" ref="F150">E150*_xlfn.XLOOKUP(1,
 (FOREX!$A$2:$A$100=EOMONTH(B150,0))*
 (FOREX!$F$2:$F$100=TRIM(D150)),
 FOREX!$G$2:$G$100,
 100)</f>
        <v>963.91833864971511</v>
      </c>
      <c r="G150" s="26" t="s">
        <v>364</v>
      </c>
      <c r="H150" s="35" t="str">
        <f>_xlfn.XLOOKUP(G150,costcategory[Account Code],costcategory[Cost Category],"ERROR")</f>
        <v>Headcount Costs</v>
      </c>
      <c r="I150" t="str">
        <f>_xlfn.XLOOKUP(C150,Setting!$H$2:$H$15,Setting!$I$2:$I$15,"ERROR")</f>
        <v>DSC</v>
      </c>
      <c r="J150" t="str">
        <f>_xlfn.XLOOKUP(I150,Table2[Department],Table2[Group],"ERROR")</f>
        <v>DSC</v>
      </c>
    </row>
    <row r="151" spans="1:10" x14ac:dyDescent="0.2">
      <c r="A151" t="s">
        <v>2</v>
      </c>
      <c r="B151" s="38">
        <v>46142</v>
      </c>
      <c r="C151" t="s">
        <v>1136</v>
      </c>
      <c r="D151" t="s">
        <v>82</v>
      </c>
      <c r="E151" s="37">
        <v>2594</v>
      </c>
      <c r="F151" s="39" cm="1">
        <f t="array" ref="F151">E151*_xlfn.XLOOKUP(1,
 (FOREX!$A$2:$A$100=EOMONTH(B151,0))*
 (FOREX!$F$2:$F$100=TRIM(D151)),
 FOREX!$G$2:$G$100,
 100)</f>
        <v>653.38442072654038</v>
      </c>
      <c r="G151" s="26" t="s">
        <v>364</v>
      </c>
      <c r="H151" s="35" t="str">
        <f>_xlfn.XLOOKUP(G151,costcategory[Account Code],costcategory[Cost Category],"ERROR")</f>
        <v>Headcount Costs</v>
      </c>
      <c r="I151" t="str">
        <f>_xlfn.XLOOKUP(C151,Setting!$H$2:$H$15,Setting!$I$2:$I$15,"ERROR")</f>
        <v>DSC</v>
      </c>
      <c r="J151" t="str">
        <f>_xlfn.XLOOKUP(I151,Table2[Department],Table2[Group],"ERROR")</f>
        <v>DSC</v>
      </c>
    </row>
    <row r="152" spans="1:10" x14ac:dyDescent="0.2">
      <c r="A152" t="s">
        <v>2</v>
      </c>
      <c r="B152" s="38">
        <v>46142</v>
      </c>
      <c r="C152" t="s">
        <v>1137</v>
      </c>
      <c r="D152" t="s">
        <v>82</v>
      </c>
      <c r="E152" s="37">
        <v>919.8</v>
      </c>
      <c r="F152" s="39" cm="1">
        <f t="array" ref="F152">E152*_xlfn.XLOOKUP(1,
 (FOREX!$A$2:$A$100=EOMONTH(B152,0))*
 (FOREX!$F$2:$F$100=TRIM(D152)),
 FOREX!$G$2:$G$100,
 100)</f>
        <v>231.68195458144632</v>
      </c>
      <c r="G152" s="26" t="s">
        <v>364</v>
      </c>
      <c r="H152" s="35" t="str">
        <f>_xlfn.XLOOKUP(G152,costcategory[Account Code],costcategory[Cost Category],"ERROR")</f>
        <v>Headcount Costs</v>
      </c>
      <c r="I152" t="str">
        <f>_xlfn.XLOOKUP(C152,Setting!$H$2:$H$15,Setting!$I$2:$I$15,"ERROR")</f>
        <v>DSC</v>
      </c>
      <c r="J152" t="str">
        <f>_xlfn.XLOOKUP(I152,Table2[Department],Table2[Group],"ERROR")</f>
        <v>DSC</v>
      </c>
    </row>
    <row r="153" spans="1:10" x14ac:dyDescent="0.2">
      <c r="A153" t="s">
        <v>2</v>
      </c>
      <c r="B153" s="38">
        <v>46142</v>
      </c>
      <c r="C153" t="s">
        <v>1139</v>
      </c>
      <c r="D153" t="s">
        <v>82</v>
      </c>
      <c r="E153" s="37">
        <v>494.15</v>
      </c>
      <c r="F153" s="39" cm="1">
        <f t="array" ref="F153">E153*_xlfn.XLOOKUP(1,
 (FOREX!$A$2:$A$100=EOMONTH(B153,0))*
 (FOREX!$F$2:$F$100=TRIM(D153)),
 FOREX!$G$2:$G$100,
 100)</f>
        <v>124.46796896762524</v>
      </c>
      <c r="G153" s="26" t="s">
        <v>364</v>
      </c>
      <c r="H153" s="35" t="str">
        <f>_xlfn.XLOOKUP(G153,costcategory[Account Code],costcategory[Cost Category],"ERROR")</f>
        <v>Headcount Costs</v>
      </c>
      <c r="I153" t="str">
        <f>_xlfn.XLOOKUP(C153,Setting!$H$2:$H$15,Setting!$I$2:$I$15,"ERROR")</f>
        <v>Business Operation</v>
      </c>
      <c r="J153" t="str">
        <f>_xlfn.XLOOKUP(I153,Table2[Department],Table2[Group],"ERROR")</f>
        <v>Sales &amp; Marketing</v>
      </c>
    </row>
    <row r="154" spans="1:10" x14ac:dyDescent="0.2">
      <c r="A154" t="s">
        <v>2</v>
      </c>
      <c r="B154" s="38">
        <v>46142</v>
      </c>
      <c r="C154" t="s">
        <v>1141</v>
      </c>
      <c r="D154" t="s">
        <v>82</v>
      </c>
      <c r="E154" s="37">
        <v>4713.1499999999996</v>
      </c>
      <c r="F154" s="39" cm="1">
        <f t="array" ref="F154">E154*_xlfn.XLOOKUP(1,
 (FOREX!$A$2:$A$100=EOMONTH(B154,0))*
 (FOREX!$F$2:$F$100=TRIM(D154)),
 FOREX!$G$2:$G$100,
 100)</f>
        <v>1187.1622137807608</v>
      </c>
      <c r="G154" s="26" t="s">
        <v>364</v>
      </c>
      <c r="H154" s="35" t="str">
        <f>_xlfn.XLOOKUP(G154,costcategory[Account Code],costcategory[Cost Category],"ERROR")</f>
        <v>Headcount Costs</v>
      </c>
      <c r="I154" t="str">
        <f>_xlfn.XLOOKUP(C154,Setting!$H$2:$H$15,Setting!$I$2:$I$15,"ERROR")</f>
        <v>DSC</v>
      </c>
      <c r="J154" t="str">
        <f>_xlfn.XLOOKUP(I154,Table2[Department],Table2[Group],"ERROR")</f>
        <v>DSC</v>
      </c>
    </row>
    <row r="155" spans="1:10" x14ac:dyDescent="0.2">
      <c r="A155" t="s">
        <v>2</v>
      </c>
      <c r="B155" s="38">
        <v>46142</v>
      </c>
      <c r="C155" t="s">
        <v>1143</v>
      </c>
      <c r="D155" t="s">
        <v>82</v>
      </c>
      <c r="E155" s="37">
        <v>1110.0500000000002</v>
      </c>
      <c r="F155" s="39" cm="1">
        <f t="array" ref="F155">E155*_xlfn.XLOOKUP(1,
 (FOREX!$A$2:$A$100=EOMONTH(B155,0))*
 (FOREX!$F$2:$F$100=TRIM(D155)),
 FOREX!$G$2:$G$100,
 100)</f>
        <v>279.60268937066161</v>
      </c>
      <c r="G155" s="26" t="s">
        <v>364</v>
      </c>
      <c r="H155" s="35" t="str">
        <f>_xlfn.XLOOKUP(G155,costcategory[Account Code],costcategory[Cost Category],"ERROR")</f>
        <v>Headcount Costs</v>
      </c>
      <c r="I155" t="str">
        <f>_xlfn.XLOOKUP(C155,Setting!$H$2:$H$15,Setting!$I$2:$I$15,"ERROR")</f>
        <v>DSC</v>
      </c>
      <c r="J155" t="str">
        <f>_xlfn.XLOOKUP(I155,Table2[Department],Table2[Group],"ERROR")</f>
        <v>DSC</v>
      </c>
    </row>
    <row r="156" spans="1:10" x14ac:dyDescent="0.2">
      <c r="A156" t="s">
        <v>2</v>
      </c>
      <c r="B156" s="38">
        <v>46142</v>
      </c>
      <c r="C156" t="s">
        <v>1145</v>
      </c>
      <c r="D156" t="s">
        <v>82</v>
      </c>
      <c r="E156" s="37">
        <v>970.05</v>
      </c>
      <c r="F156" s="39" cm="1">
        <f t="array" ref="F156">E156*_xlfn.XLOOKUP(1,
 (FOREX!$A$2:$A$100=EOMONTH(B156,0))*
 (FOREX!$F$2:$F$100=TRIM(D156)),
 FOREX!$G$2:$G$100,
 100)</f>
        <v>244.3390737570472</v>
      </c>
      <c r="G156" s="26" t="s">
        <v>364</v>
      </c>
      <c r="H156" s="35" t="str">
        <f>_xlfn.XLOOKUP(G156,costcategory[Account Code],costcategory[Cost Category],"ERROR")</f>
        <v>Headcount Costs</v>
      </c>
      <c r="I156" t="str">
        <f>_xlfn.XLOOKUP(C156,Setting!$H$2:$H$15,Setting!$I$2:$I$15,"ERROR")</f>
        <v>DSC</v>
      </c>
      <c r="J156" t="str">
        <f>_xlfn.XLOOKUP(I156,Table2[Department],Table2[Group],"ERROR")</f>
        <v>DSC</v>
      </c>
    </row>
    <row r="157" spans="1:10" x14ac:dyDescent="0.2">
      <c r="A157" t="s">
        <v>2</v>
      </c>
      <c r="B157" s="38">
        <v>46147</v>
      </c>
      <c r="C157" t="s">
        <v>1125</v>
      </c>
      <c r="D157" t="s">
        <v>82</v>
      </c>
      <c r="E157" s="37">
        <v>1658.07</v>
      </c>
      <c r="F157" s="39" cm="1">
        <f t="array" ref="F157">E157*_xlfn.XLOOKUP(1,
 (FOREX!$A$2:$A$100=EOMONTH(B157,0))*
 (FOREX!$F$2:$F$100=TRIM(D157)),
 FOREX!$G$2:$G$100,
 100)</f>
        <v>417.85851104999995</v>
      </c>
      <c r="G157" s="26" t="s">
        <v>387</v>
      </c>
      <c r="H157" s="35" t="str">
        <f>_xlfn.XLOOKUP(G157,costcategory[Account Code],costcategory[Cost Category],"ERROR")</f>
        <v>Headcount Costs</v>
      </c>
      <c r="I157" t="str">
        <f>_xlfn.XLOOKUP(C157,Setting!$H$2:$H$15,Setting!$I$2:$I$15,"ERROR")</f>
        <v>Sales &amp; Pre-Sales</v>
      </c>
      <c r="J157" t="str">
        <f>_xlfn.XLOOKUP(I157,Table2[Department],Table2[Group],"ERROR")</f>
        <v>Sales &amp; Marketing</v>
      </c>
    </row>
    <row r="158" spans="1:10" x14ac:dyDescent="0.2">
      <c r="A158" t="s">
        <v>2</v>
      </c>
      <c r="B158" s="38">
        <v>46147</v>
      </c>
      <c r="C158" t="s">
        <v>1125</v>
      </c>
      <c r="D158" t="s">
        <v>82</v>
      </c>
      <c r="E158">
        <v>281.02000000000004</v>
      </c>
      <c r="F158" s="39" cm="1">
        <f t="array" ref="F158">E158*_xlfn.XLOOKUP(1,
 (FOREX!$A$2:$A$100=EOMONTH(B158,0))*
 (FOREX!$F$2:$F$100=TRIM(D158)),
 FOREX!$G$2:$G$100,
 100)</f>
        <v>70.821255300000004</v>
      </c>
      <c r="G158" s="26" t="s">
        <v>364</v>
      </c>
      <c r="H158" s="35" t="str">
        <f>_xlfn.XLOOKUP(G158,costcategory[Account Code],costcategory[Cost Category],"ERROR")</f>
        <v>Headcount Costs</v>
      </c>
      <c r="I158" t="str">
        <f>_xlfn.XLOOKUP(C158,Setting!$H$2:$H$15,Setting!$I$2:$I$15,"ERROR")</f>
        <v>Sales &amp; Pre-Sales</v>
      </c>
      <c r="J158" t="str">
        <f>_xlfn.XLOOKUP(I158,Table2[Department],Table2[Group],"ERROR")</f>
        <v>Sales &amp; Marketing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734B98-0614-4281-9967-498B4C8B0ABA}">
          <x14:formula1>
            <xm:f>Setting!$D$2:$D$15</xm:f>
          </x14:formula1>
          <xm:sqref>I2:I69</xm:sqref>
        </x14:dataValidation>
        <x14:dataValidation type="list" allowBlank="1" showInputMessage="1" showErrorMessage="1" xr:uid="{EC37D876-70AD-4AB9-A79C-95C22FCDF943}">
          <x14:formula1>
            <xm:f>Setting!$B$2:$B$93</xm:f>
          </x14:formula1>
          <xm:sqref>E16:E17 G2:G130 G132:G156 G158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6F9A-64A1-46E1-8A5E-EA369C53AE6C}">
  <sheetPr codeName="Sheet10"/>
  <dimension ref="A1:K72"/>
  <sheetViews>
    <sheetView showGridLines="0" topLeftCell="A23" zoomScaleNormal="100" workbookViewId="0">
      <selection activeCell="H120" sqref="H120"/>
    </sheetView>
  </sheetViews>
  <sheetFormatPr defaultColWidth="9.140625" defaultRowHeight="12" x14ac:dyDescent="0.2"/>
  <cols>
    <col min="1" max="1" width="39.42578125" style="45" customWidth="1"/>
    <col min="2" max="2" width="45.85546875" style="45" customWidth="1"/>
    <col min="3" max="3" width="30.42578125" style="45" customWidth="1"/>
    <col min="4" max="4" width="22" style="45" customWidth="1"/>
    <col min="5" max="5" width="14.85546875" style="45" customWidth="1"/>
    <col min="6" max="6" width="2.85546875" style="45" customWidth="1"/>
    <col min="7" max="7" width="12.7109375" style="45" customWidth="1"/>
    <col min="8" max="8" width="11.7109375" style="45" customWidth="1"/>
    <col min="9" max="9" width="12.85546875" style="45" customWidth="1"/>
    <col min="10" max="10" width="21.7109375" style="45" customWidth="1"/>
    <col min="11" max="11" width="15.140625" style="45" customWidth="1"/>
    <col min="12" max="16384" width="9.140625" style="45"/>
  </cols>
  <sheetData>
    <row r="1" spans="1:11" s="42" customFormat="1" ht="16.7" customHeight="1" x14ac:dyDescent="0.25">
      <c r="A1" s="41" t="s">
        <v>1585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s="44" customFormat="1" ht="14.45" customHeight="1" x14ac:dyDescent="0.2">
      <c r="A2" s="43" t="s">
        <v>1586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s="44" customFormat="1" ht="14.45" customHeight="1" x14ac:dyDescent="0.2">
      <c r="A3" s="43" t="s">
        <v>1587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 ht="13.35" customHeight="1" x14ac:dyDescent="0.2"/>
    <row r="5" spans="1:11" s="48" customFormat="1" ht="12.2" customHeight="1" x14ac:dyDescent="0.2">
      <c r="A5" s="46" t="s">
        <v>69</v>
      </c>
      <c r="B5" s="46" t="s">
        <v>1588</v>
      </c>
      <c r="C5" s="46" t="s">
        <v>1062</v>
      </c>
      <c r="D5" s="46" t="s">
        <v>1589</v>
      </c>
      <c r="E5" s="46" t="s">
        <v>1590</v>
      </c>
      <c r="F5" s="46" t="s">
        <v>1082</v>
      </c>
      <c r="G5" s="46" t="s">
        <v>1591</v>
      </c>
      <c r="H5" s="46" t="s">
        <v>1592</v>
      </c>
      <c r="I5" s="46" t="s">
        <v>1593</v>
      </c>
      <c r="J5" s="47" t="s">
        <v>1594</v>
      </c>
      <c r="K5" s="47" t="s">
        <v>1595</v>
      </c>
    </row>
    <row r="6" spans="1:11" ht="13.35" customHeight="1" x14ac:dyDescent="0.2"/>
    <row r="7" spans="1:11" s="48" customFormat="1" ht="12.2" customHeight="1" x14ac:dyDescent="0.2">
      <c r="A7" s="49" t="s">
        <v>1596</v>
      </c>
      <c r="B7" s="49"/>
      <c r="C7" s="49"/>
      <c r="D7" s="49"/>
      <c r="E7" s="49"/>
      <c r="F7" s="49"/>
      <c r="G7" s="49"/>
      <c r="H7" s="49"/>
      <c r="I7" s="49"/>
      <c r="J7" s="49"/>
      <c r="K7" s="49"/>
    </row>
    <row r="8" spans="1:11" ht="10.9" customHeight="1" x14ac:dyDescent="0.2">
      <c r="A8" s="50">
        <v>46024</v>
      </c>
      <c r="B8" s="51" t="s">
        <v>511</v>
      </c>
      <c r="C8" s="51" t="s">
        <v>31</v>
      </c>
      <c r="D8" s="51" t="s">
        <v>1597</v>
      </c>
      <c r="E8" s="51" t="s">
        <v>1598</v>
      </c>
      <c r="F8" s="51"/>
      <c r="G8" s="51"/>
      <c r="H8" s="51"/>
      <c r="I8" s="62">
        <v>8</v>
      </c>
      <c r="J8" s="53">
        <v>0</v>
      </c>
      <c r="K8" s="53">
        <v>0</v>
      </c>
    </row>
    <row r="9" spans="1:11" ht="10.9" customHeight="1" x14ac:dyDescent="0.2">
      <c r="A9" s="54">
        <v>46027</v>
      </c>
      <c r="B9" s="55" t="s">
        <v>511</v>
      </c>
      <c r="C9" s="55" t="s">
        <v>31</v>
      </c>
      <c r="D9" s="55" t="s">
        <v>1597</v>
      </c>
      <c r="E9" s="55" t="s">
        <v>1598</v>
      </c>
      <c r="F9" s="55"/>
      <c r="G9" s="55"/>
      <c r="H9" s="55"/>
      <c r="I9" s="62">
        <v>8</v>
      </c>
      <c r="J9" s="57">
        <v>0</v>
      </c>
      <c r="K9" s="57">
        <v>0</v>
      </c>
    </row>
    <row r="10" spans="1:11" ht="10.9" customHeight="1" x14ac:dyDescent="0.2">
      <c r="A10" s="54">
        <v>46028</v>
      </c>
      <c r="B10" s="55" t="s">
        <v>511</v>
      </c>
      <c r="C10" s="55" t="s">
        <v>31</v>
      </c>
      <c r="D10" s="55" t="s">
        <v>1597</v>
      </c>
      <c r="E10" s="55" t="s">
        <v>1598</v>
      </c>
      <c r="F10" s="55"/>
      <c r="G10" s="55"/>
      <c r="H10" s="55"/>
      <c r="I10" s="62">
        <v>8</v>
      </c>
      <c r="J10" s="57">
        <v>0</v>
      </c>
      <c r="K10" s="57">
        <v>0</v>
      </c>
    </row>
    <row r="11" spans="1:11" ht="10.9" customHeight="1" x14ac:dyDescent="0.2">
      <c r="A11" s="54">
        <v>46029</v>
      </c>
      <c r="B11" s="55" t="s">
        <v>511</v>
      </c>
      <c r="C11" s="55" t="s">
        <v>31</v>
      </c>
      <c r="D11" s="55" t="s">
        <v>1597</v>
      </c>
      <c r="E11" s="55" t="s">
        <v>1598</v>
      </c>
      <c r="F11" s="55"/>
      <c r="G11" s="55"/>
      <c r="H11" s="55"/>
      <c r="I11" s="62">
        <v>8</v>
      </c>
      <c r="J11" s="57">
        <v>0</v>
      </c>
      <c r="K11" s="57">
        <v>0</v>
      </c>
    </row>
    <row r="12" spans="1:11" ht="10.9" customHeight="1" x14ac:dyDescent="0.2">
      <c r="A12" s="54">
        <v>46030</v>
      </c>
      <c r="B12" s="55" t="s">
        <v>511</v>
      </c>
      <c r="C12" s="55" t="s">
        <v>31</v>
      </c>
      <c r="D12" s="55" t="s">
        <v>1597</v>
      </c>
      <c r="E12" s="55" t="s">
        <v>1598</v>
      </c>
      <c r="F12" s="55"/>
      <c r="G12" s="55"/>
      <c r="H12" s="55"/>
      <c r="I12" s="62">
        <v>8</v>
      </c>
      <c r="J12" s="57">
        <v>0</v>
      </c>
      <c r="K12" s="57">
        <v>0</v>
      </c>
    </row>
    <row r="13" spans="1:11" ht="10.9" customHeight="1" x14ac:dyDescent="0.2">
      <c r="A13" s="54">
        <v>46031</v>
      </c>
      <c r="B13" s="55" t="s">
        <v>511</v>
      </c>
      <c r="C13" s="55" t="s">
        <v>31</v>
      </c>
      <c r="D13" s="55" t="s">
        <v>1597</v>
      </c>
      <c r="E13" s="55" t="s">
        <v>1598</v>
      </c>
      <c r="F13" s="55"/>
      <c r="G13" s="55"/>
      <c r="H13" s="55"/>
      <c r="I13" s="62">
        <v>8</v>
      </c>
      <c r="J13" s="57">
        <v>0</v>
      </c>
      <c r="K13" s="57">
        <v>0</v>
      </c>
    </row>
    <row r="14" spans="1:11" ht="10.9" customHeight="1" x14ac:dyDescent="0.2">
      <c r="A14" s="54">
        <v>46034</v>
      </c>
      <c r="B14" s="55" t="s">
        <v>511</v>
      </c>
      <c r="C14" s="55" t="s">
        <v>31</v>
      </c>
      <c r="D14" s="55" t="s">
        <v>1597</v>
      </c>
      <c r="E14" s="55" t="s">
        <v>1598</v>
      </c>
      <c r="F14" s="55"/>
      <c r="G14" s="55"/>
      <c r="H14" s="55"/>
      <c r="I14" s="62">
        <v>8</v>
      </c>
      <c r="J14" s="57">
        <v>0</v>
      </c>
      <c r="K14" s="57">
        <v>0</v>
      </c>
    </row>
    <row r="15" spans="1:11" ht="10.9" customHeight="1" x14ac:dyDescent="0.2">
      <c r="A15" s="54">
        <v>46035</v>
      </c>
      <c r="B15" s="55" t="s">
        <v>511</v>
      </c>
      <c r="C15" s="55" t="s">
        <v>31</v>
      </c>
      <c r="D15" s="55" t="s">
        <v>1597</v>
      </c>
      <c r="E15" s="55" t="s">
        <v>1598</v>
      </c>
      <c r="F15" s="55"/>
      <c r="G15" s="55"/>
      <c r="H15" s="55"/>
      <c r="I15" s="62">
        <v>8</v>
      </c>
      <c r="J15" s="57">
        <v>0</v>
      </c>
      <c r="K15" s="57">
        <v>0</v>
      </c>
    </row>
    <row r="16" spans="1:11" ht="10.9" customHeight="1" x14ac:dyDescent="0.2">
      <c r="A16" s="54">
        <v>46036</v>
      </c>
      <c r="B16" s="55" t="s">
        <v>511</v>
      </c>
      <c r="C16" s="55" t="s">
        <v>31</v>
      </c>
      <c r="D16" s="55" t="s">
        <v>1597</v>
      </c>
      <c r="E16" s="55" t="s">
        <v>1598</v>
      </c>
      <c r="F16" s="55"/>
      <c r="G16" s="55"/>
      <c r="H16" s="55"/>
      <c r="I16" s="62">
        <v>8</v>
      </c>
      <c r="J16" s="57">
        <v>0</v>
      </c>
      <c r="K16" s="57">
        <v>0</v>
      </c>
    </row>
    <row r="17" spans="1:11" ht="10.9" customHeight="1" x14ac:dyDescent="0.2">
      <c r="A17" s="54">
        <v>46037</v>
      </c>
      <c r="B17" s="55" t="s">
        <v>511</v>
      </c>
      <c r="C17" s="55" t="s">
        <v>31</v>
      </c>
      <c r="D17" s="55" t="s">
        <v>1597</v>
      </c>
      <c r="E17" s="55" t="s">
        <v>1598</v>
      </c>
      <c r="F17" s="55"/>
      <c r="G17" s="55"/>
      <c r="H17" s="55"/>
      <c r="I17" s="62">
        <v>8</v>
      </c>
      <c r="J17" s="57">
        <v>0</v>
      </c>
      <c r="K17" s="57">
        <v>0</v>
      </c>
    </row>
    <row r="18" spans="1:11" ht="10.9" customHeight="1" x14ac:dyDescent="0.2">
      <c r="A18" s="54">
        <v>46038</v>
      </c>
      <c r="B18" s="55" t="s">
        <v>511</v>
      </c>
      <c r="C18" s="55" t="s">
        <v>31</v>
      </c>
      <c r="D18" s="55" t="s">
        <v>1597</v>
      </c>
      <c r="E18" s="55" t="s">
        <v>1598</v>
      </c>
      <c r="F18" s="55"/>
      <c r="G18" s="55"/>
      <c r="H18" s="55"/>
      <c r="I18" s="62">
        <v>8</v>
      </c>
      <c r="J18" s="57">
        <v>0</v>
      </c>
      <c r="K18" s="57">
        <v>0</v>
      </c>
    </row>
    <row r="19" spans="1:11" ht="10.9" customHeight="1" x14ac:dyDescent="0.2">
      <c r="A19" s="54">
        <v>46041</v>
      </c>
      <c r="B19" s="55" t="s">
        <v>511</v>
      </c>
      <c r="C19" s="55" t="s">
        <v>31</v>
      </c>
      <c r="D19" s="55" t="s">
        <v>1597</v>
      </c>
      <c r="E19" s="55" t="s">
        <v>1598</v>
      </c>
      <c r="F19" s="55"/>
      <c r="G19" s="55"/>
      <c r="H19" s="55"/>
      <c r="I19" s="62">
        <v>8</v>
      </c>
      <c r="J19" s="57">
        <v>0</v>
      </c>
      <c r="K19" s="57">
        <v>0</v>
      </c>
    </row>
    <row r="20" spans="1:11" ht="10.9" customHeight="1" x14ac:dyDescent="0.2">
      <c r="A20" s="54">
        <v>46042</v>
      </c>
      <c r="B20" s="55" t="s">
        <v>511</v>
      </c>
      <c r="C20" s="55" t="s">
        <v>31</v>
      </c>
      <c r="D20" s="55" t="s">
        <v>1597</v>
      </c>
      <c r="E20" s="55" t="s">
        <v>1598</v>
      </c>
      <c r="F20" s="55"/>
      <c r="G20" s="55"/>
      <c r="H20" s="55"/>
      <c r="I20" s="62">
        <v>8</v>
      </c>
      <c r="J20" s="57">
        <v>0</v>
      </c>
      <c r="K20" s="57">
        <v>0</v>
      </c>
    </row>
    <row r="21" spans="1:11" ht="10.9" customHeight="1" x14ac:dyDescent="0.2">
      <c r="A21" s="54">
        <v>46043</v>
      </c>
      <c r="B21" s="55" t="s">
        <v>511</v>
      </c>
      <c r="C21" s="55" t="s">
        <v>31</v>
      </c>
      <c r="D21" s="55" t="s">
        <v>1597</v>
      </c>
      <c r="E21" s="55" t="s">
        <v>1598</v>
      </c>
      <c r="F21" s="55"/>
      <c r="G21" s="55"/>
      <c r="H21" s="55"/>
      <c r="I21" s="62">
        <v>8</v>
      </c>
      <c r="J21" s="57">
        <v>0</v>
      </c>
      <c r="K21" s="57">
        <v>0</v>
      </c>
    </row>
    <row r="22" spans="1:11" ht="10.9" customHeight="1" x14ac:dyDescent="0.2">
      <c r="A22" s="54">
        <v>46044</v>
      </c>
      <c r="B22" s="55" t="s">
        <v>511</v>
      </c>
      <c r="C22" s="55" t="s">
        <v>31</v>
      </c>
      <c r="D22" s="55" t="s">
        <v>1597</v>
      </c>
      <c r="E22" s="55" t="s">
        <v>1598</v>
      </c>
      <c r="F22" s="55"/>
      <c r="G22" s="55"/>
      <c r="H22" s="55"/>
      <c r="I22" s="62">
        <v>8</v>
      </c>
      <c r="J22" s="57">
        <v>0</v>
      </c>
      <c r="K22" s="57">
        <v>0</v>
      </c>
    </row>
    <row r="23" spans="1:11" ht="10.9" customHeight="1" x14ac:dyDescent="0.2">
      <c r="A23" s="54">
        <v>46045</v>
      </c>
      <c r="B23" s="55" t="s">
        <v>511</v>
      </c>
      <c r="C23" s="55" t="s">
        <v>31</v>
      </c>
      <c r="D23" s="55" t="s">
        <v>1597</v>
      </c>
      <c r="E23" s="55" t="s">
        <v>1598</v>
      </c>
      <c r="F23" s="55"/>
      <c r="G23" s="55"/>
      <c r="H23" s="55"/>
      <c r="I23" s="62">
        <v>8</v>
      </c>
      <c r="J23" s="57">
        <v>0</v>
      </c>
      <c r="K23" s="57">
        <v>0</v>
      </c>
    </row>
    <row r="24" spans="1:11" ht="10.9" customHeight="1" x14ac:dyDescent="0.2">
      <c r="A24" s="54">
        <v>46048</v>
      </c>
      <c r="B24" s="55" t="s">
        <v>511</v>
      </c>
      <c r="C24" s="55" t="s">
        <v>31</v>
      </c>
      <c r="D24" s="55" t="s">
        <v>1597</v>
      </c>
      <c r="E24" s="55" t="s">
        <v>1598</v>
      </c>
      <c r="F24" s="55"/>
      <c r="G24" s="55"/>
      <c r="H24" s="55"/>
      <c r="I24" s="62">
        <v>8</v>
      </c>
      <c r="J24" s="57">
        <v>0</v>
      </c>
      <c r="K24" s="57">
        <v>0</v>
      </c>
    </row>
    <row r="25" spans="1:11" ht="10.9" customHeight="1" x14ac:dyDescent="0.2">
      <c r="A25" s="54">
        <v>46049</v>
      </c>
      <c r="B25" s="55" t="s">
        <v>511</v>
      </c>
      <c r="C25" s="55" t="s">
        <v>31</v>
      </c>
      <c r="D25" s="55" t="s">
        <v>1597</v>
      </c>
      <c r="E25" s="55" t="s">
        <v>1598</v>
      </c>
      <c r="F25" s="55"/>
      <c r="G25" s="55"/>
      <c r="H25" s="55"/>
      <c r="I25" s="62">
        <v>8</v>
      </c>
      <c r="J25" s="57">
        <v>0</v>
      </c>
      <c r="K25" s="57">
        <v>0</v>
      </c>
    </row>
    <row r="26" spans="1:11" ht="10.9" customHeight="1" x14ac:dyDescent="0.2">
      <c r="A26" s="54">
        <v>46050</v>
      </c>
      <c r="B26" s="55" t="s">
        <v>511</v>
      </c>
      <c r="C26" s="55" t="s">
        <v>31</v>
      </c>
      <c r="D26" s="55" t="s">
        <v>1597</v>
      </c>
      <c r="E26" s="55" t="s">
        <v>1598</v>
      </c>
      <c r="F26" s="55"/>
      <c r="G26" s="55"/>
      <c r="H26" s="55"/>
      <c r="I26" s="62">
        <v>8</v>
      </c>
      <c r="J26" s="57">
        <v>0</v>
      </c>
      <c r="K26" s="57">
        <v>0</v>
      </c>
    </row>
    <row r="27" spans="1:11" ht="10.9" customHeight="1" x14ac:dyDescent="0.2">
      <c r="A27" s="54">
        <v>46051</v>
      </c>
      <c r="B27" s="55" t="s">
        <v>511</v>
      </c>
      <c r="C27" s="55" t="s">
        <v>31</v>
      </c>
      <c r="D27" s="55" t="s">
        <v>1597</v>
      </c>
      <c r="E27" s="55" t="s">
        <v>1598</v>
      </c>
      <c r="F27" s="55"/>
      <c r="G27" s="55"/>
      <c r="H27" s="55"/>
      <c r="I27" s="62">
        <v>8</v>
      </c>
      <c r="J27" s="57">
        <v>0</v>
      </c>
      <c r="K27" s="57">
        <v>0</v>
      </c>
    </row>
    <row r="28" spans="1:11" ht="10.9" customHeight="1" x14ac:dyDescent="0.2">
      <c r="A28" s="54">
        <v>46052</v>
      </c>
      <c r="B28" s="55" t="s">
        <v>511</v>
      </c>
      <c r="C28" s="55" t="s">
        <v>31</v>
      </c>
      <c r="D28" s="55" t="s">
        <v>1597</v>
      </c>
      <c r="E28" s="55" t="s">
        <v>1598</v>
      </c>
      <c r="F28" s="55"/>
      <c r="G28" s="55"/>
      <c r="H28" s="55"/>
      <c r="I28" s="62">
        <v>8</v>
      </c>
      <c r="J28" s="57">
        <v>0</v>
      </c>
      <c r="K28" s="57">
        <v>0</v>
      </c>
    </row>
    <row r="29" spans="1:11" ht="10.9" customHeight="1" x14ac:dyDescent="0.2">
      <c r="A29" s="58" t="s">
        <v>1599</v>
      </c>
      <c r="B29" s="58"/>
      <c r="C29" s="58"/>
      <c r="D29" s="58"/>
      <c r="E29" s="58"/>
      <c r="F29" s="58"/>
      <c r="G29" s="58"/>
      <c r="H29" s="58"/>
      <c r="I29" s="63">
        <f>SUM(I8:I28)</f>
        <v>168</v>
      </c>
      <c r="J29" s="58"/>
      <c r="K29" s="60">
        <f>SUM(K8:K28)</f>
        <v>0</v>
      </c>
    </row>
    <row r="30" spans="1:11" ht="13.35" customHeight="1" x14ac:dyDescent="0.2"/>
    <row r="31" spans="1:11" s="48" customFormat="1" ht="12.2" customHeight="1" x14ac:dyDescent="0.2">
      <c r="A31" s="49" t="s">
        <v>1600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</row>
    <row r="32" spans="1:11" ht="10.9" customHeight="1" x14ac:dyDescent="0.2">
      <c r="A32" s="50">
        <v>46024</v>
      </c>
      <c r="B32" s="51" t="s">
        <v>511</v>
      </c>
      <c r="C32" s="51" t="s">
        <v>31</v>
      </c>
      <c r="D32" s="51" t="s">
        <v>1597</v>
      </c>
      <c r="E32" s="51" t="s">
        <v>1598</v>
      </c>
      <c r="F32" s="51"/>
      <c r="G32" s="51"/>
      <c r="H32" s="51"/>
      <c r="I32" s="52">
        <v>8</v>
      </c>
      <c r="J32" s="53">
        <v>0</v>
      </c>
      <c r="K32" s="53">
        <v>0</v>
      </c>
    </row>
    <row r="33" spans="1:11" ht="10.9" customHeight="1" x14ac:dyDescent="0.2">
      <c r="A33" s="54">
        <v>46027</v>
      </c>
      <c r="B33" s="55" t="s">
        <v>511</v>
      </c>
      <c r="C33" s="55" t="s">
        <v>31</v>
      </c>
      <c r="D33" s="55" t="s">
        <v>1597</v>
      </c>
      <c r="E33" s="55" t="s">
        <v>1598</v>
      </c>
      <c r="F33" s="55"/>
      <c r="G33" s="55"/>
      <c r="H33" s="55"/>
      <c r="I33" s="56">
        <v>8</v>
      </c>
      <c r="J33" s="57">
        <v>0</v>
      </c>
      <c r="K33" s="57">
        <v>0</v>
      </c>
    </row>
    <row r="34" spans="1:11" ht="10.9" customHeight="1" x14ac:dyDescent="0.2">
      <c r="A34" s="54">
        <v>46028</v>
      </c>
      <c r="B34" s="55" t="s">
        <v>511</v>
      </c>
      <c r="C34" s="55" t="s">
        <v>31</v>
      </c>
      <c r="D34" s="55" t="s">
        <v>1597</v>
      </c>
      <c r="E34" s="55" t="s">
        <v>1598</v>
      </c>
      <c r="F34" s="55"/>
      <c r="G34" s="55"/>
      <c r="H34" s="55"/>
      <c r="I34" s="56">
        <v>8</v>
      </c>
      <c r="J34" s="57">
        <v>0</v>
      </c>
      <c r="K34" s="57">
        <v>0</v>
      </c>
    </row>
    <row r="35" spans="1:11" ht="10.9" customHeight="1" x14ac:dyDescent="0.2">
      <c r="A35" s="54">
        <v>46029</v>
      </c>
      <c r="B35" s="55" t="s">
        <v>511</v>
      </c>
      <c r="C35" s="55" t="s">
        <v>31</v>
      </c>
      <c r="D35" s="55" t="s">
        <v>1597</v>
      </c>
      <c r="E35" s="55" t="s">
        <v>1598</v>
      </c>
      <c r="F35" s="55"/>
      <c r="G35" s="55"/>
      <c r="H35" s="55"/>
      <c r="I35" s="56">
        <v>8</v>
      </c>
      <c r="J35" s="57">
        <v>0</v>
      </c>
      <c r="K35" s="57">
        <v>0</v>
      </c>
    </row>
    <row r="36" spans="1:11" ht="10.9" customHeight="1" x14ac:dyDescent="0.2">
      <c r="A36" s="54">
        <v>46030</v>
      </c>
      <c r="B36" s="55" t="s">
        <v>511</v>
      </c>
      <c r="C36" s="55" t="s">
        <v>31</v>
      </c>
      <c r="D36" s="55" t="s">
        <v>1597</v>
      </c>
      <c r="E36" s="55" t="s">
        <v>1598</v>
      </c>
      <c r="F36" s="55"/>
      <c r="G36" s="55"/>
      <c r="H36" s="55"/>
      <c r="I36" s="56">
        <v>8</v>
      </c>
      <c r="J36" s="57">
        <v>0</v>
      </c>
      <c r="K36" s="57">
        <v>0</v>
      </c>
    </row>
    <row r="37" spans="1:11" ht="10.9" customHeight="1" x14ac:dyDescent="0.2">
      <c r="A37" s="54">
        <v>46031</v>
      </c>
      <c r="B37" s="55" t="s">
        <v>511</v>
      </c>
      <c r="C37" s="55" t="s">
        <v>31</v>
      </c>
      <c r="D37" s="55" t="s">
        <v>1597</v>
      </c>
      <c r="E37" s="55" t="s">
        <v>1598</v>
      </c>
      <c r="F37" s="55"/>
      <c r="G37" s="55"/>
      <c r="H37" s="55"/>
      <c r="I37" s="56">
        <v>8</v>
      </c>
      <c r="J37" s="57">
        <v>0</v>
      </c>
      <c r="K37" s="57">
        <v>0</v>
      </c>
    </row>
    <row r="38" spans="1:11" ht="10.9" customHeight="1" x14ac:dyDescent="0.2">
      <c r="A38" s="54">
        <v>46034</v>
      </c>
      <c r="B38" s="55" t="s">
        <v>511</v>
      </c>
      <c r="C38" s="55" t="s">
        <v>31</v>
      </c>
      <c r="D38" s="55" t="s">
        <v>1597</v>
      </c>
      <c r="E38" s="55" t="s">
        <v>1598</v>
      </c>
      <c r="F38" s="55"/>
      <c r="G38" s="55"/>
      <c r="H38" s="55"/>
      <c r="I38" s="52">
        <v>8</v>
      </c>
      <c r="J38" s="57">
        <v>0</v>
      </c>
      <c r="K38" s="57">
        <v>0</v>
      </c>
    </row>
    <row r="39" spans="1:11" ht="10.9" customHeight="1" x14ac:dyDescent="0.2">
      <c r="A39" s="54">
        <v>46035</v>
      </c>
      <c r="B39" s="55" t="s">
        <v>511</v>
      </c>
      <c r="C39" s="55" t="s">
        <v>31</v>
      </c>
      <c r="D39" s="55" t="s">
        <v>1597</v>
      </c>
      <c r="E39" s="55" t="s">
        <v>1598</v>
      </c>
      <c r="F39" s="55"/>
      <c r="G39" s="55"/>
      <c r="H39" s="55"/>
      <c r="I39" s="56">
        <v>8</v>
      </c>
      <c r="J39" s="57">
        <v>0</v>
      </c>
      <c r="K39" s="57">
        <v>0</v>
      </c>
    </row>
    <row r="40" spans="1:11" ht="10.9" customHeight="1" x14ac:dyDescent="0.2">
      <c r="A40" s="54">
        <v>46036</v>
      </c>
      <c r="B40" s="55" t="s">
        <v>511</v>
      </c>
      <c r="C40" s="55" t="s">
        <v>31</v>
      </c>
      <c r="D40" s="55" t="s">
        <v>1597</v>
      </c>
      <c r="E40" s="55" t="s">
        <v>1598</v>
      </c>
      <c r="F40" s="55"/>
      <c r="G40" s="55"/>
      <c r="H40" s="55"/>
      <c r="I40" s="56">
        <v>8</v>
      </c>
      <c r="J40" s="57">
        <v>0</v>
      </c>
      <c r="K40" s="57">
        <v>0</v>
      </c>
    </row>
    <row r="41" spans="1:11" ht="10.9" customHeight="1" x14ac:dyDescent="0.2">
      <c r="A41" s="54">
        <v>46037</v>
      </c>
      <c r="B41" s="55" t="s">
        <v>511</v>
      </c>
      <c r="C41" s="55" t="s">
        <v>31</v>
      </c>
      <c r="D41" s="55" t="s">
        <v>1597</v>
      </c>
      <c r="E41" s="55" t="s">
        <v>1598</v>
      </c>
      <c r="F41" s="55"/>
      <c r="G41" s="55"/>
      <c r="H41" s="55"/>
      <c r="I41" s="56">
        <v>8</v>
      </c>
      <c r="J41" s="57">
        <v>0</v>
      </c>
      <c r="K41" s="57">
        <v>0</v>
      </c>
    </row>
    <row r="42" spans="1:11" ht="10.9" customHeight="1" x14ac:dyDescent="0.2">
      <c r="A42" s="54">
        <v>46038</v>
      </c>
      <c r="B42" s="55" t="s">
        <v>511</v>
      </c>
      <c r="C42" s="55" t="s">
        <v>31</v>
      </c>
      <c r="D42" s="55" t="s">
        <v>1597</v>
      </c>
      <c r="E42" s="55" t="s">
        <v>1598</v>
      </c>
      <c r="F42" s="55"/>
      <c r="G42" s="55"/>
      <c r="H42" s="55"/>
      <c r="I42" s="56">
        <v>8</v>
      </c>
      <c r="J42" s="57">
        <v>0</v>
      </c>
      <c r="K42" s="57">
        <v>0</v>
      </c>
    </row>
    <row r="43" spans="1:11" ht="10.9" customHeight="1" x14ac:dyDescent="0.2">
      <c r="A43" s="54">
        <v>46041</v>
      </c>
      <c r="B43" s="55" t="s">
        <v>511</v>
      </c>
      <c r="C43" s="55" t="s">
        <v>31</v>
      </c>
      <c r="D43" s="55" t="s">
        <v>1597</v>
      </c>
      <c r="E43" s="55" t="s">
        <v>1598</v>
      </c>
      <c r="F43" s="55"/>
      <c r="G43" s="55"/>
      <c r="H43" s="55"/>
      <c r="I43" s="56">
        <v>8</v>
      </c>
      <c r="J43" s="57">
        <v>0</v>
      </c>
      <c r="K43" s="57">
        <v>0</v>
      </c>
    </row>
    <row r="44" spans="1:11" ht="10.9" customHeight="1" x14ac:dyDescent="0.2">
      <c r="A44" s="54">
        <v>46042</v>
      </c>
      <c r="B44" s="55" t="s">
        <v>511</v>
      </c>
      <c r="C44" s="55" t="s">
        <v>31</v>
      </c>
      <c r="D44" s="55" t="s">
        <v>1597</v>
      </c>
      <c r="E44" s="55" t="s">
        <v>1598</v>
      </c>
      <c r="F44" s="55"/>
      <c r="G44" s="55"/>
      <c r="H44" s="55"/>
      <c r="I44" s="52">
        <v>8</v>
      </c>
      <c r="J44" s="57">
        <v>0</v>
      </c>
      <c r="K44" s="57">
        <v>0</v>
      </c>
    </row>
    <row r="45" spans="1:11" ht="10.9" customHeight="1" x14ac:dyDescent="0.2">
      <c r="A45" s="54">
        <v>46043</v>
      </c>
      <c r="B45" s="55" t="s">
        <v>511</v>
      </c>
      <c r="C45" s="55" t="s">
        <v>31</v>
      </c>
      <c r="D45" s="55" t="s">
        <v>1597</v>
      </c>
      <c r="E45" s="55" t="s">
        <v>1598</v>
      </c>
      <c r="F45" s="55"/>
      <c r="G45" s="55"/>
      <c r="H45" s="55"/>
      <c r="I45" s="56">
        <v>8</v>
      </c>
      <c r="J45" s="57">
        <v>0</v>
      </c>
      <c r="K45" s="57">
        <v>0</v>
      </c>
    </row>
    <row r="46" spans="1:11" ht="10.9" customHeight="1" x14ac:dyDescent="0.2">
      <c r="A46" s="54">
        <v>46044</v>
      </c>
      <c r="B46" s="55" t="s">
        <v>511</v>
      </c>
      <c r="C46" s="55" t="s">
        <v>31</v>
      </c>
      <c r="D46" s="55" t="s">
        <v>1597</v>
      </c>
      <c r="E46" s="55" t="s">
        <v>1598</v>
      </c>
      <c r="F46" s="55"/>
      <c r="G46" s="55"/>
      <c r="H46" s="55"/>
      <c r="I46" s="56">
        <v>8</v>
      </c>
      <c r="J46" s="57">
        <v>0</v>
      </c>
      <c r="K46" s="57">
        <v>0</v>
      </c>
    </row>
    <row r="47" spans="1:11" ht="10.9" customHeight="1" x14ac:dyDescent="0.2">
      <c r="A47" s="54">
        <v>46045</v>
      </c>
      <c r="B47" s="55" t="s">
        <v>511</v>
      </c>
      <c r="C47" s="55" t="s">
        <v>31</v>
      </c>
      <c r="D47" s="55" t="s">
        <v>1597</v>
      </c>
      <c r="E47" s="55" t="s">
        <v>1598</v>
      </c>
      <c r="F47" s="55"/>
      <c r="G47" s="55"/>
      <c r="H47" s="55"/>
      <c r="I47" s="56">
        <v>8</v>
      </c>
      <c r="J47" s="57">
        <v>0</v>
      </c>
      <c r="K47" s="57">
        <v>0</v>
      </c>
    </row>
    <row r="48" spans="1:11" ht="10.9" customHeight="1" x14ac:dyDescent="0.2">
      <c r="A48" s="54">
        <v>46048</v>
      </c>
      <c r="B48" s="55" t="s">
        <v>511</v>
      </c>
      <c r="C48" s="55" t="s">
        <v>31</v>
      </c>
      <c r="D48" s="55" t="s">
        <v>1597</v>
      </c>
      <c r="E48" s="55" t="s">
        <v>1598</v>
      </c>
      <c r="F48" s="55"/>
      <c r="G48" s="55"/>
      <c r="H48" s="55"/>
      <c r="I48" s="56">
        <v>8</v>
      </c>
      <c r="J48" s="57">
        <v>0</v>
      </c>
      <c r="K48" s="57">
        <v>0</v>
      </c>
    </row>
    <row r="49" spans="1:11" ht="10.9" customHeight="1" x14ac:dyDescent="0.2">
      <c r="A49" s="54">
        <v>46049</v>
      </c>
      <c r="B49" s="55" t="s">
        <v>511</v>
      </c>
      <c r="C49" s="55" t="s">
        <v>31</v>
      </c>
      <c r="D49" s="55" t="s">
        <v>1597</v>
      </c>
      <c r="E49" s="55" t="s">
        <v>1598</v>
      </c>
      <c r="F49" s="55"/>
      <c r="G49" s="55"/>
      <c r="H49" s="55"/>
      <c r="I49" s="56">
        <v>8</v>
      </c>
      <c r="J49" s="57">
        <v>0</v>
      </c>
      <c r="K49" s="57">
        <v>0</v>
      </c>
    </row>
    <row r="50" spans="1:11" ht="10.9" customHeight="1" x14ac:dyDescent="0.2">
      <c r="A50" s="54">
        <v>46050</v>
      </c>
      <c r="B50" s="55" t="s">
        <v>511</v>
      </c>
      <c r="C50" s="55" t="s">
        <v>31</v>
      </c>
      <c r="D50" s="55" t="s">
        <v>1597</v>
      </c>
      <c r="E50" s="55" t="s">
        <v>1598</v>
      </c>
      <c r="F50" s="55"/>
      <c r="G50" s="55"/>
      <c r="H50" s="55"/>
      <c r="I50" s="52">
        <v>8</v>
      </c>
      <c r="J50" s="57">
        <v>0</v>
      </c>
      <c r="K50" s="57">
        <v>0</v>
      </c>
    </row>
    <row r="51" spans="1:11" ht="10.9" customHeight="1" x14ac:dyDescent="0.2">
      <c r="A51" s="54">
        <v>46051</v>
      </c>
      <c r="B51" s="55" t="s">
        <v>511</v>
      </c>
      <c r="C51" s="55" t="s">
        <v>31</v>
      </c>
      <c r="D51" s="55" t="s">
        <v>1597</v>
      </c>
      <c r="E51" s="55" t="s">
        <v>1598</v>
      </c>
      <c r="F51" s="55"/>
      <c r="G51" s="55"/>
      <c r="H51" s="55"/>
      <c r="I51" s="56">
        <v>8</v>
      </c>
      <c r="J51" s="57">
        <v>0</v>
      </c>
      <c r="K51" s="57">
        <v>0</v>
      </c>
    </row>
    <row r="52" spans="1:11" ht="10.9" customHeight="1" x14ac:dyDescent="0.2">
      <c r="A52" s="54">
        <v>46052</v>
      </c>
      <c r="B52" s="55" t="s">
        <v>511</v>
      </c>
      <c r="C52" s="55" t="s">
        <v>31</v>
      </c>
      <c r="D52" s="55" t="s">
        <v>1597</v>
      </c>
      <c r="E52" s="55" t="s">
        <v>1598</v>
      </c>
      <c r="F52" s="55"/>
      <c r="G52" s="55"/>
      <c r="H52" s="55"/>
      <c r="I52" s="56">
        <v>8</v>
      </c>
      <c r="J52" s="57">
        <v>0</v>
      </c>
      <c r="K52" s="57">
        <v>0</v>
      </c>
    </row>
    <row r="53" spans="1:11" ht="10.9" customHeight="1" x14ac:dyDescent="0.2">
      <c r="A53" s="58" t="s">
        <v>1601</v>
      </c>
      <c r="B53" s="58"/>
      <c r="C53" s="58"/>
      <c r="D53" s="58"/>
      <c r="E53" s="58"/>
      <c r="F53" s="58"/>
      <c r="G53" s="58"/>
      <c r="H53" s="58"/>
      <c r="I53" s="59">
        <f>SUM(I32:I52)</f>
        <v>168</v>
      </c>
      <c r="J53" s="58"/>
      <c r="K53" s="60">
        <f>SUM(K32:K52)</f>
        <v>0</v>
      </c>
    </row>
    <row r="54" spans="1:11" ht="13.35" customHeight="1" x14ac:dyDescent="0.2"/>
    <row r="55" spans="1:11" s="48" customFormat="1" ht="12.2" customHeight="1" x14ac:dyDescent="0.2">
      <c r="A55" s="49" t="s">
        <v>1602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</row>
    <row r="56" spans="1:11" ht="10.9" customHeight="1" x14ac:dyDescent="0.2">
      <c r="A56" s="50">
        <v>46029</v>
      </c>
      <c r="B56" s="51" t="s">
        <v>511</v>
      </c>
      <c r="C56" s="51" t="s">
        <v>31</v>
      </c>
      <c r="D56" s="51" t="s">
        <v>1603</v>
      </c>
      <c r="E56" s="51" t="s">
        <v>1598</v>
      </c>
      <c r="F56" s="51"/>
      <c r="G56" s="51"/>
      <c r="H56" s="51"/>
      <c r="I56" s="52" t="s">
        <v>1604</v>
      </c>
      <c r="J56" s="53">
        <v>0</v>
      </c>
      <c r="K56" s="53">
        <v>0</v>
      </c>
    </row>
    <row r="57" spans="1:11" ht="10.9" customHeight="1" x14ac:dyDescent="0.2">
      <c r="A57" s="58" t="s">
        <v>1605</v>
      </c>
      <c r="B57" s="58"/>
      <c r="C57" s="58"/>
      <c r="D57" s="58"/>
      <c r="E57" s="58"/>
      <c r="F57" s="58"/>
      <c r="G57" s="58"/>
      <c r="H57" s="58"/>
      <c r="I57" s="59" t="str">
        <f>I56</f>
        <v>8:00</v>
      </c>
      <c r="J57" s="58"/>
      <c r="K57" s="60">
        <f>K56</f>
        <v>0</v>
      </c>
    </row>
    <row r="58" spans="1:11" ht="13.35" customHeight="1" x14ac:dyDescent="0.2"/>
    <row r="59" spans="1:11" s="48" customFormat="1" ht="12.2" customHeight="1" x14ac:dyDescent="0.2">
      <c r="A59" s="49" t="s">
        <v>1606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</row>
    <row r="60" spans="1:11" ht="10.9" customHeight="1" x14ac:dyDescent="0.2">
      <c r="A60" s="50">
        <v>46029</v>
      </c>
      <c r="B60" s="51" t="s">
        <v>511</v>
      </c>
      <c r="C60" s="51" t="s">
        <v>31</v>
      </c>
      <c r="D60" s="51" t="s">
        <v>1597</v>
      </c>
      <c r="E60" s="51" t="s">
        <v>1598</v>
      </c>
      <c r="F60" s="51"/>
      <c r="G60" s="51"/>
      <c r="H60" s="51"/>
      <c r="I60" s="52">
        <v>8</v>
      </c>
      <c r="J60" s="53">
        <v>0</v>
      </c>
      <c r="K60" s="53">
        <v>0</v>
      </c>
    </row>
    <row r="61" spans="1:11" ht="10.9" customHeight="1" x14ac:dyDescent="0.2">
      <c r="A61" s="54">
        <v>46035</v>
      </c>
      <c r="B61" s="55" t="s">
        <v>511</v>
      </c>
      <c r="C61" s="55" t="s">
        <v>31</v>
      </c>
      <c r="D61" s="55" t="s">
        <v>1597</v>
      </c>
      <c r="E61" s="55" t="s">
        <v>1598</v>
      </c>
      <c r="F61" s="55"/>
      <c r="G61" s="55"/>
      <c r="H61" s="55"/>
      <c r="I61" s="56">
        <v>8</v>
      </c>
      <c r="J61" s="57">
        <v>0</v>
      </c>
      <c r="K61" s="57">
        <v>0</v>
      </c>
    </row>
    <row r="62" spans="1:11" ht="10.9" customHeight="1" x14ac:dyDescent="0.2">
      <c r="A62" s="58" t="s">
        <v>1607</v>
      </c>
      <c r="B62" s="58"/>
      <c r="C62" s="58"/>
      <c r="D62" s="58"/>
      <c r="E62" s="58"/>
      <c r="F62" s="58"/>
      <c r="G62" s="58"/>
      <c r="H62" s="58"/>
      <c r="I62" s="59">
        <f>SUM(I60:I61)</f>
        <v>16</v>
      </c>
      <c r="J62" s="58"/>
      <c r="K62" s="60">
        <f>SUM(K60:K61)</f>
        <v>0</v>
      </c>
    </row>
    <row r="63" spans="1:11" ht="13.35" customHeight="1" x14ac:dyDescent="0.2"/>
    <row r="64" spans="1:11" s="48" customFormat="1" ht="12.2" customHeight="1" x14ac:dyDescent="0.2">
      <c r="A64" s="49" t="s">
        <v>1608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</row>
    <row r="65" spans="1:11" ht="10.9" customHeight="1" x14ac:dyDescent="0.2">
      <c r="A65" s="50">
        <v>46037</v>
      </c>
      <c r="B65" s="51" t="s">
        <v>511</v>
      </c>
      <c r="C65" s="51" t="s">
        <v>31</v>
      </c>
      <c r="D65" s="51" t="s">
        <v>1603</v>
      </c>
      <c r="E65" s="51" t="s">
        <v>1598</v>
      </c>
      <c r="F65" s="51"/>
      <c r="G65" s="51"/>
      <c r="H65" s="51"/>
      <c r="I65" s="52">
        <v>8</v>
      </c>
      <c r="J65" s="53">
        <v>0</v>
      </c>
      <c r="K65" s="53">
        <v>0</v>
      </c>
    </row>
    <row r="66" spans="1:11" ht="10.9" customHeight="1" x14ac:dyDescent="0.2">
      <c r="A66" s="54">
        <v>46043</v>
      </c>
      <c r="B66" s="55" t="s">
        <v>511</v>
      </c>
      <c r="C66" s="55" t="s">
        <v>31</v>
      </c>
      <c r="D66" s="55" t="s">
        <v>1603</v>
      </c>
      <c r="E66" s="55" t="s">
        <v>1598</v>
      </c>
      <c r="F66" s="55"/>
      <c r="G66" s="55"/>
      <c r="H66" s="55"/>
      <c r="I66" s="56">
        <v>8</v>
      </c>
      <c r="J66" s="57">
        <v>0</v>
      </c>
      <c r="K66" s="57">
        <v>0</v>
      </c>
    </row>
    <row r="67" spans="1:11" ht="10.9" customHeight="1" x14ac:dyDescent="0.2">
      <c r="A67" s="58" t="s">
        <v>1609</v>
      </c>
      <c r="B67" s="58"/>
      <c r="C67" s="58"/>
      <c r="D67" s="58"/>
      <c r="E67" s="58"/>
      <c r="F67" s="58"/>
      <c r="G67" s="58"/>
      <c r="H67" s="58"/>
      <c r="I67" s="59">
        <f>SUM(I65:I66)</f>
        <v>16</v>
      </c>
      <c r="J67" s="58"/>
      <c r="K67" s="60">
        <f>SUM(K65:K66)</f>
        <v>0</v>
      </c>
    </row>
    <row r="68" spans="1:11" ht="13.35" customHeight="1" x14ac:dyDescent="0.2"/>
    <row r="69" spans="1:11" s="48" customFormat="1" ht="12.2" customHeight="1" x14ac:dyDescent="0.2">
      <c r="A69" s="49" t="s">
        <v>598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</row>
    <row r="70" spans="1:11" ht="31.7" customHeight="1" x14ac:dyDescent="0.2">
      <c r="A70" s="50">
        <v>46029</v>
      </c>
      <c r="B70" s="51" t="s">
        <v>511</v>
      </c>
      <c r="C70" s="51" t="s">
        <v>297</v>
      </c>
      <c r="D70" s="51" t="s">
        <v>1610</v>
      </c>
      <c r="E70" s="51" t="s">
        <v>1598</v>
      </c>
      <c r="F70" s="61" t="s">
        <v>1611</v>
      </c>
      <c r="G70" s="51"/>
      <c r="H70" s="51"/>
      <c r="I70" s="52">
        <v>8</v>
      </c>
      <c r="J70" s="53">
        <v>0</v>
      </c>
      <c r="K70" s="53">
        <v>0</v>
      </c>
    </row>
    <row r="71" spans="1:11" ht="10.9" customHeight="1" x14ac:dyDescent="0.2">
      <c r="A71" s="58" t="s">
        <v>1612</v>
      </c>
      <c r="B71" s="58"/>
      <c r="C71" s="58"/>
      <c r="D71" s="58"/>
      <c r="E71" s="58"/>
      <c r="F71" s="58"/>
      <c r="G71" s="58"/>
      <c r="H71" s="58"/>
      <c r="I71" s="59">
        <f>I70</f>
        <v>8</v>
      </c>
      <c r="J71" s="58"/>
      <c r="K71" s="60">
        <f>K70</f>
        <v>0</v>
      </c>
    </row>
    <row r="72" spans="1:11" ht="10.9" customHeight="1" x14ac:dyDescent="0.2">
      <c r="A72" s="55" t="s">
        <v>85</v>
      </c>
      <c r="B72" s="55"/>
      <c r="C72" s="55"/>
      <c r="D72" s="55"/>
      <c r="E72" s="55"/>
      <c r="F72" s="55"/>
      <c r="G72" s="55"/>
      <c r="H72" s="55"/>
      <c r="I72" s="56">
        <f>SUM(I29,I53,I57,I62,I67,I71)</f>
        <v>376</v>
      </c>
      <c r="J72" s="57">
        <v>0</v>
      </c>
      <c r="K72" s="57">
        <f>SUM(K29,K53,K57,K62,K67,K71)</f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B2EDEE174A954A9DD8409B1E8912D5" ma:contentTypeVersion="3" ma:contentTypeDescription="Create a new document." ma:contentTypeScope="" ma:versionID="9c193f079c2525006570e00121462515">
  <xsd:schema xmlns:xsd="http://www.w3.org/2001/XMLSchema" xmlns:xs="http://www.w3.org/2001/XMLSchema" xmlns:p="http://schemas.microsoft.com/office/2006/metadata/properties" xmlns:ns2="7fe8e594-f947-4343-9855-fc8b905e659a" targetNamespace="http://schemas.microsoft.com/office/2006/metadata/properties" ma:root="true" ma:fieldsID="279fcd61bfaad7a8b9b720192f0f1c20" ns2:_="">
    <xsd:import namespace="7fe8e594-f947-4343-9855-fc8b905e65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8e594-f947-4343-9855-fc8b905e65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249CB-4C77-4E05-9C0A-2D6A1549EC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e8e594-f947-4343-9855-fc8b905e65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C5F9FF-177D-4801-8AF8-9F0EDD86DB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878EBD-0B2A-45E9-A5C8-0C361EDEB71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Bank Balance</vt:lpstr>
      <vt:lpstr>Bank </vt:lpstr>
      <vt:lpstr>Actual Cash Inflow</vt:lpstr>
      <vt:lpstr>Forecast Cash Inflow</vt:lpstr>
      <vt:lpstr>Revenue</vt:lpstr>
      <vt:lpstr>AR</vt:lpstr>
      <vt:lpstr>Detail1</vt:lpstr>
      <vt:lpstr>Actual Cash Outflow</vt:lpstr>
      <vt:lpstr>Forecast Cash Outflow</vt:lpstr>
      <vt:lpstr>COGS</vt:lpstr>
      <vt:lpstr>Expenses</vt:lpstr>
      <vt:lpstr>Detail3</vt:lpstr>
      <vt:lpstr>Detail4</vt:lpstr>
      <vt:lpstr>Detail5</vt:lpstr>
      <vt:lpstr>Sheet1</vt:lpstr>
      <vt:lpstr>Detail2</vt:lpstr>
      <vt:lpstr>Sheet5</vt:lpstr>
      <vt:lpstr>CF</vt:lpstr>
      <vt:lpstr>Receivable</vt:lpstr>
      <vt:lpstr>PO Value</vt:lpstr>
      <vt:lpstr>PO</vt:lpstr>
      <vt:lpstr>Setting</vt:lpstr>
      <vt:lpstr>FOREX</vt:lpstr>
      <vt:lpstr>AXT - USD</vt:lpstr>
      <vt:lpstr>AXT- SGD</vt:lpstr>
      <vt:lpstr>AXT -Eastwest Bank</vt:lpstr>
      <vt:lpstr>AXI - MYR</vt:lpstr>
      <vt:lpstr>AXI - USD</vt:lpstr>
      <vt:lpstr>AXS-CNY</vt:lpstr>
      <vt:lpstr>Sheet2</vt:lpstr>
      <vt:lpstr>Payroll MY</vt:lpstr>
      <vt:lpstr>Sheet3</vt:lpstr>
      <vt:lpstr>Payroll SG</vt:lpstr>
      <vt:lpstr>Sheet4</vt:lpstr>
      <vt:lpstr>Payroll CN</vt:lpstr>
      <vt:lpstr>Payroll</vt:lpstr>
      <vt:lpstr>Project Manday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Cathfrine Low</dc:creator>
  <cp:keywords/>
  <dc:description/>
  <cp:lastModifiedBy>Cathfrine Low</cp:lastModifiedBy>
  <cp:revision/>
  <dcterms:created xsi:type="dcterms:W3CDTF">2026-03-09T09:06:21Z</dcterms:created>
  <dcterms:modified xsi:type="dcterms:W3CDTF">2026-07-01T01:14:18Z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0x010100ABB2EDEE174A954A9DD8409B1E8912D5</vt:lpwstr>
  </property>
</Properties>
</file>